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MDM\PROYECTOS\WebAppMaternidad\WebAppMaternidad\WebAppMaternidad\wwwroot\Plantilla\"/>
    </mc:Choice>
  </mc:AlternateContent>
  <xr:revisionPtr revIDLastSave="0" documentId="13_ncr:1_{0A31DAA9-7B40-4694-AAB0-47E29CD8247D}" xr6:coauthVersionLast="47" xr6:coauthVersionMax="47" xr10:uidLastSave="{00000000-0000-0000-0000-000000000000}"/>
  <bookViews>
    <workbookView xWindow="-120" yWindow="-120" windowWidth="29040" windowHeight="15720" tabRatio="837" activeTab="2" xr2:uid="{00000000-000D-0000-FFFF-FFFF00000000}"/>
  </bookViews>
  <sheets>
    <sheet name="Disponibilidad" sheetId="1" r:id="rId1"/>
    <sheet name="Disp SIS" sheetId="2" r:id="rId2"/>
    <sheet name="Disp UCI" sheetId="12" r:id="rId3"/>
    <sheet name="Medicamentos" sheetId="5" r:id="rId4"/>
    <sheet name="Material Medico" sheetId="6" r:id="rId5"/>
    <sheet name="SOP" sheetId="4" r:id="rId6"/>
    <sheet name="Medicamento. Estrategia" sheetId="3" r:id="rId7"/>
    <sheet name="Material M. Estrategia" sheetId="7" r:id="rId8"/>
    <sheet name="Material M. Esenciales" sheetId="8" r:id="rId9"/>
    <sheet name="Esenciales Nuevo" sheetId="9" r:id="rId10"/>
    <sheet name="Esenciales" sheetId="10" r:id="rId11"/>
    <sheet name="RESUMEN" sheetId="11" r:id="rId12"/>
  </sheet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895" i="12" l="1"/>
  <c r="R895" i="12"/>
  <c r="Q895" i="12"/>
  <c r="P895" i="12"/>
  <c r="O895" i="12"/>
  <c r="N895" i="12"/>
  <c r="M895" i="12"/>
  <c r="L895" i="12"/>
  <c r="K895" i="12"/>
  <c r="J895" i="12"/>
  <c r="I895" i="12"/>
  <c r="H895" i="12"/>
  <c r="G895" i="12"/>
  <c r="F895" i="12"/>
  <c r="E895" i="12"/>
  <c r="D895" i="12"/>
  <c r="C895" i="12"/>
  <c r="B895" i="12"/>
  <c r="S894" i="12"/>
  <c r="R894" i="12"/>
  <c r="Q894" i="12"/>
  <c r="P894" i="12"/>
  <c r="O894" i="12"/>
  <c r="N894" i="12"/>
  <c r="M894" i="12"/>
  <c r="L894" i="12"/>
  <c r="K894" i="12"/>
  <c r="J894" i="12"/>
  <c r="I894" i="12"/>
  <c r="H894" i="12"/>
  <c r="G894" i="12"/>
  <c r="F894" i="12"/>
  <c r="E894" i="12"/>
  <c r="D894" i="12"/>
  <c r="C894" i="12"/>
  <c r="B894" i="12"/>
  <c r="S893" i="12"/>
  <c r="R893" i="12"/>
  <c r="Q893" i="12"/>
  <c r="P893" i="12"/>
  <c r="O893" i="12"/>
  <c r="N893" i="12"/>
  <c r="M893" i="12"/>
  <c r="L893" i="12"/>
  <c r="K893" i="12"/>
  <c r="J893" i="12"/>
  <c r="I893" i="12"/>
  <c r="H893" i="12"/>
  <c r="G893" i="12"/>
  <c r="F893" i="12"/>
  <c r="E893" i="12"/>
  <c r="D893" i="12"/>
  <c r="C893" i="12"/>
  <c r="B893" i="12"/>
  <c r="S892" i="12"/>
  <c r="R892" i="12"/>
  <c r="Q892" i="12"/>
  <c r="P892" i="12"/>
  <c r="O892" i="12"/>
  <c r="N892" i="12"/>
  <c r="M892" i="12"/>
  <c r="L892" i="12"/>
  <c r="K892" i="12"/>
  <c r="J892" i="12"/>
  <c r="I892" i="12"/>
  <c r="H892" i="12"/>
  <c r="G892" i="12"/>
  <c r="F892" i="12"/>
  <c r="E892" i="12"/>
  <c r="D892" i="12"/>
  <c r="C892" i="12"/>
  <c r="B892" i="12"/>
  <c r="S891" i="12"/>
  <c r="R891" i="12"/>
  <c r="Q891" i="12"/>
  <c r="P891" i="12"/>
  <c r="O891" i="12"/>
  <c r="N891" i="12"/>
  <c r="M891" i="12"/>
  <c r="L891" i="12"/>
  <c r="K891" i="12"/>
  <c r="J891" i="12"/>
  <c r="I891" i="12"/>
  <c r="H891" i="12"/>
  <c r="G891" i="12"/>
  <c r="F891" i="12"/>
  <c r="E891" i="12"/>
  <c r="D891" i="12"/>
  <c r="C891" i="12"/>
  <c r="B891" i="12"/>
  <c r="S890" i="12"/>
  <c r="R890" i="12"/>
  <c r="Q890" i="12"/>
  <c r="P890" i="12"/>
  <c r="O890" i="12"/>
  <c r="N890" i="12"/>
  <c r="M890" i="12"/>
  <c r="L890" i="12"/>
  <c r="K890" i="12"/>
  <c r="J890" i="12"/>
  <c r="I890" i="12"/>
  <c r="H890" i="12"/>
  <c r="G890" i="12"/>
  <c r="F890" i="12"/>
  <c r="E890" i="12"/>
  <c r="D890" i="12"/>
  <c r="C890" i="12"/>
  <c r="B890" i="12"/>
  <c r="S889" i="12"/>
  <c r="R889" i="12"/>
  <c r="Q889" i="12"/>
  <c r="P889" i="12"/>
  <c r="O889" i="12"/>
  <c r="N889" i="12"/>
  <c r="M889" i="12"/>
  <c r="L889" i="12"/>
  <c r="K889" i="12"/>
  <c r="J889" i="12"/>
  <c r="I889" i="12"/>
  <c r="H889" i="12"/>
  <c r="G889" i="12"/>
  <c r="F889" i="12"/>
  <c r="E889" i="12"/>
  <c r="D889" i="12"/>
  <c r="C889" i="12"/>
  <c r="B889" i="12"/>
  <c r="S888" i="12"/>
  <c r="R888" i="12"/>
  <c r="Q888" i="12"/>
  <c r="P888" i="12"/>
  <c r="O888" i="12"/>
  <c r="N888" i="12"/>
  <c r="M888" i="12"/>
  <c r="L888" i="12"/>
  <c r="K888" i="12"/>
  <c r="J888" i="12"/>
  <c r="I888" i="12"/>
  <c r="H888" i="12"/>
  <c r="G888" i="12"/>
  <c r="F888" i="12"/>
  <c r="E888" i="12"/>
  <c r="D888" i="12"/>
  <c r="C888" i="12"/>
  <c r="B888" i="12"/>
  <c r="S887" i="12"/>
  <c r="R887" i="12"/>
  <c r="Q887" i="12"/>
  <c r="P887" i="12"/>
  <c r="O887" i="12"/>
  <c r="N887" i="12"/>
  <c r="M887" i="12"/>
  <c r="L887" i="12"/>
  <c r="K887" i="12"/>
  <c r="J887" i="12"/>
  <c r="I887" i="12"/>
  <c r="H887" i="12"/>
  <c r="G887" i="12"/>
  <c r="F887" i="12"/>
  <c r="E887" i="12"/>
  <c r="D887" i="12"/>
  <c r="C887" i="12"/>
  <c r="B887" i="12"/>
  <c r="S886" i="12"/>
  <c r="R886" i="12"/>
  <c r="Q886" i="12"/>
  <c r="P886" i="12"/>
  <c r="O886" i="12"/>
  <c r="N886" i="12"/>
  <c r="M886" i="12"/>
  <c r="L886" i="12"/>
  <c r="K886" i="12"/>
  <c r="J886" i="12"/>
  <c r="I886" i="12"/>
  <c r="H886" i="12"/>
  <c r="G886" i="12"/>
  <c r="F886" i="12"/>
  <c r="E886" i="12"/>
  <c r="D886" i="12"/>
  <c r="C886" i="12"/>
  <c r="B886" i="12"/>
  <c r="S885" i="12"/>
  <c r="R885" i="12"/>
  <c r="Q885" i="12"/>
  <c r="P885" i="12"/>
  <c r="O885" i="12"/>
  <c r="N885" i="12"/>
  <c r="M885" i="12"/>
  <c r="L885" i="12"/>
  <c r="K885" i="12"/>
  <c r="J885" i="12"/>
  <c r="I885" i="12"/>
  <c r="H885" i="12"/>
  <c r="G885" i="12"/>
  <c r="F885" i="12"/>
  <c r="E885" i="12"/>
  <c r="D885" i="12"/>
  <c r="C885" i="12"/>
  <c r="B885" i="12"/>
  <c r="S884" i="12"/>
  <c r="R884" i="12"/>
  <c r="Q884" i="12"/>
  <c r="P884" i="12"/>
  <c r="O884" i="12"/>
  <c r="N884" i="12"/>
  <c r="M884" i="12"/>
  <c r="L884" i="12"/>
  <c r="K884" i="12"/>
  <c r="J884" i="12"/>
  <c r="I884" i="12"/>
  <c r="H884" i="12"/>
  <c r="G884" i="12"/>
  <c r="F884" i="12"/>
  <c r="E884" i="12"/>
  <c r="D884" i="12"/>
  <c r="C884" i="12"/>
  <c r="B884" i="12"/>
  <c r="S883" i="12"/>
  <c r="R883" i="12"/>
  <c r="Q883" i="12"/>
  <c r="P883" i="12"/>
  <c r="O883" i="12"/>
  <c r="N883" i="12"/>
  <c r="M883" i="12"/>
  <c r="L883" i="12"/>
  <c r="K883" i="12"/>
  <c r="J883" i="12"/>
  <c r="I883" i="12"/>
  <c r="H883" i="12"/>
  <c r="G883" i="12"/>
  <c r="F883" i="12"/>
  <c r="E883" i="12"/>
  <c r="D883" i="12"/>
  <c r="C883" i="12"/>
  <c r="B883" i="12"/>
  <c r="S882" i="12"/>
  <c r="R882" i="12"/>
  <c r="Q882" i="12"/>
  <c r="P882" i="12"/>
  <c r="O882" i="12"/>
  <c r="N882" i="12"/>
  <c r="M882" i="12"/>
  <c r="L882" i="12"/>
  <c r="K882" i="12"/>
  <c r="J882" i="12"/>
  <c r="I882" i="12"/>
  <c r="H882" i="12"/>
  <c r="G882" i="12"/>
  <c r="F882" i="12"/>
  <c r="E882" i="12"/>
  <c r="D882" i="12"/>
  <c r="C882" i="12"/>
  <c r="B882" i="12"/>
  <c r="S881" i="12"/>
  <c r="R881" i="12"/>
  <c r="Q881" i="12"/>
  <c r="P881" i="12"/>
  <c r="O881" i="12"/>
  <c r="N881" i="12"/>
  <c r="M881" i="12"/>
  <c r="L881" i="12"/>
  <c r="K881" i="12"/>
  <c r="J881" i="12"/>
  <c r="I881" i="12"/>
  <c r="H881" i="12"/>
  <c r="G881" i="12"/>
  <c r="F881" i="12"/>
  <c r="E881" i="12"/>
  <c r="D881" i="12"/>
  <c r="C881" i="12"/>
  <c r="B881" i="12"/>
  <c r="S880" i="12"/>
  <c r="R880" i="12"/>
  <c r="Q880" i="12"/>
  <c r="P880" i="12"/>
  <c r="O880" i="12"/>
  <c r="N880" i="12"/>
  <c r="M880" i="12"/>
  <c r="L880" i="12"/>
  <c r="K880" i="12"/>
  <c r="J880" i="12"/>
  <c r="I880" i="12"/>
  <c r="H880" i="12"/>
  <c r="G880" i="12"/>
  <c r="F880" i="12"/>
  <c r="E880" i="12"/>
  <c r="D880" i="12"/>
  <c r="C880" i="12"/>
  <c r="B880" i="12"/>
  <c r="S879" i="12"/>
  <c r="R879" i="12"/>
  <c r="Q879" i="12"/>
  <c r="P879" i="12"/>
  <c r="O879" i="12"/>
  <c r="N879" i="12"/>
  <c r="M879" i="12"/>
  <c r="L879" i="12"/>
  <c r="K879" i="12"/>
  <c r="J879" i="12"/>
  <c r="I879" i="12"/>
  <c r="H879" i="12"/>
  <c r="G879" i="12"/>
  <c r="F879" i="12"/>
  <c r="E879" i="12"/>
  <c r="D879" i="12"/>
  <c r="C879" i="12"/>
  <c r="B879" i="12"/>
  <c r="S878" i="12"/>
  <c r="R878" i="12"/>
  <c r="Q878" i="12"/>
  <c r="P878" i="12"/>
  <c r="O878" i="12"/>
  <c r="N878" i="12"/>
  <c r="M878" i="12"/>
  <c r="L878" i="12"/>
  <c r="K878" i="12"/>
  <c r="J878" i="12"/>
  <c r="I878" i="12"/>
  <c r="H878" i="12"/>
  <c r="G878" i="12"/>
  <c r="F878" i="12"/>
  <c r="E878" i="12"/>
  <c r="D878" i="12"/>
  <c r="C878" i="12"/>
  <c r="B878" i="12"/>
  <c r="S877" i="12"/>
  <c r="R877" i="12"/>
  <c r="Q877" i="12"/>
  <c r="P877" i="12"/>
  <c r="O877" i="12"/>
  <c r="N877" i="12"/>
  <c r="M877" i="12"/>
  <c r="L877" i="12"/>
  <c r="K877" i="12"/>
  <c r="J877" i="12"/>
  <c r="I877" i="12"/>
  <c r="H877" i="12"/>
  <c r="G877" i="12"/>
  <c r="F877" i="12"/>
  <c r="E877" i="12"/>
  <c r="D877" i="12"/>
  <c r="C877" i="12"/>
  <c r="B877" i="12"/>
  <c r="S876" i="12"/>
  <c r="R876" i="12"/>
  <c r="Q876" i="12"/>
  <c r="P876" i="12"/>
  <c r="O876" i="12"/>
  <c r="N876" i="12"/>
  <c r="M876" i="12"/>
  <c r="L876" i="12"/>
  <c r="K876" i="12"/>
  <c r="J876" i="12"/>
  <c r="I876" i="12"/>
  <c r="H876" i="12"/>
  <c r="G876" i="12"/>
  <c r="F876" i="12"/>
  <c r="E876" i="12"/>
  <c r="D876" i="12"/>
  <c r="C876" i="12"/>
  <c r="B876" i="12"/>
  <c r="S875" i="12"/>
  <c r="R875" i="12"/>
  <c r="Q875" i="12"/>
  <c r="P875" i="12"/>
  <c r="O875" i="12"/>
  <c r="N875" i="12"/>
  <c r="M875" i="12"/>
  <c r="L875" i="12"/>
  <c r="K875" i="12"/>
  <c r="J875" i="12"/>
  <c r="I875" i="12"/>
  <c r="H875" i="12"/>
  <c r="G875" i="12"/>
  <c r="F875" i="12"/>
  <c r="E875" i="12"/>
  <c r="D875" i="12"/>
  <c r="C875" i="12"/>
  <c r="B875" i="12"/>
  <c r="S874" i="12"/>
  <c r="R874" i="12"/>
  <c r="Q874" i="12"/>
  <c r="P874" i="12"/>
  <c r="O874" i="12"/>
  <c r="N874" i="12"/>
  <c r="M874" i="12"/>
  <c r="L874" i="12"/>
  <c r="K874" i="12"/>
  <c r="J874" i="12"/>
  <c r="I874" i="12"/>
  <c r="H874" i="12"/>
  <c r="G874" i="12"/>
  <c r="F874" i="12"/>
  <c r="E874" i="12"/>
  <c r="D874" i="12"/>
  <c r="C874" i="12"/>
  <c r="B874" i="12"/>
  <c r="S873" i="12"/>
  <c r="R873" i="12"/>
  <c r="Q873" i="12"/>
  <c r="P873" i="12"/>
  <c r="O873" i="12"/>
  <c r="N873" i="12"/>
  <c r="M873" i="12"/>
  <c r="L873" i="12"/>
  <c r="K873" i="12"/>
  <c r="J873" i="12"/>
  <c r="I873" i="12"/>
  <c r="H873" i="12"/>
  <c r="G873" i="12"/>
  <c r="F873" i="12"/>
  <c r="E873" i="12"/>
  <c r="D873" i="12"/>
  <c r="C873" i="12"/>
  <c r="B873" i="12"/>
  <c r="S872" i="12"/>
  <c r="R872" i="12"/>
  <c r="Q872" i="12"/>
  <c r="P872" i="12"/>
  <c r="O872" i="12"/>
  <c r="N872" i="12"/>
  <c r="M872" i="12"/>
  <c r="L872" i="12"/>
  <c r="K872" i="12"/>
  <c r="J872" i="12"/>
  <c r="I872" i="12"/>
  <c r="H872" i="12"/>
  <c r="G872" i="12"/>
  <c r="F872" i="12"/>
  <c r="E872" i="12"/>
  <c r="D872" i="12"/>
  <c r="C872" i="12"/>
  <c r="B872" i="12"/>
  <c r="S871" i="12"/>
  <c r="R871" i="12"/>
  <c r="Q871" i="12"/>
  <c r="P871" i="12"/>
  <c r="O871" i="12"/>
  <c r="N871" i="12"/>
  <c r="M871" i="12"/>
  <c r="L871" i="12"/>
  <c r="K871" i="12"/>
  <c r="J871" i="12"/>
  <c r="I871" i="12"/>
  <c r="H871" i="12"/>
  <c r="G871" i="12"/>
  <c r="F871" i="12"/>
  <c r="E871" i="12"/>
  <c r="D871" i="12"/>
  <c r="C871" i="12"/>
  <c r="B871" i="12"/>
  <c r="S870" i="12"/>
  <c r="R870" i="12"/>
  <c r="Q870" i="12"/>
  <c r="P870" i="12"/>
  <c r="O870" i="12"/>
  <c r="N870" i="12"/>
  <c r="M870" i="12"/>
  <c r="L870" i="12"/>
  <c r="K870" i="12"/>
  <c r="J870" i="12"/>
  <c r="I870" i="12"/>
  <c r="H870" i="12"/>
  <c r="G870" i="12"/>
  <c r="F870" i="12"/>
  <c r="E870" i="12"/>
  <c r="D870" i="12"/>
  <c r="C870" i="12"/>
  <c r="B870" i="12"/>
  <c r="S869" i="12"/>
  <c r="R869" i="12"/>
  <c r="Q869" i="12"/>
  <c r="P869" i="12"/>
  <c r="O869" i="12"/>
  <c r="N869" i="12"/>
  <c r="M869" i="12"/>
  <c r="L869" i="12"/>
  <c r="K869" i="12"/>
  <c r="J869" i="12"/>
  <c r="I869" i="12"/>
  <c r="H869" i="12"/>
  <c r="G869" i="12"/>
  <c r="F869" i="12"/>
  <c r="E869" i="12"/>
  <c r="D869" i="12"/>
  <c r="C869" i="12"/>
  <c r="B869" i="12"/>
  <c r="S868" i="12"/>
  <c r="R868" i="12"/>
  <c r="Q868" i="12"/>
  <c r="P868" i="12"/>
  <c r="O868" i="12"/>
  <c r="N868" i="12"/>
  <c r="M868" i="12"/>
  <c r="L868" i="12"/>
  <c r="K868" i="12"/>
  <c r="J868" i="12"/>
  <c r="I868" i="12"/>
  <c r="H868" i="12"/>
  <c r="G868" i="12"/>
  <c r="F868" i="12"/>
  <c r="E868" i="12"/>
  <c r="D868" i="12"/>
  <c r="C868" i="12"/>
  <c r="B868" i="12"/>
  <c r="S867" i="12"/>
  <c r="R867" i="12"/>
  <c r="Q867" i="12"/>
  <c r="P867" i="12"/>
  <c r="O867" i="12"/>
  <c r="N867" i="12"/>
  <c r="M867" i="12"/>
  <c r="L867" i="12"/>
  <c r="K867" i="12"/>
  <c r="J867" i="12"/>
  <c r="I867" i="12"/>
  <c r="H867" i="12"/>
  <c r="G867" i="12"/>
  <c r="F867" i="12"/>
  <c r="E867" i="12"/>
  <c r="D867" i="12"/>
  <c r="C867" i="12"/>
  <c r="B867" i="12"/>
  <c r="S866" i="12"/>
  <c r="R866" i="12"/>
  <c r="Q866" i="12"/>
  <c r="P866" i="12"/>
  <c r="O866" i="12"/>
  <c r="N866" i="12"/>
  <c r="M866" i="12"/>
  <c r="L866" i="12"/>
  <c r="K866" i="12"/>
  <c r="J866" i="12"/>
  <c r="I866" i="12"/>
  <c r="H866" i="12"/>
  <c r="G866" i="12"/>
  <c r="F866" i="12"/>
  <c r="E866" i="12"/>
  <c r="D866" i="12"/>
  <c r="C866" i="12"/>
  <c r="B866" i="12"/>
  <c r="S865" i="12"/>
  <c r="R865" i="12"/>
  <c r="Q865" i="12"/>
  <c r="P865" i="12"/>
  <c r="O865" i="12"/>
  <c r="N865" i="12"/>
  <c r="M865" i="12"/>
  <c r="L865" i="12"/>
  <c r="K865" i="12"/>
  <c r="J865" i="12"/>
  <c r="I865" i="12"/>
  <c r="H865" i="12"/>
  <c r="G865" i="12"/>
  <c r="F865" i="12"/>
  <c r="E865" i="12"/>
  <c r="D865" i="12"/>
  <c r="C865" i="12"/>
  <c r="B865" i="12"/>
  <c r="S864" i="12"/>
  <c r="R864" i="12"/>
  <c r="Q864" i="12"/>
  <c r="P864" i="12"/>
  <c r="O864" i="12"/>
  <c r="N864" i="12"/>
  <c r="M864" i="12"/>
  <c r="L864" i="12"/>
  <c r="K864" i="12"/>
  <c r="J864" i="12"/>
  <c r="I864" i="12"/>
  <c r="H864" i="12"/>
  <c r="G864" i="12"/>
  <c r="F864" i="12"/>
  <c r="E864" i="12"/>
  <c r="D864" i="12"/>
  <c r="C864" i="12"/>
  <c r="B864" i="12"/>
  <c r="S863" i="12"/>
  <c r="R863" i="12"/>
  <c r="Q863" i="12"/>
  <c r="P863" i="12"/>
  <c r="O863" i="12"/>
  <c r="N863" i="12"/>
  <c r="M863" i="12"/>
  <c r="L863" i="12"/>
  <c r="K863" i="12"/>
  <c r="J863" i="12"/>
  <c r="I863" i="12"/>
  <c r="H863" i="12"/>
  <c r="G863" i="12"/>
  <c r="F863" i="12"/>
  <c r="E863" i="12"/>
  <c r="D863" i="12"/>
  <c r="C863" i="12"/>
  <c r="B863" i="12"/>
  <c r="S862" i="12"/>
  <c r="R862" i="12"/>
  <c r="Q862" i="12"/>
  <c r="P862" i="12"/>
  <c r="O862" i="12"/>
  <c r="N862" i="12"/>
  <c r="M862" i="12"/>
  <c r="L862" i="12"/>
  <c r="K862" i="12"/>
  <c r="J862" i="12"/>
  <c r="I862" i="12"/>
  <c r="H862" i="12"/>
  <c r="G862" i="12"/>
  <c r="F862" i="12"/>
  <c r="E862" i="12"/>
  <c r="D862" i="12"/>
  <c r="C862" i="12"/>
  <c r="B862" i="12"/>
  <c r="S861" i="12"/>
  <c r="R861" i="12"/>
  <c r="Q861" i="12"/>
  <c r="P861" i="12"/>
  <c r="O861" i="12"/>
  <c r="N861" i="12"/>
  <c r="M861" i="12"/>
  <c r="L861" i="12"/>
  <c r="K861" i="12"/>
  <c r="J861" i="12"/>
  <c r="I861" i="12"/>
  <c r="H861" i="12"/>
  <c r="G861" i="12"/>
  <c r="F861" i="12"/>
  <c r="E861" i="12"/>
  <c r="D861" i="12"/>
  <c r="C861" i="12"/>
  <c r="B861" i="12"/>
  <c r="S860" i="12"/>
  <c r="R860" i="12"/>
  <c r="Q860" i="12"/>
  <c r="P860" i="12"/>
  <c r="O860" i="12"/>
  <c r="N860" i="12"/>
  <c r="M860" i="12"/>
  <c r="L860" i="12"/>
  <c r="K860" i="12"/>
  <c r="J860" i="12"/>
  <c r="I860" i="12"/>
  <c r="H860" i="12"/>
  <c r="G860" i="12"/>
  <c r="F860" i="12"/>
  <c r="E860" i="12"/>
  <c r="D860" i="12"/>
  <c r="C860" i="12"/>
  <c r="B860" i="12"/>
  <c r="S859" i="12"/>
  <c r="R859" i="12"/>
  <c r="Q859" i="12"/>
  <c r="P859" i="12"/>
  <c r="O859" i="12"/>
  <c r="N859" i="12"/>
  <c r="M859" i="12"/>
  <c r="L859" i="12"/>
  <c r="K859" i="12"/>
  <c r="J859" i="12"/>
  <c r="I859" i="12"/>
  <c r="H859" i="12"/>
  <c r="G859" i="12"/>
  <c r="F859" i="12"/>
  <c r="E859" i="12"/>
  <c r="D859" i="12"/>
  <c r="C859" i="12"/>
  <c r="B859" i="12"/>
  <c r="S858" i="12"/>
  <c r="R858" i="12"/>
  <c r="Q858" i="12"/>
  <c r="P858" i="12"/>
  <c r="O858" i="12"/>
  <c r="N858" i="12"/>
  <c r="M858" i="12"/>
  <c r="L858" i="12"/>
  <c r="K858" i="12"/>
  <c r="J858" i="12"/>
  <c r="I858" i="12"/>
  <c r="H858" i="12"/>
  <c r="G858" i="12"/>
  <c r="F858" i="12"/>
  <c r="E858" i="12"/>
  <c r="D858" i="12"/>
  <c r="C858" i="12"/>
  <c r="B858" i="12"/>
  <c r="S857" i="12"/>
  <c r="R857" i="12"/>
  <c r="Q857" i="12"/>
  <c r="P857" i="12"/>
  <c r="O857" i="12"/>
  <c r="N857" i="12"/>
  <c r="M857" i="12"/>
  <c r="L857" i="12"/>
  <c r="K857" i="12"/>
  <c r="J857" i="12"/>
  <c r="I857" i="12"/>
  <c r="H857" i="12"/>
  <c r="G857" i="12"/>
  <c r="F857" i="12"/>
  <c r="E857" i="12"/>
  <c r="D857" i="12"/>
  <c r="C857" i="12"/>
  <c r="B857" i="12"/>
  <c r="S856" i="12"/>
  <c r="R856" i="12"/>
  <c r="Q856" i="12"/>
  <c r="P856" i="12"/>
  <c r="O856" i="12"/>
  <c r="N856" i="12"/>
  <c r="M856" i="12"/>
  <c r="L856" i="12"/>
  <c r="K856" i="12"/>
  <c r="J856" i="12"/>
  <c r="I856" i="12"/>
  <c r="H856" i="12"/>
  <c r="G856" i="12"/>
  <c r="F856" i="12"/>
  <c r="E856" i="12"/>
  <c r="D856" i="12"/>
  <c r="C856" i="12"/>
  <c r="B856" i="12"/>
  <c r="S855" i="12"/>
  <c r="R855" i="12"/>
  <c r="Q855" i="12"/>
  <c r="P855" i="12"/>
  <c r="O855" i="12"/>
  <c r="N855" i="12"/>
  <c r="M855" i="12"/>
  <c r="L855" i="12"/>
  <c r="K855" i="12"/>
  <c r="J855" i="12"/>
  <c r="I855" i="12"/>
  <c r="H855" i="12"/>
  <c r="G855" i="12"/>
  <c r="F855" i="12"/>
  <c r="E855" i="12"/>
  <c r="D855" i="12"/>
  <c r="C855" i="12"/>
  <c r="B855" i="12"/>
  <c r="S854" i="12"/>
  <c r="R854" i="12"/>
  <c r="Q854" i="12"/>
  <c r="P854" i="12"/>
  <c r="O854" i="12"/>
  <c r="N854" i="12"/>
  <c r="M854" i="12"/>
  <c r="L854" i="12"/>
  <c r="K854" i="12"/>
  <c r="J854" i="12"/>
  <c r="I854" i="12"/>
  <c r="H854" i="12"/>
  <c r="G854" i="12"/>
  <c r="F854" i="12"/>
  <c r="E854" i="12"/>
  <c r="D854" i="12"/>
  <c r="C854" i="12"/>
  <c r="B854" i="12"/>
  <c r="S853" i="12"/>
  <c r="R853" i="12"/>
  <c r="Q853" i="12"/>
  <c r="P853" i="12"/>
  <c r="O853" i="12"/>
  <c r="N853" i="12"/>
  <c r="M853" i="12"/>
  <c r="L853" i="12"/>
  <c r="K853" i="12"/>
  <c r="J853" i="12"/>
  <c r="I853" i="12"/>
  <c r="H853" i="12"/>
  <c r="G853" i="12"/>
  <c r="F853" i="12"/>
  <c r="E853" i="12"/>
  <c r="D853" i="12"/>
  <c r="C853" i="12"/>
  <c r="B853" i="12"/>
  <c r="S852" i="12"/>
  <c r="R852" i="12"/>
  <c r="Q852" i="12"/>
  <c r="P852" i="12"/>
  <c r="O852" i="12"/>
  <c r="N852" i="12"/>
  <c r="M852" i="12"/>
  <c r="L852" i="12"/>
  <c r="K852" i="12"/>
  <c r="J852" i="12"/>
  <c r="I852" i="12"/>
  <c r="H852" i="12"/>
  <c r="G852" i="12"/>
  <c r="F852" i="12"/>
  <c r="E852" i="12"/>
  <c r="D852" i="12"/>
  <c r="C852" i="12"/>
  <c r="B852" i="12"/>
  <c r="S851" i="12"/>
  <c r="R851" i="12"/>
  <c r="Q851" i="12"/>
  <c r="P851" i="12"/>
  <c r="O851" i="12"/>
  <c r="N851" i="12"/>
  <c r="M851" i="12"/>
  <c r="L851" i="12"/>
  <c r="K851" i="12"/>
  <c r="J851" i="12"/>
  <c r="I851" i="12"/>
  <c r="H851" i="12"/>
  <c r="G851" i="12"/>
  <c r="F851" i="12"/>
  <c r="E851" i="12"/>
  <c r="D851" i="12"/>
  <c r="C851" i="12"/>
  <c r="B851" i="12"/>
  <c r="S850" i="12"/>
  <c r="R850" i="12"/>
  <c r="Q850" i="12"/>
  <c r="P850" i="12"/>
  <c r="O850" i="12"/>
  <c r="N850" i="12"/>
  <c r="M850" i="12"/>
  <c r="L850" i="12"/>
  <c r="K850" i="12"/>
  <c r="J850" i="12"/>
  <c r="I850" i="12"/>
  <c r="H850" i="12"/>
  <c r="G850" i="12"/>
  <c r="F850" i="12"/>
  <c r="E850" i="12"/>
  <c r="D850" i="12"/>
  <c r="C850" i="12"/>
  <c r="B850" i="12"/>
  <c r="S849" i="12"/>
  <c r="R849" i="12"/>
  <c r="Q849" i="12"/>
  <c r="P849" i="12"/>
  <c r="O849" i="12"/>
  <c r="N849" i="12"/>
  <c r="M849" i="12"/>
  <c r="L849" i="12"/>
  <c r="K849" i="12"/>
  <c r="J849" i="12"/>
  <c r="I849" i="12"/>
  <c r="H849" i="12"/>
  <c r="G849" i="12"/>
  <c r="F849" i="12"/>
  <c r="E849" i="12"/>
  <c r="D849" i="12"/>
  <c r="C849" i="12"/>
  <c r="B849" i="12"/>
  <c r="S848" i="12"/>
  <c r="R848" i="12"/>
  <c r="Q848" i="12"/>
  <c r="P848" i="12"/>
  <c r="O848" i="12"/>
  <c r="N848" i="12"/>
  <c r="M848" i="12"/>
  <c r="L848" i="12"/>
  <c r="K848" i="12"/>
  <c r="J848" i="12"/>
  <c r="I848" i="12"/>
  <c r="H848" i="12"/>
  <c r="G848" i="12"/>
  <c r="F848" i="12"/>
  <c r="E848" i="12"/>
  <c r="D848" i="12"/>
  <c r="C848" i="12"/>
  <c r="B848" i="12"/>
  <c r="S847" i="12"/>
  <c r="R847" i="12"/>
  <c r="Q847" i="12"/>
  <c r="P847" i="12"/>
  <c r="O847" i="12"/>
  <c r="N847" i="12"/>
  <c r="M847" i="12"/>
  <c r="L847" i="12"/>
  <c r="K847" i="12"/>
  <c r="J847" i="12"/>
  <c r="I847" i="12"/>
  <c r="H847" i="12"/>
  <c r="G847" i="12"/>
  <c r="F847" i="12"/>
  <c r="E847" i="12"/>
  <c r="D847" i="12"/>
  <c r="C847" i="12"/>
  <c r="B847" i="12"/>
  <c r="S846" i="12"/>
  <c r="R846" i="12"/>
  <c r="Q846" i="12"/>
  <c r="P846" i="12"/>
  <c r="O846" i="12"/>
  <c r="N846" i="12"/>
  <c r="M846" i="12"/>
  <c r="L846" i="12"/>
  <c r="K846" i="12"/>
  <c r="J846" i="12"/>
  <c r="I846" i="12"/>
  <c r="H846" i="12"/>
  <c r="G846" i="12"/>
  <c r="F846" i="12"/>
  <c r="E846" i="12"/>
  <c r="D846" i="12"/>
  <c r="C846" i="12"/>
  <c r="B846" i="12"/>
  <c r="S845" i="12"/>
  <c r="R845" i="12"/>
  <c r="Q845" i="12"/>
  <c r="P845" i="12"/>
  <c r="O845" i="12"/>
  <c r="N845" i="12"/>
  <c r="M845" i="12"/>
  <c r="L845" i="12"/>
  <c r="K845" i="12"/>
  <c r="J845" i="12"/>
  <c r="I845" i="12"/>
  <c r="H845" i="12"/>
  <c r="G845" i="12"/>
  <c r="F845" i="12"/>
  <c r="E845" i="12"/>
  <c r="D845" i="12"/>
  <c r="C845" i="12"/>
  <c r="B845" i="12"/>
  <c r="S844" i="12"/>
  <c r="R844" i="12"/>
  <c r="Q844" i="12"/>
  <c r="P844" i="12"/>
  <c r="O844" i="12"/>
  <c r="N844" i="12"/>
  <c r="M844" i="12"/>
  <c r="L844" i="12"/>
  <c r="K844" i="12"/>
  <c r="J844" i="12"/>
  <c r="I844" i="12"/>
  <c r="H844" i="12"/>
  <c r="G844" i="12"/>
  <c r="F844" i="12"/>
  <c r="E844" i="12"/>
  <c r="D844" i="12"/>
  <c r="C844" i="12"/>
  <c r="B844" i="12"/>
  <c r="S843" i="12"/>
  <c r="R843" i="12"/>
  <c r="Q843" i="12"/>
  <c r="P843" i="12"/>
  <c r="O843" i="12"/>
  <c r="N843" i="12"/>
  <c r="M843" i="12"/>
  <c r="L843" i="12"/>
  <c r="K843" i="12"/>
  <c r="J843" i="12"/>
  <c r="I843" i="12"/>
  <c r="H843" i="12"/>
  <c r="G843" i="12"/>
  <c r="F843" i="12"/>
  <c r="E843" i="12"/>
  <c r="D843" i="12"/>
  <c r="C843" i="12"/>
  <c r="B843" i="12"/>
  <c r="S842" i="12"/>
  <c r="R842" i="12"/>
  <c r="Q842" i="12"/>
  <c r="P842" i="12"/>
  <c r="O842" i="12"/>
  <c r="N842" i="12"/>
  <c r="M842" i="12"/>
  <c r="L842" i="12"/>
  <c r="K842" i="12"/>
  <c r="J842" i="12"/>
  <c r="I842" i="12"/>
  <c r="H842" i="12"/>
  <c r="G842" i="12"/>
  <c r="F842" i="12"/>
  <c r="E842" i="12"/>
  <c r="D842" i="12"/>
  <c r="C842" i="12"/>
  <c r="B842" i="12"/>
  <c r="S841" i="12"/>
  <c r="R841" i="12"/>
  <c r="Q841" i="12"/>
  <c r="P841" i="12"/>
  <c r="O841" i="12"/>
  <c r="N841" i="12"/>
  <c r="M841" i="12"/>
  <c r="L841" i="12"/>
  <c r="K841" i="12"/>
  <c r="J841" i="12"/>
  <c r="I841" i="12"/>
  <c r="H841" i="12"/>
  <c r="G841" i="12"/>
  <c r="F841" i="12"/>
  <c r="E841" i="12"/>
  <c r="D841" i="12"/>
  <c r="C841" i="12"/>
  <c r="B841" i="12"/>
  <c r="S840" i="12"/>
  <c r="R840" i="12"/>
  <c r="Q840" i="12"/>
  <c r="P840" i="12"/>
  <c r="O840" i="12"/>
  <c r="N840" i="12"/>
  <c r="M840" i="12"/>
  <c r="L840" i="12"/>
  <c r="K840" i="12"/>
  <c r="J840" i="12"/>
  <c r="I840" i="12"/>
  <c r="H840" i="12"/>
  <c r="G840" i="12"/>
  <c r="F840" i="12"/>
  <c r="E840" i="12"/>
  <c r="D840" i="12"/>
  <c r="C840" i="12"/>
  <c r="B840" i="12"/>
  <c r="S839" i="12"/>
  <c r="R839" i="12"/>
  <c r="Q839" i="12"/>
  <c r="P839" i="12"/>
  <c r="O839" i="12"/>
  <c r="N839" i="12"/>
  <c r="M839" i="12"/>
  <c r="L839" i="12"/>
  <c r="K839" i="12"/>
  <c r="J839" i="12"/>
  <c r="I839" i="12"/>
  <c r="H839" i="12"/>
  <c r="G839" i="12"/>
  <c r="F839" i="12"/>
  <c r="E839" i="12"/>
  <c r="D839" i="12"/>
  <c r="C839" i="12"/>
  <c r="B839" i="12"/>
  <c r="S838" i="12"/>
  <c r="R838" i="12"/>
  <c r="Q838" i="12"/>
  <c r="P838" i="12"/>
  <c r="O838" i="12"/>
  <c r="N838" i="12"/>
  <c r="M838" i="12"/>
  <c r="L838" i="12"/>
  <c r="K838" i="12"/>
  <c r="J838" i="12"/>
  <c r="I838" i="12"/>
  <c r="H838" i="12"/>
  <c r="G838" i="12"/>
  <c r="F838" i="12"/>
  <c r="E838" i="12"/>
  <c r="D838" i="12"/>
  <c r="C838" i="12"/>
  <c r="B838" i="12"/>
  <c r="S837" i="12"/>
  <c r="R837" i="12"/>
  <c r="Q837" i="12"/>
  <c r="P837" i="12"/>
  <c r="O837" i="12"/>
  <c r="N837" i="12"/>
  <c r="M837" i="12"/>
  <c r="L837" i="12"/>
  <c r="K837" i="12"/>
  <c r="J837" i="12"/>
  <c r="I837" i="12"/>
  <c r="H837" i="12"/>
  <c r="G837" i="12"/>
  <c r="F837" i="12"/>
  <c r="E837" i="12"/>
  <c r="D837" i="12"/>
  <c r="C837" i="12"/>
  <c r="B837" i="12"/>
  <c r="S836" i="12"/>
  <c r="R836" i="12"/>
  <c r="Q836" i="12"/>
  <c r="P836" i="12"/>
  <c r="O836" i="12"/>
  <c r="N836" i="12"/>
  <c r="M836" i="12"/>
  <c r="L836" i="12"/>
  <c r="K836" i="12"/>
  <c r="J836" i="12"/>
  <c r="I836" i="12"/>
  <c r="H836" i="12"/>
  <c r="G836" i="12"/>
  <c r="F836" i="12"/>
  <c r="E836" i="12"/>
  <c r="D836" i="12"/>
  <c r="C836" i="12"/>
  <c r="B836" i="12"/>
  <c r="S835" i="12"/>
  <c r="R835" i="12"/>
  <c r="Q835" i="12"/>
  <c r="P835" i="12"/>
  <c r="O835" i="12"/>
  <c r="N835" i="12"/>
  <c r="M835" i="12"/>
  <c r="L835" i="12"/>
  <c r="K835" i="12"/>
  <c r="J835" i="12"/>
  <c r="I835" i="12"/>
  <c r="H835" i="12"/>
  <c r="G835" i="12"/>
  <c r="F835" i="12"/>
  <c r="E835" i="12"/>
  <c r="D835" i="12"/>
  <c r="C835" i="12"/>
  <c r="B835" i="12"/>
  <c r="S834" i="12"/>
  <c r="R834" i="12"/>
  <c r="Q834" i="12"/>
  <c r="P834" i="12"/>
  <c r="O834" i="12"/>
  <c r="N834" i="12"/>
  <c r="M834" i="12"/>
  <c r="L834" i="12"/>
  <c r="K834" i="12"/>
  <c r="J834" i="12"/>
  <c r="I834" i="12"/>
  <c r="H834" i="12"/>
  <c r="G834" i="12"/>
  <c r="F834" i="12"/>
  <c r="E834" i="12"/>
  <c r="D834" i="12"/>
  <c r="C834" i="12"/>
  <c r="B834" i="12"/>
  <c r="S833" i="12"/>
  <c r="R833" i="12"/>
  <c r="Q833" i="12"/>
  <c r="P833" i="12"/>
  <c r="O833" i="12"/>
  <c r="N833" i="12"/>
  <c r="M833" i="12"/>
  <c r="L833" i="12"/>
  <c r="K833" i="12"/>
  <c r="J833" i="12"/>
  <c r="I833" i="12"/>
  <c r="H833" i="12"/>
  <c r="G833" i="12"/>
  <c r="F833" i="12"/>
  <c r="E833" i="12"/>
  <c r="D833" i="12"/>
  <c r="C833" i="12"/>
  <c r="B833" i="12"/>
  <c r="S832" i="12"/>
  <c r="R832" i="12"/>
  <c r="Q832" i="12"/>
  <c r="P832" i="12"/>
  <c r="O832" i="12"/>
  <c r="N832" i="12"/>
  <c r="M832" i="12"/>
  <c r="L832" i="12"/>
  <c r="K832" i="12"/>
  <c r="J832" i="12"/>
  <c r="I832" i="12"/>
  <c r="H832" i="12"/>
  <c r="G832" i="12"/>
  <c r="F832" i="12"/>
  <c r="E832" i="12"/>
  <c r="D832" i="12"/>
  <c r="C832" i="12"/>
  <c r="B832" i="12"/>
  <c r="S831" i="12"/>
  <c r="R831" i="12"/>
  <c r="Q831" i="12"/>
  <c r="P831" i="12"/>
  <c r="O831" i="12"/>
  <c r="N831" i="12"/>
  <c r="M831" i="12"/>
  <c r="L831" i="12"/>
  <c r="K831" i="12"/>
  <c r="J831" i="12"/>
  <c r="I831" i="12"/>
  <c r="H831" i="12"/>
  <c r="G831" i="12"/>
  <c r="F831" i="12"/>
  <c r="E831" i="12"/>
  <c r="D831" i="12"/>
  <c r="C831" i="12"/>
  <c r="B831" i="12"/>
  <c r="S830" i="12"/>
  <c r="R830" i="12"/>
  <c r="Q830" i="12"/>
  <c r="P830" i="12"/>
  <c r="O830" i="12"/>
  <c r="N830" i="12"/>
  <c r="M830" i="12"/>
  <c r="L830" i="12"/>
  <c r="K830" i="12"/>
  <c r="J830" i="12"/>
  <c r="I830" i="12"/>
  <c r="H830" i="12"/>
  <c r="G830" i="12"/>
  <c r="F830" i="12"/>
  <c r="E830" i="12"/>
  <c r="D830" i="12"/>
  <c r="C830" i="12"/>
  <c r="B830" i="12"/>
  <c r="S829" i="12"/>
  <c r="R829" i="12"/>
  <c r="Q829" i="12"/>
  <c r="P829" i="12"/>
  <c r="O829" i="12"/>
  <c r="N829" i="12"/>
  <c r="M829" i="12"/>
  <c r="L829" i="12"/>
  <c r="K829" i="12"/>
  <c r="J829" i="12"/>
  <c r="I829" i="12"/>
  <c r="H829" i="12"/>
  <c r="G829" i="12"/>
  <c r="F829" i="12"/>
  <c r="E829" i="12"/>
  <c r="D829" i="12"/>
  <c r="C829" i="12"/>
  <c r="B829" i="12"/>
  <c r="S828" i="12"/>
  <c r="R828" i="12"/>
  <c r="Q828" i="12"/>
  <c r="P828" i="12"/>
  <c r="O828" i="12"/>
  <c r="N828" i="12"/>
  <c r="M828" i="12"/>
  <c r="L828" i="12"/>
  <c r="K828" i="12"/>
  <c r="J828" i="12"/>
  <c r="I828" i="12"/>
  <c r="H828" i="12"/>
  <c r="G828" i="12"/>
  <c r="F828" i="12"/>
  <c r="E828" i="12"/>
  <c r="D828" i="12"/>
  <c r="C828" i="12"/>
  <c r="B828" i="12"/>
  <c r="S827" i="12"/>
  <c r="R827" i="12"/>
  <c r="Q827" i="12"/>
  <c r="P827" i="12"/>
  <c r="O827" i="12"/>
  <c r="N827" i="12"/>
  <c r="M827" i="12"/>
  <c r="L827" i="12"/>
  <c r="K827" i="12"/>
  <c r="J827" i="12"/>
  <c r="I827" i="12"/>
  <c r="H827" i="12"/>
  <c r="G827" i="12"/>
  <c r="F827" i="12"/>
  <c r="E827" i="12"/>
  <c r="D827" i="12"/>
  <c r="C827" i="12"/>
  <c r="B827" i="12"/>
  <c r="S826" i="12"/>
  <c r="R826" i="12"/>
  <c r="Q826" i="12"/>
  <c r="P826" i="12"/>
  <c r="O826" i="12"/>
  <c r="N826" i="12"/>
  <c r="M826" i="12"/>
  <c r="L826" i="12"/>
  <c r="K826" i="12"/>
  <c r="J826" i="12"/>
  <c r="I826" i="12"/>
  <c r="H826" i="12"/>
  <c r="G826" i="12"/>
  <c r="F826" i="12"/>
  <c r="E826" i="12"/>
  <c r="D826" i="12"/>
  <c r="C826" i="12"/>
  <c r="B826" i="12"/>
  <c r="S825" i="12"/>
  <c r="R825" i="12"/>
  <c r="Q825" i="12"/>
  <c r="P825" i="12"/>
  <c r="O825" i="12"/>
  <c r="N825" i="12"/>
  <c r="M825" i="12"/>
  <c r="L825" i="12"/>
  <c r="K825" i="12"/>
  <c r="J825" i="12"/>
  <c r="I825" i="12"/>
  <c r="H825" i="12"/>
  <c r="G825" i="12"/>
  <c r="F825" i="12"/>
  <c r="E825" i="12"/>
  <c r="D825" i="12"/>
  <c r="C825" i="12"/>
  <c r="B825" i="12"/>
  <c r="S824" i="12"/>
  <c r="R824" i="12"/>
  <c r="Q824" i="12"/>
  <c r="P824" i="12"/>
  <c r="O824" i="12"/>
  <c r="N824" i="12"/>
  <c r="M824" i="12"/>
  <c r="L824" i="12"/>
  <c r="K824" i="12"/>
  <c r="J824" i="12"/>
  <c r="I824" i="12"/>
  <c r="H824" i="12"/>
  <c r="G824" i="12"/>
  <c r="F824" i="12"/>
  <c r="E824" i="12"/>
  <c r="D824" i="12"/>
  <c r="C824" i="12"/>
  <c r="B824" i="12"/>
  <c r="S823" i="12"/>
  <c r="R823" i="12"/>
  <c r="Q823" i="12"/>
  <c r="P823" i="12"/>
  <c r="O823" i="12"/>
  <c r="N823" i="12"/>
  <c r="M823" i="12"/>
  <c r="L823" i="12"/>
  <c r="K823" i="12"/>
  <c r="J823" i="12"/>
  <c r="I823" i="12"/>
  <c r="H823" i="12"/>
  <c r="G823" i="12"/>
  <c r="F823" i="12"/>
  <c r="E823" i="12"/>
  <c r="D823" i="12"/>
  <c r="C823" i="12"/>
  <c r="B823" i="12"/>
  <c r="S822" i="12"/>
  <c r="R822" i="12"/>
  <c r="Q822" i="12"/>
  <c r="P822" i="12"/>
  <c r="O822" i="12"/>
  <c r="N822" i="12"/>
  <c r="M822" i="12"/>
  <c r="L822" i="12"/>
  <c r="K822" i="12"/>
  <c r="J822" i="12"/>
  <c r="I822" i="12"/>
  <c r="H822" i="12"/>
  <c r="G822" i="12"/>
  <c r="F822" i="12"/>
  <c r="E822" i="12"/>
  <c r="D822" i="12"/>
  <c r="C822" i="12"/>
  <c r="B822" i="12"/>
  <c r="S821" i="12"/>
  <c r="R821" i="12"/>
  <c r="Q821" i="12"/>
  <c r="P821" i="12"/>
  <c r="O821" i="12"/>
  <c r="N821" i="12"/>
  <c r="M821" i="12"/>
  <c r="L821" i="12"/>
  <c r="K821" i="12"/>
  <c r="J821" i="12"/>
  <c r="I821" i="12"/>
  <c r="H821" i="12"/>
  <c r="G821" i="12"/>
  <c r="F821" i="12"/>
  <c r="E821" i="12"/>
  <c r="D821" i="12"/>
  <c r="C821" i="12"/>
  <c r="B821" i="12"/>
  <c r="S820" i="12"/>
  <c r="R820" i="12"/>
  <c r="Q820" i="12"/>
  <c r="P820" i="12"/>
  <c r="O820" i="12"/>
  <c r="N820" i="12"/>
  <c r="M820" i="12"/>
  <c r="L820" i="12"/>
  <c r="K820" i="12"/>
  <c r="J820" i="12"/>
  <c r="I820" i="12"/>
  <c r="H820" i="12"/>
  <c r="G820" i="12"/>
  <c r="F820" i="12"/>
  <c r="E820" i="12"/>
  <c r="D820" i="12"/>
  <c r="C820" i="12"/>
  <c r="B820" i="12"/>
  <c r="S819" i="12"/>
  <c r="R819" i="12"/>
  <c r="Q819" i="12"/>
  <c r="P819" i="12"/>
  <c r="O819" i="12"/>
  <c r="N819" i="12"/>
  <c r="M819" i="12"/>
  <c r="L819" i="12"/>
  <c r="K819" i="12"/>
  <c r="J819" i="12"/>
  <c r="I819" i="12"/>
  <c r="H819" i="12"/>
  <c r="G819" i="12"/>
  <c r="F819" i="12"/>
  <c r="E819" i="12"/>
  <c r="D819" i="12"/>
  <c r="C819" i="12"/>
  <c r="B819" i="12"/>
  <c r="S818" i="12"/>
  <c r="R818" i="12"/>
  <c r="Q818" i="12"/>
  <c r="P818" i="12"/>
  <c r="O818" i="12"/>
  <c r="N818" i="12"/>
  <c r="M818" i="12"/>
  <c r="L818" i="12"/>
  <c r="K818" i="12"/>
  <c r="J818" i="12"/>
  <c r="I818" i="12"/>
  <c r="H818" i="12"/>
  <c r="G818" i="12"/>
  <c r="F818" i="12"/>
  <c r="E818" i="12"/>
  <c r="D818" i="12"/>
  <c r="C818" i="12"/>
  <c r="B818" i="12"/>
  <c r="S817" i="12"/>
  <c r="R817" i="12"/>
  <c r="Q817" i="12"/>
  <c r="P817" i="12"/>
  <c r="O817" i="12"/>
  <c r="N817" i="12"/>
  <c r="M817" i="12"/>
  <c r="L817" i="12"/>
  <c r="K817" i="12"/>
  <c r="J817" i="12"/>
  <c r="I817" i="12"/>
  <c r="H817" i="12"/>
  <c r="G817" i="12"/>
  <c r="F817" i="12"/>
  <c r="E817" i="12"/>
  <c r="D817" i="12"/>
  <c r="C817" i="12"/>
  <c r="B817" i="12"/>
  <c r="S816" i="12"/>
  <c r="R816" i="12"/>
  <c r="Q816" i="12"/>
  <c r="P816" i="12"/>
  <c r="O816" i="12"/>
  <c r="N816" i="12"/>
  <c r="M816" i="12"/>
  <c r="L816" i="12"/>
  <c r="K816" i="12"/>
  <c r="J816" i="12"/>
  <c r="I816" i="12"/>
  <c r="H816" i="12"/>
  <c r="G816" i="12"/>
  <c r="F816" i="12"/>
  <c r="E816" i="12"/>
  <c r="D816" i="12"/>
  <c r="C816" i="12"/>
  <c r="B816" i="12"/>
  <c r="S815" i="12"/>
  <c r="R815" i="12"/>
  <c r="Q815" i="12"/>
  <c r="P815" i="12"/>
  <c r="O815" i="12"/>
  <c r="N815" i="12"/>
  <c r="M815" i="12"/>
  <c r="L815" i="12"/>
  <c r="K815" i="12"/>
  <c r="J815" i="12"/>
  <c r="I815" i="12"/>
  <c r="H815" i="12"/>
  <c r="G815" i="12"/>
  <c r="F815" i="12"/>
  <c r="E815" i="12"/>
  <c r="D815" i="12"/>
  <c r="C815" i="12"/>
  <c r="B815" i="12"/>
  <c r="S814" i="12"/>
  <c r="R814" i="12"/>
  <c r="Q814" i="12"/>
  <c r="P814" i="12"/>
  <c r="O814" i="12"/>
  <c r="N814" i="12"/>
  <c r="M814" i="12"/>
  <c r="L814" i="12"/>
  <c r="K814" i="12"/>
  <c r="J814" i="12"/>
  <c r="I814" i="12"/>
  <c r="H814" i="12"/>
  <c r="G814" i="12"/>
  <c r="F814" i="12"/>
  <c r="E814" i="12"/>
  <c r="D814" i="12"/>
  <c r="C814" i="12"/>
  <c r="B814" i="12"/>
  <c r="S813" i="12"/>
  <c r="R813" i="12"/>
  <c r="Q813" i="12"/>
  <c r="P813" i="12"/>
  <c r="O813" i="12"/>
  <c r="N813" i="12"/>
  <c r="M813" i="12"/>
  <c r="L813" i="12"/>
  <c r="K813" i="12"/>
  <c r="J813" i="12"/>
  <c r="I813" i="12"/>
  <c r="H813" i="12"/>
  <c r="G813" i="12"/>
  <c r="F813" i="12"/>
  <c r="E813" i="12"/>
  <c r="D813" i="12"/>
  <c r="C813" i="12"/>
  <c r="B813" i="12"/>
  <c r="S812" i="12"/>
  <c r="R812" i="12"/>
  <c r="Q812" i="12"/>
  <c r="P812" i="12"/>
  <c r="O812" i="12"/>
  <c r="N812" i="12"/>
  <c r="M812" i="12"/>
  <c r="L812" i="12"/>
  <c r="K812" i="12"/>
  <c r="J812" i="12"/>
  <c r="I812" i="12"/>
  <c r="H812" i="12"/>
  <c r="G812" i="12"/>
  <c r="F812" i="12"/>
  <c r="E812" i="12"/>
  <c r="D812" i="12"/>
  <c r="C812" i="12"/>
  <c r="B812" i="12"/>
  <c r="S811" i="12"/>
  <c r="R811" i="12"/>
  <c r="Q811" i="12"/>
  <c r="P811" i="12"/>
  <c r="O811" i="12"/>
  <c r="N811" i="12"/>
  <c r="M811" i="12"/>
  <c r="L811" i="12"/>
  <c r="K811" i="12"/>
  <c r="J811" i="12"/>
  <c r="I811" i="12"/>
  <c r="H811" i="12"/>
  <c r="G811" i="12"/>
  <c r="F811" i="12"/>
  <c r="E811" i="12"/>
  <c r="D811" i="12"/>
  <c r="C811" i="12"/>
  <c r="B811" i="12"/>
  <c r="S810" i="12"/>
  <c r="R810" i="12"/>
  <c r="Q810" i="12"/>
  <c r="P810" i="12"/>
  <c r="O810" i="12"/>
  <c r="N810" i="12"/>
  <c r="M810" i="12"/>
  <c r="L810" i="12"/>
  <c r="K810" i="12"/>
  <c r="J810" i="12"/>
  <c r="I810" i="12"/>
  <c r="H810" i="12"/>
  <c r="G810" i="12"/>
  <c r="F810" i="12"/>
  <c r="E810" i="12"/>
  <c r="D810" i="12"/>
  <c r="C810" i="12"/>
  <c r="B810" i="12"/>
  <c r="S809" i="12"/>
  <c r="R809" i="12"/>
  <c r="Q809" i="12"/>
  <c r="P809" i="12"/>
  <c r="O809" i="12"/>
  <c r="N809" i="12"/>
  <c r="M809" i="12"/>
  <c r="L809" i="12"/>
  <c r="K809" i="12"/>
  <c r="J809" i="12"/>
  <c r="I809" i="12"/>
  <c r="H809" i="12"/>
  <c r="G809" i="12"/>
  <c r="F809" i="12"/>
  <c r="E809" i="12"/>
  <c r="D809" i="12"/>
  <c r="C809" i="12"/>
  <c r="B809" i="12"/>
  <c r="S808" i="12"/>
  <c r="R808" i="12"/>
  <c r="Q808" i="12"/>
  <c r="P808" i="12"/>
  <c r="O808" i="12"/>
  <c r="N808" i="12"/>
  <c r="M808" i="12"/>
  <c r="L808" i="12"/>
  <c r="K808" i="12"/>
  <c r="J808" i="12"/>
  <c r="I808" i="12"/>
  <c r="H808" i="12"/>
  <c r="G808" i="12"/>
  <c r="F808" i="12"/>
  <c r="E808" i="12"/>
  <c r="D808" i="12"/>
  <c r="C808" i="12"/>
  <c r="B808" i="12"/>
  <c r="S807" i="12"/>
  <c r="R807" i="12"/>
  <c r="Q807" i="12"/>
  <c r="P807" i="12"/>
  <c r="O807" i="12"/>
  <c r="N807" i="12"/>
  <c r="M807" i="12"/>
  <c r="L807" i="12"/>
  <c r="K807" i="12"/>
  <c r="J807" i="12"/>
  <c r="I807" i="12"/>
  <c r="H807" i="12"/>
  <c r="G807" i="12"/>
  <c r="F807" i="12"/>
  <c r="E807" i="12"/>
  <c r="D807" i="12"/>
  <c r="C807" i="12"/>
  <c r="B807" i="12"/>
  <c r="S806" i="12"/>
  <c r="R806" i="12"/>
  <c r="Q806" i="12"/>
  <c r="P806" i="12"/>
  <c r="O806" i="12"/>
  <c r="N806" i="12"/>
  <c r="M806" i="12"/>
  <c r="L806" i="12"/>
  <c r="K806" i="12"/>
  <c r="J806" i="12"/>
  <c r="I806" i="12"/>
  <c r="H806" i="12"/>
  <c r="G806" i="12"/>
  <c r="F806" i="12"/>
  <c r="E806" i="12"/>
  <c r="D806" i="12"/>
  <c r="C806" i="12"/>
  <c r="B806" i="12"/>
  <c r="S805" i="12"/>
  <c r="R805" i="12"/>
  <c r="Q805" i="12"/>
  <c r="P805" i="12"/>
  <c r="O805" i="12"/>
  <c r="N805" i="12"/>
  <c r="M805" i="12"/>
  <c r="L805" i="12"/>
  <c r="K805" i="12"/>
  <c r="J805" i="12"/>
  <c r="I805" i="12"/>
  <c r="H805" i="12"/>
  <c r="G805" i="12"/>
  <c r="F805" i="12"/>
  <c r="E805" i="12"/>
  <c r="D805" i="12"/>
  <c r="C805" i="12"/>
  <c r="B805" i="12"/>
  <c r="S804" i="12"/>
  <c r="R804" i="12"/>
  <c r="Q804" i="12"/>
  <c r="P804" i="12"/>
  <c r="O804" i="12"/>
  <c r="N804" i="12"/>
  <c r="M804" i="12"/>
  <c r="L804" i="12"/>
  <c r="K804" i="12"/>
  <c r="J804" i="12"/>
  <c r="I804" i="12"/>
  <c r="H804" i="12"/>
  <c r="G804" i="12"/>
  <c r="F804" i="12"/>
  <c r="E804" i="12"/>
  <c r="D804" i="12"/>
  <c r="C804" i="12"/>
  <c r="B804" i="12"/>
  <c r="S803" i="12"/>
  <c r="R803" i="12"/>
  <c r="Q803" i="12"/>
  <c r="P803" i="12"/>
  <c r="O803" i="12"/>
  <c r="N803" i="12"/>
  <c r="M803" i="12"/>
  <c r="L803" i="12"/>
  <c r="K803" i="12"/>
  <c r="J803" i="12"/>
  <c r="I803" i="12"/>
  <c r="H803" i="12"/>
  <c r="G803" i="12"/>
  <c r="F803" i="12"/>
  <c r="E803" i="12"/>
  <c r="D803" i="12"/>
  <c r="C803" i="12"/>
  <c r="B803" i="12"/>
  <c r="S802" i="12"/>
  <c r="R802" i="12"/>
  <c r="Q802" i="12"/>
  <c r="P802" i="12"/>
  <c r="O802" i="12"/>
  <c r="N802" i="12"/>
  <c r="M802" i="12"/>
  <c r="L802" i="12"/>
  <c r="K802" i="12"/>
  <c r="J802" i="12"/>
  <c r="I802" i="12"/>
  <c r="H802" i="12"/>
  <c r="G802" i="12"/>
  <c r="F802" i="12"/>
  <c r="E802" i="12"/>
  <c r="D802" i="12"/>
  <c r="C802" i="12"/>
  <c r="B802" i="12"/>
  <c r="S801" i="12"/>
  <c r="R801" i="12"/>
  <c r="Q801" i="12"/>
  <c r="P801" i="12"/>
  <c r="O801" i="12"/>
  <c r="N801" i="12"/>
  <c r="M801" i="12"/>
  <c r="L801" i="12"/>
  <c r="K801" i="12"/>
  <c r="J801" i="12"/>
  <c r="I801" i="12"/>
  <c r="H801" i="12"/>
  <c r="G801" i="12"/>
  <c r="F801" i="12"/>
  <c r="E801" i="12"/>
  <c r="D801" i="12"/>
  <c r="C801" i="12"/>
  <c r="B801" i="12"/>
  <c r="S800" i="12"/>
  <c r="R800" i="12"/>
  <c r="Q800" i="12"/>
  <c r="P800" i="12"/>
  <c r="O800" i="12"/>
  <c r="N800" i="12"/>
  <c r="M800" i="12"/>
  <c r="L800" i="12"/>
  <c r="K800" i="12"/>
  <c r="J800" i="12"/>
  <c r="I800" i="12"/>
  <c r="H800" i="12"/>
  <c r="G800" i="12"/>
  <c r="F800" i="12"/>
  <c r="E800" i="12"/>
  <c r="D800" i="12"/>
  <c r="C800" i="12"/>
  <c r="B800" i="12"/>
  <c r="S799" i="12"/>
  <c r="R799" i="12"/>
  <c r="Q799" i="12"/>
  <c r="P799" i="12"/>
  <c r="O799" i="12"/>
  <c r="N799" i="12"/>
  <c r="M799" i="12"/>
  <c r="L799" i="12"/>
  <c r="K799" i="12"/>
  <c r="J799" i="12"/>
  <c r="I799" i="12"/>
  <c r="H799" i="12"/>
  <c r="G799" i="12"/>
  <c r="F799" i="12"/>
  <c r="E799" i="12"/>
  <c r="D799" i="12"/>
  <c r="C799" i="12"/>
  <c r="B799" i="12"/>
  <c r="S798" i="12"/>
  <c r="R798" i="12"/>
  <c r="Q798" i="12"/>
  <c r="P798" i="12"/>
  <c r="O798" i="12"/>
  <c r="N798" i="12"/>
  <c r="M798" i="12"/>
  <c r="L798" i="12"/>
  <c r="K798" i="12"/>
  <c r="J798" i="12"/>
  <c r="I798" i="12"/>
  <c r="H798" i="12"/>
  <c r="G798" i="12"/>
  <c r="F798" i="12"/>
  <c r="E798" i="12"/>
  <c r="D798" i="12"/>
  <c r="C798" i="12"/>
  <c r="B798" i="12"/>
  <c r="S797" i="12"/>
  <c r="R797" i="12"/>
  <c r="Q797" i="12"/>
  <c r="P797" i="12"/>
  <c r="O797" i="12"/>
  <c r="N797" i="12"/>
  <c r="M797" i="12"/>
  <c r="L797" i="12"/>
  <c r="K797" i="12"/>
  <c r="J797" i="12"/>
  <c r="I797" i="12"/>
  <c r="H797" i="12"/>
  <c r="G797" i="12"/>
  <c r="F797" i="12"/>
  <c r="E797" i="12"/>
  <c r="D797" i="12"/>
  <c r="C797" i="12"/>
  <c r="B797" i="12"/>
  <c r="S796" i="12"/>
  <c r="R796" i="12"/>
  <c r="Q796" i="12"/>
  <c r="P796" i="12"/>
  <c r="O796" i="12"/>
  <c r="N796" i="12"/>
  <c r="M796" i="12"/>
  <c r="L796" i="12"/>
  <c r="K796" i="12"/>
  <c r="J796" i="12"/>
  <c r="I796" i="12"/>
  <c r="H796" i="12"/>
  <c r="G796" i="12"/>
  <c r="F796" i="12"/>
  <c r="E796" i="12"/>
  <c r="D796" i="12"/>
  <c r="C796" i="12"/>
  <c r="B796" i="12"/>
  <c r="S795" i="12"/>
  <c r="R795" i="12"/>
  <c r="Q795" i="12"/>
  <c r="P795" i="12"/>
  <c r="O795" i="12"/>
  <c r="N795" i="12"/>
  <c r="M795" i="12"/>
  <c r="L795" i="12"/>
  <c r="K795" i="12"/>
  <c r="J795" i="12"/>
  <c r="I795" i="12"/>
  <c r="H795" i="12"/>
  <c r="G795" i="12"/>
  <c r="F795" i="12"/>
  <c r="E795" i="12"/>
  <c r="D795" i="12"/>
  <c r="C795" i="12"/>
  <c r="B795" i="12"/>
  <c r="S794" i="12"/>
  <c r="R794" i="12"/>
  <c r="Q794" i="12"/>
  <c r="P794" i="12"/>
  <c r="O794" i="12"/>
  <c r="N794" i="12"/>
  <c r="M794" i="12"/>
  <c r="L794" i="12"/>
  <c r="K794" i="12"/>
  <c r="J794" i="12"/>
  <c r="I794" i="12"/>
  <c r="H794" i="12"/>
  <c r="G794" i="12"/>
  <c r="F794" i="12"/>
  <c r="E794" i="12"/>
  <c r="D794" i="12"/>
  <c r="C794" i="12"/>
  <c r="B794" i="12"/>
  <c r="S793" i="12"/>
  <c r="R793" i="12"/>
  <c r="Q793" i="12"/>
  <c r="P793" i="12"/>
  <c r="O793" i="12"/>
  <c r="N793" i="12"/>
  <c r="M793" i="12"/>
  <c r="L793" i="12"/>
  <c r="K793" i="12"/>
  <c r="J793" i="12"/>
  <c r="I793" i="12"/>
  <c r="H793" i="12"/>
  <c r="G793" i="12"/>
  <c r="F793" i="12"/>
  <c r="E793" i="12"/>
  <c r="D793" i="12"/>
  <c r="C793" i="12"/>
  <c r="B793" i="12"/>
  <c r="S792" i="12"/>
  <c r="R792" i="12"/>
  <c r="Q792" i="12"/>
  <c r="P792" i="12"/>
  <c r="O792" i="12"/>
  <c r="N792" i="12"/>
  <c r="M792" i="12"/>
  <c r="L792" i="12"/>
  <c r="K792" i="12"/>
  <c r="J792" i="12"/>
  <c r="I792" i="12"/>
  <c r="H792" i="12"/>
  <c r="G792" i="12"/>
  <c r="F792" i="12"/>
  <c r="E792" i="12"/>
  <c r="D792" i="12"/>
  <c r="C792" i="12"/>
  <c r="B792" i="12"/>
  <c r="S791" i="12"/>
  <c r="R791" i="12"/>
  <c r="Q791" i="12"/>
  <c r="P791" i="12"/>
  <c r="O791" i="12"/>
  <c r="N791" i="12"/>
  <c r="M791" i="12"/>
  <c r="L791" i="12"/>
  <c r="K791" i="12"/>
  <c r="J791" i="12"/>
  <c r="I791" i="12"/>
  <c r="H791" i="12"/>
  <c r="G791" i="12"/>
  <c r="F791" i="12"/>
  <c r="E791" i="12"/>
  <c r="D791" i="12"/>
  <c r="C791" i="12"/>
  <c r="B791" i="12"/>
  <c r="S790" i="12"/>
  <c r="R790" i="12"/>
  <c r="Q790" i="12"/>
  <c r="P790" i="12"/>
  <c r="O790" i="12"/>
  <c r="N790" i="12"/>
  <c r="M790" i="12"/>
  <c r="L790" i="12"/>
  <c r="K790" i="12"/>
  <c r="J790" i="12"/>
  <c r="I790" i="12"/>
  <c r="H790" i="12"/>
  <c r="G790" i="12"/>
  <c r="F790" i="12"/>
  <c r="E790" i="12"/>
  <c r="D790" i="12"/>
  <c r="C790" i="12"/>
  <c r="B790" i="12"/>
  <c r="S789" i="12"/>
  <c r="R789" i="12"/>
  <c r="Q789" i="12"/>
  <c r="P789" i="12"/>
  <c r="O789" i="12"/>
  <c r="N789" i="12"/>
  <c r="M789" i="12"/>
  <c r="L789" i="12"/>
  <c r="K789" i="12"/>
  <c r="J789" i="12"/>
  <c r="I789" i="12"/>
  <c r="H789" i="12"/>
  <c r="G789" i="12"/>
  <c r="F789" i="12"/>
  <c r="E789" i="12"/>
  <c r="D789" i="12"/>
  <c r="C789" i="12"/>
  <c r="B789" i="12"/>
  <c r="S788" i="12"/>
  <c r="R788" i="12"/>
  <c r="Q788" i="12"/>
  <c r="P788" i="12"/>
  <c r="O788" i="12"/>
  <c r="N788" i="12"/>
  <c r="M788" i="12"/>
  <c r="L788" i="12"/>
  <c r="K788" i="12"/>
  <c r="J788" i="12"/>
  <c r="I788" i="12"/>
  <c r="H788" i="12"/>
  <c r="G788" i="12"/>
  <c r="F788" i="12"/>
  <c r="E788" i="12"/>
  <c r="D788" i="12"/>
  <c r="C788" i="12"/>
  <c r="B788" i="12"/>
  <c r="S787" i="12"/>
  <c r="R787" i="12"/>
  <c r="Q787" i="12"/>
  <c r="P787" i="12"/>
  <c r="O787" i="12"/>
  <c r="N787" i="12"/>
  <c r="M787" i="12"/>
  <c r="L787" i="12"/>
  <c r="K787" i="12"/>
  <c r="J787" i="12"/>
  <c r="I787" i="12"/>
  <c r="H787" i="12"/>
  <c r="G787" i="12"/>
  <c r="F787" i="12"/>
  <c r="E787" i="12"/>
  <c r="D787" i="12"/>
  <c r="C787" i="12"/>
  <c r="B787" i="12"/>
  <c r="S786" i="12"/>
  <c r="R786" i="12"/>
  <c r="Q786" i="12"/>
  <c r="P786" i="12"/>
  <c r="O786" i="12"/>
  <c r="N786" i="12"/>
  <c r="M786" i="12"/>
  <c r="L786" i="12"/>
  <c r="K786" i="12"/>
  <c r="J786" i="12"/>
  <c r="I786" i="12"/>
  <c r="H786" i="12"/>
  <c r="G786" i="12"/>
  <c r="F786" i="12"/>
  <c r="E786" i="12"/>
  <c r="D786" i="12"/>
  <c r="C786" i="12"/>
  <c r="B786" i="12"/>
  <c r="S785" i="12"/>
  <c r="R785" i="12"/>
  <c r="Q785" i="12"/>
  <c r="P785" i="12"/>
  <c r="O785" i="12"/>
  <c r="N785" i="12"/>
  <c r="M785" i="12"/>
  <c r="L785" i="12"/>
  <c r="K785" i="12"/>
  <c r="J785" i="12"/>
  <c r="I785" i="12"/>
  <c r="H785" i="12"/>
  <c r="G785" i="12"/>
  <c r="F785" i="12"/>
  <c r="E785" i="12"/>
  <c r="D785" i="12"/>
  <c r="C785" i="12"/>
  <c r="B785" i="12"/>
  <c r="S784" i="12"/>
  <c r="R784" i="12"/>
  <c r="Q784" i="12"/>
  <c r="P784" i="12"/>
  <c r="O784" i="12"/>
  <c r="N784" i="12"/>
  <c r="M784" i="12"/>
  <c r="L784" i="12"/>
  <c r="K784" i="12"/>
  <c r="J784" i="12"/>
  <c r="I784" i="12"/>
  <c r="H784" i="12"/>
  <c r="G784" i="12"/>
  <c r="F784" i="12"/>
  <c r="E784" i="12"/>
  <c r="D784" i="12"/>
  <c r="C784" i="12"/>
  <c r="B784" i="12"/>
  <c r="S783" i="12"/>
  <c r="R783" i="12"/>
  <c r="Q783" i="12"/>
  <c r="P783" i="12"/>
  <c r="O783" i="12"/>
  <c r="N783" i="12"/>
  <c r="M783" i="12"/>
  <c r="L783" i="12"/>
  <c r="K783" i="12"/>
  <c r="J783" i="12"/>
  <c r="I783" i="12"/>
  <c r="H783" i="12"/>
  <c r="G783" i="12"/>
  <c r="F783" i="12"/>
  <c r="E783" i="12"/>
  <c r="D783" i="12"/>
  <c r="C783" i="12"/>
  <c r="B783" i="12"/>
  <c r="S782" i="12"/>
  <c r="R782" i="12"/>
  <c r="Q782" i="12"/>
  <c r="P782" i="12"/>
  <c r="O782" i="12"/>
  <c r="N782" i="12"/>
  <c r="M782" i="12"/>
  <c r="L782" i="12"/>
  <c r="K782" i="12"/>
  <c r="J782" i="12"/>
  <c r="I782" i="12"/>
  <c r="H782" i="12"/>
  <c r="G782" i="12"/>
  <c r="F782" i="12"/>
  <c r="E782" i="12"/>
  <c r="D782" i="12"/>
  <c r="C782" i="12"/>
  <c r="B782" i="12"/>
  <c r="S781" i="12"/>
  <c r="R781" i="12"/>
  <c r="Q781" i="12"/>
  <c r="P781" i="12"/>
  <c r="O781" i="12"/>
  <c r="N781" i="12"/>
  <c r="M781" i="12"/>
  <c r="L781" i="12"/>
  <c r="K781" i="12"/>
  <c r="J781" i="12"/>
  <c r="I781" i="12"/>
  <c r="H781" i="12"/>
  <c r="G781" i="12"/>
  <c r="F781" i="12"/>
  <c r="E781" i="12"/>
  <c r="D781" i="12"/>
  <c r="C781" i="12"/>
  <c r="B781" i="12"/>
  <c r="S780" i="12"/>
  <c r="R780" i="12"/>
  <c r="Q780" i="12"/>
  <c r="P780" i="12"/>
  <c r="O780" i="12"/>
  <c r="N780" i="12"/>
  <c r="M780" i="12"/>
  <c r="L780" i="12"/>
  <c r="K780" i="12"/>
  <c r="J780" i="12"/>
  <c r="I780" i="12"/>
  <c r="H780" i="12"/>
  <c r="G780" i="12"/>
  <c r="F780" i="12"/>
  <c r="E780" i="12"/>
  <c r="D780" i="12"/>
  <c r="C780" i="12"/>
  <c r="B780" i="12"/>
  <c r="S779" i="12"/>
  <c r="R779" i="12"/>
  <c r="Q779" i="12"/>
  <c r="P779" i="12"/>
  <c r="O779" i="12"/>
  <c r="N779" i="12"/>
  <c r="M779" i="12"/>
  <c r="L779" i="12"/>
  <c r="K779" i="12"/>
  <c r="J779" i="12"/>
  <c r="I779" i="12"/>
  <c r="H779" i="12"/>
  <c r="G779" i="12"/>
  <c r="F779" i="12"/>
  <c r="E779" i="12"/>
  <c r="D779" i="12"/>
  <c r="C779" i="12"/>
  <c r="B779" i="12"/>
  <c r="S778" i="12"/>
  <c r="R778" i="12"/>
  <c r="Q778" i="12"/>
  <c r="P778" i="12"/>
  <c r="O778" i="12"/>
  <c r="N778" i="12"/>
  <c r="M778" i="12"/>
  <c r="L778" i="12"/>
  <c r="K778" i="12"/>
  <c r="J778" i="12"/>
  <c r="I778" i="12"/>
  <c r="H778" i="12"/>
  <c r="G778" i="12"/>
  <c r="F778" i="12"/>
  <c r="E778" i="12"/>
  <c r="D778" i="12"/>
  <c r="C778" i="12"/>
  <c r="B778" i="12"/>
  <c r="S777" i="12"/>
  <c r="R777" i="12"/>
  <c r="Q777" i="12"/>
  <c r="P777" i="12"/>
  <c r="O777" i="12"/>
  <c r="N777" i="12"/>
  <c r="M777" i="12"/>
  <c r="L777" i="12"/>
  <c r="K777" i="12"/>
  <c r="J777" i="12"/>
  <c r="I777" i="12"/>
  <c r="H777" i="12"/>
  <c r="G777" i="12"/>
  <c r="F777" i="12"/>
  <c r="E777" i="12"/>
  <c r="D777" i="12"/>
  <c r="C777" i="12"/>
  <c r="B777" i="12"/>
  <c r="S776" i="12"/>
  <c r="R776" i="12"/>
  <c r="Q776" i="12"/>
  <c r="P776" i="12"/>
  <c r="O776" i="12"/>
  <c r="N776" i="12"/>
  <c r="M776" i="12"/>
  <c r="L776" i="12"/>
  <c r="K776" i="12"/>
  <c r="J776" i="12"/>
  <c r="I776" i="12"/>
  <c r="H776" i="12"/>
  <c r="G776" i="12"/>
  <c r="F776" i="12"/>
  <c r="E776" i="12"/>
  <c r="D776" i="12"/>
  <c r="C776" i="12"/>
  <c r="B776" i="12"/>
  <c r="S775" i="12"/>
  <c r="R775" i="12"/>
  <c r="Q775" i="12"/>
  <c r="P775" i="12"/>
  <c r="O775" i="12"/>
  <c r="N775" i="12"/>
  <c r="M775" i="12"/>
  <c r="L775" i="12"/>
  <c r="K775" i="12"/>
  <c r="J775" i="12"/>
  <c r="I775" i="12"/>
  <c r="H775" i="12"/>
  <c r="G775" i="12"/>
  <c r="F775" i="12"/>
  <c r="E775" i="12"/>
  <c r="D775" i="12"/>
  <c r="C775" i="12"/>
  <c r="B775" i="12"/>
  <c r="S774" i="12"/>
  <c r="R774" i="12"/>
  <c r="Q774" i="12"/>
  <c r="P774" i="12"/>
  <c r="O774" i="12"/>
  <c r="N774" i="12"/>
  <c r="M774" i="12"/>
  <c r="L774" i="12"/>
  <c r="K774" i="12"/>
  <c r="J774" i="12"/>
  <c r="I774" i="12"/>
  <c r="H774" i="12"/>
  <c r="G774" i="12"/>
  <c r="F774" i="12"/>
  <c r="E774" i="12"/>
  <c r="D774" i="12"/>
  <c r="C774" i="12"/>
  <c r="B774" i="12"/>
  <c r="S773" i="12"/>
  <c r="R773" i="12"/>
  <c r="Q773" i="12"/>
  <c r="P773" i="12"/>
  <c r="O773" i="12"/>
  <c r="N773" i="12"/>
  <c r="M773" i="12"/>
  <c r="L773" i="12"/>
  <c r="K773" i="12"/>
  <c r="J773" i="12"/>
  <c r="I773" i="12"/>
  <c r="H773" i="12"/>
  <c r="G773" i="12"/>
  <c r="F773" i="12"/>
  <c r="E773" i="12"/>
  <c r="D773" i="12"/>
  <c r="C773" i="12"/>
  <c r="B773" i="12"/>
  <c r="S772" i="12"/>
  <c r="R772" i="12"/>
  <c r="Q772" i="12"/>
  <c r="P772" i="12"/>
  <c r="O772" i="12"/>
  <c r="N772" i="12"/>
  <c r="M772" i="12"/>
  <c r="L772" i="12"/>
  <c r="K772" i="12"/>
  <c r="J772" i="12"/>
  <c r="I772" i="12"/>
  <c r="H772" i="12"/>
  <c r="G772" i="12"/>
  <c r="F772" i="12"/>
  <c r="E772" i="12"/>
  <c r="D772" i="12"/>
  <c r="C772" i="12"/>
  <c r="B772" i="12"/>
  <c r="S771" i="12"/>
  <c r="R771" i="12"/>
  <c r="Q771" i="12"/>
  <c r="P771" i="12"/>
  <c r="O771" i="12"/>
  <c r="N771" i="12"/>
  <c r="M771" i="12"/>
  <c r="L771" i="12"/>
  <c r="K771" i="12"/>
  <c r="J771" i="12"/>
  <c r="I771" i="12"/>
  <c r="H771" i="12"/>
  <c r="G771" i="12"/>
  <c r="F771" i="12"/>
  <c r="E771" i="12"/>
  <c r="D771" i="12"/>
  <c r="C771" i="12"/>
  <c r="B771" i="12"/>
  <c r="S770" i="12"/>
  <c r="R770" i="12"/>
  <c r="Q770" i="12"/>
  <c r="P770" i="12"/>
  <c r="O770" i="12"/>
  <c r="N770" i="12"/>
  <c r="M770" i="12"/>
  <c r="L770" i="12"/>
  <c r="K770" i="12"/>
  <c r="J770" i="12"/>
  <c r="I770" i="12"/>
  <c r="H770" i="12"/>
  <c r="G770" i="12"/>
  <c r="F770" i="12"/>
  <c r="E770" i="12"/>
  <c r="D770" i="12"/>
  <c r="C770" i="12"/>
  <c r="B770" i="12"/>
  <c r="S769" i="12"/>
  <c r="R769" i="12"/>
  <c r="Q769" i="12"/>
  <c r="P769" i="12"/>
  <c r="O769" i="12"/>
  <c r="N769" i="12"/>
  <c r="M769" i="12"/>
  <c r="L769" i="12"/>
  <c r="K769" i="12"/>
  <c r="J769" i="12"/>
  <c r="I769" i="12"/>
  <c r="H769" i="12"/>
  <c r="G769" i="12"/>
  <c r="F769" i="12"/>
  <c r="E769" i="12"/>
  <c r="D769" i="12"/>
  <c r="C769" i="12"/>
  <c r="B769" i="12"/>
  <c r="S768" i="12"/>
  <c r="R768" i="12"/>
  <c r="Q768" i="12"/>
  <c r="P768" i="12"/>
  <c r="O768" i="12"/>
  <c r="N768" i="12"/>
  <c r="M768" i="12"/>
  <c r="L768" i="12"/>
  <c r="K768" i="12"/>
  <c r="J768" i="12"/>
  <c r="I768" i="12"/>
  <c r="H768" i="12"/>
  <c r="G768" i="12"/>
  <c r="F768" i="12"/>
  <c r="E768" i="12"/>
  <c r="D768" i="12"/>
  <c r="C768" i="12"/>
  <c r="B768" i="12"/>
  <c r="S767" i="12"/>
  <c r="R767" i="12"/>
  <c r="Q767" i="12"/>
  <c r="P767" i="12"/>
  <c r="O767" i="12"/>
  <c r="N767" i="12"/>
  <c r="M767" i="12"/>
  <c r="L767" i="12"/>
  <c r="K767" i="12"/>
  <c r="J767" i="12"/>
  <c r="I767" i="12"/>
  <c r="H767" i="12"/>
  <c r="G767" i="12"/>
  <c r="F767" i="12"/>
  <c r="E767" i="12"/>
  <c r="D767" i="12"/>
  <c r="C767" i="12"/>
  <c r="B767" i="12"/>
  <c r="S766" i="12"/>
  <c r="R766" i="12"/>
  <c r="Q766" i="12"/>
  <c r="P766" i="12"/>
  <c r="O766" i="12"/>
  <c r="N766" i="12"/>
  <c r="M766" i="12"/>
  <c r="L766" i="12"/>
  <c r="K766" i="12"/>
  <c r="J766" i="12"/>
  <c r="I766" i="12"/>
  <c r="H766" i="12"/>
  <c r="G766" i="12"/>
  <c r="F766" i="12"/>
  <c r="E766" i="12"/>
  <c r="D766" i="12"/>
  <c r="C766" i="12"/>
  <c r="B766" i="12"/>
  <c r="S765" i="12"/>
  <c r="R765" i="12"/>
  <c r="Q765" i="12"/>
  <c r="P765" i="12"/>
  <c r="O765" i="12"/>
  <c r="N765" i="12"/>
  <c r="M765" i="12"/>
  <c r="L765" i="12"/>
  <c r="K765" i="12"/>
  <c r="J765" i="12"/>
  <c r="I765" i="12"/>
  <c r="H765" i="12"/>
  <c r="G765" i="12"/>
  <c r="F765" i="12"/>
  <c r="E765" i="12"/>
  <c r="D765" i="12"/>
  <c r="C765" i="12"/>
  <c r="B765" i="12"/>
  <c r="S764" i="12"/>
  <c r="R764" i="12"/>
  <c r="Q764" i="12"/>
  <c r="P764" i="12"/>
  <c r="O764" i="12"/>
  <c r="N764" i="12"/>
  <c r="M764" i="12"/>
  <c r="L764" i="12"/>
  <c r="K764" i="12"/>
  <c r="J764" i="12"/>
  <c r="I764" i="12"/>
  <c r="H764" i="12"/>
  <c r="G764" i="12"/>
  <c r="F764" i="12"/>
  <c r="E764" i="12"/>
  <c r="D764" i="12"/>
  <c r="C764" i="12"/>
  <c r="B764" i="12"/>
  <c r="S763" i="12"/>
  <c r="R763" i="12"/>
  <c r="Q763" i="12"/>
  <c r="P763" i="12"/>
  <c r="O763" i="12"/>
  <c r="N763" i="12"/>
  <c r="M763" i="12"/>
  <c r="L763" i="12"/>
  <c r="K763" i="12"/>
  <c r="J763" i="12"/>
  <c r="I763" i="12"/>
  <c r="H763" i="12"/>
  <c r="G763" i="12"/>
  <c r="F763" i="12"/>
  <c r="E763" i="12"/>
  <c r="D763" i="12"/>
  <c r="C763" i="12"/>
  <c r="B763" i="12"/>
  <c r="S762" i="12"/>
  <c r="R762" i="12"/>
  <c r="Q762" i="12"/>
  <c r="P762" i="12"/>
  <c r="O762" i="12"/>
  <c r="N762" i="12"/>
  <c r="M762" i="12"/>
  <c r="L762" i="12"/>
  <c r="K762" i="12"/>
  <c r="J762" i="12"/>
  <c r="I762" i="12"/>
  <c r="H762" i="12"/>
  <c r="G762" i="12"/>
  <c r="F762" i="12"/>
  <c r="E762" i="12"/>
  <c r="D762" i="12"/>
  <c r="C762" i="12"/>
  <c r="B762" i="12"/>
  <c r="S761" i="12"/>
  <c r="R761" i="12"/>
  <c r="Q761" i="12"/>
  <c r="P761" i="12"/>
  <c r="O761" i="12"/>
  <c r="N761" i="12"/>
  <c r="M761" i="12"/>
  <c r="L761" i="12"/>
  <c r="K761" i="12"/>
  <c r="J761" i="12"/>
  <c r="I761" i="12"/>
  <c r="H761" i="12"/>
  <c r="G761" i="12"/>
  <c r="F761" i="12"/>
  <c r="E761" i="12"/>
  <c r="D761" i="12"/>
  <c r="C761" i="12"/>
  <c r="B761" i="12"/>
  <c r="S760" i="12"/>
  <c r="R760" i="12"/>
  <c r="Q760" i="12"/>
  <c r="P760" i="12"/>
  <c r="O760" i="12"/>
  <c r="N760" i="12"/>
  <c r="M760" i="12"/>
  <c r="L760" i="12"/>
  <c r="K760" i="12"/>
  <c r="J760" i="12"/>
  <c r="I760" i="12"/>
  <c r="H760" i="12"/>
  <c r="G760" i="12"/>
  <c r="F760" i="12"/>
  <c r="E760" i="12"/>
  <c r="D760" i="12"/>
  <c r="C760" i="12"/>
  <c r="B760" i="12"/>
  <c r="S759" i="12"/>
  <c r="R759" i="12"/>
  <c r="Q759" i="12"/>
  <c r="P759" i="12"/>
  <c r="O759" i="12"/>
  <c r="N759" i="12"/>
  <c r="M759" i="12"/>
  <c r="L759" i="12"/>
  <c r="K759" i="12"/>
  <c r="J759" i="12"/>
  <c r="I759" i="12"/>
  <c r="H759" i="12"/>
  <c r="G759" i="12"/>
  <c r="F759" i="12"/>
  <c r="E759" i="12"/>
  <c r="D759" i="12"/>
  <c r="C759" i="12"/>
  <c r="B759" i="12"/>
  <c r="S758" i="12"/>
  <c r="R758" i="12"/>
  <c r="Q758" i="12"/>
  <c r="P758" i="12"/>
  <c r="O758" i="12"/>
  <c r="N758" i="12"/>
  <c r="M758" i="12"/>
  <c r="L758" i="12"/>
  <c r="K758" i="12"/>
  <c r="J758" i="12"/>
  <c r="I758" i="12"/>
  <c r="H758" i="12"/>
  <c r="G758" i="12"/>
  <c r="F758" i="12"/>
  <c r="E758" i="12"/>
  <c r="D758" i="12"/>
  <c r="C758" i="12"/>
  <c r="B758" i="12"/>
  <c r="S757" i="12"/>
  <c r="R757" i="12"/>
  <c r="Q757" i="12"/>
  <c r="P757" i="12"/>
  <c r="O757" i="12"/>
  <c r="N757" i="12"/>
  <c r="M757" i="12"/>
  <c r="L757" i="12"/>
  <c r="K757" i="12"/>
  <c r="J757" i="12"/>
  <c r="I757" i="12"/>
  <c r="H757" i="12"/>
  <c r="G757" i="12"/>
  <c r="F757" i="12"/>
  <c r="E757" i="12"/>
  <c r="D757" i="12"/>
  <c r="C757" i="12"/>
  <c r="B757" i="12"/>
  <c r="S756" i="12"/>
  <c r="R756" i="12"/>
  <c r="Q756" i="12"/>
  <c r="P756" i="12"/>
  <c r="O756" i="12"/>
  <c r="N756" i="12"/>
  <c r="M756" i="12"/>
  <c r="L756" i="12"/>
  <c r="K756" i="12"/>
  <c r="J756" i="12"/>
  <c r="I756" i="12"/>
  <c r="H756" i="12"/>
  <c r="G756" i="12"/>
  <c r="F756" i="12"/>
  <c r="E756" i="12"/>
  <c r="D756" i="12"/>
  <c r="C756" i="12"/>
  <c r="B756" i="12"/>
  <c r="S755" i="12"/>
  <c r="R755" i="12"/>
  <c r="Q755" i="12"/>
  <c r="P755" i="12"/>
  <c r="O755" i="12"/>
  <c r="N755" i="12"/>
  <c r="M755" i="12"/>
  <c r="L755" i="12"/>
  <c r="K755" i="12"/>
  <c r="J755" i="12"/>
  <c r="I755" i="12"/>
  <c r="H755" i="12"/>
  <c r="G755" i="12"/>
  <c r="F755" i="12"/>
  <c r="E755" i="12"/>
  <c r="D755" i="12"/>
  <c r="C755" i="12"/>
  <c r="B755" i="12"/>
  <c r="S754" i="12"/>
  <c r="R754" i="12"/>
  <c r="Q754" i="12"/>
  <c r="P754" i="12"/>
  <c r="O754" i="12"/>
  <c r="N754" i="12"/>
  <c r="M754" i="12"/>
  <c r="L754" i="12"/>
  <c r="K754" i="12"/>
  <c r="J754" i="12"/>
  <c r="I754" i="12"/>
  <c r="H754" i="12"/>
  <c r="G754" i="12"/>
  <c r="F754" i="12"/>
  <c r="E754" i="12"/>
  <c r="D754" i="12"/>
  <c r="C754" i="12"/>
  <c r="B754" i="12"/>
  <c r="S753" i="12"/>
  <c r="R753" i="12"/>
  <c r="Q753" i="12"/>
  <c r="P753" i="12"/>
  <c r="O753" i="12"/>
  <c r="N753" i="12"/>
  <c r="M753" i="12"/>
  <c r="L753" i="12"/>
  <c r="K753" i="12"/>
  <c r="J753" i="12"/>
  <c r="I753" i="12"/>
  <c r="H753" i="12"/>
  <c r="G753" i="12"/>
  <c r="F753" i="12"/>
  <c r="E753" i="12"/>
  <c r="D753" i="12"/>
  <c r="C753" i="12"/>
  <c r="B753" i="12"/>
  <c r="S752" i="12"/>
  <c r="R752" i="12"/>
  <c r="Q752" i="12"/>
  <c r="P752" i="12"/>
  <c r="O752" i="12"/>
  <c r="N752" i="12"/>
  <c r="M752" i="12"/>
  <c r="L752" i="12"/>
  <c r="K752" i="12"/>
  <c r="J752" i="12"/>
  <c r="I752" i="12"/>
  <c r="H752" i="12"/>
  <c r="G752" i="12"/>
  <c r="F752" i="12"/>
  <c r="E752" i="12"/>
  <c r="D752" i="12"/>
  <c r="C752" i="12"/>
  <c r="B752" i="12"/>
  <c r="S751" i="12"/>
  <c r="R751" i="12"/>
  <c r="Q751" i="12"/>
  <c r="P751" i="12"/>
  <c r="O751" i="12"/>
  <c r="N751" i="12"/>
  <c r="M751" i="12"/>
  <c r="L751" i="12"/>
  <c r="K751" i="12"/>
  <c r="J751" i="12"/>
  <c r="I751" i="12"/>
  <c r="H751" i="12"/>
  <c r="G751" i="12"/>
  <c r="F751" i="12"/>
  <c r="E751" i="12"/>
  <c r="D751" i="12"/>
  <c r="C751" i="12"/>
  <c r="B751" i="12"/>
  <c r="S750" i="12"/>
  <c r="R750" i="12"/>
  <c r="Q750" i="12"/>
  <c r="P750" i="12"/>
  <c r="O750" i="12"/>
  <c r="N750" i="12"/>
  <c r="M750" i="12"/>
  <c r="L750" i="12"/>
  <c r="K750" i="12"/>
  <c r="J750" i="12"/>
  <c r="I750" i="12"/>
  <c r="H750" i="12"/>
  <c r="G750" i="12"/>
  <c r="F750" i="12"/>
  <c r="E750" i="12"/>
  <c r="D750" i="12"/>
  <c r="C750" i="12"/>
  <c r="B750" i="12"/>
  <c r="S749" i="12"/>
  <c r="R749" i="12"/>
  <c r="Q749" i="12"/>
  <c r="P749" i="12"/>
  <c r="O749" i="12"/>
  <c r="N749" i="12"/>
  <c r="M749" i="12"/>
  <c r="L749" i="12"/>
  <c r="K749" i="12"/>
  <c r="J749" i="12"/>
  <c r="I749" i="12"/>
  <c r="H749" i="12"/>
  <c r="G749" i="12"/>
  <c r="F749" i="12"/>
  <c r="E749" i="12"/>
  <c r="D749" i="12"/>
  <c r="C749" i="12"/>
  <c r="B749" i="12"/>
  <c r="S748" i="12"/>
  <c r="R748" i="12"/>
  <c r="Q748" i="12"/>
  <c r="P748" i="12"/>
  <c r="O748" i="12"/>
  <c r="N748" i="12"/>
  <c r="M748" i="12"/>
  <c r="L748" i="12"/>
  <c r="K748" i="12"/>
  <c r="J748" i="12"/>
  <c r="I748" i="12"/>
  <c r="H748" i="12"/>
  <c r="G748" i="12"/>
  <c r="F748" i="12"/>
  <c r="E748" i="12"/>
  <c r="D748" i="12"/>
  <c r="C748" i="12"/>
  <c r="B748" i="12"/>
  <c r="S747" i="12"/>
  <c r="R747" i="12"/>
  <c r="Q747" i="12"/>
  <c r="P747" i="12"/>
  <c r="O747" i="12"/>
  <c r="N747" i="12"/>
  <c r="M747" i="12"/>
  <c r="L747" i="12"/>
  <c r="K747" i="12"/>
  <c r="J747" i="12"/>
  <c r="I747" i="12"/>
  <c r="H747" i="12"/>
  <c r="G747" i="12"/>
  <c r="F747" i="12"/>
  <c r="E747" i="12"/>
  <c r="D747" i="12"/>
  <c r="C747" i="12"/>
  <c r="B747" i="12"/>
  <c r="S746" i="12"/>
  <c r="R746" i="12"/>
  <c r="Q746" i="12"/>
  <c r="P746" i="12"/>
  <c r="O746" i="12"/>
  <c r="N746" i="12"/>
  <c r="M746" i="12"/>
  <c r="L746" i="12"/>
  <c r="K746" i="12"/>
  <c r="J746" i="12"/>
  <c r="I746" i="12"/>
  <c r="H746" i="12"/>
  <c r="G746" i="12"/>
  <c r="F746" i="12"/>
  <c r="E746" i="12"/>
  <c r="D746" i="12"/>
  <c r="C746" i="12"/>
  <c r="B746" i="12"/>
  <c r="S745" i="12"/>
  <c r="R745" i="12"/>
  <c r="Q745" i="12"/>
  <c r="P745" i="12"/>
  <c r="O745" i="12"/>
  <c r="N745" i="12"/>
  <c r="M745" i="12"/>
  <c r="L745" i="12"/>
  <c r="K745" i="12"/>
  <c r="J745" i="12"/>
  <c r="I745" i="12"/>
  <c r="H745" i="12"/>
  <c r="G745" i="12"/>
  <c r="F745" i="12"/>
  <c r="E745" i="12"/>
  <c r="D745" i="12"/>
  <c r="C745" i="12"/>
  <c r="B745" i="12"/>
  <c r="S744" i="12"/>
  <c r="R744" i="12"/>
  <c r="Q744" i="12"/>
  <c r="P744" i="12"/>
  <c r="O744" i="12"/>
  <c r="N744" i="12"/>
  <c r="M744" i="12"/>
  <c r="L744" i="12"/>
  <c r="K744" i="12"/>
  <c r="J744" i="12"/>
  <c r="I744" i="12"/>
  <c r="H744" i="12"/>
  <c r="G744" i="12"/>
  <c r="F744" i="12"/>
  <c r="E744" i="12"/>
  <c r="D744" i="12"/>
  <c r="C744" i="12"/>
  <c r="B744" i="12"/>
  <c r="S743" i="12"/>
  <c r="R743" i="12"/>
  <c r="Q743" i="12"/>
  <c r="P743" i="12"/>
  <c r="O743" i="12"/>
  <c r="N743" i="12"/>
  <c r="M743" i="12"/>
  <c r="L743" i="12"/>
  <c r="K743" i="12"/>
  <c r="J743" i="12"/>
  <c r="I743" i="12"/>
  <c r="H743" i="12"/>
  <c r="G743" i="12"/>
  <c r="F743" i="12"/>
  <c r="E743" i="12"/>
  <c r="D743" i="12"/>
  <c r="C743" i="12"/>
  <c r="B743" i="12"/>
  <c r="S742" i="12"/>
  <c r="R742" i="12"/>
  <c r="Q742" i="12"/>
  <c r="P742" i="12"/>
  <c r="O742" i="12"/>
  <c r="N742" i="12"/>
  <c r="M742" i="12"/>
  <c r="L742" i="12"/>
  <c r="K742" i="12"/>
  <c r="J742" i="12"/>
  <c r="I742" i="12"/>
  <c r="H742" i="12"/>
  <c r="G742" i="12"/>
  <c r="F742" i="12"/>
  <c r="E742" i="12"/>
  <c r="D742" i="12"/>
  <c r="C742" i="12"/>
  <c r="B742" i="12"/>
  <c r="S741" i="12"/>
  <c r="R741" i="12"/>
  <c r="Q741" i="12"/>
  <c r="P741" i="12"/>
  <c r="O741" i="12"/>
  <c r="N741" i="12"/>
  <c r="M741" i="12"/>
  <c r="L741" i="12"/>
  <c r="K741" i="12"/>
  <c r="J741" i="12"/>
  <c r="I741" i="12"/>
  <c r="H741" i="12"/>
  <c r="G741" i="12"/>
  <c r="F741" i="12"/>
  <c r="E741" i="12"/>
  <c r="D741" i="12"/>
  <c r="C741" i="12"/>
  <c r="B741" i="12"/>
  <c r="S740" i="12"/>
  <c r="R740" i="12"/>
  <c r="Q740" i="12"/>
  <c r="P740" i="12"/>
  <c r="O740" i="12"/>
  <c r="N740" i="12"/>
  <c r="M740" i="12"/>
  <c r="L740" i="12"/>
  <c r="K740" i="12"/>
  <c r="J740" i="12"/>
  <c r="I740" i="12"/>
  <c r="H740" i="12"/>
  <c r="G740" i="12"/>
  <c r="F740" i="12"/>
  <c r="E740" i="12"/>
  <c r="D740" i="12"/>
  <c r="C740" i="12"/>
  <c r="B740" i="12"/>
  <c r="S739" i="12"/>
  <c r="R739" i="12"/>
  <c r="Q739" i="12"/>
  <c r="P739" i="12"/>
  <c r="O739" i="12"/>
  <c r="N739" i="12"/>
  <c r="M739" i="12"/>
  <c r="L739" i="12"/>
  <c r="K739" i="12"/>
  <c r="J739" i="12"/>
  <c r="I739" i="12"/>
  <c r="H739" i="12"/>
  <c r="G739" i="12"/>
  <c r="F739" i="12"/>
  <c r="E739" i="12"/>
  <c r="D739" i="12"/>
  <c r="C739" i="12"/>
  <c r="B739" i="12"/>
  <c r="S738" i="12"/>
  <c r="R738" i="12"/>
  <c r="Q738" i="12"/>
  <c r="P738" i="12"/>
  <c r="O738" i="12"/>
  <c r="N738" i="12"/>
  <c r="M738" i="12"/>
  <c r="L738" i="12"/>
  <c r="K738" i="12"/>
  <c r="J738" i="12"/>
  <c r="I738" i="12"/>
  <c r="H738" i="12"/>
  <c r="G738" i="12"/>
  <c r="F738" i="12"/>
  <c r="E738" i="12"/>
  <c r="D738" i="12"/>
  <c r="C738" i="12"/>
  <c r="B738" i="12"/>
  <c r="S737" i="12"/>
  <c r="R737" i="12"/>
  <c r="Q737" i="12"/>
  <c r="P737" i="12"/>
  <c r="O737" i="12"/>
  <c r="N737" i="12"/>
  <c r="M737" i="12"/>
  <c r="L737" i="12"/>
  <c r="K737" i="12"/>
  <c r="J737" i="12"/>
  <c r="I737" i="12"/>
  <c r="H737" i="12"/>
  <c r="G737" i="12"/>
  <c r="F737" i="12"/>
  <c r="E737" i="12"/>
  <c r="D737" i="12"/>
  <c r="C737" i="12"/>
  <c r="B737" i="12"/>
  <c r="S736" i="12"/>
  <c r="R736" i="12"/>
  <c r="Q736" i="12"/>
  <c r="P736" i="12"/>
  <c r="O736" i="12"/>
  <c r="N736" i="12"/>
  <c r="M736" i="12"/>
  <c r="L736" i="12"/>
  <c r="K736" i="12"/>
  <c r="J736" i="12"/>
  <c r="I736" i="12"/>
  <c r="H736" i="12"/>
  <c r="G736" i="12"/>
  <c r="F736" i="12"/>
  <c r="E736" i="12"/>
  <c r="D736" i="12"/>
  <c r="C736" i="12"/>
  <c r="B736" i="12"/>
  <c r="S735" i="12"/>
  <c r="R735" i="12"/>
  <c r="Q735" i="12"/>
  <c r="P735" i="12"/>
  <c r="O735" i="12"/>
  <c r="N735" i="12"/>
  <c r="M735" i="12"/>
  <c r="L735" i="12"/>
  <c r="K735" i="12"/>
  <c r="J735" i="12"/>
  <c r="I735" i="12"/>
  <c r="H735" i="12"/>
  <c r="G735" i="12"/>
  <c r="F735" i="12"/>
  <c r="E735" i="12"/>
  <c r="D735" i="12"/>
  <c r="C735" i="12"/>
  <c r="B735" i="12"/>
  <c r="S734" i="12"/>
  <c r="R734" i="12"/>
  <c r="Q734" i="12"/>
  <c r="P734" i="12"/>
  <c r="O734" i="12"/>
  <c r="N734" i="12"/>
  <c r="M734" i="12"/>
  <c r="L734" i="12"/>
  <c r="K734" i="12"/>
  <c r="J734" i="12"/>
  <c r="I734" i="12"/>
  <c r="H734" i="12"/>
  <c r="G734" i="12"/>
  <c r="F734" i="12"/>
  <c r="E734" i="12"/>
  <c r="D734" i="12"/>
  <c r="C734" i="12"/>
  <c r="B734" i="12"/>
  <c r="S733" i="12"/>
  <c r="R733" i="12"/>
  <c r="Q733" i="12"/>
  <c r="P733" i="12"/>
  <c r="O733" i="12"/>
  <c r="N733" i="12"/>
  <c r="M733" i="12"/>
  <c r="L733" i="12"/>
  <c r="K733" i="12"/>
  <c r="J733" i="12"/>
  <c r="I733" i="12"/>
  <c r="H733" i="12"/>
  <c r="G733" i="12"/>
  <c r="F733" i="12"/>
  <c r="E733" i="12"/>
  <c r="D733" i="12"/>
  <c r="C733" i="12"/>
  <c r="B733" i="12"/>
  <c r="S732" i="12"/>
  <c r="R732" i="12"/>
  <c r="Q732" i="12"/>
  <c r="P732" i="12"/>
  <c r="O732" i="12"/>
  <c r="N732" i="12"/>
  <c r="M732" i="12"/>
  <c r="L732" i="12"/>
  <c r="K732" i="12"/>
  <c r="J732" i="12"/>
  <c r="I732" i="12"/>
  <c r="H732" i="12"/>
  <c r="G732" i="12"/>
  <c r="F732" i="12"/>
  <c r="E732" i="12"/>
  <c r="D732" i="12"/>
  <c r="C732" i="12"/>
  <c r="B732" i="12"/>
  <c r="S731" i="12"/>
  <c r="R731" i="12"/>
  <c r="Q731" i="12"/>
  <c r="P731" i="12"/>
  <c r="O731" i="12"/>
  <c r="N731" i="12"/>
  <c r="M731" i="12"/>
  <c r="L731" i="12"/>
  <c r="K731" i="12"/>
  <c r="J731" i="12"/>
  <c r="I731" i="12"/>
  <c r="H731" i="12"/>
  <c r="G731" i="12"/>
  <c r="F731" i="12"/>
  <c r="E731" i="12"/>
  <c r="D731" i="12"/>
  <c r="C731" i="12"/>
  <c r="B731" i="12"/>
  <c r="S730" i="12"/>
  <c r="R730" i="12"/>
  <c r="Q730" i="12"/>
  <c r="P730" i="12"/>
  <c r="O730" i="12"/>
  <c r="N730" i="12"/>
  <c r="M730" i="12"/>
  <c r="L730" i="12"/>
  <c r="K730" i="12"/>
  <c r="J730" i="12"/>
  <c r="I730" i="12"/>
  <c r="H730" i="12"/>
  <c r="G730" i="12"/>
  <c r="F730" i="12"/>
  <c r="E730" i="12"/>
  <c r="D730" i="12"/>
  <c r="C730" i="12"/>
  <c r="B730" i="12"/>
  <c r="S729" i="12"/>
  <c r="R729" i="12"/>
  <c r="Q729" i="12"/>
  <c r="P729" i="12"/>
  <c r="O729" i="12"/>
  <c r="N729" i="12"/>
  <c r="M729" i="12"/>
  <c r="L729" i="12"/>
  <c r="K729" i="12"/>
  <c r="J729" i="12"/>
  <c r="I729" i="12"/>
  <c r="H729" i="12"/>
  <c r="G729" i="12"/>
  <c r="F729" i="12"/>
  <c r="E729" i="12"/>
  <c r="D729" i="12"/>
  <c r="C729" i="12"/>
  <c r="B729" i="12"/>
  <c r="S728" i="12"/>
  <c r="R728" i="12"/>
  <c r="Q728" i="12"/>
  <c r="P728" i="12"/>
  <c r="O728" i="12"/>
  <c r="N728" i="12"/>
  <c r="M728" i="12"/>
  <c r="L728" i="12"/>
  <c r="K728" i="12"/>
  <c r="J728" i="12"/>
  <c r="I728" i="12"/>
  <c r="H728" i="12"/>
  <c r="G728" i="12"/>
  <c r="F728" i="12"/>
  <c r="E728" i="12"/>
  <c r="D728" i="12"/>
  <c r="C728" i="12"/>
  <c r="B728" i="12"/>
  <c r="S727" i="12"/>
  <c r="R727" i="12"/>
  <c r="Q727" i="12"/>
  <c r="P727" i="12"/>
  <c r="O727" i="12"/>
  <c r="N727" i="12"/>
  <c r="M727" i="12"/>
  <c r="L727" i="12"/>
  <c r="K727" i="12"/>
  <c r="J727" i="12"/>
  <c r="I727" i="12"/>
  <c r="H727" i="12"/>
  <c r="G727" i="12"/>
  <c r="F727" i="12"/>
  <c r="E727" i="12"/>
  <c r="D727" i="12"/>
  <c r="C727" i="12"/>
  <c r="B727" i="12"/>
  <c r="S726" i="12"/>
  <c r="R726" i="12"/>
  <c r="Q726" i="12"/>
  <c r="P726" i="12"/>
  <c r="O726" i="12"/>
  <c r="N726" i="12"/>
  <c r="M726" i="12"/>
  <c r="L726" i="12"/>
  <c r="K726" i="12"/>
  <c r="J726" i="12"/>
  <c r="I726" i="12"/>
  <c r="H726" i="12"/>
  <c r="G726" i="12"/>
  <c r="F726" i="12"/>
  <c r="E726" i="12"/>
  <c r="D726" i="12"/>
  <c r="C726" i="12"/>
  <c r="B726" i="12"/>
  <c r="S725" i="12"/>
  <c r="R725" i="12"/>
  <c r="Q725" i="12"/>
  <c r="P725" i="12"/>
  <c r="O725" i="12"/>
  <c r="N725" i="12"/>
  <c r="M725" i="12"/>
  <c r="L725" i="12"/>
  <c r="K725" i="12"/>
  <c r="J725" i="12"/>
  <c r="I725" i="12"/>
  <c r="H725" i="12"/>
  <c r="G725" i="12"/>
  <c r="F725" i="12"/>
  <c r="E725" i="12"/>
  <c r="D725" i="12"/>
  <c r="C725" i="12"/>
  <c r="B725" i="12"/>
  <c r="S724" i="12"/>
  <c r="R724" i="12"/>
  <c r="Q724" i="12"/>
  <c r="P724" i="12"/>
  <c r="O724" i="12"/>
  <c r="N724" i="12"/>
  <c r="M724" i="12"/>
  <c r="L724" i="12"/>
  <c r="K724" i="12"/>
  <c r="J724" i="12"/>
  <c r="I724" i="12"/>
  <c r="H724" i="12"/>
  <c r="G724" i="12"/>
  <c r="F724" i="12"/>
  <c r="E724" i="12"/>
  <c r="D724" i="12"/>
  <c r="C724" i="12"/>
  <c r="B724" i="12"/>
  <c r="S723" i="12"/>
  <c r="R723" i="12"/>
  <c r="Q723" i="12"/>
  <c r="P723" i="12"/>
  <c r="O723" i="12"/>
  <c r="N723" i="12"/>
  <c r="M723" i="12"/>
  <c r="L723" i="12"/>
  <c r="K723" i="12"/>
  <c r="J723" i="12"/>
  <c r="I723" i="12"/>
  <c r="H723" i="12"/>
  <c r="G723" i="12"/>
  <c r="F723" i="12"/>
  <c r="E723" i="12"/>
  <c r="D723" i="12"/>
  <c r="C723" i="12"/>
  <c r="B723" i="12"/>
  <c r="S722" i="12"/>
  <c r="R722" i="12"/>
  <c r="Q722" i="12"/>
  <c r="P722" i="12"/>
  <c r="O722" i="12"/>
  <c r="N722" i="12"/>
  <c r="M722" i="12"/>
  <c r="L722" i="12"/>
  <c r="K722" i="12"/>
  <c r="J722" i="12"/>
  <c r="I722" i="12"/>
  <c r="H722" i="12"/>
  <c r="G722" i="12"/>
  <c r="F722" i="12"/>
  <c r="E722" i="12"/>
  <c r="D722" i="12"/>
  <c r="C722" i="12"/>
  <c r="B722" i="12"/>
  <c r="S721" i="12"/>
  <c r="R721" i="12"/>
  <c r="Q721" i="12"/>
  <c r="P721" i="12"/>
  <c r="O721" i="12"/>
  <c r="N721" i="12"/>
  <c r="M721" i="12"/>
  <c r="L721" i="12"/>
  <c r="K721" i="12"/>
  <c r="J721" i="12"/>
  <c r="I721" i="12"/>
  <c r="H721" i="12"/>
  <c r="G721" i="12"/>
  <c r="F721" i="12"/>
  <c r="E721" i="12"/>
  <c r="D721" i="12"/>
  <c r="C721" i="12"/>
  <c r="B721" i="12"/>
  <c r="S720" i="12"/>
  <c r="R720" i="12"/>
  <c r="Q720" i="12"/>
  <c r="P720" i="12"/>
  <c r="O720" i="12"/>
  <c r="N720" i="12"/>
  <c r="M720" i="12"/>
  <c r="L720" i="12"/>
  <c r="K720" i="12"/>
  <c r="J720" i="12"/>
  <c r="I720" i="12"/>
  <c r="H720" i="12"/>
  <c r="G720" i="12"/>
  <c r="F720" i="12"/>
  <c r="E720" i="12"/>
  <c r="D720" i="12"/>
  <c r="C720" i="12"/>
  <c r="B720" i="12"/>
  <c r="S719" i="12"/>
  <c r="R719" i="12"/>
  <c r="Q719" i="12"/>
  <c r="P719" i="12"/>
  <c r="O719" i="12"/>
  <c r="N719" i="12"/>
  <c r="M719" i="12"/>
  <c r="L719" i="12"/>
  <c r="K719" i="12"/>
  <c r="J719" i="12"/>
  <c r="I719" i="12"/>
  <c r="H719" i="12"/>
  <c r="G719" i="12"/>
  <c r="F719" i="12"/>
  <c r="E719" i="12"/>
  <c r="D719" i="12"/>
  <c r="C719" i="12"/>
  <c r="B719" i="12"/>
  <c r="S718" i="12"/>
  <c r="R718" i="12"/>
  <c r="Q718" i="12"/>
  <c r="P718" i="12"/>
  <c r="O718" i="12"/>
  <c r="N718" i="12"/>
  <c r="M718" i="12"/>
  <c r="L718" i="12"/>
  <c r="K718" i="12"/>
  <c r="J718" i="12"/>
  <c r="I718" i="12"/>
  <c r="H718" i="12"/>
  <c r="G718" i="12"/>
  <c r="F718" i="12"/>
  <c r="E718" i="12"/>
  <c r="D718" i="12"/>
  <c r="C718" i="12"/>
  <c r="B718" i="12"/>
  <c r="S717" i="12"/>
  <c r="R717" i="12"/>
  <c r="Q717" i="12"/>
  <c r="P717" i="12"/>
  <c r="O717" i="12"/>
  <c r="N717" i="12"/>
  <c r="M717" i="12"/>
  <c r="L717" i="12"/>
  <c r="K717" i="12"/>
  <c r="J717" i="12"/>
  <c r="I717" i="12"/>
  <c r="H717" i="12"/>
  <c r="G717" i="12"/>
  <c r="F717" i="12"/>
  <c r="E717" i="12"/>
  <c r="D717" i="12"/>
  <c r="C717" i="12"/>
  <c r="B717" i="12"/>
  <c r="S716" i="12"/>
  <c r="R716" i="12"/>
  <c r="Q716" i="12"/>
  <c r="P716" i="12"/>
  <c r="O716" i="12"/>
  <c r="N716" i="12"/>
  <c r="M716" i="12"/>
  <c r="L716" i="12"/>
  <c r="K716" i="12"/>
  <c r="J716" i="12"/>
  <c r="I716" i="12"/>
  <c r="H716" i="12"/>
  <c r="G716" i="12"/>
  <c r="F716" i="12"/>
  <c r="E716" i="12"/>
  <c r="D716" i="12"/>
  <c r="C716" i="12"/>
  <c r="B716" i="12"/>
  <c r="S715" i="12"/>
  <c r="R715" i="12"/>
  <c r="Q715" i="12"/>
  <c r="P715" i="12"/>
  <c r="O715" i="12"/>
  <c r="N715" i="12"/>
  <c r="M715" i="12"/>
  <c r="L715" i="12"/>
  <c r="K715" i="12"/>
  <c r="J715" i="12"/>
  <c r="I715" i="12"/>
  <c r="H715" i="12"/>
  <c r="G715" i="12"/>
  <c r="F715" i="12"/>
  <c r="E715" i="12"/>
  <c r="D715" i="12"/>
  <c r="C715" i="12"/>
  <c r="B715" i="12"/>
  <c r="S714" i="12"/>
  <c r="R714" i="12"/>
  <c r="Q714" i="12"/>
  <c r="P714" i="12"/>
  <c r="O714" i="12"/>
  <c r="N714" i="12"/>
  <c r="M714" i="12"/>
  <c r="L714" i="12"/>
  <c r="K714" i="12"/>
  <c r="J714" i="12"/>
  <c r="I714" i="12"/>
  <c r="H714" i="12"/>
  <c r="G714" i="12"/>
  <c r="F714" i="12"/>
  <c r="E714" i="12"/>
  <c r="D714" i="12"/>
  <c r="C714" i="12"/>
  <c r="B714" i="12"/>
  <c r="S713" i="12"/>
  <c r="R713" i="12"/>
  <c r="Q713" i="12"/>
  <c r="P713" i="12"/>
  <c r="O713" i="12"/>
  <c r="N713" i="12"/>
  <c r="M713" i="12"/>
  <c r="L713" i="12"/>
  <c r="K713" i="12"/>
  <c r="J713" i="12"/>
  <c r="I713" i="12"/>
  <c r="H713" i="12"/>
  <c r="G713" i="12"/>
  <c r="F713" i="12"/>
  <c r="E713" i="12"/>
  <c r="D713" i="12"/>
  <c r="C713" i="12"/>
  <c r="B713" i="12"/>
  <c r="S712" i="12"/>
  <c r="R712" i="12"/>
  <c r="Q712" i="12"/>
  <c r="P712" i="12"/>
  <c r="O712" i="12"/>
  <c r="N712" i="12"/>
  <c r="M712" i="12"/>
  <c r="L712" i="12"/>
  <c r="K712" i="12"/>
  <c r="J712" i="12"/>
  <c r="I712" i="12"/>
  <c r="H712" i="12"/>
  <c r="G712" i="12"/>
  <c r="F712" i="12"/>
  <c r="E712" i="12"/>
  <c r="D712" i="12"/>
  <c r="C712" i="12"/>
  <c r="B712" i="12"/>
  <c r="S711" i="12"/>
  <c r="R711" i="12"/>
  <c r="Q711" i="12"/>
  <c r="P711" i="12"/>
  <c r="O711" i="12"/>
  <c r="N711" i="12"/>
  <c r="M711" i="12"/>
  <c r="L711" i="12"/>
  <c r="K711" i="12"/>
  <c r="J711" i="12"/>
  <c r="I711" i="12"/>
  <c r="H711" i="12"/>
  <c r="G711" i="12"/>
  <c r="F711" i="12"/>
  <c r="E711" i="12"/>
  <c r="D711" i="12"/>
  <c r="C711" i="12"/>
  <c r="B711" i="12"/>
  <c r="S710" i="12"/>
  <c r="R710" i="12"/>
  <c r="Q710" i="12"/>
  <c r="P710" i="12"/>
  <c r="O710" i="12"/>
  <c r="N710" i="12"/>
  <c r="M710" i="12"/>
  <c r="L710" i="12"/>
  <c r="K710" i="12"/>
  <c r="J710" i="12"/>
  <c r="I710" i="12"/>
  <c r="H710" i="12"/>
  <c r="G710" i="12"/>
  <c r="F710" i="12"/>
  <c r="E710" i="12"/>
  <c r="D710" i="12"/>
  <c r="C710" i="12"/>
  <c r="B710" i="12"/>
  <c r="S709" i="12"/>
  <c r="R709" i="12"/>
  <c r="Q709" i="12"/>
  <c r="P709" i="12"/>
  <c r="O709" i="12"/>
  <c r="N709" i="12"/>
  <c r="M709" i="12"/>
  <c r="L709" i="12"/>
  <c r="K709" i="12"/>
  <c r="J709" i="12"/>
  <c r="I709" i="12"/>
  <c r="H709" i="12"/>
  <c r="G709" i="12"/>
  <c r="F709" i="12"/>
  <c r="E709" i="12"/>
  <c r="D709" i="12"/>
  <c r="C709" i="12"/>
  <c r="B709" i="12"/>
  <c r="S708" i="12"/>
  <c r="R708" i="12"/>
  <c r="Q708" i="12"/>
  <c r="P708" i="12"/>
  <c r="O708" i="12"/>
  <c r="N708" i="12"/>
  <c r="M708" i="12"/>
  <c r="L708" i="12"/>
  <c r="K708" i="12"/>
  <c r="J708" i="12"/>
  <c r="I708" i="12"/>
  <c r="H708" i="12"/>
  <c r="G708" i="12"/>
  <c r="F708" i="12"/>
  <c r="E708" i="12"/>
  <c r="D708" i="12"/>
  <c r="C708" i="12"/>
  <c r="B708" i="12"/>
  <c r="S707" i="12"/>
  <c r="R707" i="12"/>
  <c r="Q707" i="12"/>
  <c r="P707" i="12"/>
  <c r="O707" i="12"/>
  <c r="N707" i="12"/>
  <c r="M707" i="12"/>
  <c r="L707" i="12"/>
  <c r="K707" i="12"/>
  <c r="J707" i="12"/>
  <c r="I707" i="12"/>
  <c r="H707" i="12"/>
  <c r="G707" i="12"/>
  <c r="F707" i="12"/>
  <c r="E707" i="12"/>
  <c r="D707" i="12"/>
  <c r="C707" i="12"/>
  <c r="B707" i="12"/>
  <c r="S706" i="12"/>
  <c r="R706" i="12"/>
  <c r="Q706" i="12"/>
  <c r="P706" i="12"/>
  <c r="O706" i="12"/>
  <c r="N706" i="12"/>
  <c r="M706" i="12"/>
  <c r="L706" i="12"/>
  <c r="K706" i="12"/>
  <c r="J706" i="12"/>
  <c r="I706" i="12"/>
  <c r="H706" i="12"/>
  <c r="G706" i="12"/>
  <c r="F706" i="12"/>
  <c r="E706" i="12"/>
  <c r="D706" i="12"/>
  <c r="C706" i="12"/>
  <c r="B706" i="12"/>
  <c r="S705" i="12"/>
  <c r="R705" i="12"/>
  <c r="Q705" i="12"/>
  <c r="P705" i="12"/>
  <c r="O705" i="12"/>
  <c r="N705" i="12"/>
  <c r="M705" i="12"/>
  <c r="L705" i="12"/>
  <c r="K705" i="12"/>
  <c r="J705" i="12"/>
  <c r="I705" i="12"/>
  <c r="H705" i="12"/>
  <c r="G705" i="12"/>
  <c r="F705" i="12"/>
  <c r="E705" i="12"/>
  <c r="D705" i="12"/>
  <c r="C705" i="12"/>
  <c r="B705" i="12"/>
  <c r="S704" i="12"/>
  <c r="R704" i="12"/>
  <c r="Q704" i="12"/>
  <c r="P704" i="12"/>
  <c r="O704" i="12"/>
  <c r="N704" i="12"/>
  <c r="M704" i="12"/>
  <c r="L704" i="12"/>
  <c r="K704" i="12"/>
  <c r="J704" i="12"/>
  <c r="I704" i="12"/>
  <c r="H704" i="12"/>
  <c r="G704" i="12"/>
  <c r="F704" i="12"/>
  <c r="E704" i="12"/>
  <c r="D704" i="12"/>
  <c r="C704" i="12"/>
  <c r="B704" i="12"/>
  <c r="S703" i="12"/>
  <c r="R703" i="12"/>
  <c r="Q703" i="12"/>
  <c r="P703" i="12"/>
  <c r="O703" i="12"/>
  <c r="N703" i="12"/>
  <c r="M703" i="12"/>
  <c r="L703" i="12"/>
  <c r="K703" i="12"/>
  <c r="J703" i="12"/>
  <c r="I703" i="12"/>
  <c r="H703" i="12"/>
  <c r="G703" i="12"/>
  <c r="F703" i="12"/>
  <c r="E703" i="12"/>
  <c r="D703" i="12"/>
  <c r="C703" i="12"/>
  <c r="B703" i="12"/>
  <c r="S702" i="12"/>
  <c r="R702" i="12"/>
  <c r="Q702" i="12"/>
  <c r="P702" i="12"/>
  <c r="O702" i="12"/>
  <c r="N702" i="12"/>
  <c r="M702" i="12"/>
  <c r="L702" i="12"/>
  <c r="K702" i="12"/>
  <c r="J702" i="12"/>
  <c r="I702" i="12"/>
  <c r="H702" i="12"/>
  <c r="G702" i="12"/>
  <c r="F702" i="12"/>
  <c r="E702" i="12"/>
  <c r="D702" i="12"/>
  <c r="C702" i="12"/>
  <c r="B702" i="12"/>
  <c r="S701" i="12"/>
  <c r="R701" i="12"/>
  <c r="Q701" i="12"/>
  <c r="P701" i="12"/>
  <c r="O701" i="12"/>
  <c r="N701" i="12"/>
  <c r="M701" i="12"/>
  <c r="L701" i="12"/>
  <c r="K701" i="12"/>
  <c r="J701" i="12"/>
  <c r="I701" i="12"/>
  <c r="H701" i="12"/>
  <c r="G701" i="12"/>
  <c r="F701" i="12"/>
  <c r="E701" i="12"/>
  <c r="D701" i="12"/>
  <c r="C701" i="12"/>
  <c r="B701" i="12"/>
  <c r="S700" i="12"/>
  <c r="R700" i="12"/>
  <c r="Q700" i="12"/>
  <c r="P700" i="12"/>
  <c r="O700" i="12"/>
  <c r="N700" i="12"/>
  <c r="M700" i="12"/>
  <c r="L700" i="12"/>
  <c r="K700" i="12"/>
  <c r="J700" i="12"/>
  <c r="I700" i="12"/>
  <c r="H700" i="12"/>
  <c r="G700" i="12"/>
  <c r="F700" i="12"/>
  <c r="E700" i="12"/>
  <c r="D700" i="12"/>
  <c r="C700" i="12"/>
  <c r="B700" i="12"/>
  <c r="S699" i="12"/>
  <c r="R699" i="12"/>
  <c r="Q699" i="12"/>
  <c r="P699" i="12"/>
  <c r="O699" i="12"/>
  <c r="N699" i="12"/>
  <c r="M699" i="12"/>
  <c r="L699" i="12"/>
  <c r="K699" i="12"/>
  <c r="J699" i="12"/>
  <c r="I699" i="12"/>
  <c r="H699" i="12"/>
  <c r="G699" i="12"/>
  <c r="F699" i="12"/>
  <c r="E699" i="12"/>
  <c r="D699" i="12"/>
  <c r="C699" i="12"/>
  <c r="B699" i="12"/>
  <c r="S698" i="12"/>
  <c r="R698" i="12"/>
  <c r="Q698" i="12"/>
  <c r="P698" i="12"/>
  <c r="O698" i="12"/>
  <c r="N698" i="12"/>
  <c r="M698" i="12"/>
  <c r="L698" i="12"/>
  <c r="K698" i="12"/>
  <c r="J698" i="12"/>
  <c r="I698" i="12"/>
  <c r="H698" i="12"/>
  <c r="G698" i="12"/>
  <c r="F698" i="12"/>
  <c r="E698" i="12"/>
  <c r="D698" i="12"/>
  <c r="C698" i="12"/>
  <c r="B698" i="12"/>
  <c r="S697" i="12"/>
  <c r="R697" i="12"/>
  <c r="Q697" i="12"/>
  <c r="P697" i="12"/>
  <c r="O697" i="12"/>
  <c r="N697" i="12"/>
  <c r="M697" i="12"/>
  <c r="L697" i="12"/>
  <c r="K697" i="12"/>
  <c r="J697" i="12"/>
  <c r="I697" i="12"/>
  <c r="H697" i="12"/>
  <c r="G697" i="12"/>
  <c r="F697" i="12"/>
  <c r="E697" i="12"/>
  <c r="D697" i="12"/>
  <c r="C697" i="12"/>
  <c r="B697" i="12"/>
  <c r="S696" i="12"/>
  <c r="R696" i="12"/>
  <c r="Q696" i="12"/>
  <c r="P696" i="12"/>
  <c r="O696" i="12"/>
  <c r="N696" i="12"/>
  <c r="M696" i="12"/>
  <c r="L696" i="12"/>
  <c r="K696" i="12"/>
  <c r="J696" i="12"/>
  <c r="I696" i="12"/>
  <c r="H696" i="12"/>
  <c r="G696" i="12"/>
  <c r="F696" i="12"/>
  <c r="E696" i="12"/>
  <c r="D696" i="12"/>
  <c r="C696" i="12"/>
  <c r="B696" i="12"/>
  <c r="S695" i="12"/>
  <c r="R695" i="12"/>
  <c r="Q695" i="12"/>
  <c r="P695" i="12"/>
  <c r="O695" i="12"/>
  <c r="N695" i="12"/>
  <c r="M695" i="12"/>
  <c r="L695" i="12"/>
  <c r="K695" i="12"/>
  <c r="J695" i="12"/>
  <c r="I695" i="12"/>
  <c r="H695" i="12"/>
  <c r="G695" i="12"/>
  <c r="F695" i="12"/>
  <c r="E695" i="12"/>
  <c r="D695" i="12"/>
  <c r="C695" i="12"/>
  <c r="B695" i="12"/>
  <c r="S694" i="12"/>
  <c r="R694" i="12"/>
  <c r="Q694" i="12"/>
  <c r="P694" i="12"/>
  <c r="O694" i="12"/>
  <c r="N694" i="12"/>
  <c r="M694" i="12"/>
  <c r="L694" i="12"/>
  <c r="K694" i="12"/>
  <c r="J694" i="12"/>
  <c r="I694" i="12"/>
  <c r="H694" i="12"/>
  <c r="G694" i="12"/>
  <c r="F694" i="12"/>
  <c r="E694" i="12"/>
  <c r="D694" i="12"/>
  <c r="C694" i="12"/>
  <c r="B694" i="12"/>
  <c r="S693" i="12"/>
  <c r="R693" i="12"/>
  <c r="Q693" i="12"/>
  <c r="P693" i="12"/>
  <c r="O693" i="12"/>
  <c r="N693" i="12"/>
  <c r="M693" i="12"/>
  <c r="L693" i="12"/>
  <c r="K693" i="12"/>
  <c r="J693" i="12"/>
  <c r="I693" i="12"/>
  <c r="H693" i="12"/>
  <c r="G693" i="12"/>
  <c r="F693" i="12"/>
  <c r="E693" i="12"/>
  <c r="D693" i="12"/>
  <c r="C693" i="12"/>
  <c r="B693" i="12"/>
  <c r="S692" i="12"/>
  <c r="R692" i="12"/>
  <c r="Q692" i="12"/>
  <c r="P692" i="12"/>
  <c r="O692" i="12"/>
  <c r="N692" i="12"/>
  <c r="M692" i="12"/>
  <c r="L692" i="12"/>
  <c r="K692" i="12"/>
  <c r="J692" i="12"/>
  <c r="I692" i="12"/>
  <c r="H692" i="12"/>
  <c r="G692" i="12"/>
  <c r="F692" i="12"/>
  <c r="E692" i="12"/>
  <c r="D692" i="12"/>
  <c r="C692" i="12"/>
  <c r="B692" i="12"/>
  <c r="S691" i="12"/>
  <c r="R691" i="12"/>
  <c r="Q691" i="12"/>
  <c r="P691" i="12"/>
  <c r="O691" i="12"/>
  <c r="N691" i="12"/>
  <c r="M691" i="12"/>
  <c r="L691" i="12"/>
  <c r="K691" i="12"/>
  <c r="J691" i="12"/>
  <c r="I691" i="12"/>
  <c r="H691" i="12"/>
  <c r="G691" i="12"/>
  <c r="F691" i="12"/>
  <c r="E691" i="12"/>
  <c r="D691" i="12"/>
  <c r="C691" i="12"/>
  <c r="B691" i="12"/>
  <c r="S690" i="12"/>
  <c r="R690" i="12"/>
  <c r="Q690" i="12"/>
  <c r="P690" i="12"/>
  <c r="O690" i="12"/>
  <c r="N690" i="12"/>
  <c r="M690" i="12"/>
  <c r="L690" i="12"/>
  <c r="K690" i="12"/>
  <c r="J690" i="12"/>
  <c r="I690" i="12"/>
  <c r="H690" i="12"/>
  <c r="G690" i="12"/>
  <c r="F690" i="12"/>
  <c r="E690" i="12"/>
  <c r="D690" i="12"/>
  <c r="C690" i="12"/>
  <c r="B690" i="12"/>
  <c r="S689" i="12"/>
  <c r="R689" i="12"/>
  <c r="Q689" i="12"/>
  <c r="P689" i="12"/>
  <c r="O689" i="12"/>
  <c r="N689" i="12"/>
  <c r="M689" i="12"/>
  <c r="L689" i="12"/>
  <c r="K689" i="12"/>
  <c r="J689" i="12"/>
  <c r="I689" i="12"/>
  <c r="H689" i="12"/>
  <c r="G689" i="12"/>
  <c r="F689" i="12"/>
  <c r="E689" i="12"/>
  <c r="D689" i="12"/>
  <c r="C689" i="12"/>
  <c r="B689" i="12"/>
  <c r="S688" i="12"/>
  <c r="R688" i="12"/>
  <c r="Q688" i="12"/>
  <c r="P688" i="12"/>
  <c r="O688" i="12"/>
  <c r="N688" i="12"/>
  <c r="M688" i="12"/>
  <c r="L688" i="12"/>
  <c r="K688" i="12"/>
  <c r="J688" i="12"/>
  <c r="I688" i="12"/>
  <c r="H688" i="12"/>
  <c r="G688" i="12"/>
  <c r="F688" i="12"/>
  <c r="E688" i="12"/>
  <c r="D688" i="12"/>
  <c r="C688" i="12"/>
  <c r="B688" i="12"/>
  <c r="S687" i="12"/>
  <c r="R687" i="12"/>
  <c r="Q687" i="12"/>
  <c r="P687" i="12"/>
  <c r="O687" i="12"/>
  <c r="N687" i="12"/>
  <c r="M687" i="12"/>
  <c r="L687" i="12"/>
  <c r="K687" i="12"/>
  <c r="J687" i="12"/>
  <c r="I687" i="12"/>
  <c r="H687" i="12"/>
  <c r="G687" i="12"/>
  <c r="F687" i="12"/>
  <c r="E687" i="12"/>
  <c r="D687" i="12"/>
  <c r="C687" i="12"/>
  <c r="B687" i="12"/>
  <c r="S686" i="12"/>
  <c r="R686" i="12"/>
  <c r="Q686" i="12"/>
  <c r="P686" i="12"/>
  <c r="O686" i="12"/>
  <c r="N686" i="12"/>
  <c r="M686" i="12"/>
  <c r="L686" i="12"/>
  <c r="K686" i="12"/>
  <c r="J686" i="12"/>
  <c r="I686" i="12"/>
  <c r="H686" i="12"/>
  <c r="G686" i="12"/>
  <c r="F686" i="12"/>
  <c r="E686" i="12"/>
  <c r="D686" i="12"/>
  <c r="C686" i="12"/>
  <c r="B686" i="12"/>
  <c r="S685" i="12"/>
  <c r="R685" i="12"/>
  <c r="Q685" i="12"/>
  <c r="P685" i="12"/>
  <c r="O685" i="12"/>
  <c r="N685" i="12"/>
  <c r="M685" i="12"/>
  <c r="L685" i="12"/>
  <c r="K685" i="12"/>
  <c r="J685" i="12"/>
  <c r="I685" i="12"/>
  <c r="H685" i="12"/>
  <c r="G685" i="12"/>
  <c r="F685" i="12"/>
  <c r="E685" i="12"/>
  <c r="D685" i="12"/>
  <c r="C685" i="12"/>
  <c r="B685" i="12"/>
  <c r="S684" i="12"/>
  <c r="R684" i="12"/>
  <c r="Q684" i="12"/>
  <c r="P684" i="12"/>
  <c r="O684" i="12"/>
  <c r="N684" i="12"/>
  <c r="M684" i="12"/>
  <c r="L684" i="12"/>
  <c r="K684" i="12"/>
  <c r="J684" i="12"/>
  <c r="I684" i="12"/>
  <c r="H684" i="12"/>
  <c r="G684" i="12"/>
  <c r="F684" i="12"/>
  <c r="E684" i="12"/>
  <c r="D684" i="12"/>
  <c r="C684" i="12"/>
  <c r="B684" i="12"/>
  <c r="S683" i="12"/>
  <c r="R683" i="12"/>
  <c r="Q683" i="12"/>
  <c r="P683" i="12"/>
  <c r="O683" i="12"/>
  <c r="N683" i="12"/>
  <c r="M683" i="12"/>
  <c r="L683" i="12"/>
  <c r="K683" i="12"/>
  <c r="J683" i="12"/>
  <c r="I683" i="12"/>
  <c r="H683" i="12"/>
  <c r="G683" i="12"/>
  <c r="F683" i="12"/>
  <c r="E683" i="12"/>
  <c r="D683" i="12"/>
  <c r="C683" i="12"/>
  <c r="B683" i="12"/>
  <c r="S682" i="12"/>
  <c r="R682" i="12"/>
  <c r="Q682" i="12"/>
  <c r="P682" i="12"/>
  <c r="O682" i="12"/>
  <c r="N682" i="12"/>
  <c r="M682" i="12"/>
  <c r="L682" i="12"/>
  <c r="K682" i="12"/>
  <c r="J682" i="12"/>
  <c r="I682" i="12"/>
  <c r="H682" i="12"/>
  <c r="G682" i="12"/>
  <c r="F682" i="12"/>
  <c r="E682" i="12"/>
  <c r="D682" i="12"/>
  <c r="C682" i="12"/>
  <c r="B682" i="12"/>
  <c r="S681" i="12"/>
  <c r="R681" i="12"/>
  <c r="Q681" i="12"/>
  <c r="P681" i="12"/>
  <c r="O681" i="12"/>
  <c r="N681" i="12"/>
  <c r="M681" i="12"/>
  <c r="L681" i="12"/>
  <c r="K681" i="12"/>
  <c r="J681" i="12"/>
  <c r="I681" i="12"/>
  <c r="H681" i="12"/>
  <c r="G681" i="12"/>
  <c r="F681" i="12"/>
  <c r="E681" i="12"/>
  <c r="D681" i="12"/>
  <c r="C681" i="12"/>
  <c r="B681" i="12"/>
  <c r="S680" i="12"/>
  <c r="R680" i="12"/>
  <c r="Q680" i="12"/>
  <c r="P680" i="12"/>
  <c r="O680" i="12"/>
  <c r="N680" i="12"/>
  <c r="M680" i="12"/>
  <c r="L680" i="12"/>
  <c r="K680" i="12"/>
  <c r="J680" i="12"/>
  <c r="I680" i="12"/>
  <c r="H680" i="12"/>
  <c r="G680" i="12"/>
  <c r="F680" i="12"/>
  <c r="E680" i="12"/>
  <c r="D680" i="12"/>
  <c r="C680" i="12"/>
  <c r="B680" i="12"/>
  <c r="S679" i="12"/>
  <c r="R679" i="12"/>
  <c r="Q679" i="12"/>
  <c r="P679" i="12"/>
  <c r="O679" i="12"/>
  <c r="N679" i="12"/>
  <c r="M679" i="12"/>
  <c r="L679" i="12"/>
  <c r="K679" i="12"/>
  <c r="J679" i="12"/>
  <c r="I679" i="12"/>
  <c r="H679" i="12"/>
  <c r="G679" i="12"/>
  <c r="F679" i="12"/>
  <c r="E679" i="12"/>
  <c r="D679" i="12"/>
  <c r="C679" i="12"/>
  <c r="B679" i="12"/>
  <c r="S678" i="12"/>
  <c r="R678" i="12"/>
  <c r="Q678" i="12"/>
  <c r="P678" i="12"/>
  <c r="O678" i="12"/>
  <c r="N678" i="12"/>
  <c r="M678" i="12"/>
  <c r="L678" i="12"/>
  <c r="K678" i="12"/>
  <c r="J678" i="12"/>
  <c r="I678" i="12"/>
  <c r="H678" i="12"/>
  <c r="G678" i="12"/>
  <c r="F678" i="12"/>
  <c r="E678" i="12"/>
  <c r="D678" i="12"/>
  <c r="C678" i="12"/>
  <c r="B678" i="12"/>
  <c r="S677" i="12"/>
  <c r="R677" i="12"/>
  <c r="Q677" i="12"/>
  <c r="P677" i="12"/>
  <c r="O677" i="12"/>
  <c r="N677" i="12"/>
  <c r="M677" i="12"/>
  <c r="L677" i="12"/>
  <c r="K677" i="12"/>
  <c r="J677" i="12"/>
  <c r="I677" i="12"/>
  <c r="H677" i="12"/>
  <c r="G677" i="12"/>
  <c r="F677" i="12"/>
  <c r="E677" i="12"/>
  <c r="D677" i="12"/>
  <c r="C677" i="12"/>
  <c r="B677" i="12"/>
  <c r="S676" i="12"/>
  <c r="R676" i="12"/>
  <c r="Q676" i="12"/>
  <c r="P676" i="12"/>
  <c r="O676" i="12"/>
  <c r="N676" i="12"/>
  <c r="M676" i="12"/>
  <c r="L676" i="12"/>
  <c r="K676" i="12"/>
  <c r="J676" i="12"/>
  <c r="I676" i="12"/>
  <c r="H676" i="12"/>
  <c r="G676" i="12"/>
  <c r="F676" i="12"/>
  <c r="E676" i="12"/>
  <c r="D676" i="12"/>
  <c r="C676" i="12"/>
  <c r="B676" i="12"/>
  <c r="S675" i="12"/>
  <c r="R675" i="12"/>
  <c r="Q675" i="12"/>
  <c r="P675" i="12"/>
  <c r="O675" i="12"/>
  <c r="N675" i="12"/>
  <c r="M675" i="12"/>
  <c r="L675" i="12"/>
  <c r="K675" i="12"/>
  <c r="J675" i="12"/>
  <c r="I675" i="12"/>
  <c r="H675" i="12"/>
  <c r="G675" i="12"/>
  <c r="F675" i="12"/>
  <c r="E675" i="12"/>
  <c r="D675" i="12"/>
  <c r="C675" i="12"/>
  <c r="B675" i="12"/>
  <c r="S674" i="12"/>
  <c r="R674" i="12"/>
  <c r="Q674" i="12"/>
  <c r="P674" i="12"/>
  <c r="O674" i="12"/>
  <c r="N674" i="12"/>
  <c r="M674" i="12"/>
  <c r="L674" i="12"/>
  <c r="K674" i="12"/>
  <c r="J674" i="12"/>
  <c r="I674" i="12"/>
  <c r="H674" i="12"/>
  <c r="G674" i="12"/>
  <c r="F674" i="12"/>
  <c r="E674" i="12"/>
  <c r="D674" i="12"/>
  <c r="C674" i="12"/>
  <c r="B674" i="12"/>
  <c r="S673" i="12"/>
  <c r="R673" i="12"/>
  <c r="Q673" i="12"/>
  <c r="P673" i="12"/>
  <c r="O673" i="12"/>
  <c r="N673" i="12"/>
  <c r="M673" i="12"/>
  <c r="L673" i="12"/>
  <c r="K673" i="12"/>
  <c r="J673" i="12"/>
  <c r="I673" i="12"/>
  <c r="H673" i="12"/>
  <c r="G673" i="12"/>
  <c r="F673" i="12"/>
  <c r="E673" i="12"/>
  <c r="D673" i="12"/>
  <c r="C673" i="12"/>
  <c r="B673" i="12"/>
  <c r="S672" i="12"/>
  <c r="R672" i="12"/>
  <c r="Q672" i="12"/>
  <c r="P672" i="12"/>
  <c r="O672" i="12"/>
  <c r="N672" i="12"/>
  <c r="M672" i="12"/>
  <c r="L672" i="12"/>
  <c r="K672" i="12"/>
  <c r="J672" i="12"/>
  <c r="I672" i="12"/>
  <c r="H672" i="12"/>
  <c r="G672" i="12"/>
  <c r="F672" i="12"/>
  <c r="E672" i="12"/>
  <c r="D672" i="12"/>
  <c r="C672" i="12"/>
  <c r="B672" i="12"/>
  <c r="S671" i="12"/>
  <c r="R671" i="12"/>
  <c r="Q671" i="12"/>
  <c r="P671" i="12"/>
  <c r="O671" i="12"/>
  <c r="N671" i="12"/>
  <c r="M671" i="12"/>
  <c r="L671" i="12"/>
  <c r="K671" i="12"/>
  <c r="J671" i="12"/>
  <c r="I671" i="12"/>
  <c r="H671" i="12"/>
  <c r="G671" i="12"/>
  <c r="F671" i="12"/>
  <c r="E671" i="12"/>
  <c r="D671" i="12"/>
  <c r="C671" i="12"/>
  <c r="B671" i="12"/>
  <c r="S670" i="12"/>
  <c r="R670" i="12"/>
  <c r="Q670" i="12"/>
  <c r="P670" i="12"/>
  <c r="O670" i="12"/>
  <c r="N670" i="12"/>
  <c r="M670" i="12"/>
  <c r="L670" i="12"/>
  <c r="K670" i="12"/>
  <c r="J670" i="12"/>
  <c r="I670" i="12"/>
  <c r="H670" i="12"/>
  <c r="G670" i="12"/>
  <c r="F670" i="12"/>
  <c r="E670" i="12"/>
  <c r="D670" i="12"/>
  <c r="C670" i="12"/>
  <c r="B670" i="12"/>
  <c r="S669" i="12"/>
  <c r="R669" i="12"/>
  <c r="Q669" i="12"/>
  <c r="P669" i="12"/>
  <c r="O669" i="12"/>
  <c r="N669" i="12"/>
  <c r="M669" i="12"/>
  <c r="L669" i="12"/>
  <c r="K669" i="12"/>
  <c r="J669" i="12"/>
  <c r="I669" i="12"/>
  <c r="H669" i="12"/>
  <c r="G669" i="12"/>
  <c r="F669" i="12"/>
  <c r="E669" i="12"/>
  <c r="D669" i="12"/>
  <c r="C669" i="12"/>
  <c r="B669" i="12"/>
  <c r="S668" i="12"/>
  <c r="R668" i="12"/>
  <c r="Q668" i="12"/>
  <c r="P668" i="12"/>
  <c r="O668" i="12"/>
  <c r="N668" i="12"/>
  <c r="M668" i="12"/>
  <c r="L668" i="12"/>
  <c r="K668" i="12"/>
  <c r="J668" i="12"/>
  <c r="I668" i="12"/>
  <c r="H668" i="12"/>
  <c r="G668" i="12"/>
  <c r="F668" i="12"/>
  <c r="E668" i="12"/>
  <c r="D668" i="12"/>
  <c r="C668" i="12"/>
  <c r="B668" i="12"/>
  <c r="S667" i="12"/>
  <c r="R667" i="12"/>
  <c r="Q667" i="12"/>
  <c r="P667" i="12"/>
  <c r="O667" i="12"/>
  <c r="N667" i="12"/>
  <c r="M667" i="12"/>
  <c r="L667" i="12"/>
  <c r="K667" i="12"/>
  <c r="J667" i="12"/>
  <c r="I667" i="12"/>
  <c r="H667" i="12"/>
  <c r="G667" i="12"/>
  <c r="F667" i="12"/>
  <c r="E667" i="12"/>
  <c r="D667" i="12"/>
  <c r="C667" i="12"/>
  <c r="B667" i="12"/>
  <c r="S666" i="12"/>
  <c r="R666" i="12"/>
  <c r="Q666" i="12"/>
  <c r="P666" i="12"/>
  <c r="O666" i="12"/>
  <c r="N666" i="12"/>
  <c r="M666" i="12"/>
  <c r="L666" i="12"/>
  <c r="K666" i="12"/>
  <c r="J666" i="12"/>
  <c r="I666" i="12"/>
  <c r="H666" i="12"/>
  <c r="G666" i="12"/>
  <c r="F666" i="12"/>
  <c r="E666" i="12"/>
  <c r="D666" i="12"/>
  <c r="C666" i="12"/>
  <c r="B666" i="12"/>
  <c r="S665" i="12"/>
  <c r="R665" i="12"/>
  <c r="Q665" i="12"/>
  <c r="P665" i="12"/>
  <c r="O665" i="12"/>
  <c r="N665" i="12"/>
  <c r="M665" i="12"/>
  <c r="L665" i="12"/>
  <c r="K665" i="12"/>
  <c r="J665" i="12"/>
  <c r="I665" i="12"/>
  <c r="H665" i="12"/>
  <c r="G665" i="12"/>
  <c r="F665" i="12"/>
  <c r="E665" i="12"/>
  <c r="D665" i="12"/>
  <c r="C665" i="12"/>
  <c r="B665" i="12"/>
  <c r="S664" i="12"/>
  <c r="R664" i="12"/>
  <c r="Q664" i="12"/>
  <c r="P664" i="12"/>
  <c r="O664" i="12"/>
  <c r="N664" i="12"/>
  <c r="M664" i="12"/>
  <c r="L664" i="12"/>
  <c r="K664" i="12"/>
  <c r="J664" i="12"/>
  <c r="I664" i="12"/>
  <c r="H664" i="12"/>
  <c r="G664" i="12"/>
  <c r="F664" i="12"/>
  <c r="E664" i="12"/>
  <c r="D664" i="12"/>
  <c r="C664" i="12"/>
  <c r="B664" i="12"/>
  <c r="S663" i="12"/>
  <c r="R663" i="12"/>
  <c r="Q663" i="12"/>
  <c r="P663" i="12"/>
  <c r="O663" i="12"/>
  <c r="N663" i="12"/>
  <c r="M663" i="12"/>
  <c r="L663" i="12"/>
  <c r="K663" i="12"/>
  <c r="J663" i="12"/>
  <c r="I663" i="12"/>
  <c r="H663" i="12"/>
  <c r="G663" i="12"/>
  <c r="F663" i="12"/>
  <c r="E663" i="12"/>
  <c r="D663" i="12"/>
  <c r="C663" i="12"/>
  <c r="B663" i="12"/>
  <c r="S662" i="12"/>
  <c r="R662" i="12"/>
  <c r="Q662" i="12"/>
  <c r="P662" i="12"/>
  <c r="O662" i="12"/>
  <c r="N662" i="12"/>
  <c r="M662" i="12"/>
  <c r="L662" i="12"/>
  <c r="K662" i="12"/>
  <c r="J662" i="12"/>
  <c r="I662" i="12"/>
  <c r="H662" i="12"/>
  <c r="G662" i="12"/>
  <c r="F662" i="12"/>
  <c r="E662" i="12"/>
  <c r="D662" i="12"/>
  <c r="C662" i="12"/>
  <c r="B662" i="12"/>
  <c r="S661" i="12"/>
  <c r="R661" i="12"/>
  <c r="Q661" i="12"/>
  <c r="P661" i="12"/>
  <c r="O661" i="12"/>
  <c r="N661" i="12"/>
  <c r="M661" i="12"/>
  <c r="L661" i="12"/>
  <c r="K661" i="12"/>
  <c r="J661" i="12"/>
  <c r="I661" i="12"/>
  <c r="H661" i="12"/>
  <c r="G661" i="12"/>
  <c r="F661" i="12"/>
  <c r="E661" i="12"/>
  <c r="D661" i="12"/>
  <c r="C661" i="12"/>
  <c r="B661" i="12"/>
  <c r="S660" i="12"/>
  <c r="R660" i="12"/>
  <c r="Q660" i="12"/>
  <c r="P660" i="12"/>
  <c r="O660" i="12"/>
  <c r="N660" i="12"/>
  <c r="M660" i="12"/>
  <c r="L660" i="12"/>
  <c r="K660" i="12"/>
  <c r="J660" i="12"/>
  <c r="I660" i="12"/>
  <c r="H660" i="12"/>
  <c r="G660" i="12"/>
  <c r="F660" i="12"/>
  <c r="E660" i="12"/>
  <c r="D660" i="12"/>
  <c r="C660" i="12"/>
  <c r="B660" i="12"/>
  <c r="S659" i="12"/>
  <c r="R659" i="12"/>
  <c r="Q659" i="12"/>
  <c r="P659" i="12"/>
  <c r="O659" i="12"/>
  <c r="N659" i="12"/>
  <c r="M659" i="12"/>
  <c r="L659" i="12"/>
  <c r="K659" i="12"/>
  <c r="J659" i="12"/>
  <c r="I659" i="12"/>
  <c r="H659" i="12"/>
  <c r="G659" i="12"/>
  <c r="F659" i="12"/>
  <c r="E659" i="12"/>
  <c r="D659" i="12"/>
  <c r="C659" i="12"/>
  <c r="B659" i="12"/>
  <c r="S658" i="12"/>
  <c r="R658" i="12"/>
  <c r="Q658" i="12"/>
  <c r="P658" i="12"/>
  <c r="O658" i="12"/>
  <c r="N658" i="12"/>
  <c r="M658" i="12"/>
  <c r="L658" i="12"/>
  <c r="K658" i="12"/>
  <c r="J658" i="12"/>
  <c r="I658" i="12"/>
  <c r="H658" i="12"/>
  <c r="G658" i="12"/>
  <c r="F658" i="12"/>
  <c r="E658" i="12"/>
  <c r="D658" i="12"/>
  <c r="C658" i="12"/>
  <c r="B658" i="12"/>
  <c r="S657" i="12"/>
  <c r="R657" i="12"/>
  <c r="Q657" i="12"/>
  <c r="P657" i="12"/>
  <c r="O657" i="12"/>
  <c r="N657" i="12"/>
  <c r="M657" i="12"/>
  <c r="L657" i="12"/>
  <c r="K657" i="12"/>
  <c r="J657" i="12"/>
  <c r="I657" i="12"/>
  <c r="H657" i="12"/>
  <c r="G657" i="12"/>
  <c r="F657" i="12"/>
  <c r="E657" i="12"/>
  <c r="D657" i="12"/>
  <c r="C657" i="12"/>
  <c r="B657" i="12"/>
  <c r="S656" i="12"/>
  <c r="R656" i="12"/>
  <c r="Q656" i="12"/>
  <c r="P656" i="12"/>
  <c r="O656" i="12"/>
  <c r="N656" i="12"/>
  <c r="M656" i="12"/>
  <c r="L656" i="12"/>
  <c r="K656" i="12"/>
  <c r="J656" i="12"/>
  <c r="I656" i="12"/>
  <c r="H656" i="12"/>
  <c r="G656" i="12"/>
  <c r="F656" i="12"/>
  <c r="E656" i="12"/>
  <c r="D656" i="12"/>
  <c r="C656" i="12"/>
  <c r="B656" i="12"/>
  <c r="S655" i="12"/>
  <c r="R655" i="12"/>
  <c r="Q655" i="12"/>
  <c r="P655" i="12"/>
  <c r="O655" i="12"/>
  <c r="N655" i="12"/>
  <c r="M655" i="12"/>
  <c r="L655" i="12"/>
  <c r="K655" i="12"/>
  <c r="J655" i="12"/>
  <c r="I655" i="12"/>
  <c r="H655" i="12"/>
  <c r="G655" i="12"/>
  <c r="F655" i="12"/>
  <c r="E655" i="12"/>
  <c r="D655" i="12"/>
  <c r="C655" i="12"/>
  <c r="B655" i="12"/>
  <c r="S654" i="12"/>
  <c r="R654" i="12"/>
  <c r="Q654" i="12"/>
  <c r="P654" i="12"/>
  <c r="O654" i="12"/>
  <c r="N654" i="12"/>
  <c r="M654" i="12"/>
  <c r="L654" i="12"/>
  <c r="K654" i="12"/>
  <c r="J654" i="12"/>
  <c r="I654" i="12"/>
  <c r="H654" i="12"/>
  <c r="G654" i="12"/>
  <c r="F654" i="12"/>
  <c r="E654" i="12"/>
  <c r="D654" i="12"/>
  <c r="C654" i="12"/>
  <c r="B654" i="12"/>
  <c r="S653" i="12"/>
  <c r="R653" i="12"/>
  <c r="Q653" i="12"/>
  <c r="P653" i="12"/>
  <c r="O653" i="12"/>
  <c r="N653" i="12"/>
  <c r="M653" i="12"/>
  <c r="L653" i="12"/>
  <c r="K653" i="12"/>
  <c r="J653" i="12"/>
  <c r="I653" i="12"/>
  <c r="H653" i="12"/>
  <c r="G653" i="12"/>
  <c r="F653" i="12"/>
  <c r="E653" i="12"/>
  <c r="D653" i="12"/>
  <c r="C653" i="12"/>
  <c r="B653" i="12"/>
  <c r="S652" i="12"/>
  <c r="R652" i="12"/>
  <c r="Q652" i="12"/>
  <c r="P652" i="12"/>
  <c r="O652" i="12"/>
  <c r="N652" i="12"/>
  <c r="M652" i="12"/>
  <c r="L652" i="12"/>
  <c r="K652" i="12"/>
  <c r="J652" i="12"/>
  <c r="I652" i="12"/>
  <c r="H652" i="12"/>
  <c r="G652" i="12"/>
  <c r="F652" i="12"/>
  <c r="E652" i="12"/>
  <c r="D652" i="12"/>
  <c r="C652" i="12"/>
  <c r="B652" i="12"/>
  <c r="S651" i="12"/>
  <c r="R651" i="12"/>
  <c r="Q651" i="12"/>
  <c r="P651" i="12"/>
  <c r="O651" i="12"/>
  <c r="N651" i="12"/>
  <c r="M651" i="12"/>
  <c r="L651" i="12"/>
  <c r="K651" i="12"/>
  <c r="J651" i="12"/>
  <c r="I651" i="12"/>
  <c r="H651" i="12"/>
  <c r="G651" i="12"/>
  <c r="F651" i="12"/>
  <c r="E651" i="12"/>
  <c r="D651" i="12"/>
  <c r="C651" i="12"/>
  <c r="B651" i="12"/>
  <c r="S650" i="12"/>
  <c r="R650" i="12"/>
  <c r="Q650" i="12"/>
  <c r="P650" i="12"/>
  <c r="O650" i="12"/>
  <c r="N650" i="12"/>
  <c r="M650" i="12"/>
  <c r="L650" i="12"/>
  <c r="K650" i="12"/>
  <c r="J650" i="12"/>
  <c r="I650" i="12"/>
  <c r="H650" i="12"/>
  <c r="G650" i="12"/>
  <c r="F650" i="12"/>
  <c r="E650" i="12"/>
  <c r="D650" i="12"/>
  <c r="C650" i="12"/>
  <c r="B650" i="12"/>
  <c r="S649" i="12"/>
  <c r="R649" i="12"/>
  <c r="Q649" i="12"/>
  <c r="P649" i="12"/>
  <c r="O649" i="12"/>
  <c r="N649" i="12"/>
  <c r="M649" i="12"/>
  <c r="L649" i="12"/>
  <c r="K649" i="12"/>
  <c r="J649" i="12"/>
  <c r="I649" i="12"/>
  <c r="H649" i="12"/>
  <c r="G649" i="12"/>
  <c r="F649" i="12"/>
  <c r="E649" i="12"/>
  <c r="D649" i="12"/>
  <c r="C649" i="12"/>
  <c r="B649" i="12"/>
  <c r="S648" i="12"/>
  <c r="R648" i="12"/>
  <c r="Q648" i="12"/>
  <c r="P648" i="12"/>
  <c r="O648" i="12"/>
  <c r="N648" i="12"/>
  <c r="M648" i="12"/>
  <c r="L648" i="12"/>
  <c r="K648" i="12"/>
  <c r="J648" i="12"/>
  <c r="I648" i="12"/>
  <c r="H648" i="12"/>
  <c r="G648" i="12"/>
  <c r="F648" i="12"/>
  <c r="E648" i="12"/>
  <c r="D648" i="12"/>
  <c r="C648" i="12"/>
  <c r="B648" i="12"/>
  <c r="S647" i="12"/>
  <c r="R647" i="12"/>
  <c r="Q647" i="12"/>
  <c r="P647" i="12"/>
  <c r="O647" i="12"/>
  <c r="N647" i="12"/>
  <c r="M647" i="12"/>
  <c r="L647" i="12"/>
  <c r="K647" i="12"/>
  <c r="J647" i="12"/>
  <c r="I647" i="12"/>
  <c r="H647" i="12"/>
  <c r="G647" i="12"/>
  <c r="F647" i="12"/>
  <c r="E647" i="12"/>
  <c r="D647" i="12"/>
  <c r="C647" i="12"/>
  <c r="B647" i="12"/>
  <c r="S646" i="12"/>
  <c r="R646" i="12"/>
  <c r="Q646" i="12"/>
  <c r="P646" i="12"/>
  <c r="O646" i="12"/>
  <c r="N646" i="12"/>
  <c r="M646" i="12"/>
  <c r="L646" i="12"/>
  <c r="K646" i="12"/>
  <c r="J646" i="12"/>
  <c r="I646" i="12"/>
  <c r="H646" i="12"/>
  <c r="G646" i="12"/>
  <c r="F646" i="12"/>
  <c r="E646" i="12"/>
  <c r="D646" i="12"/>
  <c r="C646" i="12"/>
  <c r="B646" i="12"/>
  <c r="S645" i="12"/>
  <c r="R645" i="12"/>
  <c r="Q645" i="12"/>
  <c r="P645" i="12"/>
  <c r="O645" i="12"/>
  <c r="N645" i="12"/>
  <c r="M645" i="12"/>
  <c r="L645" i="12"/>
  <c r="K645" i="12"/>
  <c r="J645" i="12"/>
  <c r="I645" i="12"/>
  <c r="H645" i="12"/>
  <c r="G645" i="12"/>
  <c r="F645" i="12"/>
  <c r="E645" i="12"/>
  <c r="D645" i="12"/>
  <c r="C645" i="12"/>
  <c r="B645" i="12"/>
  <c r="S644" i="12"/>
  <c r="R644" i="12"/>
  <c r="Q644" i="12"/>
  <c r="P644" i="12"/>
  <c r="O644" i="12"/>
  <c r="N644" i="12"/>
  <c r="M644" i="12"/>
  <c r="L644" i="12"/>
  <c r="K644" i="12"/>
  <c r="J644" i="12"/>
  <c r="I644" i="12"/>
  <c r="H644" i="12"/>
  <c r="G644" i="12"/>
  <c r="F644" i="12"/>
  <c r="E644" i="12"/>
  <c r="D644" i="12"/>
  <c r="C644" i="12"/>
  <c r="B644" i="12"/>
  <c r="S643" i="12"/>
  <c r="R643" i="12"/>
  <c r="Q643" i="12"/>
  <c r="P643" i="12"/>
  <c r="O643" i="12"/>
  <c r="N643" i="12"/>
  <c r="M643" i="12"/>
  <c r="L643" i="12"/>
  <c r="K643" i="12"/>
  <c r="J643" i="12"/>
  <c r="I643" i="12"/>
  <c r="H643" i="12"/>
  <c r="G643" i="12"/>
  <c r="F643" i="12"/>
  <c r="E643" i="12"/>
  <c r="D643" i="12"/>
  <c r="C643" i="12"/>
  <c r="B643" i="12"/>
  <c r="S642" i="12"/>
  <c r="R642" i="12"/>
  <c r="Q642" i="12"/>
  <c r="P642" i="12"/>
  <c r="O642" i="12"/>
  <c r="N642" i="12"/>
  <c r="M642" i="12"/>
  <c r="L642" i="12"/>
  <c r="K642" i="12"/>
  <c r="J642" i="12"/>
  <c r="I642" i="12"/>
  <c r="H642" i="12"/>
  <c r="G642" i="12"/>
  <c r="F642" i="12"/>
  <c r="E642" i="12"/>
  <c r="D642" i="12"/>
  <c r="C642" i="12"/>
  <c r="B642" i="12"/>
  <c r="S641" i="12"/>
  <c r="R641" i="12"/>
  <c r="Q641" i="12"/>
  <c r="P641" i="12"/>
  <c r="O641" i="12"/>
  <c r="N641" i="12"/>
  <c r="M641" i="12"/>
  <c r="L641" i="12"/>
  <c r="K641" i="12"/>
  <c r="J641" i="12"/>
  <c r="I641" i="12"/>
  <c r="H641" i="12"/>
  <c r="G641" i="12"/>
  <c r="F641" i="12"/>
  <c r="E641" i="12"/>
  <c r="D641" i="12"/>
  <c r="C641" i="12"/>
  <c r="B641" i="12"/>
  <c r="S640" i="12"/>
  <c r="R640" i="12"/>
  <c r="Q640" i="12"/>
  <c r="P640" i="12"/>
  <c r="O640" i="12"/>
  <c r="N640" i="12"/>
  <c r="M640" i="12"/>
  <c r="L640" i="12"/>
  <c r="K640" i="12"/>
  <c r="J640" i="12"/>
  <c r="I640" i="12"/>
  <c r="H640" i="12"/>
  <c r="G640" i="12"/>
  <c r="F640" i="12"/>
  <c r="E640" i="12"/>
  <c r="D640" i="12"/>
  <c r="C640" i="12"/>
  <c r="B640" i="12"/>
  <c r="S639" i="12"/>
  <c r="R639" i="12"/>
  <c r="Q639" i="12"/>
  <c r="P639" i="12"/>
  <c r="O639" i="12"/>
  <c r="N639" i="12"/>
  <c r="M639" i="12"/>
  <c r="L639" i="12"/>
  <c r="K639" i="12"/>
  <c r="J639" i="12"/>
  <c r="I639" i="12"/>
  <c r="H639" i="12"/>
  <c r="G639" i="12"/>
  <c r="F639" i="12"/>
  <c r="E639" i="12"/>
  <c r="D639" i="12"/>
  <c r="C639" i="12"/>
  <c r="B639" i="12"/>
  <c r="S638" i="12"/>
  <c r="R638" i="12"/>
  <c r="Q638" i="12"/>
  <c r="P638" i="12"/>
  <c r="O638" i="12"/>
  <c r="N638" i="12"/>
  <c r="M638" i="12"/>
  <c r="L638" i="12"/>
  <c r="K638" i="12"/>
  <c r="J638" i="12"/>
  <c r="I638" i="12"/>
  <c r="H638" i="12"/>
  <c r="G638" i="12"/>
  <c r="F638" i="12"/>
  <c r="E638" i="12"/>
  <c r="D638" i="12"/>
  <c r="C638" i="12"/>
  <c r="B638" i="12"/>
  <c r="S637" i="12"/>
  <c r="R637" i="12"/>
  <c r="Q637" i="12"/>
  <c r="P637" i="12"/>
  <c r="O637" i="12"/>
  <c r="N637" i="12"/>
  <c r="M637" i="12"/>
  <c r="L637" i="12"/>
  <c r="K637" i="12"/>
  <c r="J637" i="12"/>
  <c r="I637" i="12"/>
  <c r="H637" i="12"/>
  <c r="G637" i="12"/>
  <c r="F637" i="12"/>
  <c r="E637" i="12"/>
  <c r="D637" i="12"/>
  <c r="C637" i="12"/>
  <c r="B637" i="12"/>
  <c r="S636" i="12"/>
  <c r="R636" i="12"/>
  <c r="Q636" i="12"/>
  <c r="P636" i="12"/>
  <c r="O636" i="12"/>
  <c r="N636" i="12"/>
  <c r="M636" i="12"/>
  <c r="L636" i="12"/>
  <c r="K636" i="12"/>
  <c r="J636" i="12"/>
  <c r="I636" i="12"/>
  <c r="H636" i="12"/>
  <c r="G636" i="12"/>
  <c r="F636" i="12"/>
  <c r="E636" i="12"/>
  <c r="D636" i="12"/>
  <c r="C636" i="12"/>
  <c r="B636" i="12"/>
  <c r="S635" i="12"/>
  <c r="R635" i="12"/>
  <c r="Q635" i="12"/>
  <c r="P635" i="12"/>
  <c r="O635" i="12"/>
  <c r="N635" i="12"/>
  <c r="M635" i="12"/>
  <c r="L635" i="12"/>
  <c r="K635" i="12"/>
  <c r="J635" i="12"/>
  <c r="I635" i="12"/>
  <c r="H635" i="12"/>
  <c r="G635" i="12"/>
  <c r="F635" i="12"/>
  <c r="E635" i="12"/>
  <c r="D635" i="12"/>
  <c r="C635" i="12"/>
  <c r="B635" i="12"/>
  <c r="S634" i="12"/>
  <c r="R634" i="12"/>
  <c r="Q634" i="12"/>
  <c r="P634" i="12"/>
  <c r="O634" i="12"/>
  <c r="N634" i="12"/>
  <c r="M634" i="12"/>
  <c r="L634" i="12"/>
  <c r="K634" i="12"/>
  <c r="J634" i="12"/>
  <c r="I634" i="12"/>
  <c r="H634" i="12"/>
  <c r="G634" i="12"/>
  <c r="F634" i="12"/>
  <c r="E634" i="12"/>
  <c r="D634" i="12"/>
  <c r="C634" i="12"/>
  <c r="B634" i="12"/>
  <c r="S633" i="12"/>
  <c r="R633" i="12"/>
  <c r="Q633" i="12"/>
  <c r="P633" i="12"/>
  <c r="O633" i="12"/>
  <c r="N633" i="12"/>
  <c r="M633" i="12"/>
  <c r="L633" i="12"/>
  <c r="K633" i="12"/>
  <c r="J633" i="12"/>
  <c r="I633" i="12"/>
  <c r="H633" i="12"/>
  <c r="G633" i="12"/>
  <c r="F633" i="12"/>
  <c r="E633" i="12"/>
  <c r="D633" i="12"/>
  <c r="C633" i="12"/>
  <c r="B633" i="12"/>
  <c r="S632" i="12"/>
  <c r="R632" i="12"/>
  <c r="Q632" i="12"/>
  <c r="P632" i="12"/>
  <c r="O632" i="12"/>
  <c r="N632" i="12"/>
  <c r="M632" i="12"/>
  <c r="L632" i="12"/>
  <c r="K632" i="12"/>
  <c r="J632" i="12"/>
  <c r="I632" i="12"/>
  <c r="H632" i="12"/>
  <c r="G632" i="12"/>
  <c r="F632" i="12"/>
  <c r="E632" i="12"/>
  <c r="D632" i="12"/>
  <c r="C632" i="12"/>
  <c r="B632" i="12"/>
  <c r="S631" i="12"/>
  <c r="R631" i="12"/>
  <c r="Q631" i="12"/>
  <c r="P631" i="12"/>
  <c r="O631" i="12"/>
  <c r="N631" i="12"/>
  <c r="M631" i="12"/>
  <c r="L631" i="12"/>
  <c r="K631" i="12"/>
  <c r="J631" i="12"/>
  <c r="I631" i="12"/>
  <c r="H631" i="12"/>
  <c r="G631" i="12"/>
  <c r="F631" i="12"/>
  <c r="E631" i="12"/>
  <c r="D631" i="12"/>
  <c r="C631" i="12"/>
  <c r="B631" i="12"/>
  <c r="S630" i="12"/>
  <c r="R630" i="12"/>
  <c r="Q630" i="12"/>
  <c r="P630" i="12"/>
  <c r="O630" i="12"/>
  <c r="N630" i="12"/>
  <c r="M630" i="12"/>
  <c r="L630" i="12"/>
  <c r="K630" i="12"/>
  <c r="J630" i="12"/>
  <c r="I630" i="12"/>
  <c r="H630" i="12"/>
  <c r="G630" i="12"/>
  <c r="F630" i="12"/>
  <c r="E630" i="12"/>
  <c r="D630" i="12"/>
  <c r="C630" i="12"/>
  <c r="B630" i="12"/>
  <c r="S629" i="12"/>
  <c r="R629" i="12"/>
  <c r="Q629" i="12"/>
  <c r="P629" i="12"/>
  <c r="O629" i="12"/>
  <c r="N629" i="12"/>
  <c r="M629" i="12"/>
  <c r="L629" i="12"/>
  <c r="K629" i="12"/>
  <c r="J629" i="12"/>
  <c r="I629" i="12"/>
  <c r="H629" i="12"/>
  <c r="G629" i="12"/>
  <c r="F629" i="12"/>
  <c r="E629" i="12"/>
  <c r="D629" i="12"/>
  <c r="C629" i="12"/>
  <c r="B629" i="12"/>
  <c r="S628" i="12"/>
  <c r="R628" i="12"/>
  <c r="Q628" i="12"/>
  <c r="P628" i="12"/>
  <c r="O628" i="12"/>
  <c r="N628" i="12"/>
  <c r="M628" i="12"/>
  <c r="L628" i="12"/>
  <c r="K628" i="12"/>
  <c r="J628" i="12"/>
  <c r="I628" i="12"/>
  <c r="H628" i="12"/>
  <c r="G628" i="12"/>
  <c r="F628" i="12"/>
  <c r="E628" i="12"/>
  <c r="D628" i="12"/>
  <c r="C628" i="12"/>
  <c r="B628" i="12"/>
  <c r="S627" i="12"/>
  <c r="R627" i="12"/>
  <c r="Q627" i="12"/>
  <c r="P627" i="12"/>
  <c r="O627" i="12"/>
  <c r="N627" i="12"/>
  <c r="M627" i="12"/>
  <c r="L627" i="12"/>
  <c r="K627" i="12"/>
  <c r="J627" i="12"/>
  <c r="I627" i="12"/>
  <c r="H627" i="12"/>
  <c r="G627" i="12"/>
  <c r="F627" i="12"/>
  <c r="E627" i="12"/>
  <c r="D627" i="12"/>
  <c r="C627" i="12"/>
  <c r="B627" i="12"/>
  <c r="S626" i="12"/>
  <c r="R626" i="12"/>
  <c r="Q626" i="12"/>
  <c r="P626" i="12"/>
  <c r="O626" i="12"/>
  <c r="N626" i="12"/>
  <c r="M626" i="12"/>
  <c r="L626" i="12"/>
  <c r="K626" i="12"/>
  <c r="J626" i="12"/>
  <c r="I626" i="12"/>
  <c r="H626" i="12"/>
  <c r="G626" i="12"/>
  <c r="F626" i="12"/>
  <c r="E626" i="12"/>
  <c r="D626" i="12"/>
  <c r="C626" i="12"/>
  <c r="B626" i="12"/>
  <c r="S625" i="12"/>
  <c r="R625" i="12"/>
  <c r="Q625" i="12"/>
  <c r="P625" i="12"/>
  <c r="O625" i="12"/>
  <c r="N625" i="12"/>
  <c r="M625" i="12"/>
  <c r="L625" i="12"/>
  <c r="K625" i="12"/>
  <c r="J625" i="12"/>
  <c r="I625" i="12"/>
  <c r="H625" i="12"/>
  <c r="G625" i="12"/>
  <c r="F625" i="12"/>
  <c r="E625" i="12"/>
  <c r="D625" i="12"/>
  <c r="C625" i="12"/>
  <c r="B625" i="12"/>
  <c r="S624" i="12"/>
  <c r="R624" i="12"/>
  <c r="Q624" i="12"/>
  <c r="P624" i="12"/>
  <c r="O624" i="12"/>
  <c r="N624" i="12"/>
  <c r="M624" i="12"/>
  <c r="L624" i="12"/>
  <c r="K624" i="12"/>
  <c r="J624" i="12"/>
  <c r="I624" i="12"/>
  <c r="H624" i="12"/>
  <c r="G624" i="12"/>
  <c r="F624" i="12"/>
  <c r="E624" i="12"/>
  <c r="D624" i="12"/>
  <c r="C624" i="12"/>
  <c r="B624" i="12"/>
  <c r="S623" i="12"/>
  <c r="R623" i="12"/>
  <c r="Q623" i="12"/>
  <c r="P623" i="12"/>
  <c r="O623" i="12"/>
  <c r="N623" i="12"/>
  <c r="M623" i="12"/>
  <c r="L623" i="12"/>
  <c r="K623" i="12"/>
  <c r="J623" i="12"/>
  <c r="I623" i="12"/>
  <c r="H623" i="12"/>
  <c r="G623" i="12"/>
  <c r="F623" i="12"/>
  <c r="E623" i="12"/>
  <c r="D623" i="12"/>
  <c r="C623" i="12"/>
  <c r="B623" i="12"/>
  <c r="S622" i="12"/>
  <c r="R622" i="12"/>
  <c r="Q622" i="12"/>
  <c r="P622" i="12"/>
  <c r="O622" i="12"/>
  <c r="N622" i="12"/>
  <c r="M622" i="12"/>
  <c r="L622" i="12"/>
  <c r="K622" i="12"/>
  <c r="J622" i="12"/>
  <c r="I622" i="12"/>
  <c r="H622" i="12"/>
  <c r="G622" i="12"/>
  <c r="F622" i="12"/>
  <c r="E622" i="12"/>
  <c r="D622" i="12"/>
  <c r="C622" i="12"/>
  <c r="B622" i="12"/>
  <c r="S621" i="12"/>
  <c r="R621" i="12"/>
  <c r="Q621" i="12"/>
  <c r="P621" i="12"/>
  <c r="O621" i="12"/>
  <c r="N621" i="12"/>
  <c r="M621" i="12"/>
  <c r="L621" i="12"/>
  <c r="K621" i="12"/>
  <c r="J621" i="12"/>
  <c r="I621" i="12"/>
  <c r="H621" i="12"/>
  <c r="G621" i="12"/>
  <c r="F621" i="12"/>
  <c r="E621" i="12"/>
  <c r="D621" i="12"/>
  <c r="C621" i="12"/>
  <c r="B621" i="12"/>
  <c r="S620" i="12"/>
  <c r="R620" i="12"/>
  <c r="Q620" i="12"/>
  <c r="P620" i="12"/>
  <c r="O620" i="12"/>
  <c r="N620" i="12"/>
  <c r="M620" i="12"/>
  <c r="L620" i="12"/>
  <c r="K620" i="12"/>
  <c r="J620" i="12"/>
  <c r="I620" i="12"/>
  <c r="H620" i="12"/>
  <c r="G620" i="12"/>
  <c r="F620" i="12"/>
  <c r="E620" i="12"/>
  <c r="D620" i="12"/>
  <c r="C620" i="12"/>
  <c r="B620" i="12"/>
  <c r="S619" i="12"/>
  <c r="R619" i="12"/>
  <c r="Q619" i="12"/>
  <c r="P619" i="12"/>
  <c r="O619" i="12"/>
  <c r="N619" i="12"/>
  <c r="M619" i="12"/>
  <c r="L619" i="12"/>
  <c r="K619" i="12"/>
  <c r="J619" i="12"/>
  <c r="I619" i="12"/>
  <c r="H619" i="12"/>
  <c r="G619" i="12"/>
  <c r="F619" i="12"/>
  <c r="E619" i="12"/>
  <c r="D619" i="12"/>
  <c r="C619" i="12"/>
  <c r="B619" i="12"/>
  <c r="S618" i="12"/>
  <c r="R618" i="12"/>
  <c r="Q618" i="12"/>
  <c r="P618" i="12"/>
  <c r="O618" i="12"/>
  <c r="N618" i="12"/>
  <c r="M618" i="12"/>
  <c r="L618" i="12"/>
  <c r="K618" i="12"/>
  <c r="J618" i="12"/>
  <c r="I618" i="12"/>
  <c r="H618" i="12"/>
  <c r="G618" i="12"/>
  <c r="F618" i="12"/>
  <c r="E618" i="12"/>
  <c r="D618" i="12"/>
  <c r="C618" i="12"/>
  <c r="B618" i="12"/>
  <c r="S617" i="12"/>
  <c r="R617" i="12"/>
  <c r="Q617" i="12"/>
  <c r="P617" i="12"/>
  <c r="O617" i="12"/>
  <c r="N617" i="12"/>
  <c r="M617" i="12"/>
  <c r="L617" i="12"/>
  <c r="K617" i="12"/>
  <c r="J617" i="12"/>
  <c r="I617" i="12"/>
  <c r="H617" i="12"/>
  <c r="G617" i="12"/>
  <c r="F617" i="12"/>
  <c r="E617" i="12"/>
  <c r="D617" i="12"/>
  <c r="C617" i="12"/>
  <c r="B617" i="12"/>
  <c r="S616" i="12"/>
  <c r="R616" i="12"/>
  <c r="Q616" i="12"/>
  <c r="P616" i="12"/>
  <c r="O616" i="12"/>
  <c r="N616" i="12"/>
  <c r="M616" i="12"/>
  <c r="L616" i="12"/>
  <c r="K616" i="12"/>
  <c r="J616" i="12"/>
  <c r="I616" i="12"/>
  <c r="H616" i="12"/>
  <c r="G616" i="12"/>
  <c r="F616" i="12"/>
  <c r="E616" i="12"/>
  <c r="D616" i="12"/>
  <c r="C616" i="12"/>
  <c r="B616" i="12"/>
  <c r="S615" i="12"/>
  <c r="R615" i="12"/>
  <c r="Q615" i="12"/>
  <c r="P615" i="12"/>
  <c r="O615" i="12"/>
  <c r="N615" i="12"/>
  <c r="M615" i="12"/>
  <c r="L615" i="12"/>
  <c r="K615" i="12"/>
  <c r="J615" i="12"/>
  <c r="I615" i="12"/>
  <c r="H615" i="12"/>
  <c r="G615" i="12"/>
  <c r="F615" i="12"/>
  <c r="E615" i="12"/>
  <c r="D615" i="12"/>
  <c r="C615" i="12"/>
  <c r="B615" i="12"/>
  <c r="S614" i="12"/>
  <c r="R614" i="12"/>
  <c r="Q614" i="12"/>
  <c r="P614" i="12"/>
  <c r="O614" i="12"/>
  <c r="N614" i="12"/>
  <c r="M614" i="12"/>
  <c r="L614" i="12"/>
  <c r="K614" i="12"/>
  <c r="J614" i="12"/>
  <c r="I614" i="12"/>
  <c r="H614" i="12"/>
  <c r="G614" i="12"/>
  <c r="F614" i="12"/>
  <c r="E614" i="12"/>
  <c r="D614" i="12"/>
  <c r="C614" i="12"/>
  <c r="B614" i="12"/>
  <c r="S613" i="12"/>
  <c r="R613" i="12"/>
  <c r="Q613" i="12"/>
  <c r="P613" i="12"/>
  <c r="O613" i="12"/>
  <c r="N613" i="12"/>
  <c r="M613" i="12"/>
  <c r="L613" i="12"/>
  <c r="K613" i="12"/>
  <c r="J613" i="12"/>
  <c r="I613" i="12"/>
  <c r="H613" i="12"/>
  <c r="G613" i="12"/>
  <c r="F613" i="12"/>
  <c r="E613" i="12"/>
  <c r="D613" i="12"/>
  <c r="C613" i="12"/>
  <c r="B613" i="12"/>
  <c r="S612" i="12"/>
  <c r="R612" i="12"/>
  <c r="Q612" i="12"/>
  <c r="P612" i="12"/>
  <c r="O612" i="12"/>
  <c r="N612" i="12"/>
  <c r="M612" i="12"/>
  <c r="L612" i="12"/>
  <c r="K612" i="12"/>
  <c r="J612" i="12"/>
  <c r="I612" i="12"/>
  <c r="H612" i="12"/>
  <c r="G612" i="12"/>
  <c r="F612" i="12"/>
  <c r="E612" i="12"/>
  <c r="D612" i="12"/>
  <c r="C612" i="12"/>
  <c r="B612" i="12"/>
  <c r="S611" i="12"/>
  <c r="R611" i="12"/>
  <c r="Q611" i="12"/>
  <c r="P611" i="12"/>
  <c r="O611" i="12"/>
  <c r="N611" i="12"/>
  <c r="M611" i="12"/>
  <c r="L611" i="12"/>
  <c r="K611" i="12"/>
  <c r="J611" i="12"/>
  <c r="I611" i="12"/>
  <c r="H611" i="12"/>
  <c r="G611" i="12"/>
  <c r="F611" i="12"/>
  <c r="E611" i="12"/>
  <c r="D611" i="12"/>
  <c r="C611" i="12"/>
  <c r="B611" i="12"/>
  <c r="S610" i="12"/>
  <c r="R610" i="12"/>
  <c r="Q610" i="12"/>
  <c r="P610" i="12"/>
  <c r="O610" i="12"/>
  <c r="N610" i="12"/>
  <c r="M610" i="12"/>
  <c r="L610" i="12"/>
  <c r="K610" i="12"/>
  <c r="J610" i="12"/>
  <c r="I610" i="12"/>
  <c r="H610" i="12"/>
  <c r="G610" i="12"/>
  <c r="F610" i="12"/>
  <c r="E610" i="12"/>
  <c r="D610" i="12"/>
  <c r="C610" i="12"/>
  <c r="B610" i="12"/>
  <c r="S609" i="12"/>
  <c r="R609" i="12"/>
  <c r="Q609" i="12"/>
  <c r="P609" i="12"/>
  <c r="O609" i="12"/>
  <c r="N609" i="12"/>
  <c r="M609" i="12"/>
  <c r="L609" i="12"/>
  <c r="K609" i="12"/>
  <c r="J609" i="12"/>
  <c r="I609" i="12"/>
  <c r="H609" i="12"/>
  <c r="G609" i="12"/>
  <c r="F609" i="12"/>
  <c r="E609" i="12"/>
  <c r="D609" i="12"/>
  <c r="C609" i="12"/>
  <c r="B609" i="12"/>
  <c r="S608" i="12"/>
  <c r="R608" i="12"/>
  <c r="Q608" i="12"/>
  <c r="P608" i="12"/>
  <c r="O608" i="12"/>
  <c r="N608" i="12"/>
  <c r="M608" i="12"/>
  <c r="L608" i="12"/>
  <c r="K608" i="12"/>
  <c r="J608" i="12"/>
  <c r="I608" i="12"/>
  <c r="H608" i="12"/>
  <c r="G608" i="12"/>
  <c r="F608" i="12"/>
  <c r="E608" i="12"/>
  <c r="D608" i="12"/>
  <c r="C608" i="12"/>
  <c r="B608" i="12"/>
  <c r="S607" i="12"/>
  <c r="R607" i="12"/>
  <c r="Q607" i="12"/>
  <c r="P607" i="12"/>
  <c r="O607" i="12"/>
  <c r="N607" i="12"/>
  <c r="M607" i="12"/>
  <c r="L607" i="12"/>
  <c r="K607" i="12"/>
  <c r="J607" i="12"/>
  <c r="I607" i="12"/>
  <c r="H607" i="12"/>
  <c r="G607" i="12"/>
  <c r="F607" i="12"/>
  <c r="E607" i="12"/>
  <c r="D607" i="12"/>
  <c r="C607" i="12"/>
  <c r="B607" i="12"/>
  <c r="S606" i="12"/>
  <c r="R606" i="12"/>
  <c r="Q606" i="12"/>
  <c r="P606" i="12"/>
  <c r="O606" i="12"/>
  <c r="N606" i="12"/>
  <c r="M606" i="12"/>
  <c r="L606" i="12"/>
  <c r="K606" i="12"/>
  <c r="J606" i="12"/>
  <c r="I606" i="12"/>
  <c r="H606" i="12"/>
  <c r="G606" i="12"/>
  <c r="F606" i="12"/>
  <c r="E606" i="12"/>
  <c r="D606" i="12"/>
  <c r="C606" i="12"/>
  <c r="B606" i="12"/>
  <c r="S605" i="12"/>
  <c r="R605" i="12"/>
  <c r="Q605" i="12"/>
  <c r="P605" i="12"/>
  <c r="O605" i="12"/>
  <c r="N605" i="12"/>
  <c r="M605" i="12"/>
  <c r="L605" i="12"/>
  <c r="K605" i="12"/>
  <c r="J605" i="12"/>
  <c r="I605" i="12"/>
  <c r="H605" i="12"/>
  <c r="G605" i="12"/>
  <c r="F605" i="12"/>
  <c r="E605" i="12"/>
  <c r="D605" i="12"/>
  <c r="C605" i="12"/>
  <c r="B605" i="12"/>
  <c r="S604" i="12"/>
  <c r="R604" i="12"/>
  <c r="Q604" i="12"/>
  <c r="P604" i="12"/>
  <c r="O604" i="12"/>
  <c r="N604" i="12"/>
  <c r="M604" i="12"/>
  <c r="L604" i="12"/>
  <c r="K604" i="12"/>
  <c r="J604" i="12"/>
  <c r="I604" i="12"/>
  <c r="H604" i="12"/>
  <c r="G604" i="12"/>
  <c r="F604" i="12"/>
  <c r="E604" i="12"/>
  <c r="D604" i="12"/>
  <c r="C604" i="12"/>
  <c r="B604" i="12"/>
  <c r="S603" i="12"/>
  <c r="R603" i="12"/>
  <c r="Q603" i="12"/>
  <c r="P603" i="12"/>
  <c r="O603" i="12"/>
  <c r="N603" i="12"/>
  <c r="M603" i="12"/>
  <c r="L603" i="12"/>
  <c r="K603" i="12"/>
  <c r="J603" i="12"/>
  <c r="I603" i="12"/>
  <c r="H603" i="12"/>
  <c r="G603" i="12"/>
  <c r="F603" i="12"/>
  <c r="E603" i="12"/>
  <c r="D603" i="12"/>
  <c r="C603" i="12"/>
  <c r="B603" i="12"/>
  <c r="S602" i="12"/>
  <c r="R602" i="12"/>
  <c r="Q602" i="12"/>
  <c r="P602" i="12"/>
  <c r="O602" i="12"/>
  <c r="N602" i="12"/>
  <c r="M602" i="12"/>
  <c r="L602" i="12"/>
  <c r="K602" i="12"/>
  <c r="J602" i="12"/>
  <c r="I602" i="12"/>
  <c r="H602" i="12"/>
  <c r="G602" i="12"/>
  <c r="F602" i="12"/>
  <c r="E602" i="12"/>
  <c r="D602" i="12"/>
  <c r="C602" i="12"/>
  <c r="B602" i="12"/>
  <c r="S601" i="12"/>
  <c r="R601" i="12"/>
  <c r="Q601" i="12"/>
  <c r="P601" i="12"/>
  <c r="O601" i="12"/>
  <c r="N601" i="12"/>
  <c r="M601" i="12"/>
  <c r="L601" i="12"/>
  <c r="K601" i="12"/>
  <c r="J601" i="12"/>
  <c r="I601" i="12"/>
  <c r="H601" i="12"/>
  <c r="G601" i="12"/>
  <c r="F601" i="12"/>
  <c r="E601" i="12"/>
  <c r="D601" i="12"/>
  <c r="C601" i="12"/>
  <c r="B601" i="12"/>
  <c r="S600" i="12"/>
  <c r="R600" i="12"/>
  <c r="Q600" i="12"/>
  <c r="P600" i="12"/>
  <c r="O600" i="12"/>
  <c r="N600" i="12"/>
  <c r="M600" i="12"/>
  <c r="L600" i="12"/>
  <c r="K600" i="12"/>
  <c r="J600" i="12"/>
  <c r="I600" i="12"/>
  <c r="H600" i="12"/>
  <c r="G600" i="12"/>
  <c r="F600" i="12"/>
  <c r="E600" i="12"/>
  <c r="D600" i="12"/>
  <c r="C600" i="12"/>
  <c r="B600" i="12"/>
  <c r="S599" i="12"/>
  <c r="R599" i="12"/>
  <c r="Q599" i="12"/>
  <c r="P599" i="12"/>
  <c r="O599" i="12"/>
  <c r="N599" i="12"/>
  <c r="M599" i="12"/>
  <c r="L599" i="12"/>
  <c r="K599" i="12"/>
  <c r="J599" i="12"/>
  <c r="I599" i="12"/>
  <c r="H599" i="12"/>
  <c r="G599" i="12"/>
  <c r="F599" i="12"/>
  <c r="E599" i="12"/>
  <c r="D599" i="12"/>
  <c r="C599" i="12"/>
  <c r="B599" i="12"/>
  <c r="S598" i="12"/>
  <c r="R598" i="12"/>
  <c r="Q598" i="12"/>
  <c r="P598" i="12"/>
  <c r="O598" i="12"/>
  <c r="N598" i="12"/>
  <c r="M598" i="12"/>
  <c r="L598" i="12"/>
  <c r="K598" i="12"/>
  <c r="J598" i="12"/>
  <c r="I598" i="12"/>
  <c r="H598" i="12"/>
  <c r="G598" i="12"/>
  <c r="F598" i="12"/>
  <c r="E598" i="12"/>
  <c r="D598" i="12"/>
  <c r="C598" i="12"/>
  <c r="B598" i="12"/>
  <c r="S597" i="12"/>
  <c r="R597" i="12"/>
  <c r="Q597" i="12"/>
  <c r="P597" i="12"/>
  <c r="O597" i="12"/>
  <c r="N597" i="12"/>
  <c r="M597" i="12"/>
  <c r="L597" i="12"/>
  <c r="K597" i="12"/>
  <c r="J597" i="12"/>
  <c r="I597" i="12"/>
  <c r="H597" i="12"/>
  <c r="G597" i="12"/>
  <c r="F597" i="12"/>
  <c r="E597" i="12"/>
  <c r="D597" i="12"/>
  <c r="C597" i="12"/>
  <c r="B597" i="12"/>
  <c r="S596" i="12"/>
  <c r="R596" i="12"/>
  <c r="Q596" i="12"/>
  <c r="P596" i="12"/>
  <c r="O596" i="12"/>
  <c r="N596" i="12"/>
  <c r="M596" i="12"/>
  <c r="L596" i="12"/>
  <c r="K596" i="12"/>
  <c r="J596" i="12"/>
  <c r="I596" i="12"/>
  <c r="H596" i="12"/>
  <c r="G596" i="12"/>
  <c r="F596" i="12"/>
  <c r="E596" i="12"/>
  <c r="D596" i="12"/>
  <c r="C596" i="12"/>
  <c r="B596" i="12"/>
  <c r="S595" i="12"/>
  <c r="R595" i="12"/>
  <c r="Q595" i="12"/>
  <c r="P595" i="12"/>
  <c r="O595" i="12"/>
  <c r="N595" i="12"/>
  <c r="M595" i="12"/>
  <c r="L595" i="12"/>
  <c r="K595" i="12"/>
  <c r="J595" i="12"/>
  <c r="I595" i="12"/>
  <c r="H595" i="12"/>
  <c r="G595" i="12"/>
  <c r="F595" i="12"/>
  <c r="E595" i="12"/>
  <c r="D595" i="12"/>
  <c r="C595" i="12"/>
  <c r="B595" i="12"/>
  <c r="S594" i="12"/>
  <c r="R594" i="12"/>
  <c r="Q594" i="12"/>
  <c r="P594" i="12"/>
  <c r="O594" i="12"/>
  <c r="N594" i="12"/>
  <c r="M594" i="12"/>
  <c r="L594" i="12"/>
  <c r="K594" i="12"/>
  <c r="J594" i="12"/>
  <c r="I594" i="12"/>
  <c r="H594" i="12"/>
  <c r="G594" i="12"/>
  <c r="F594" i="12"/>
  <c r="E594" i="12"/>
  <c r="D594" i="12"/>
  <c r="C594" i="12"/>
  <c r="B594" i="12"/>
  <c r="S593" i="12"/>
  <c r="R593" i="12"/>
  <c r="Q593" i="12"/>
  <c r="P593" i="12"/>
  <c r="O593" i="12"/>
  <c r="N593" i="12"/>
  <c r="M593" i="12"/>
  <c r="L593" i="12"/>
  <c r="K593" i="12"/>
  <c r="J593" i="12"/>
  <c r="I593" i="12"/>
  <c r="H593" i="12"/>
  <c r="G593" i="12"/>
  <c r="F593" i="12"/>
  <c r="E593" i="12"/>
  <c r="D593" i="12"/>
  <c r="C593" i="12"/>
  <c r="B593" i="12"/>
  <c r="S592" i="12"/>
  <c r="R592" i="12"/>
  <c r="Q592" i="12"/>
  <c r="P592" i="12"/>
  <c r="O592" i="12"/>
  <c r="N592" i="12"/>
  <c r="M592" i="12"/>
  <c r="L592" i="12"/>
  <c r="K592" i="12"/>
  <c r="J592" i="12"/>
  <c r="I592" i="12"/>
  <c r="H592" i="12"/>
  <c r="G592" i="12"/>
  <c r="F592" i="12"/>
  <c r="E592" i="12"/>
  <c r="D592" i="12"/>
  <c r="C592" i="12"/>
  <c r="B592" i="12"/>
  <c r="S591" i="12"/>
  <c r="R591" i="12"/>
  <c r="Q591" i="12"/>
  <c r="P591" i="12"/>
  <c r="O591" i="12"/>
  <c r="N591" i="12"/>
  <c r="M591" i="12"/>
  <c r="L591" i="12"/>
  <c r="K591" i="12"/>
  <c r="J591" i="12"/>
  <c r="I591" i="12"/>
  <c r="H591" i="12"/>
  <c r="G591" i="12"/>
  <c r="F591" i="12"/>
  <c r="E591" i="12"/>
  <c r="D591" i="12"/>
  <c r="C591" i="12"/>
  <c r="B591" i="12"/>
  <c r="S590" i="12"/>
  <c r="R590" i="12"/>
  <c r="Q590" i="12"/>
  <c r="P590" i="12"/>
  <c r="O590" i="12"/>
  <c r="N590" i="12"/>
  <c r="M590" i="12"/>
  <c r="L590" i="12"/>
  <c r="K590" i="12"/>
  <c r="J590" i="12"/>
  <c r="I590" i="12"/>
  <c r="H590" i="12"/>
  <c r="G590" i="12"/>
  <c r="F590" i="12"/>
  <c r="E590" i="12"/>
  <c r="D590" i="12"/>
  <c r="C590" i="12"/>
  <c r="B590" i="12"/>
  <c r="S589" i="12"/>
  <c r="R589" i="12"/>
  <c r="Q589" i="12"/>
  <c r="P589" i="12"/>
  <c r="O589" i="12"/>
  <c r="N589" i="12"/>
  <c r="M589" i="12"/>
  <c r="L589" i="12"/>
  <c r="K589" i="12"/>
  <c r="J589" i="12"/>
  <c r="I589" i="12"/>
  <c r="H589" i="12"/>
  <c r="G589" i="12"/>
  <c r="F589" i="12"/>
  <c r="E589" i="12"/>
  <c r="D589" i="12"/>
  <c r="C589" i="12"/>
  <c r="B589" i="12"/>
  <c r="S588" i="12"/>
  <c r="R588" i="12"/>
  <c r="Q588" i="12"/>
  <c r="P588" i="12"/>
  <c r="O588" i="12"/>
  <c r="N588" i="12"/>
  <c r="M588" i="12"/>
  <c r="L588" i="12"/>
  <c r="K588" i="12"/>
  <c r="J588" i="12"/>
  <c r="I588" i="12"/>
  <c r="H588" i="12"/>
  <c r="G588" i="12"/>
  <c r="F588" i="12"/>
  <c r="E588" i="12"/>
  <c r="D588" i="12"/>
  <c r="C588" i="12"/>
  <c r="B588" i="12"/>
  <c r="S587" i="12"/>
  <c r="R587" i="12"/>
  <c r="Q587" i="12"/>
  <c r="P587" i="12"/>
  <c r="O587" i="12"/>
  <c r="N587" i="12"/>
  <c r="M587" i="12"/>
  <c r="L587" i="12"/>
  <c r="K587" i="12"/>
  <c r="J587" i="12"/>
  <c r="I587" i="12"/>
  <c r="H587" i="12"/>
  <c r="G587" i="12"/>
  <c r="F587" i="12"/>
  <c r="E587" i="12"/>
  <c r="D587" i="12"/>
  <c r="C587" i="12"/>
  <c r="B587" i="12"/>
  <c r="S586" i="12"/>
  <c r="R586" i="12"/>
  <c r="Q586" i="12"/>
  <c r="P586" i="12"/>
  <c r="O586" i="12"/>
  <c r="N586" i="12"/>
  <c r="M586" i="12"/>
  <c r="L586" i="12"/>
  <c r="K586" i="12"/>
  <c r="J586" i="12"/>
  <c r="I586" i="12"/>
  <c r="H586" i="12"/>
  <c r="G586" i="12"/>
  <c r="F586" i="12"/>
  <c r="E586" i="12"/>
  <c r="D586" i="12"/>
  <c r="C586" i="12"/>
  <c r="B586" i="12"/>
  <c r="S585" i="12"/>
  <c r="R585" i="12"/>
  <c r="Q585" i="12"/>
  <c r="P585" i="12"/>
  <c r="O585" i="12"/>
  <c r="N585" i="12"/>
  <c r="M585" i="12"/>
  <c r="L585" i="12"/>
  <c r="K585" i="12"/>
  <c r="J585" i="12"/>
  <c r="I585" i="12"/>
  <c r="H585" i="12"/>
  <c r="G585" i="12"/>
  <c r="F585" i="12"/>
  <c r="E585" i="12"/>
  <c r="D585" i="12"/>
  <c r="C585" i="12"/>
  <c r="B585" i="12"/>
  <c r="S584" i="12"/>
  <c r="R584" i="12"/>
  <c r="Q584" i="12"/>
  <c r="P584" i="12"/>
  <c r="O584" i="12"/>
  <c r="N584" i="12"/>
  <c r="M584" i="12"/>
  <c r="L584" i="12"/>
  <c r="K584" i="12"/>
  <c r="J584" i="12"/>
  <c r="I584" i="12"/>
  <c r="H584" i="12"/>
  <c r="G584" i="12"/>
  <c r="F584" i="12"/>
  <c r="E584" i="12"/>
  <c r="D584" i="12"/>
  <c r="C584" i="12"/>
  <c r="B584" i="12"/>
  <c r="S583" i="12"/>
  <c r="R583" i="12"/>
  <c r="Q583" i="12"/>
  <c r="P583" i="12"/>
  <c r="O583" i="12"/>
  <c r="N583" i="12"/>
  <c r="M583" i="12"/>
  <c r="L583" i="12"/>
  <c r="K583" i="12"/>
  <c r="J583" i="12"/>
  <c r="I583" i="12"/>
  <c r="H583" i="12"/>
  <c r="G583" i="12"/>
  <c r="F583" i="12"/>
  <c r="E583" i="12"/>
  <c r="D583" i="12"/>
  <c r="C583" i="12"/>
  <c r="B583" i="12"/>
  <c r="S582" i="12"/>
  <c r="R582" i="12"/>
  <c r="Q582" i="12"/>
  <c r="P582" i="12"/>
  <c r="O582" i="12"/>
  <c r="N582" i="12"/>
  <c r="M582" i="12"/>
  <c r="L582" i="12"/>
  <c r="K582" i="12"/>
  <c r="J582" i="12"/>
  <c r="I582" i="12"/>
  <c r="H582" i="12"/>
  <c r="G582" i="12"/>
  <c r="F582" i="12"/>
  <c r="E582" i="12"/>
  <c r="D582" i="12"/>
  <c r="C582" i="12"/>
  <c r="B582" i="12"/>
  <c r="S581" i="12"/>
  <c r="R581" i="12"/>
  <c r="Q581" i="12"/>
  <c r="P581" i="12"/>
  <c r="O581" i="12"/>
  <c r="N581" i="12"/>
  <c r="M581" i="12"/>
  <c r="L581" i="12"/>
  <c r="K581" i="12"/>
  <c r="J581" i="12"/>
  <c r="I581" i="12"/>
  <c r="H581" i="12"/>
  <c r="G581" i="12"/>
  <c r="F581" i="12"/>
  <c r="E581" i="12"/>
  <c r="D581" i="12"/>
  <c r="C581" i="12"/>
  <c r="B581" i="12"/>
  <c r="S580" i="12"/>
  <c r="R580" i="12"/>
  <c r="Q580" i="12"/>
  <c r="P580" i="12"/>
  <c r="O580" i="12"/>
  <c r="N580" i="12"/>
  <c r="M580" i="12"/>
  <c r="L580" i="12"/>
  <c r="K580" i="12"/>
  <c r="J580" i="12"/>
  <c r="I580" i="12"/>
  <c r="H580" i="12"/>
  <c r="G580" i="12"/>
  <c r="F580" i="12"/>
  <c r="E580" i="12"/>
  <c r="D580" i="12"/>
  <c r="C580" i="12"/>
  <c r="B580" i="12"/>
  <c r="S579" i="12"/>
  <c r="R579" i="12"/>
  <c r="Q579" i="12"/>
  <c r="P579" i="12"/>
  <c r="O579" i="12"/>
  <c r="N579" i="12"/>
  <c r="M579" i="12"/>
  <c r="L579" i="12"/>
  <c r="K579" i="12"/>
  <c r="J579" i="12"/>
  <c r="I579" i="12"/>
  <c r="H579" i="12"/>
  <c r="G579" i="12"/>
  <c r="F579" i="12"/>
  <c r="E579" i="12"/>
  <c r="D579" i="12"/>
  <c r="C579" i="12"/>
  <c r="B579" i="12"/>
  <c r="S578" i="12"/>
  <c r="R578" i="12"/>
  <c r="Q578" i="12"/>
  <c r="P578" i="12"/>
  <c r="O578" i="12"/>
  <c r="N578" i="12"/>
  <c r="M578" i="12"/>
  <c r="L578" i="12"/>
  <c r="K578" i="12"/>
  <c r="J578" i="12"/>
  <c r="I578" i="12"/>
  <c r="H578" i="12"/>
  <c r="G578" i="12"/>
  <c r="F578" i="12"/>
  <c r="E578" i="12"/>
  <c r="D578" i="12"/>
  <c r="C578" i="12"/>
  <c r="B578" i="12"/>
  <c r="S577" i="12"/>
  <c r="R577" i="12"/>
  <c r="Q577" i="12"/>
  <c r="P577" i="12"/>
  <c r="O577" i="12"/>
  <c r="N577" i="12"/>
  <c r="M577" i="12"/>
  <c r="L577" i="12"/>
  <c r="K577" i="12"/>
  <c r="J577" i="12"/>
  <c r="I577" i="12"/>
  <c r="H577" i="12"/>
  <c r="G577" i="12"/>
  <c r="F577" i="12"/>
  <c r="E577" i="12"/>
  <c r="D577" i="12"/>
  <c r="C577" i="12"/>
  <c r="B577" i="12"/>
  <c r="S576" i="12"/>
  <c r="R576" i="12"/>
  <c r="Q576" i="12"/>
  <c r="P576" i="12"/>
  <c r="O576" i="12"/>
  <c r="N576" i="12"/>
  <c r="M576" i="12"/>
  <c r="L576" i="12"/>
  <c r="K576" i="12"/>
  <c r="J576" i="12"/>
  <c r="I576" i="12"/>
  <c r="H576" i="12"/>
  <c r="G576" i="12"/>
  <c r="F576" i="12"/>
  <c r="E576" i="12"/>
  <c r="D576" i="12"/>
  <c r="C576" i="12"/>
  <c r="B576" i="12"/>
  <c r="S575" i="12"/>
  <c r="R575" i="12"/>
  <c r="Q575" i="12"/>
  <c r="P575" i="12"/>
  <c r="O575" i="12"/>
  <c r="N575" i="12"/>
  <c r="M575" i="12"/>
  <c r="L575" i="12"/>
  <c r="K575" i="12"/>
  <c r="J575" i="12"/>
  <c r="I575" i="12"/>
  <c r="H575" i="12"/>
  <c r="G575" i="12"/>
  <c r="F575" i="12"/>
  <c r="E575" i="12"/>
  <c r="D575" i="12"/>
  <c r="C575" i="12"/>
  <c r="B575" i="12"/>
  <c r="S574" i="12"/>
  <c r="R574" i="12"/>
  <c r="Q574" i="12"/>
  <c r="P574" i="12"/>
  <c r="O574" i="12"/>
  <c r="N574" i="12"/>
  <c r="M574" i="12"/>
  <c r="L574" i="12"/>
  <c r="K574" i="12"/>
  <c r="J574" i="12"/>
  <c r="I574" i="12"/>
  <c r="H574" i="12"/>
  <c r="G574" i="12"/>
  <c r="F574" i="12"/>
  <c r="E574" i="12"/>
  <c r="D574" i="12"/>
  <c r="C574" i="12"/>
  <c r="B574" i="12"/>
  <c r="S573" i="12"/>
  <c r="R573" i="12"/>
  <c r="Q573" i="12"/>
  <c r="P573" i="12"/>
  <c r="O573" i="12"/>
  <c r="N573" i="12"/>
  <c r="M573" i="12"/>
  <c r="L573" i="12"/>
  <c r="K573" i="12"/>
  <c r="J573" i="12"/>
  <c r="I573" i="12"/>
  <c r="H573" i="12"/>
  <c r="G573" i="12"/>
  <c r="F573" i="12"/>
  <c r="E573" i="12"/>
  <c r="D573" i="12"/>
  <c r="C573" i="12"/>
  <c r="B573" i="12"/>
  <c r="S572" i="12"/>
  <c r="R572" i="12"/>
  <c r="Q572" i="12"/>
  <c r="P572" i="12"/>
  <c r="O572" i="12"/>
  <c r="N572" i="12"/>
  <c r="M572" i="12"/>
  <c r="L572" i="12"/>
  <c r="K572" i="12"/>
  <c r="J572" i="12"/>
  <c r="I572" i="12"/>
  <c r="H572" i="12"/>
  <c r="G572" i="12"/>
  <c r="F572" i="12"/>
  <c r="E572" i="12"/>
  <c r="D572" i="12"/>
  <c r="C572" i="12"/>
  <c r="B572" i="12"/>
  <c r="S571" i="12"/>
  <c r="R571" i="12"/>
  <c r="Q571" i="12"/>
  <c r="P571" i="12"/>
  <c r="O571" i="12"/>
  <c r="N571" i="12"/>
  <c r="M571" i="12"/>
  <c r="L571" i="12"/>
  <c r="K571" i="12"/>
  <c r="J571" i="12"/>
  <c r="I571" i="12"/>
  <c r="H571" i="12"/>
  <c r="G571" i="12"/>
  <c r="F571" i="12"/>
  <c r="E571" i="12"/>
  <c r="D571" i="12"/>
  <c r="C571" i="12"/>
  <c r="B571" i="12"/>
  <c r="S570" i="12"/>
  <c r="R570" i="12"/>
  <c r="Q570" i="12"/>
  <c r="P570" i="12"/>
  <c r="O570" i="12"/>
  <c r="N570" i="12"/>
  <c r="M570" i="12"/>
  <c r="L570" i="12"/>
  <c r="K570" i="12"/>
  <c r="J570" i="12"/>
  <c r="I570" i="12"/>
  <c r="H570" i="12"/>
  <c r="G570" i="12"/>
  <c r="F570" i="12"/>
  <c r="E570" i="12"/>
  <c r="D570" i="12"/>
  <c r="C570" i="12"/>
  <c r="B570" i="12"/>
  <c r="S569" i="12"/>
  <c r="R569" i="12"/>
  <c r="Q569" i="12"/>
  <c r="P569" i="12"/>
  <c r="O569" i="12"/>
  <c r="N569" i="12"/>
  <c r="M569" i="12"/>
  <c r="L569" i="12"/>
  <c r="K569" i="12"/>
  <c r="J569" i="12"/>
  <c r="I569" i="12"/>
  <c r="H569" i="12"/>
  <c r="G569" i="12"/>
  <c r="F569" i="12"/>
  <c r="E569" i="12"/>
  <c r="D569" i="12"/>
  <c r="C569" i="12"/>
  <c r="B569" i="12"/>
  <c r="S568" i="12"/>
  <c r="R568" i="12"/>
  <c r="Q568" i="12"/>
  <c r="P568" i="12"/>
  <c r="O568" i="12"/>
  <c r="N568" i="12"/>
  <c r="M568" i="12"/>
  <c r="L568" i="12"/>
  <c r="K568" i="12"/>
  <c r="J568" i="12"/>
  <c r="I568" i="12"/>
  <c r="H568" i="12"/>
  <c r="G568" i="12"/>
  <c r="F568" i="12"/>
  <c r="E568" i="12"/>
  <c r="D568" i="12"/>
  <c r="C568" i="12"/>
  <c r="B568" i="12"/>
  <c r="S567" i="12"/>
  <c r="R567" i="12"/>
  <c r="Q567" i="12"/>
  <c r="P567" i="12"/>
  <c r="O567" i="12"/>
  <c r="N567" i="12"/>
  <c r="M567" i="12"/>
  <c r="L567" i="12"/>
  <c r="K567" i="12"/>
  <c r="J567" i="12"/>
  <c r="I567" i="12"/>
  <c r="H567" i="12"/>
  <c r="G567" i="12"/>
  <c r="F567" i="12"/>
  <c r="E567" i="12"/>
  <c r="D567" i="12"/>
  <c r="C567" i="12"/>
  <c r="B567" i="12"/>
  <c r="S566" i="12"/>
  <c r="R566" i="12"/>
  <c r="Q566" i="12"/>
  <c r="P566" i="12"/>
  <c r="O566" i="12"/>
  <c r="N566" i="12"/>
  <c r="M566" i="12"/>
  <c r="L566" i="12"/>
  <c r="K566" i="12"/>
  <c r="J566" i="12"/>
  <c r="I566" i="12"/>
  <c r="H566" i="12"/>
  <c r="G566" i="12"/>
  <c r="F566" i="12"/>
  <c r="E566" i="12"/>
  <c r="D566" i="12"/>
  <c r="C566" i="12"/>
  <c r="B566" i="12"/>
  <c r="S565" i="12"/>
  <c r="R565" i="12"/>
  <c r="Q565" i="12"/>
  <c r="P565" i="12"/>
  <c r="O565" i="12"/>
  <c r="N565" i="12"/>
  <c r="M565" i="12"/>
  <c r="L565" i="12"/>
  <c r="K565" i="12"/>
  <c r="J565" i="12"/>
  <c r="I565" i="12"/>
  <c r="H565" i="12"/>
  <c r="G565" i="12"/>
  <c r="F565" i="12"/>
  <c r="E565" i="12"/>
  <c r="D565" i="12"/>
  <c r="C565" i="12"/>
  <c r="B565" i="12"/>
  <c r="S564" i="12"/>
  <c r="R564" i="12"/>
  <c r="Q564" i="12"/>
  <c r="P564" i="12"/>
  <c r="O564" i="12"/>
  <c r="N564" i="12"/>
  <c r="M564" i="12"/>
  <c r="L564" i="12"/>
  <c r="K564" i="12"/>
  <c r="J564" i="12"/>
  <c r="I564" i="12"/>
  <c r="H564" i="12"/>
  <c r="G564" i="12"/>
  <c r="F564" i="12"/>
  <c r="E564" i="12"/>
  <c r="D564" i="12"/>
  <c r="C564" i="12"/>
  <c r="B564" i="12"/>
  <c r="S563" i="12"/>
  <c r="R563" i="12"/>
  <c r="Q563" i="12"/>
  <c r="P563" i="12"/>
  <c r="O563" i="12"/>
  <c r="N563" i="12"/>
  <c r="M563" i="12"/>
  <c r="L563" i="12"/>
  <c r="K563" i="12"/>
  <c r="J563" i="12"/>
  <c r="I563" i="12"/>
  <c r="H563" i="12"/>
  <c r="G563" i="12"/>
  <c r="F563" i="12"/>
  <c r="E563" i="12"/>
  <c r="D563" i="12"/>
  <c r="C563" i="12"/>
  <c r="B563" i="12"/>
  <c r="S562" i="12"/>
  <c r="R562" i="12"/>
  <c r="Q562" i="12"/>
  <c r="P562" i="12"/>
  <c r="O562" i="12"/>
  <c r="N562" i="12"/>
  <c r="M562" i="12"/>
  <c r="L562" i="12"/>
  <c r="K562" i="12"/>
  <c r="J562" i="12"/>
  <c r="I562" i="12"/>
  <c r="H562" i="12"/>
  <c r="G562" i="12"/>
  <c r="F562" i="12"/>
  <c r="E562" i="12"/>
  <c r="D562" i="12"/>
  <c r="C562" i="12"/>
  <c r="B562" i="12"/>
  <c r="S561" i="12"/>
  <c r="R561" i="12"/>
  <c r="Q561" i="12"/>
  <c r="P561" i="12"/>
  <c r="O561" i="12"/>
  <c r="N561" i="12"/>
  <c r="M561" i="12"/>
  <c r="L561" i="12"/>
  <c r="K561" i="12"/>
  <c r="J561" i="12"/>
  <c r="I561" i="12"/>
  <c r="H561" i="12"/>
  <c r="G561" i="12"/>
  <c r="F561" i="12"/>
  <c r="E561" i="12"/>
  <c r="D561" i="12"/>
  <c r="C561" i="12"/>
  <c r="B561" i="12"/>
  <c r="S560" i="12"/>
  <c r="R560" i="12"/>
  <c r="Q560" i="12"/>
  <c r="P560" i="12"/>
  <c r="O560" i="12"/>
  <c r="N560" i="12"/>
  <c r="M560" i="12"/>
  <c r="L560" i="12"/>
  <c r="K560" i="12"/>
  <c r="J560" i="12"/>
  <c r="I560" i="12"/>
  <c r="H560" i="12"/>
  <c r="G560" i="12"/>
  <c r="F560" i="12"/>
  <c r="E560" i="12"/>
  <c r="D560" i="12"/>
  <c r="C560" i="12"/>
  <c r="B560" i="12"/>
  <c r="S559" i="12"/>
  <c r="R559" i="12"/>
  <c r="Q559" i="12"/>
  <c r="P559" i="12"/>
  <c r="O559" i="12"/>
  <c r="N559" i="12"/>
  <c r="M559" i="12"/>
  <c r="L559" i="12"/>
  <c r="K559" i="12"/>
  <c r="J559" i="12"/>
  <c r="I559" i="12"/>
  <c r="H559" i="12"/>
  <c r="G559" i="12"/>
  <c r="F559" i="12"/>
  <c r="E559" i="12"/>
  <c r="D559" i="12"/>
  <c r="C559" i="12"/>
  <c r="B559" i="12"/>
  <c r="S558" i="12"/>
  <c r="R558" i="12"/>
  <c r="Q558" i="12"/>
  <c r="P558" i="12"/>
  <c r="O558" i="12"/>
  <c r="N558" i="12"/>
  <c r="M558" i="12"/>
  <c r="L558" i="12"/>
  <c r="K558" i="12"/>
  <c r="J558" i="12"/>
  <c r="I558" i="12"/>
  <c r="H558" i="12"/>
  <c r="G558" i="12"/>
  <c r="F558" i="12"/>
  <c r="E558" i="12"/>
  <c r="D558" i="12"/>
  <c r="C558" i="12"/>
  <c r="B558" i="12"/>
  <c r="S557" i="12"/>
  <c r="R557" i="12"/>
  <c r="Q557" i="12"/>
  <c r="P557" i="12"/>
  <c r="O557" i="12"/>
  <c r="N557" i="12"/>
  <c r="M557" i="12"/>
  <c r="L557" i="12"/>
  <c r="K557" i="12"/>
  <c r="J557" i="12"/>
  <c r="I557" i="12"/>
  <c r="H557" i="12"/>
  <c r="G557" i="12"/>
  <c r="F557" i="12"/>
  <c r="E557" i="12"/>
  <c r="D557" i="12"/>
  <c r="C557" i="12"/>
  <c r="B557" i="12"/>
  <c r="S556" i="12"/>
  <c r="R556" i="12"/>
  <c r="Q556" i="12"/>
  <c r="P556" i="12"/>
  <c r="O556" i="12"/>
  <c r="N556" i="12"/>
  <c r="M556" i="12"/>
  <c r="L556" i="12"/>
  <c r="K556" i="12"/>
  <c r="J556" i="12"/>
  <c r="I556" i="12"/>
  <c r="H556" i="12"/>
  <c r="G556" i="12"/>
  <c r="F556" i="12"/>
  <c r="E556" i="12"/>
  <c r="D556" i="12"/>
  <c r="C556" i="12"/>
  <c r="B556" i="12"/>
  <c r="S555" i="12"/>
  <c r="R555" i="12"/>
  <c r="Q555" i="12"/>
  <c r="P555" i="12"/>
  <c r="O555" i="12"/>
  <c r="N555" i="12"/>
  <c r="M555" i="12"/>
  <c r="L555" i="12"/>
  <c r="K555" i="12"/>
  <c r="J555" i="12"/>
  <c r="I555" i="12"/>
  <c r="H555" i="12"/>
  <c r="G555" i="12"/>
  <c r="F555" i="12"/>
  <c r="E555" i="12"/>
  <c r="D555" i="12"/>
  <c r="C555" i="12"/>
  <c r="B555" i="12"/>
  <c r="S554" i="12"/>
  <c r="R554" i="12"/>
  <c r="Q554" i="12"/>
  <c r="P554" i="12"/>
  <c r="O554" i="12"/>
  <c r="N554" i="12"/>
  <c r="M554" i="12"/>
  <c r="L554" i="12"/>
  <c r="K554" i="12"/>
  <c r="J554" i="12"/>
  <c r="I554" i="12"/>
  <c r="H554" i="12"/>
  <c r="G554" i="12"/>
  <c r="F554" i="12"/>
  <c r="E554" i="12"/>
  <c r="D554" i="12"/>
  <c r="C554" i="12"/>
  <c r="B554" i="12"/>
  <c r="S553" i="12"/>
  <c r="R553" i="12"/>
  <c r="Q553" i="12"/>
  <c r="P553" i="12"/>
  <c r="O553" i="12"/>
  <c r="N553" i="12"/>
  <c r="M553" i="12"/>
  <c r="L553" i="12"/>
  <c r="K553" i="12"/>
  <c r="J553" i="12"/>
  <c r="I553" i="12"/>
  <c r="H553" i="12"/>
  <c r="G553" i="12"/>
  <c r="F553" i="12"/>
  <c r="E553" i="12"/>
  <c r="D553" i="12"/>
  <c r="C553" i="12"/>
  <c r="B553" i="12"/>
  <c r="S552" i="12"/>
  <c r="R552" i="12"/>
  <c r="Q552" i="12"/>
  <c r="P552" i="12"/>
  <c r="O552" i="12"/>
  <c r="N552" i="12"/>
  <c r="M552" i="12"/>
  <c r="L552" i="12"/>
  <c r="K552" i="12"/>
  <c r="J552" i="12"/>
  <c r="I552" i="12"/>
  <c r="H552" i="12"/>
  <c r="G552" i="12"/>
  <c r="F552" i="12"/>
  <c r="E552" i="12"/>
  <c r="D552" i="12"/>
  <c r="C552" i="12"/>
  <c r="B552" i="12"/>
  <c r="S551" i="12"/>
  <c r="R551" i="12"/>
  <c r="Q551" i="12"/>
  <c r="P551" i="12"/>
  <c r="O551" i="12"/>
  <c r="N551" i="12"/>
  <c r="M551" i="12"/>
  <c r="L551" i="12"/>
  <c r="K551" i="12"/>
  <c r="J551" i="12"/>
  <c r="I551" i="12"/>
  <c r="H551" i="12"/>
  <c r="G551" i="12"/>
  <c r="F551" i="12"/>
  <c r="E551" i="12"/>
  <c r="D551" i="12"/>
  <c r="C551" i="12"/>
  <c r="B551" i="12"/>
  <c r="S550" i="12"/>
  <c r="R550" i="12"/>
  <c r="Q550" i="12"/>
  <c r="P550" i="12"/>
  <c r="O550" i="12"/>
  <c r="N550" i="12"/>
  <c r="M550" i="12"/>
  <c r="L550" i="12"/>
  <c r="K550" i="12"/>
  <c r="J550" i="12"/>
  <c r="I550" i="12"/>
  <c r="H550" i="12"/>
  <c r="G550" i="12"/>
  <c r="F550" i="12"/>
  <c r="E550" i="12"/>
  <c r="D550" i="12"/>
  <c r="C550" i="12"/>
  <c r="B550" i="12"/>
  <c r="S549" i="12"/>
  <c r="R549" i="12"/>
  <c r="Q549" i="12"/>
  <c r="P549" i="12"/>
  <c r="O549" i="12"/>
  <c r="N549" i="12"/>
  <c r="M549" i="12"/>
  <c r="L549" i="12"/>
  <c r="K549" i="12"/>
  <c r="J549" i="12"/>
  <c r="I549" i="12"/>
  <c r="H549" i="12"/>
  <c r="G549" i="12"/>
  <c r="F549" i="12"/>
  <c r="E549" i="12"/>
  <c r="D549" i="12"/>
  <c r="C549" i="12"/>
  <c r="B549" i="12"/>
  <c r="S548" i="12"/>
  <c r="R548" i="12"/>
  <c r="Q548" i="12"/>
  <c r="P548" i="12"/>
  <c r="O548" i="12"/>
  <c r="N548" i="12"/>
  <c r="M548" i="12"/>
  <c r="L548" i="12"/>
  <c r="K548" i="12"/>
  <c r="J548" i="12"/>
  <c r="I548" i="12"/>
  <c r="H548" i="12"/>
  <c r="G548" i="12"/>
  <c r="F548" i="12"/>
  <c r="E548" i="12"/>
  <c r="D548" i="12"/>
  <c r="C548" i="12"/>
  <c r="B548" i="12"/>
  <c r="S547" i="12"/>
  <c r="R547" i="12"/>
  <c r="Q547" i="12"/>
  <c r="P547" i="12"/>
  <c r="O547" i="12"/>
  <c r="N547" i="12"/>
  <c r="M547" i="12"/>
  <c r="L547" i="12"/>
  <c r="K547" i="12"/>
  <c r="J547" i="12"/>
  <c r="I547" i="12"/>
  <c r="H547" i="12"/>
  <c r="G547" i="12"/>
  <c r="F547" i="12"/>
  <c r="E547" i="12"/>
  <c r="D547" i="12"/>
  <c r="C547" i="12"/>
  <c r="B547" i="12"/>
  <c r="S546" i="12"/>
  <c r="R546" i="12"/>
  <c r="Q546" i="12"/>
  <c r="P546" i="12"/>
  <c r="O546" i="12"/>
  <c r="N546" i="12"/>
  <c r="M546" i="12"/>
  <c r="L546" i="12"/>
  <c r="K546" i="12"/>
  <c r="J546" i="12"/>
  <c r="I546" i="12"/>
  <c r="H546" i="12"/>
  <c r="G546" i="12"/>
  <c r="F546" i="12"/>
  <c r="E546" i="12"/>
  <c r="D546" i="12"/>
  <c r="C546" i="12"/>
  <c r="B546" i="12"/>
  <c r="S545" i="12"/>
  <c r="R545" i="12"/>
  <c r="Q545" i="12"/>
  <c r="P545" i="12"/>
  <c r="O545" i="12"/>
  <c r="N545" i="12"/>
  <c r="M545" i="12"/>
  <c r="L545" i="12"/>
  <c r="K545" i="12"/>
  <c r="J545" i="12"/>
  <c r="I545" i="12"/>
  <c r="H545" i="12"/>
  <c r="G545" i="12"/>
  <c r="F545" i="12"/>
  <c r="E545" i="12"/>
  <c r="D545" i="12"/>
  <c r="C545" i="12"/>
  <c r="B545" i="12"/>
  <c r="S544" i="12"/>
  <c r="R544" i="12"/>
  <c r="Q544" i="12"/>
  <c r="P544" i="12"/>
  <c r="O544" i="12"/>
  <c r="N544" i="12"/>
  <c r="M544" i="12"/>
  <c r="L544" i="12"/>
  <c r="K544" i="12"/>
  <c r="J544" i="12"/>
  <c r="I544" i="12"/>
  <c r="H544" i="12"/>
  <c r="G544" i="12"/>
  <c r="F544" i="12"/>
  <c r="E544" i="12"/>
  <c r="D544" i="12"/>
  <c r="C544" i="12"/>
  <c r="B544" i="12"/>
  <c r="S543" i="12"/>
  <c r="R543" i="12"/>
  <c r="Q543" i="12"/>
  <c r="P543" i="12"/>
  <c r="O543" i="12"/>
  <c r="N543" i="12"/>
  <c r="M543" i="12"/>
  <c r="L543" i="12"/>
  <c r="K543" i="12"/>
  <c r="J543" i="12"/>
  <c r="I543" i="12"/>
  <c r="H543" i="12"/>
  <c r="G543" i="12"/>
  <c r="F543" i="12"/>
  <c r="E543" i="12"/>
  <c r="D543" i="12"/>
  <c r="C543" i="12"/>
  <c r="B543" i="12"/>
  <c r="S542" i="12"/>
  <c r="R542" i="12"/>
  <c r="Q542" i="12"/>
  <c r="P542" i="12"/>
  <c r="O542" i="12"/>
  <c r="N542" i="12"/>
  <c r="M542" i="12"/>
  <c r="L542" i="12"/>
  <c r="K542" i="12"/>
  <c r="J542" i="12"/>
  <c r="I542" i="12"/>
  <c r="H542" i="12"/>
  <c r="G542" i="12"/>
  <c r="F542" i="12"/>
  <c r="E542" i="12"/>
  <c r="D542" i="12"/>
  <c r="C542" i="12"/>
  <c r="B542" i="12"/>
  <c r="S541" i="12"/>
  <c r="R541" i="12"/>
  <c r="Q541" i="12"/>
  <c r="P541" i="12"/>
  <c r="O541" i="12"/>
  <c r="N541" i="12"/>
  <c r="M541" i="12"/>
  <c r="L541" i="12"/>
  <c r="K541" i="12"/>
  <c r="J541" i="12"/>
  <c r="I541" i="12"/>
  <c r="H541" i="12"/>
  <c r="G541" i="12"/>
  <c r="F541" i="12"/>
  <c r="E541" i="12"/>
  <c r="D541" i="12"/>
  <c r="C541" i="12"/>
  <c r="B541" i="12"/>
  <c r="S540" i="12"/>
  <c r="R540" i="12"/>
  <c r="Q540" i="12"/>
  <c r="P540" i="12"/>
  <c r="O540" i="12"/>
  <c r="N540" i="12"/>
  <c r="M540" i="12"/>
  <c r="L540" i="12"/>
  <c r="K540" i="12"/>
  <c r="J540" i="12"/>
  <c r="I540" i="12"/>
  <c r="H540" i="12"/>
  <c r="G540" i="12"/>
  <c r="F540" i="12"/>
  <c r="E540" i="12"/>
  <c r="D540" i="12"/>
  <c r="C540" i="12"/>
  <c r="B540" i="12"/>
  <c r="S539" i="12"/>
  <c r="R539" i="12"/>
  <c r="Q539" i="12"/>
  <c r="P539" i="12"/>
  <c r="O539" i="12"/>
  <c r="N539" i="12"/>
  <c r="M539" i="12"/>
  <c r="L539" i="12"/>
  <c r="K539" i="12"/>
  <c r="J539" i="12"/>
  <c r="I539" i="12"/>
  <c r="H539" i="12"/>
  <c r="G539" i="12"/>
  <c r="F539" i="12"/>
  <c r="E539" i="12"/>
  <c r="D539" i="12"/>
  <c r="C539" i="12"/>
  <c r="B539" i="12"/>
  <c r="S538" i="12"/>
  <c r="R538" i="12"/>
  <c r="Q538" i="12"/>
  <c r="P538" i="12"/>
  <c r="O538" i="12"/>
  <c r="N538" i="12"/>
  <c r="M538" i="12"/>
  <c r="L538" i="12"/>
  <c r="K538" i="12"/>
  <c r="J538" i="12"/>
  <c r="I538" i="12"/>
  <c r="H538" i="12"/>
  <c r="G538" i="12"/>
  <c r="F538" i="12"/>
  <c r="E538" i="12"/>
  <c r="D538" i="12"/>
  <c r="C538" i="12"/>
  <c r="B538" i="12"/>
  <c r="S537" i="12"/>
  <c r="R537" i="12"/>
  <c r="Q537" i="12"/>
  <c r="P537" i="12"/>
  <c r="O537" i="12"/>
  <c r="N537" i="12"/>
  <c r="M537" i="12"/>
  <c r="L537" i="12"/>
  <c r="K537" i="12"/>
  <c r="J537" i="12"/>
  <c r="I537" i="12"/>
  <c r="H537" i="12"/>
  <c r="G537" i="12"/>
  <c r="F537" i="12"/>
  <c r="E537" i="12"/>
  <c r="D537" i="12"/>
  <c r="C537" i="12"/>
  <c r="B537" i="12"/>
  <c r="S536" i="12"/>
  <c r="R536" i="12"/>
  <c r="Q536" i="12"/>
  <c r="P536" i="12"/>
  <c r="O536" i="12"/>
  <c r="N536" i="12"/>
  <c r="M536" i="12"/>
  <c r="L536" i="12"/>
  <c r="K536" i="12"/>
  <c r="J536" i="12"/>
  <c r="I536" i="12"/>
  <c r="H536" i="12"/>
  <c r="G536" i="12"/>
  <c r="F536" i="12"/>
  <c r="E536" i="12"/>
  <c r="D536" i="12"/>
  <c r="C536" i="12"/>
  <c r="B536" i="12"/>
  <c r="S535" i="12"/>
  <c r="R535" i="12"/>
  <c r="Q535" i="12"/>
  <c r="P535" i="12"/>
  <c r="O535" i="12"/>
  <c r="N535" i="12"/>
  <c r="M535" i="12"/>
  <c r="L535" i="12"/>
  <c r="K535" i="12"/>
  <c r="J535" i="12"/>
  <c r="I535" i="12"/>
  <c r="H535" i="12"/>
  <c r="G535" i="12"/>
  <c r="F535" i="12"/>
  <c r="E535" i="12"/>
  <c r="D535" i="12"/>
  <c r="C535" i="12"/>
  <c r="B535" i="12"/>
  <c r="S534" i="12"/>
  <c r="R534" i="12"/>
  <c r="Q534" i="12"/>
  <c r="P534" i="12"/>
  <c r="O534" i="12"/>
  <c r="N534" i="12"/>
  <c r="M534" i="12"/>
  <c r="L534" i="12"/>
  <c r="K534" i="12"/>
  <c r="J534" i="12"/>
  <c r="I534" i="12"/>
  <c r="H534" i="12"/>
  <c r="G534" i="12"/>
  <c r="F534" i="12"/>
  <c r="E534" i="12"/>
  <c r="D534" i="12"/>
  <c r="C534" i="12"/>
  <c r="B534" i="12"/>
  <c r="S533" i="12"/>
  <c r="R533" i="12"/>
  <c r="Q533" i="12"/>
  <c r="P533" i="12"/>
  <c r="O533" i="12"/>
  <c r="N533" i="12"/>
  <c r="M533" i="12"/>
  <c r="L533" i="12"/>
  <c r="K533" i="12"/>
  <c r="J533" i="12"/>
  <c r="I533" i="12"/>
  <c r="H533" i="12"/>
  <c r="G533" i="12"/>
  <c r="F533" i="12"/>
  <c r="E533" i="12"/>
  <c r="D533" i="12"/>
  <c r="C533" i="12"/>
  <c r="B533" i="12"/>
  <c r="S532" i="12"/>
  <c r="R532" i="12"/>
  <c r="Q532" i="12"/>
  <c r="P532" i="12"/>
  <c r="O532" i="12"/>
  <c r="N532" i="12"/>
  <c r="M532" i="12"/>
  <c r="L532" i="12"/>
  <c r="K532" i="12"/>
  <c r="J532" i="12"/>
  <c r="I532" i="12"/>
  <c r="H532" i="12"/>
  <c r="G532" i="12"/>
  <c r="F532" i="12"/>
  <c r="E532" i="12"/>
  <c r="D532" i="12"/>
  <c r="C532" i="12"/>
  <c r="B532" i="12"/>
  <c r="S531" i="12"/>
  <c r="R531" i="12"/>
  <c r="Q531" i="12"/>
  <c r="P531" i="12"/>
  <c r="O531" i="12"/>
  <c r="N531" i="12"/>
  <c r="M531" i="12"/>
  <c r="L531" i="12"/>
  <c r="K531" i="12"/>
  <c r="J531" i="12"/>
  <c r="I531" i="12"/>
  <c r="H531" i="12"/>
  <c r="G531" i="12"/>
  <c r="F531" i="12"/>
  <c r="E531" i="12"/>
  <c r="D531" i="12"/>
  <c r="C531" i="12"/>
  <c r="B531" i="12"/>
  <c r="S530" i="12"/>
  <c r="R530" i="12"/>
  <c r="Q530" i="12"/>
  <c r="P530" i="12"/>
  <c r="O530" i="12"/>
  <c r="N530" i="12"/>
  <c r="M530" i="12"/>
  <c r="L530" i="12"/>
  <c r="K530" i="12"/>
  <c r="J530" i="12"/>
  <c r="I530" i="12"/>
  <c r="H530" i="12"/>
  <c r="G530" i="12"/>
  <c r="F530" i="12"/>
  <c r="E530" i="12"/>
  <c r="D530" i="12"/>
  <c r="C530" i="12"/>
  <c r="B530" i="12"/>
  <c r="S529" i="12"/>
  <c r="R529" i="12"/>
  <c r="Q529" i="12"/>
  <c r="P529" i="12"/>
  <c r="O529" i="12"/>
  <c r="N529" i="12"/>
  <c r="M529" i="12"/>
  <c r="L529" i="12"/>
  <c r="K529" i="12"/>
  <c r="J529" i="12"/>
  <c r="I529" i="12"/>
  <c r="H529" i="12"/>
  <c r="G529" i="12"/>
  <c r="F529" i="12"/>
  <c r="E529" i="12"/>
  <c r="D529" i="12"/>
  <c r="C529" i="12"/>
  <c r="B529" i="12"/>
  <c r="S528" i="12"/>
  <c r="R528" i="12"/>
  <c r="Q528" i="12"/>
  <c r="P528" i="12"/>
  <c r="O528" i="12"/>
  <c r="N528" i="12"/>
  <c r="M528" i="12"/>
  <c r="L528" i="12"/>
  <c r="K528" i="12"/>
  <c r="J528" i="12"/>
  <c r="I528" i="12"/>
  <c r="H528" i="12"/>
  <c r="G528" i="12"/>
  <c r="F528" i="12"/>
  <c r="E528" i="12"/>
  <c r="D528" i="12"/>
  <c r="C528" i="12"/>
  <c r="B528" i="12"/>
  <c r="S527" i="12"/>
  <c r="R527" i="12"/>
  <c r="Q527" i="12"/>
  <c r="P527" i="12"/>
  <c r="O527" i="12"/>
  <c r="N527" i="12"/>
  <c r="M527" i="12"/>
  <c r="L527" i="12"/>
  <c r="K527" i="12"/>
  <c r="J527" i="12"/>
  <c r="I527" i="12"/>
  <c r="H527" i="12"/>
  <c r="G527" i="12"/>
  <c r="F527" i="12"/>
  <c r="E527" i="12"/>
  <c r="D527" i="12"/>
  <c r="C527" i="12"/>
  <c r="B527" i="12"/>
  <c r="S526" i="12"/>
  <c r="R526" i="12"/>
  <c r="Q526" i="12"/>
  <c r="P526" i="12"/>
  <c r="O526" i="12"/>
  <c r="N526" i="12"/>
  <c r="M526" i="12"/>
  <c r="L526" i="12"/>
  <c r="K526" i="12"/>
  <c r="J526" i="12"/>
  <c r="I526" i="12"/>
  <c r="H526" i="12"/>
  <c r="G526" i="12"/>
  <c r="F526" i="12"/>
  <c r="E526" i="12"/>
  <c r="D526" i="12"/>
  <c r="C526" i="12"/>
  <c r="B526" i="12"/>
  <c r="S525" i="12"/>
  <c r="R525" i="12"/>
  <c r="Q525" i="12"/>
  <c r="P525" i="12"/>
  <c r="O525" i="12"/>
  <c r="N525" i="12"/>
  <c r="M525" i="12"/>
  <c r="L525" i="12"/>
  <c r="K525" i="12"/>
  <c r="J525" i="12"/>
  <c r="I525" i="12"/>
  <c r="H525" i="12"/>
  <c r="G525" i="12"/>
  <c r="F525" i="12"/>
  <c r="E525" i="12"/>
  <c r="D525" i="12"/>
  <c r="C525" i="12"/>
  <c r="B525" i="12"/>
  <c r="S524" i="12"/>
  <c r="R524" i="12"/>
  <c r="Q524" i="12"/>
  <c r="P524" i="12"/>
  <c r="O524" i="12"/>
  <c r="N524" i="12"/>
  <c r="M524" i="12"/>
  <c r="L524" i="12"/>
  <c r="K524" i="12"/>
  <c r="J524" i="12"/>
  <c r="I524" i="12"/>
  <c r="H524" i="12"/>
  <c r="G524" i="12"/>
  <c r="F524" i="12"/>
  <c r="E524" i="12"/>
  <c r="D524" i="12"/>
  <c r="C524" i="12"/>
  <c r="B524" i="12"/>
  <c r="S523" i="12"/>
  <c r="R523" i="12"/>
  <c r="Q523" i="12"/>
  <c r="P523" i="12"/>
  <c r="O523" i="12"/>
  <c r="N523" i="12"/>
  <c r="M523" i="12"/>
  <c r="L523" i="12"/>
  <c r="K523" i="12"/>
  <c r="J523" i="12"/>
  <c r="I523" i="12"/>
  <c r="H523" i="12"/>
  <c r="G523" i="12"/>
  <c r="F523" i="12"/>
  <c r="E523" i="12"/>
  <c r="D523" i="12"/>
  <c r="C523" i="12"/>
  <c r="B523" i="12"/>
  <c r="S522" i="12"/>
  <c r="R522" i="12"/>
  <c r="Q522" i="12"/>
  <c r="P522" i="12"/>
  <c r="O522" i="12"/>
  <c r="N522" i="12"/>
  <c r="M522" i="12"/>
  <c r="L522" i="12"/>
  <c r="K522" i="12"/>
  <c r="J522" i="12"/>
  <c r="I522" i="12"/>
  <c r="H522" i="12"/>
  <c r="G522" i="12"/>
  <c r="F522" i="12"/>
  <c r="E522" i="12"/>
  <c r="D522" i="12"/>
  <c r="C522" i="12"/>
  <c r="B522" i="12"/>
  <c r="S521" i="12"/>
  <c r="R521" i="12"/>
  <c r="Q521" i="12"/>
  <c r="P521" i="12"/>
  <c r="O521" i="12"/>
  <c r="N521" i="12"/>
  <c r="M521" i="12"/>
  <c r="L521" i="12"/>
  <c r="K521" i="12"/>
  <c r="J521" i="12"/>
  <c r="I521" i="12"/>
  <c r="H521" i="12"/>
  <c r="G521" i="12"/>
  <c r="F521" i="12"/>
  <c r="E521" i="12"/>
  <c r="D521" i="12"/>
  <c r="C521" i="12"/>
  <c r="B521" i="12"/>
  <c r="S520" i="12"/>
  <c r="R520" i="12"/>
  <c r="Q520" i="12"/>
  <c r="P520" i="12"/>
  <c r="O520" i="12"/>
  <c r="N520" i="12"/>
  <c r="M520" i="12"/>
  <c r="L520" i="12"/>
  <c r="K520" i="12"/>
  <c r="J520" i="12"/>
  <c r="I520" i="12"/>
  <c r="H520" i="12"/>
  <c r="G520" i="12"/>
  <c r="F520" i="12"/>
  <c r="E520" i="12"/>
  <c r="D520" i="12"/>
  <c r="C520" i="12"/>
  <c r="B520" i="12"/>
  <c r="S519" i="12"/>
  <c r="R519" i="12"/>
  <c r="Q519" i="12"/>
  <c r="P519" i="12"/>
  <c r="O519" i="12"/>
  <c r="N519" i="12"/>
  <c r="M519" i="12"/>
  <c r="L519" i="12"/>
  <c r="K519" i="12"/>
  <c r="J519" i="12"/>
  <c r="I519" i="12"/>
  <c r="H519" i="12"/>
  <c r="G519" i="12"/>
  <c r="F519" i="12"/>
  <c r="E519" i="12"/>
  <c r="D519" i="12"/>
  <c r="C519" i="12"/>
  <c r="B519" i="12"/>
  <c r="S518" i="12"/>
  <c r="R518" i="12"/>
  <c r="Q518" i="12"/>
  <c r="P518" i="12"/>
  <c r="O518" i="12"/>
  <c r="N518" i="12"/>
  <c r="M518" i="12"/>
  <c r="L518" i="12"/>
  <c r="K518" i="12"/>
  <c r="J518" i="12"/>
  <c r="I518" i="12"/>
  <c r="H518" i="12"/>
  <c r="G518" i="12"/>
  <c r="F518" i="12"/>
  <c r="E518" i="12"/>
  <c r="D518" i="12"/>
  <c r="C518" i="12"/>
  <c r="B518" i="12"/>
  <c r="S517" i="12"/>
  <c r="R517" i="12"/>
  <c r="Q517" i="12"/>
  <c r="P517" i="12"/>
  <c r="O517" i="12"/>
  <c r="N517" i="12"/>
  <c r="M517" i="12"/>
  <c r="L517" i="12"/>
  <c r="K517" i="12"/>
  <c r="J517" i="12"/>
  <c r="I517" i="12"/>
  <c r="H517" i="12"/>
  <c r="G517" i="12"/>
  <c r="F517" i="12"/>
  <c r="E517" i="12"/>
  <c r="D517" i="12"/>
  <c r="C517" i="12"/>
  <c r="B517" i="12"/>
  <c r="S516" i="12"/>
  <c r="R516" i="12"/>
  <c r="Q516" i="12"/>
  <c r="P516" i="12"/>
  <c r="O516" i="12"/>
  <c r="N516" i="12"/>
  <c r="M516" i="12"/>
  <c r="L516" i="12"/>
  <c r="K516" i="12"/>
  <c r="J516" i="12"/>
  <c r="I516" i="12"/>
  <c r="H516" i="12"/>
  <c r="G516" i="12"/>
  <c r="F516" i="12"/>
  <c r="E516" i="12"/>
  <c r="D516" i="12"/>
  <c r="C516" i="12"/>
  <c r="B516" i="12"/>
  <c r="S515" i="12"/>
  <c r="R515" i="12"/>
  <c r="Q515" i="12"/>
  <c r="P515" i="12"/>
  <c r="O515" i="12"/>
  <c r="N515" i="12"/>
  <c r="M515" i="12"/>
  <c r="L515" i="12"/>
  <c r="K515" i="12"/>
  <c r="J515" i="12"/>
  <c r="I515" i="12"/>
  <c r="H515" i="12"/>
  <c r="G515" i="12"/>
  <c r="F515" i="12"/>
  <c r="E515" i="12"/>
  <c r="D515" i="12"/>
  <c r="C515" i="12"/>
  <c r="B515" i="12"/>
  <c r="S514" i="12"/>
  <c r="R514" i="12"/>
  <c r="Q514" i="12"/>
  <c r="P514" i="12"/>
  <c r="O514" i="12"/>
  <c r="N514" i="12"/>
  <c r="M514" i="12"/>
  <c r="L514" i="12"/>
  <c r="K514" i="12"/>
  <c r="J514" i="12"/>
  <c r="I514" i="12"/>
  <c r="H514" i="12"/>
  <c r="G514" i="12"/>
  <c r="F514" i="12"/>
  <c r="E514" i="12"/>
  <c r="D514" i="12"/>
  <c r="C514" i="12"/>
  <c r="B514" i="12"/>
  <c r="S513" i="12"/>
  <c r="R513" i="12"/>
  <c r="Q513" i="12"/>
  <c r="P513" i="12"/>
  <c r="O513" i="12"/>
  <c r="N513" i="12"/>
  <c r="M513" i="12"/>
  <c r="L513" i="12"/>
  <c r="K513" i="12"/>
  <c r="J513" i="12"/>
  <c r="I513" i="12"/>
  <c r="H513" i="12"/>
  <c r="G513" i="12"/>
  <c r="F513" i="12"/>
  <c r="E513" i="12"/>
  <c r="D513" i="12"/>
  <c r="C513" i="12"/>
  <c r="B513" i="12"/>
  <c r="S512" i="12"/>
  <c r="R512" i="12"/>
  <c r="Q512" i="12"/>
  <c r="P512" i="12"/>
  <c r="O512" i="12"/>
  <c r="N512" i="12"/>
  <c r="M512" i="12"/>
  <c r="L512" i="12"/>
  <c r="K512" i="12"/>
  <c r="J512" i="12"/>
  <c r="I512" i="12"/>
  <c r="H512" i="12"/>
  <c r="G512" i="12"/>
  <c r="F512" i="12"/>
  <c r="E512" i="12"/>
  <c r="D512" i="12"/>
  <c r="C512" i="12"/>
  <c r="B512" i="12"/>
  <c r="S511" i="12"/>
  <c r="R511" i="12"/>
  <c r="Q511" i="12"/>
  <c r="P511" i="12"/>
  <c r="O511" i="12"/>
  <c r="N511" i="12"/>
  <c r="M511" i="12"/>
  <c r="L511" i="12"/>
  <c r="K511" i="12"/>
  <c r="J511" i="12"/>
  <c r="I511" i="12"/>
  <c r="H511" i="12"/>
  <c r="G511" i="12"/>
  <c r="F511" i="12"/>
  <c r="E511" i="12"/>
  <c r="D511" i="12"/>
  <c r="C511" i="12"/>
  <c r="B511" i="12"/>
  <c r="S510" i="12"/>
  <c r="R510" i="12"/>
  <c r="Q510" i="12"/>
  <c r="P510" i="12"/>
  <c r="O510" i="12"/>
  <c r="N510" i="12"/>
  <c r="M510" i="12"/>
  <c r="L510" i="12"/>
  <c r="K510" i="12"/>
  <c r="J510" i="12"/>
  <c r="I510" i="12"/>
  <c r="H510" i="12"/>
  <c r="G510" i="12"/>
  <c r="F510" i="12"/>
  <c r="E510" i="12"/>
  <c r="D510" i="12"/>
  <c r="C510" i="12"/>
  <c r="B510" i="12"/>
  <c r="S509" i="12"/>
  <c r="R509" i="12"/>
  <c r="Q509" i="12"/>
  <c r="P509" i="12"/>
  <c r="O509" i="12"/>
  <c r="N509" i="12"/>
  <c r="M509" i="12"/>
  <c r="L509" i="12"/>
  <c r="K509" i="12"/>
  <c r="J509" i="12"/>
  <c r="I509" i="12"/>
  <c r="H509" i="12"/>
  <c r="G509" i="12"/>
  <c r="F509" i="12"/>
  <c r="E509" i="12"/>
  <c r="D509" i="12"/>
  <c r="C509" i="12"/>
  <c r="B509" i="12"/>
  <c r="S508" i="12"/>
  <c r="R508" i="12"/>
  <c r="Q508" i="12"/>
  <c r="P508" i="12"/>
  <c r="O508" i="12"/>
  <c r="N508" i="12"/>
  <c r="M508" i="12"/>
  <c r="L508" i="12"/>
  <c r="K508" i="12"/>
  <c r="J508" i="12"/>
  <c r="I508" i="12"/>
  <c r="H508" i="12"/>
  <c r="G508" i="12"/>
  <c r="F508" i="12"/>
  <c r="E508" i="12"/>
  <c r="D508" i="12"/>
  <c r="C508" i="12"/>
  <c r="B508" i="12"/>
  <c r="S507" i="12"/>
  <c r="R507" i="12"/>
  <c r="Q507" i="12"/>
  <c r="P507" i="12"/>
  <c r="O507" i="12"/>
  <c r="N507" i="12"/>
  <c r="M507" i="12"/>
  <c r="L507" i="12"/>
  <c r="K507" i="12"/>
  <c r="J507" i="12"/>
  <c r="I507" i="12"/>
  <c r="H507" i="12"/>
  <c r="G507" i="12"/>
  <c r="F507" i="12"/>
  <c r="E507" i="12"/>
  <c r="D507" i="12"/>
  <c r="C507" i="12"/>
  <c r="B507" i="12"/>
  <c r="S506" i="12"/>
  <c r="R506" i="12"/>
  <c r="Q506" i="12"/>
  <c r="P506" i="12"/>
  <c r="O506" i="12"/>
  <c r="N506" i="12"/>
  <c r="M506" i="12"/>
  <c r="L506" i="12"/>
  <c r="K506" i="12"/>
  <c r="J506" i="12"/>
  <c r="I506" i="12"/>
  <c r="H506" i="12"/>
  <c r="G506" i="12"/>
  <c r="F506" i="12"/>
  <c r="E506" i="12"/>
  <c r="D506" i="12"/>
  <c r="C506" i="12"/>
  <c r="B506" i="12"/>
  <c r="S505" i="12"/>
  <c r="R505" i="12"/>
  <c r="Q505" i="12"/>
  <c r="P505" i="12"/>
  <c r="O505" i="12"/>
  <c r="N505" i="12"/>
  <c r="M505" i="12"/>
  <c r="L505" i="12"/>
  <c r="K505" i="12"/>
  <c r="J505" i="12"/>
  <c r="I505" i="12"/>
  <c r="H505" i="12"/>
  <c r="G505" i="12"/>
  <c r="F505" i="12"/>
  <c r="E505" i="12"/>
  <c r="D505" i="12"/>
  <c r="C505" i="12"/>
  <c r="B505" i="12"/>
  <c r="S504" i="12"/>
  <c r="R504" i="12"/>
  <c r="Q504" i="12"/>
  <c r="P504" i="12"/>
  <c r="O504" i="12"/>
  <c r="N504" i="12"/>
  <c r="M504" i="12"/>
  <c r="L504" i="12"/>
  <c r="K504" i="12"/>
  <c r="J504" i="12"/>
  <c r="I504" i="12"/>
  <c r="H504" i="12"/>
  <c r="G504" i="12"/>
  <c r="F504" i="12"/>
  <c r="E504" i="12"/>
  <c r="D504" i="12"/>
  <c r="C504" i="12"/>
  <c r="B504" i="12"/>
  <c r="S503" i="12"/>
  <c r="R503" i="12"/>
  <c r="Q503" i="12"/>
  <c r="P503" i="12"/>
  <c r="O503" i="12"/>
  <c r="N503" i="12"/>
  <c r="M503" i="12"/>
  <c r="L503" i="12"/>
  <c r="K503" i="12"/>
  <c r="J503" i="12"/>
  <c r="I503" i="12"/>
  <c r="H503" i="12"/>
  <c r="G503" i="12"/>
  <c r="F503" i="12"/>
  <c r="E503" i="12"/>
  <c r="D503" i="12"/>
  <c r="C503" i="12"/>
  <c r="B503" i="12"/>
  <c r="S502" i="12"/>
  <c r="R502" i="12"/>
  <c r="Q502" i="12"/>
  <c r="P502" i="12"/>
  <c r="O502" i="12"/>
  <c r="N502" i="12"/>
  <c r="M502" i="12"/>
  <c r="L502" i="12"/>
  <c r="K502" i="12"/>
  <c r="J502" i="12"/>
  <c r="I502" i="12"/>
  <c r="H502" i="12"/>
  <c r="G502" i="12"/>
  <c r="F502" i="12"/>
  <c r="E502" i="12"/>
  <c r="D502" i="12"/>
  <c r="C502" i="12"/>
  <c r="B502" i="12"/>
  <c r="S501" i="12"/>
  <c r="R501" i="12"/>
  <c r="Q501" i="12"/>
  <c r="P501" i="12"/>
  <c r="O501" i="12"/>
  <c r="N501" i="12"/>
  <c r="M501" i="12"/>
  <c r="L501" i="12"/>
  <c r="K501" i="12"/>
  <c r="J501" i="12"/>
  <c r="I501" i="12"/>
  <c r="H501" i="12"/>
  <c r="G501" i="12"/>
  <c r="F501" i="12"/>
  <c r="E501" i="12"/>
  <c r="D501" i="12"/>
  <c r="C501" i="12"/>
  <c r="B501" i="12"/>
  <c r="S500" i="12"/>
  <c r="R500" i="12"/>
  <c r="Q500" i="12"/>
  <c r="P500" i="12"/>
  <c r="O500" i="12"/>
  <c r="N500" i="12"/>
  <c r="M500" i="12"/>
  <c r="L500" i="12"/>
  <c r="K500" i="12"/>
  <c r="J500" i="12"/>
  <c r="I500" i="12"/>
  <c r="H500" i="12"/>
  <c r="G500" i="12"/>
  <c r="F500" i="12"/>
  <c r="E500" i="12"/>
  <c r="D500" i="12"/>
  <c r="C500" i="12"/>
  <c r="B500" i="12"/>
  <c r="S499" i="12"/>
  <c r="R499" i="12"/>
  <c r="Q499" i="12"/>
  <c r="P499" i="12"/>
  <c r="O499" i="12"/>
  <c r="N499" i="12"/>
  <c r="M499" i="12"/>
  <c r="L499" i="12"/>
  <c r="K499" i="12"/>
  <c r="J499" i="12"/>
  <c r="I499" i="12"/>
  <c r="H499" i="12"/>
  <c r="G499" i="12"/>
  <c r="F499" i="12"/>
  <c r="E499" i="12"/>
  <c r="D499" i="12"/>
  <c r="C499" i="12"/>
  <c r="B499" i="12"/>
  <c r="S498" i="12"/>
  <c r="R498" i="12"/>
  <c r="Q498" i="12"/>
  <c r="P498" i="12"/>
  <c r="O498" i="12"/>
  <c r="N498" i="12"/>
  <c r="M498" i="12"/>
  <c r="L498" i="12"/>
  <c r="K498" i="12"/>
  <c r="J498" i="12"/>
  <c r="I498" i="12"/>
  <c r="H498" i="12"/>
  <c r="G498" i="12"/>
  <c r="F498" i="12"/>
  <c r="E498" i="12"/>
  <c r="D498" i="12"/>
  <c r="C498" i="12"/>
  <c r="B498" i="12"/>
  <c r="S497" i="12"/>
  <c r="R497" i="12"/>
  <c r="Q497" i="12"/>
  <c r="P497" i="12"/>
  <c r="O497" i="12"/>
  <c r="N497" i="12"/>
  <c r="M497" i="12"/>
  <c r="L497" i="12"/>
  <c r="K497" i="12"/>
  <c r="J497" i="12"/>
  <c r="I497" i="12"/>
  <c r="H497" i="12"/>
  <c r="G497" i="12"/>
  <c r="F497" i="12"/>
  <c r="E497" i="12"/>
  <c r="D497" i="12"/>
  <c r="C497" i="12"/>
  <c r="B497" i="12"/>
  <c r="S496" i="12"/>
  <c r="R496" i="12"/>
  <c r="Q496" i="12"/>
  <c r="P496" i="12"/>
  <c r="O496" i="12"/>
  <c r="N496" i="12"/>
  <c r="M496" i="12"/>
  <c r="L496" i="12"/>
  <c r="K496" i="12"/>
  <c r="J496" i="12"/>
  <c r="I496" i="12"/>
  <c r="H496" i="12"/>
  <c r="G496" i="12"/>
  <c r="F496" i="12"/>
  <c r="E496" i="12"/>
  <c r="D496" i="12"/>
  <c r="C496" i="12"/>
  <c r="B496" i="12"/>
  <c r="S495" i="12"/>
  <c r="R495" i="12"/>
  <c r="Q495" i="12"/>
  <c r="P495" i="12"/>
  <c r="O495" i="12"/>
  <c r="N495" i="12"/>
  <c r="M495" i="12"/>
  <c r="L495" i="12"/>
  <c r="K495" i="12"/>
  <c r="J495" i="12"/>
  <c r="I495" i="12"/>
  <c r="H495" i="12"/>
  <c r="G495" i="12"/>
  <c r="F495" i="12"/>
  <c r="E495" i="12"/>
  <c r="D495" i="12"/>
  <c r="C495" i="12"/>
  <c r="B495" i="12"/>
  <c r="S494" i="12"/>
  <c r="R494" i="12"/>
  <c r="Q494" i="12"/>
  <c r="P494" i="12"/>
  <c r="O494" i="12"/>
  <c r="N494" i="12"/>
  <c r="M494" i="12"/>
  <c r="L494" i="12"/>
  <c r="K494" i="12"/>
  <c r="J494" i="12"/>
  <c r="I494" i="12"/>
  <c r="H494" i="12"/>
  <c r="G494" i="12"/>
  <c r="F494" i="12"/>
  <c r="E494" i="12"/>
  <c r="D494" i="12"/>
  <c r="C494" i="12"/>
  <c r="B494" i="12"/>
  <c r="S493" i="12"/>
  <c r="R493" i="12"/>
  <c r="Q493" i="12"/>
  <c r="P493" i="12"/>
  <c r="O493" i="12"/>
  <c r="N493" i="12"/>
  <c r="M493" i="12"/>
  <c r="L493" i="12"/>
  <c r="K493" i="12"/>
  <c r="J493" i="12"/>
  <c r="I493" i="12"/>
  <c r="H493" i="12"/>
  <c r="G493" i="12"/>
  <c r="F493" i="12"/>
  <c r="E493" i="12"/>
  <c r="D493" i="12"/>
  <c r="C493" i="12"/>
  <c r="B493" i="12"/>
  <c r="S492" i="12"/>
  <c r="R492" i="12"/>
  <c r="Q492" i="12"/>
  <c r="P492" i="12"/>
  <c r="O492" i="12"/>
  <c r="N492" i="12"/>
  <c r="M492" i="12"/>
  <c r="L492" i="12"/>
  <c r="K492" i="12"/>
  <c r="J492" i="12"/>
  <c r="I492" i="12"/>
  <c r="H492" i="12"/>
  <c r="G492" i="12"/>
  <c r="F492" i="12"/>
  <c r="E492" i="12"/>
  <c r="D492" i="12"/>
  <c r="C492" i="12"/>
  <c r="B492" i="12"/>
  <c r="S491" i="12"/>
  <c r="R491" i="12"/>
  <c r="Q491" i="12"/>
  <c r="P491" i="12"/>
  <c r="O491" i="12"/>
  <c r="N491" i="12"/>
  <c r="M491" i="12"/>
  <c r="L491" i="12"/>
  <c r="K491" i="12"/>
  <c r="J491" i="12"/>
  <c r="I491" i="12"/>
  <c r="H491" i="12"/>
  <c r="G491" i="12"/>
  <c r="F491" i="12"/>
  <c r="E491" i="12"/>
  <c r="D491" i="12"/>
  <c r="C491" i="12"/>
  <c r="B491" i="12"/>
  <c r="S490" i="12"/>
  <c r="R490" i="12"/>
  <c r="Q490" i="12"/>
  <c r="P490" i="12"/>
  <c r="O490" i="12"/>
  <c r="N490" i="12"/>
  <c r="M490" i="12"/>
  <c r="L490" i="12"/>
  <c r="K490" i="12"/>
  <c r="J490" i="12"/>
  <c r="I490" i="12"/>
  <c r="H490" i="12"/>
  <c r="G490" i="12"/>
  <c r="F490" i="12"/>
  <c r="E490" i="12"/>
  <c r="D490" i="12"/>
  <c r="C490" i="12"/>
  <c r="B490" i="12"/>
  <c r="S489" i="12"/>
  <c r="R489" i="12"/>
  <c r="Q489" i="12"/>
  <c r="P489" i="12"/>
  <c r="O489" i="12"/>
  <c r="N489" i="12"/>
  <c r="M489" i="12"/>
  <c r="L489" i="12"/>
  <c r="K489" i="12"/>
  <c r="J489" i="12"/>
  <c r="I489" i="12"/>
  <c r="H489" i="12"/>
  <c r="G489" i="12"/>
  <c r="F489" i="12"/>
  <c r="E489" i="12"/>
  <c r="D489" i="12"/>
  <c r="C489" i="12"/>
  <c r="B489" i="12"/>
  <c r="S488" i="12"/>
  <c r="R488" i="12"/>
  <c r="Q488" i="12"/>
  <c r="P488" i="12"/>
  <c r="O488" i="12"/>
  <c r="N488" i="12"/>
  <c r="M488" i="12"/>
  <c r="L488" i="12"/>
  <c r="K488" i="12"/>
  <c r="J488" i="12"/>
  <c r="I488" i="12"/>
  <c r="H488" i="12"/>
  <c r="G488" i="12"/>
  <c r="F488" i="12"/>
  <c r="E488" i="12"/>
  <c r="D488" i="12"/>
  <c r="C488" i="12"/>
  <c r="B488" i="12"/>
  <c r="S487" i="12"/>
  <c r="R487" i="12"/>
  <c r="Q487" i="12"/>
  <c r="P487" i="12"/>
  <c r="O487" i="12"/>
  <c r="N487" i="12"/>
  <c r="M487" i="12"/>
  <c r="L487" i="12"/>
  <c r="K487" i="12"/>
  <c r="J487" i="12"/>
  <c r="I487" i="12"/>
  <c r="H487" i="12"/>
  <c r="G487" i="12"/>
  <c r="F487" i="12"/>
  <c r="E487" i="12"/>
  <c r="D487" i="12"/>
  <c r="C487" i="12"/>
  <c r="B487" i="12"/>
  <c r="S486" i="12"/>
  <c r="R486" i="12"/>
  <c r="Q486" i="12"/>
  <c r="P486" i="12"/>
  <c r="O486" i="12"/>
  <c r="N486" i="12"/>
  <c r="M486" i="12"/>
  <c r="L486" i="12"/>
  <c r="K486" i="12"/>
  <c r="J486" i="12"/>
  <c r="I486" i="12"/>
  <c r="H486" i="12"/>
  <c r="G486" i="12"/>
  <c r="F486" i="12"/>
  <c r="E486" i="12"/>
  <c r="D486" i="12"/>
  <c r="C486" i="12"/>
  <c r="B486" i="12"/>
  <c r="S485" i="12"/>
  <c r="R485" i="12"/>
  <c r="Q485" i="12"/>
  <c r="P485" i="12"/>
  <c r="O485" i="12"/>
  <c r="N485" i="12"/>
  <c r="M485" i="12"/>
  <c r="L485" i="12"/>
  <c r="K485" i="12"/>
  <c r="J485" i="12"/>
  <c r="I485" i="12"/>
  <c r="H485" i="12"/>
  <c r="G485" i="12"/>
  <c r="F485" i="12"/>
  <c r="E485" i="12"/>
  <c r="D485" i="12"/>
  <c r="C485" i="12"/>
  <c r="B485" i="12"/>
  <c r="S484" i="12"/>
  <c r="R484" i="12"/>
  <c r="Q484" i="12"/>
  <c r="P484" i="12"/>
  <c r="O484" i="12"/>
  <c r="N484" i="12"/>
  <c r="M484" i="12"/>
  <c r="L484" i="12"/>
  <c r="K484" i="12"/>
  <c r="J484" i="12"/>
  <c r="I484" i="12"/>
  <c r="H484" i="12"/>
  <c r="G484" i="12"/>
  <c r="F484" i="12"/>
  <c r="E484" i="12"/>
  <c r="D484" i="12"/>
  <c r="C484" i="12"/>
  <c r="B484" i="12"/>
  <c r="S483" i="12"/>
  <c r="R483" i="12"/>
  <c r="Q483" i="12"/>
  <c r="P483" i="12"/>
  <c r="O483" i="12"/>
  <c r="N483" i="12"/>
  <c r="M483" i="12"/>
  <c r="L483" i="12"/>
  <c r="K483" i="12"/>
  <c r="J483" i="12"/>
  <c r="I483" i="12"/>
  <c r="H483" i="12"/>
  <c r="G483" i="12"/>
  <c r="F483" i="12"/>
  <c r="E483" i="12"/>
  <c r="D483" i="12"/>
  <c r="C483" i="12"/>
  <c r="B483" i="12"/>
  <c r="S482" i="12"/>
  <c r="R482" i="12"/>
  <c r="Q482" i="12"/>
  <c r="P482" i="12"/>
  <c r="O482" i="12"/>
  <c r="N482" i="12"/>
  <c r="M482" i="12"/>
  <c r="L482" i="12"/>
  <c r="K482" i="12"/>
  <c r="J482" i="12"/>
  <c r="I482" i="12"/>
  <c r="H482" i="12"/>
  <c r="G482" i="12"/>
  <c r="F482" i="12"/>
  <c r="E482" i="12"/>
  <c r="D482" i="12"/>
  <c r="C482" i="12"/>
  <c r="B482" i="12"/>
  <c r="S481" i="12"/>
  <c r="R481" i="12"/>
  <c r="Q481" i="12"/>
  <c r="P481" i="12"/>
  <c r="O481" i="12"/>
  <c r="N481" i="12"/>
  <c r="M481" i="12"/>
  <c r="L481" i="12"/>
  <c r="K481" i="12"/>
  <c r="J481" i="12"/>
  <c r="I481" i="12"/>
  <c r="H481" i="12"/>
  <c r="G481" i="12"/>
  <c r="F481" i="12"/>
  <c r="E481" i="12"/>
  <c r="D481" i="12"/>
  <c r="C481" i="12"/>
  <c r="B481" i="12"/>
  <c r="S480" i="12"/>
  <c r="R480" i="12"/>
  <c r="Q480" i="12"/>
  <c r="P480" i="12"/>
  <c r="O480" i="12"/>
  <c r="N480" i="12"/>
  <c r="M480" i="12"/>
  <c r="L480" i="12"/>
  <c r="K480" i="12"/>
  <c r="J480" i="12"/>
  <c r="I480" i="12"/>
  <c r="H480" i="12"/>
  <c r="G480" i="12"/>
  <c r="F480" i="12"/>
  <c r="E480" i="12"/>
  <c r="D480" i="12"/>
  <c r="C480" i="12"/>
  <c r="B480" i="12"/>
  <c r="S479" i="12"/>
  <c r="R479" i="12"/>
  <c r="Q479" i="12"/>
  <c r="P479" i="12"/>
  <c r="O479" i="12"/>
  <c r="N479" i="12"/>
  <c r="M479" i="12"/>
  <c r="L479" i="12"/>
  <c r="K479" i="12"/>
  <c r="J479" i="12"/>
  <c r="I479" i="12"/>
  <c r="H479" i="12"/>
  <c r="G479" i="12"/>
  <c r="F479" i="12"/>
  <c r="E479" i="12"/>
  <c r="D479" i="12"/>
  <c r="C479" i="12"/>
  <c r="B479" i="12"/>
  <c r="S478" i="12"/>
  <c r="R478" i="12"/>
  <c r="Q478" i="12"/>
  <c r="P478" i="12"/>
  <c r="O478" i="12"/>
  <c r="N478" i="12"/>
  <c r="M478" i="12"/>
  <c r="L478" i="12"/>
  <c r="K478" i="12"/>
  <c r="J478" i="12"/>
  <c r="I478" i="12"/>
  <c r="H478" i="12"/>
  <c r="G478" i="12"/>
  <c r="F478" i="12"/>
  <c r="E478" i="12"/>
  <c r="D478" i="12"/>
  <c r="C478" i="12"/>
  <c r="B478" i="12"/>
  <c r="S477" i="12"/>
  <c r="R477" i="12"/>
  <c r="Q477" i="12"/>
  <c r="P477" i="12"/>
  <c r="O477" i="12"/>
  <c r="N477" i="12"/>
  <c r="M477" i="12"/>
  <c r="L477" i="12"/>
  <c r="K477" i="12"/>
  <c r="J477" i="12"/>
  <c r="I477" i="12"/>
  <c r="H477" i="12"/>
  <c r="G477" i="12"/>
  <c r="F477" i="12"/>
  <c r="E477" i="12"/>
  <c r="D477" i="12"/>
  <c r="C477" i="12"/>
  <c r="B477" i="12"/>
  <c r="S476" i="12"/>
  <c r="R476" i="12"/>
  <c r="Q476" i="12"/>
  <c r="P476" i="12"/>
  <c r="O476" i="12"/>
  <c r="N476" i="12"/>
  <c r="M476" i="12"/>
  <c r="L476" i="12"/>
  <c r="K476" i="12"/>
  <c r="J476" i="12"/>
  <c r="I476" i="12"/>
  <c r="H476" i="12"/>
  <c r="G476" i="12"/>
  <c r="F476" i="12"/>
  <c r="E476" i="12"/>
  <c r="D476" i="12"/>
  <c r="C476" i="12"/>
  <c r="B476" i="12"/>
  <c r="S475" i="12"/>
  <c r="R475" i="12"/>
  <c r="Q475" i="12"/>
  <c r="P475" i="12"/>
  <c r="O475" i="12"/>
  <c r="N475" i="12"/>
  <c r="M475" i="12"/>
  <c r="L475" i="12"/>
  <c r="K475" i="12"/>
  <c r="J475" i="12"/>
  <c r="I475" i="12"/>
  <c r="H475" i="12"/>
  <c r="G475" i="12"/>
  <c r="F475" i="12"/>
  <c r="E475" i="12"/>
  <c r="D475" i="12"/>
  <c r="C475" i="12"/>
  <c r="B475" i="12"/>
  <c r="S474" i="12"/>
  <c r="R474" i="12"/>
  <c r="Q474" i="12"/>
  <c r="P474" i="12"/>
  <c r="O474" i="12"/>
  <c r="N474" i="12"/>
  <c r="M474" i="12"/>
  <c r="L474" i="12"/>
  <c r="K474" i="12"/>
  <c r="J474" i="12"/>
  <c r="I474" i="12"/>
  <c r="H474" i="12"/>
  <c r="G474" i="12"/>
  <c r="F474" i="12"/>
  <c r="E474" i="12"/>
  <c r="D474" i="12"/>
  <c r="C474" i="12"/>
  <c r="B474" i="12"/>
  <c r="S473" i="12"/>
  <c r="R473" i="12"/>
  <c r="Q473" i="12"/>
  <c r="P473" i="12"/>
  <c r="O473" i="12"/>
  <c r="N473" i="12"/>
  <c r="M473" i="12"/>
  <c r="L473" i="12"/>
  <c r="K473" i="12"/>
  <c r="J473" i="12"/>
  <c r="I473" i="12"/>
  <c r="H473" i="12"/>
  <c r="G473" i="12"/>
  <c r="F473" i="12"/>
  <c r="E473" i="12"/>
  <c r="D473" i="12"/>
  <c r="C473" i="12"/>
  <c r="B473" i="12"/>
  <c r="S472" i="12"/>
  <c r="R472" i="12"/>
  <c r="Q472" i="12"/>
  <c r="P472" i="12"/>
  <c r="O472" i="12"/>
  <c r="N472" i="12"/>
  <c r="M472" i="12"/>
  <c r="L472" i="12"/>
  <c r="K472" i="12"/>
  <c r="J472" i="12"/>
  <c r="I472" i="12"/>
  <c r="H472" i="12"/>
  <c r="G472" i="12"/>
  <c r="F472" i="12"/>
  <c r="E472" i="12"/>
  <c r="D472" i="12"/>
  <c r="C472" i="12"/>
  <c r="B472" i="12"/>
  <c r="S471" i="12"/>
  <c r="R471" i="12"/>
  <c r="Q471" i="12"/>
  <c r="P471" i="12"/>
  <c r="O471" i="12"/>
  <c r="N471" i="12"/>
  <c r="M471" i="12"/>
  <c r="L471" i="12"/>
  <c r="K471" i="12"/>
  <c r="J471" i="12"/>
  <c r="I471" i="12"/>
  <c r="H471" i="12"/>
  <c r="G471" i="12"/>
  <c r="F471" i="12"/>
  <c r="E471" i="12"/>
  <c r="D471" i="12"/>
  <c r="C471" i="12"/>
  <c r="B471" i="12"/>
  <c r="S470" i="12"/>
  <c r="R470" i="12"/>
  <c r="Q470" i="12"/>
  <c r="P470" i="12"/>
  <c r="O470" i="12"/>
  <c r="N470" i="12"/>
  <c r="M470" i="12"/>
  <c r="L470" i="12"/>
  <c r="K470" i="12"/>
  <c r="J470" i="12"/>
  <c r="I470" i="12"/>
  <c r="H470" i="12"/>
  <c r="G470" i="12"/>
  <c r="F470" i="12"/>
  <c r="E470" i="12"/>
  <c r="D470" i="12"/>
  <c r="C470" i="12"/>
  <c r="B470" i="12"/>
  <c r="S469" i="12"/>
  <c r="R469" i="12"/>
  <c r="Q469" i="12"/>
  <c r="P469" i="12"/>
  <c r="O469" i="12"/>
  <c r="N469" i="12"/>
  <c r="M469" i="12"/>
  <c r="L469" i="12"/>
  <c r="K469" i="12"/>
  <c r="J469" i="12"/>
  <c r="I469" i="12"/>
  <c r="H469" i="12"/>
  <c r="G469" i="12"/>
  <c r="F469" i="12"/>
  <c r="E469" i="12"/>
  <c r="D469" i="12"/>
  <c r="C469" i="12"/>
  <c r="B469" i="12"/>
  <c r="S468" i="12"/>
  <c r="R468" i="12"/>
  <c r="Q468" i="12"/>
  <c r="P468" i="12"/>
  <c r="O468" i="12"/>
  <c r="N468" i="12"/>
  <c r="M468" i="12"/>
  <c r="L468" i="12"/>
  <c r="K468" i="12"/>
  <c r="J468" i="12"/>
  <c r="I468" i="12"/>
  <c r="H468" i="12"/>
  <c r="G468" i="12"/>
  <c r="F468" i="12"/>
  <c r="E468" i="12"/>
  <c r="D468" i="12"/>
  <c r="C468" i="12"/>
  <c r="B468" i="12"/>
  <c r="S467" i="12"/>
  <c r="R467" i="12"/>
  <c r="Q467" i="12"/>
  <c r="P467" i="12"/>
  <c r="O467" i="12"/>
  <c r="N467" i="12"/>
  <c r="M467" i="12"/>
  <c r="L467" i="12"/>
  <c r="K467" i="12"/>
  <c r="J467" i="12"/>
  <c r="I467" i="12"/>
  <c r="H467" i="12"/>
  <c r="G467" i="12"/>
  <c r="F467" i="12"/>
  <c r="E467" i="12"/>
  <c r="D467" i="12"/>
  <c r="C467" i="12"/>
  <c r="B467" i="12"/>
  <c r="S466" i="12"/>
  <c r="R466" i="12"/>
  <c r="Q466" i="12"/>
  <c r="P466" i="12"/>
  <c r="O466" i="12"/>
  <c r="N466" i="12"/>
  <c r="M466" i="12"/>
  <c r="L466" i="12"/>
  <c r="K466" i="12"/>
  <c r="J466" i="12"/>
  <c r="I466" i="12"/>
  <c r="H466" i="12"/>
  <c r="G466" i="12"/>
  <c r="F466" i="12"/>
  <c r="E466" i="12"/>
  <c r="D466" i="12"/>
  <c r="C466" i="12"/>
  <c r="B466" i="12"/>
  <c r="S465" i="12"/>
  <c r="R465" i="12"/>
  <c r="Q465" i="12"/>
  <c r="P465" i="12"/>
  <c r="O465" i="12"/>
  <c r="N465" i="12"/>
  <c r="M465" i="12"/>
  <c r="L465" i="12"/>
  <c r="K465" i="12"/>
  <c r="J465" i="12"/>
  <c r="I465" i="12"/>
  <c r="H465" i="12"/>
  <c r="G465" i="12"/>
  <c r="F465" i="12"/>
  <c r="E465" i="12"/>
  <c r="D465" i="12"/>
  <c r="C465" i="12"/>
  <c r="B465" i="12"/>
  <c r="S464" i="12"/>
  <c r="R464" i="12"/>
  <c r="Q464" i="12"/>
  <c r="P464" i="12"/>
  <c r="O464" i="12"/>
  <c r="N464" i="12"/>
  <c r="M464" i="12"/>
  <c r="L464" i="12"/>
  <c r="K464" i="12"/>
  <c r="J464" i="12"/>
  <c r="I464" i="12"/>
  <c r="H464" i="12"/>
  <c r="G464" i="12"/>
  <c r="F464" i="12"/>
  <c r="E464" i="12"/>
  <c r="D464" i="12"/>
  <c r="C464" i="12"/>
  <c r="B464" i="12"/>
  <c r="S463" i="12"/>
  <c r="R463" i="12"/>
  <c r="Q463" i="12"/>
  <c r="P463" i="12"/>
  <c r="O463" i="12"/>
  <c r="N463" i="12"/>
  <c r="M463" i="12"/>
  <c r="L463" i="12"/>
  <c r="K463" i="12"/>
  <c r="J463" i="12"/>
  <c r="I463" i="12"/>
  <c r="H463" i="12"/>
  <c r="G463" i="12"/>
  <c r="F463" i="12"/>
  <c r="E463" i="12"/>
  <c r="D463" i="12"/>
  <c r="C463" i="12"/>
  <c r="B463" i="12"/>
  <c r="S462" i="12"/>
  <c r="R462" i="12"/>
  <c r="Q462" i="12"/>
  <c r="P462" i="12"/>
  <c r="O462" i="12"/>
  <c r="N462" i="12"/>
  <c r="M462" i="12"/>
  <c r="L462" i="12"/>
  <c r="K462" i="12"/>
  <c r="J462" i="12"/>
  <c r="I462" i="12"/>
  <c r="H462" i="12"/>
  <c r="G462" i="12"/>
  <c r="F462" i="12"/>
  <c r="E462" i="12"/>
  <c r="D462" i="12"/>
  <c r="C462" i="12"/>
  <c r="B462" i="12"/>
  <c r="S461" i="12"/>
  <c r="R461" i="12"/>
  <c r="Q461" i="12"/>
  <c r="P461" i="12"/>
  <c r="O461" i="12"/>
  <c r="N461" i="12"/>
  <c r="M461" i="12"/>
  <c r="L461" i="12"/>
  <c r="K461" i="12"/>
  <c r="J461" i="12"/>
  <c r="I461" i="12"/>
  <c r="H461" i="12"/>
  <c r="G461" i="12"/>
  <c r="F461" i="12"/>
  <c r="E461" i="12"/>
  <c r="D461" i="12"/>
  <c r="C461" i="12"/>
  <c r="B461" i="12"/>
  <c r="S460" i="12"/>
  <c r="R460" i="12"/>
  <c r="Q460" i="12"/>
  <c r="P460" i="12"/>
  <c r="O460" i="12"/>
  <c r="N460" i="12"/>
  <c r="M460" i="12"/>
  <c r="L460" i="12"/>
  <c r="K460" i="12"/>
  <c r="J460" i="12"/>
  <c r="I460" i="12"/>
  <c r="H460" i="12"/>
  <c r="G460" i="12"/>
  <c r="F460" i="12"/>
  <c r="E460" i="12"/>
  <c r="D460" i="12"/>
  <c r="C460" i="12"/>
  <c r="B460" i="12"/>
  <c r="S459" i="12"/>
  <c r="R459" i="12"/>
  <c r="Q459" i="12"/>
  <c r="P459" i="12"/>
  <c r="O459" i="12"/>
  <c r="N459" i="12"/>
  <c r="M459" i="12"/>
  <c r="L459" i="12"/>
  <c r="K459" i="12"/>
  <c r="J459" i="12"/>
  <c r="I459" i="12"/>
  <c r="H459" i="12"/>
  <c r="G459" i="12"/>
  <c r="F459" i="12"/>
  <c r="E459" i="12"/>
  <c r="D459" i="12"/>
  <c r="C459" i="12"/>
  <c r="B459" i="12"/>
  <c r="S458" i="12"/>
  <c r="R458" i="12"/>
  <c r="Q458" i="12"/>
  <c r="P458" i="12"/>
  <c r="O458" i="12"/>
  <c r="N458" i="12"/>
  <c r="M458" i="12"/>
  <c r="L458" i="12"/>
  <c r="K458" i="12"/>
  <c r="J458" i="12"/>
  <c r="I458" i="12"/>
  <c r="H458" i="12"/>
  <c r="G458" i="12"/>
  <c r="F458" i="12"/>
  <c r="E458" i="12"/>
  <c r="D458" i="12"/>
  <c r="C458" i="12"/>
  <c r="B458" i="12"/>
  <c r="S457" i="12"/>
  <c r="R457" i="12"/>
  <c r="Q457" i="12"/>
  <c r="P457" i="12"/>
  <c r="O457" i="12"/>
  <c r="N457" i="12"/>
  <c r="M457" i="12"/>
  <c r="L457" i="12"/>
  <c r="K457" i="12"/>
  <c r="J457" i="12"/>
  <c r="I457" i="12"/>
  <c r="H457" i="12"/>
  <c r="G457" i="12"/>
  <c r="F457" i="12"/>
  <c r="E457" i="12"/>
  <c r="D457" i="12"/>
  <c r="C457" i="12"/>
  <c r="B457" i="12"/>
  <c r="S456" i="12"/>
  <c r="R456" i="12"/>
  <c r="Q456" i="12"/>
  <c r="P456" i="12"/>
  <c r="O456" i="12"/>
  <c r="N456" i="12"/>
  <c r="M456" i="12"/>
  <c r="L456" i="12"/>
  <c r="K456" i="12"/>
  <c r="J456" i="12"/>
  <c r="I456" i="12"/>
  <c r="H456" i="12"/>
  <c r="G456" i="12"/>
  <c r="F456" i="12"/>
  <c r="E456" i="12"/>
  <c r="D456" i="12"/>
  <c r="C456" i="12"/>
  <c r="B456" i="12"/>
  <c r="S455" i="12"/>
  <c r="R455" i="12"/>
  <c r="Q455" i="12"/>
  <c r="P455" i="12"/>
  <c r="O455" i="12"/>
  <c r="N455" i="12"/>
  <c r="M455" i="12"/>
  <c r="L455" i="12"/>
  <c r="K455" i="12"/>
  <c r="J455" i="12"/>
  <c r="I455" i="12"/>
  <c r="H455" i="12"/>
  <c r="G455" i="12"/>
  <c r="F455" i="12"/>
  <c r="E455" i="12"/>
  <c r="D455" i="12"/>
  <c r="C455" i="12"/>
  <c r="B455" i="12"/>
  <c r="S454" i="12"/>
  <c r="R454" i="12"/>
  <c r="Q454" i="12"/>
  <c r="P454" i="12"/>
  <c r="O454" i="12"/>
  <c r="N454" i="12"/>
  <c r="M454" i="12"/>
  <c r="L454" i="12"/>
  <c r="K454" i="12"/>
  <c r="J454" i="12"/>
  <c r="I454" i="12"/>
  <c r="H454" i="12"/>
  <c r="G454" i="12"/>
  <c r="F454" i="12"/>
  <c r="E454" i="12"/>
  <c r="D454" i="12"/>
  <c r="C454" i="12"/>
  <c r="B454" i="12"/>
  <c r="S453" i="12"/>
  <c r="R453" i="12"/>
  <c r="Q453" i="12"/>
  <c r="P453" i="12"/>
  <c r="O453" i="12"/>
  <c r="N453" i="12"/>
  <c r="M453" i="12"/>
  <c r="L453" i="12"/>
  <c r="K453" i="12"/>
  <c r="J453" i="12"/>
  <c r="I453" i="12"/>
  <c r="H453" i="12"/>
  <c r="G453" i="12"/>
  <c r="F453" i="12"/>
  <c r="E453" i="12"/>
  <c r="D453" i="12"/>
  <c r="C453" i="12"/>
  <c r="B453" i="12"/>
  <c r="S452" i="12"/>
  <c r="R452" i="12"/>
  <c r="Q452" i="12"/>
  <c r="P452" i="12"/>
  <c r="O452" i="12"/>
  <c r="N452" i="12"/>
  <c r="M452" i="12"/>
  <c r="L452" i="12"/>
  <c r="K452" i="12"/>
  <c r="J452" i="12"/>
  <c r="I452" i="12"/>
  <c r="H452" i="12"/>
  <c r="G452" i="12"/>
  <c r="F452" i="12"/>
  <c r="E452" i="12"/>
  <c r="D452" i="12"/>
  <c r="C452" i="12"/>
  <c r="B452" i="12"/>
  <c r="S451" i="12"/>
  <c r="R451" i="12"/>
  <c r="Q451" i="12"/>
  <c r="P451" i="12"/>
  <c r="O451" i="12"/>
  <c r="N451" i="12"/>
  <c r="M451" i="12"/>
  <c r="L451" i="12"/>
  <c r="K451" i="12"/>
  <c r="J451" i="12"/>
  <c r="I451" i="12"/>
  <c r="H451" i="12"/>
  <c r="G451" i="12"/>
  <c r="F451" i="12"/>
  <c r="E451" i="12"/>
  <c r="D451" i="12"/>
  <c r="C451" i="12"/>
  <c r="B451" i="12"/>
  <c r="S450" i="12"/>
  <c r="R450" i="12"/>
  <c r="Q450" i="12"/>
  <c r="P450" i="12"/>
  <c r="O450" i="12"/>
  <c r="N450" i="12"/>
  <c r="M450" i="12"/>
  <c r="L450" i="12"/>
  <c r="K450" i="12"/>
  <c r="J450" i="12"/>
  <c r="I450" i="12"/>
  <c r="H450" i="12"/>
  <c r="G450" i="12"/>
  <c r="F450" i="12"/>
  <c r="E450" i="12"/>
  <c r="D450" i="12"/>
  <c r="C450" i="12"/>
  <c r="B450" i="12"/>
  <c r="S449" i="12"/>
  <c r="R449" i="12"/>
  <c r="Q449" i="12"/>
  <c r="P449" i="12"/>
  <c r="O449" i="12"/>
  <c r="N449" i="12"/>
  <c r="M449" i="12"/>
  <c r="L449" i="12"/>
  <c r="K449" i="12"/>
  <c r="J449" i="12"/>
  <c r="I449" i="12"/>
  <c r="H449" i="12"/>
  <c r="G449" i="12"/>
  <c r="F449" i="12"/>
  <c r="E449" i="12"/>
  <c r="D449" i="12"/>
  <c r="C449" i="12"/>
  <c r="B449" i="12"/>
  <c r="S448" i="12"/>
  <c r="R448" i="12"/>
  <c r="Q448" i="12"/>
  <c r="P448" i="12"/>
  <c r="O448" i="12"/>
  <c r="N448" i="12"/>
  <c r="M448" i="12"/>
  <c r="L448" i="12"/>
  <c r="K448" i="12"/>
  <c r="J448" i="12"/>
  <c r="I448" i="12"/>
  <c r="H448" i="12"/>
  <c r="G448" i="12"/>
  <c r="F448" i="12"/>
  <c r="E448" i="12"/>
  <c r="D448" i="12"/>
  <c r="C448" i="12"/>
  <c r="B448" i="12"/>
  <c r="S447" i="12"/>
  <c r="R447" i="12"/>
  <c r="Q447" i="12"/>
  <c r="P447" i="12"/>
  <c r="O447" i="12"/>
  <c r="N447" i="12"/>
  <c r="M447" i="12"/>
  <c r="L447" i="12"/>
  <c r="K447" i="12"/>
  <c r="J447" i="12"/>
  <c r="I447" i="12"/>
  <c r="H447" i="12"/>
  <c r="G447" i="12"/>
  <c r="F447" i="12"/>
  <c r="E447" i="12"/>
  <c r="D447" i="12"/>
  <c r="C447" i="12"/>
  <c r="B447" i="12"/>
  <c r="S446" i="12"/>
  <c r="R446" i="12"/>
  <c r="Q446" i="12"/>
  <c r="P446" i="12"/>
  <c r="O446" i="12"/>
  <c r="N446" i="12"/>
  <c r="M446" i="12"/>
  <c r="L446" i="12"/>
  <c r="K446" i="12"/>
  <c r="J446" i="12"/>
  <c r="I446" i="12"/>
  <c r="H446" i="12"/>
  <c r="G446" i="12"/>
  <c r="F446" i="12"/>
  <c r="E446" i="12"/>
  <c r="D446" i="12"/>
  <c r="C446" i="12"/>
  <c r="B446" i="12"/>
  <c r="S445" i="12"/>
  <c r="R445" i="12"/>
  <c r="Q445" i="12"/>
  <c r="P445" i="12"/>
  <c r="O445" i="12"/>
  <c r="N445" i="12"/>
  <c r="M445" i="12"/>
  <c r="L445" i="12"/>
  <c r="K445" i="12"/>
  <c r="J445" i="12"/>
  <c r="I445" i="12"/>
  <c r="H445" i="12"/>
  <c r="G445" i="12"/>
  <c r="F445" i="12"/>
  <c r="E445" i="12"/>
  <c r="D445" i="12"/>
  <c r="C445" i="12"/>
  <c r="B445" i="12"/>
  <c r="S444" i="12"/>
  <c r="R444" i="12"/>
  <c r="Q444" i="12"/>
  <c r="P444" i="12"/>
  <c r="O444" i="12"/>
  <c r="N444" i="12"/>
  <c r="M444" i="12"/>
  <c r="L444" i="12"/>
  <c r="K444" i="12"/>
  <c r="J444" i="12"/>
  <c r="I444" i="12"/>
  <c r="H444" i="12"/>
  <c r="G444" i="12"/>
  <c r="F444" i="12"/>
  <c r="E444" i="12"/>
  <c r="D444" i="12"/>
  <c r="C444" i="12"/>
  <c r="B444" i="12"/>
  <c r="S443" i="12"/>
  <c r="R443" i="12"/>
  <c r="Q443" i="12"/>
  <c r="P443" i="12"/>
  <c r="O443" i="12"/>
  <c r="N443" i="12"/>
  <c r="M443" i="12"/>
  <c r="L443" i="12"/>
  <c r="K443" i="12"/>
  <c r="J443" i="12"/>
  <c r="I443" i="12"/>
  <c r="H443" i="12"/>
  <c r="G443" i="12"/>
  <c r="F443" i="12"/>
  <c r="E443" i="12"/>
  <c r="D443" i="12"/>
  <c r="C443" i="12"/>
  <c r="B443" i="12"/>
  <c r="S442" i="12"/>
  <c r="R442" i="12"/>
  <c r="Q442" i="12"/>
  <c r="P442" i="12"/>
  <c r="O442" i="12"/>
  <c r="N442" i="12"/>
  <c r="M442" i="12"/>
  <c r="L442" i="12"/>
  <c r="K442" i="12"/>
  <c r="J442" i="12"/>
  <c r="I442" i="12"/>
  <c r="H442" i="12"/>
  <c r="G442" i="12"/>
  <c r="F442" i="12"/>
  <c r="E442" i="12"/>
  <c r="D442" i="12"/>
  <c r="C442" i="12"/>
  <c r="B442" i="12"/>
  <c r="S441" i="12"/>
  <c r="R441" i="12"/>
  <c r="Q441" i="12"/>
  <c r="P441" i="12"/>
  <c r="O441" i="12"/>
  <c r="N441" i="12"/>
  <c r="M441" i="12"/>
  <c r="L441" i="12"/>
  <c r="K441" i="12"/>
  <c r="J441" i="12"/>
  <c r="I441" i="12"/>
  <c r="H441" i="12"/>
  <c r="G441" i="12"/>
  <c r="F441" i="12"/>
  <c r="E441" i="12"/>
  <c r="D441" i="12"/>
  <c r="C441" i="12"/>
  <c r="B441" i="12"/>
  <c r="S440" i="12"/>
  <c r="R440" i="12"/>
  <c r="Q440" i="12"/>
  <c r="P440" i="12"/>
  <c r="O440" i="12"/>
  <c r="N440" i="12"/>
  <c r="M440" i="12"/>
  <c r="L440" i="12"/>
  <c r="K440" i="12"/>
  <c r="J440" i="12"/>
  <c r="I440" i="12"/>
  <c r="H440" i="12"/>
  <c r="G440" i="12"/>
  <c r="F440" i="12"/>
  <c r="E440" i="12"/>
  <c r="D440" i="12"/>
  <c r="C440" i="12"/>
  <c r="B440" i="12"/>
  <c r="S439" i="12"/>
  <c r="R439" i="12"/>
  <c r="Q439" i="12"/>
  <c r="P439" i="12"/>
  <c r="O439" i="12"/>
  <c r="N439" i="12"/>
  <c r="M439" i="12"/>
  <c r="L439" i="12"/>
  <c r="K439" i="12"/>
  <c r="J439" i="12"/>
  <c r="I439" i="12"/>
  <c r="H439" i="12"/>
  <c r="G439" i="12"/>
  <c r="F439" i="12"/>
  <c r="E439" i="12"/>
  <c r="D439" i="12"/>
  <c r="C439" i="12"/>
  <c r="B439" i="12"/>
  <c r="S438" i="12"/>
  <c r="R438" i="12"/>
  <c r="Q438" i="12"/>
  <c r="P438" i="12"/>
  <c r="O438" i="12"/>
  <c r="N438" i="12"/>
  <c r="M438" i="12"/>
  <c r="L438" i="12"/>
  <c r="K438" i="12"/>
  <c r="J438" i="12"/>
  <c r="I438" i="12"/>
  <c r="H438" i="12"/>
  <c r="G438" i="12"/>
  <c r="F438" i="12"/>
  <c r="E438" i="12"/>
  <c r="D438" i="12"/>
  <c r="C438" i="12"/>
  <c r="B438" i="12"/>
  <c r="S437" i="12"/>
  <c r="R437" i="12"/>
  <c r="Q437" i="12"/>
  <c r="P437" i="12"/>
  <c r="O437" i="12"/>
  <c r="N437" i="12"/>
  <c r="M437" i="12"/>
  <c r="L437" i="12"/>
  <c r="K437" i="12"/>
  <c r="J437" i="12"/>
  <c r="I437" i="12"/>
  <c r="H437" i="12"/>
  <c r="G437" i="12"/>
  <c r="F437" i="12"/>
  <c r="E437" i="12"/>
  <c r="D437" i="12"/>
  <c r="C437" i="12"/>
  <c r="B437" i="12"/>
  <c r="S436" i="12"/>
  <c r="R436" i="12"/>
  <c r="Q436" i="12"/>
  <c r="P436" i="12"/>
  <c r="O436" i="12"/>
  <c r="N436" i="12"/>
  <c r="M436" i="12"/>
  <c r="L436" i="12"/>
  <c r="K436" i="12"/>
  <c r="J436" i="12"/>
  <c r="I436" i="12"/>
  <c r="H436" i="12"/>
  <c r="G436" i="12"/>
  <c r="F436" i="12"/>
  <c r="E436" i="12"/>
  <c r="D436" i="12"/>
  <c r="C436" i="12"/>
  <c r="B436" i="12"/>
  <c r="S435" i="12"/>
  <c r="R435" i="12"/>
  <c r="Q435" i="12"/>
  <c r="P435" i="12"/>
  <c r="O435" i="12"/>
  <c r="N435" i="12"/>
  <c r="M435" i="12"/>
  <c r="L435" i="12"/>
  <c r="K435" i="12"/>
  <c r="J435" i="12"/>
  <c r="I435" i="12"/>
  <c r="H435" i="12"/>
  <c r="G435" i="12"/>
  <c r="F435" i="12"/>
  <c r="E435" i="12"/>
  <c r="D435" i="12"/>
  <c r="C435" i="12"/>
  <c r="B435" i="12"/>
  <c r="S434" i="12"/>
  <c r="R434" i="12"/>
  <c r="Q434" i="12"/>
  <c r="P434" i="12"/>
  <c r="O434" i="12"/>
  <c r="N434" i="12"/>
  <c r="M434" i="12"/>
  <c r="L434" i="12"/>
  <c r="K434" i="12"/>
  <c r="J434" i="12"/>
  <c r="I434" i="12"/>
  <c r="H434" i="12"/>
  <c r="G434" i="12"/>
  <c r="F434" i="12"/>
  <c r="E434" i="12"/>
  <c r="D434" i="12"/>
  <c r="C434" i="12"/>
  <c r="B434" i="12"/>
  <c r="S433" i="12"/>
  <c r="R433" i="12"/>
  <c r="Q433" i="12"/>
  <c r="P433" i="12"/>
  <c r="O433" i="12"/>
  <c r="N433" i="12"/>
  <c r="M433" i="12"/>
  <c r="L433" i="12"/>
  <c r="K433" i="12"/>
  <c r="J433" i="12"/>
  <c r="I433" i="12"/>
  <c r="H433" i="12"/>
  <c r="G433" i="12"/>
  <c r="F433" i="12"/>
  <c r="E433" i="12"/>
  <c r="D433" i="12"/>
  <c r="C433" i="12"/>
  <c r="B433" i="12"/>
  <c r="S432" i="12"/>
  <c r="R432" i="12"/>
  <c r="Q432" i="12"/>
  <c r="P432" i="12"/>
  <c r="O432" i="12"/>
  <c r="N432" i="12"/>
  <c r="M432" i="12"/>
  <c r="L432" i="12"/>
  <c r="K432" i="12"/>
  <c r="J432" i="12"/>
  <c r="I432" i="12"/>
  <c r="H432" i="12"/>
  <c r="G432" i="12"/>
  <c r="F432" i="12"/>
  <c r="E432" i="12"/>
  <c r="D432" i="12"/>
  <c r="C432" i="12"/>
  <c r="B432" i="12"/>
  <c r="S431" i="12"/>
  <c r="R431" i="12"/>
  <c r="Q431" i="12"/>
  <c r="P431" i="12"/>
  <c r="O431" i="12"/>
  <c r="N431" i="12"/>
  <c r="M431" i="12"/>
  <c r="L431" i="12"/>
  <c r="K431" i="12"/>
  <c r="J431" i="12"/>
  <c r="I431" i="12"/>
  <c r="H431" i="12"/>
  <c r="G431" i="12"/>
  <c r="F431" i="12"/>
  <c r="E431" i="12"/>
  <c r="D431" i="12"/>
  <c r="C431" i="12"/>
  <c r="B431" i="12"/>
  <c r="S430" i="12"/>
  <c r="R430" i="12"/>
  <c r="Q430" i="12"/>
  <c r="P430" i="12"/>
  <c r="O430" i="12"/>
  <c r="N430" i="12"/>
  <c r="M430" i="12"/>
  <c r="L430" i="12"/>
  <c r="K430" i="12"/>
  <c r="J430" i="12"/>
  <c r="I430" i="12"/>
  <c r="H430" i="12"/>
  <c r="G430" i="12"/>
  <c r="F430" i="12"/>
  <c r="E430" i="12"/>
  <c r="D430" i="12"/>
  <c r="C430" i="12"/>
  <c r="B430" i="12"/>
  <c r="S429" i="12"/>
  <c r="R429" i="12"/>
  <c r="Q429" i="12"/>
  <c r="P429" i="12"/>
  <c r="O429" i="12"/>
  <c r="N429" i="12"/>
  <c r="M429" i="12"/>
  <c r="L429" i="12"/>
  <c r="K429" i="12"/>
  <c r="J429" i="12"/>
  <c r="I429" i="12"/>
  <c r="H429" i="12"/>
  <c r="G429" i="12"/>
  <c r="F429" i="12"/>
  <c r="E429" i="12"/>
  <c r="D429" i="12"/>
  <c r="C429" i="12"/>
  <c r="B429" i="12"/>
  <c r="S428" i="12"/>
  <c r="R428" i="12"/>
  <c r="Q428" i="12"/>
  <c r="P428" i="12"/>
  <c r="O428" i="12"/>
  <c r="N428" i="12"/>
  <c r="M428" i="12"/>
  <c r="L428" i="12"/>
  <c r="K428" i="12"/>
  <c r="J428" i="12"/>
  <c r="I428" i="12"/>
  <c r="H428" i="12"/>
  <c r="G428" i="12"/>
  <c r="F428" i="12"/>
  <c r="E428" i="12"/>
  <c r="D428" i="12"/>
  <c r="C428" i="12"/>
  <c r="B428" i="12"/>
  <c r="S427" i="12"/>
  <c r="R427" i="12"/>
  <c r="Q427" i="12"/>
  <c r="P427" i="12"/>
  <c r="O427" i="12"/>
  <c r="N427" i="12"/>
  <c r="M427" i="12"/>
  <c r="L427" i="12"/>
  <c r="K427" i="12"/>
  <c r="J427" i="12"/>
  <c r="I427" i="12"/>
  <c r="H427" i="12"/>
  <c r="G427" i="12"/>
  <c r="F427" i="12"/>
  <c r="E427" i="12"/>
  <c r="D427" i="12"/>
  <c r="C427" i="12"/>
  <c r="B427" i="12"/>
  <c r="S426" i="12"/>
  <c r="R426" i="12"/>
  <c r="Q426" i="12"/>
  <c r="P426" i="12"/>
  <c r="O426" i="12"/>
  <c r="N426" i="12"/>
  <c r="M426" i="12"/>
  <c r="L426" i="12"/>
  <c r="K426" i="12"/>
  <c r="J426" i="12"/>
  <c r="I426" i="12"/>
  <c r="H426" i="12"/>
  <c r="G426" i="12"/>
  <c r="F426" i="12"/>
  <c r="E426" i="12"/>
  <c r="D426" i="12"/>
  <c r="C426" i="12"/>
  <c r="B426" i="12"/>
  <c r="S425" i="12"/>
  <c r="R425" i="12"/>
  <c r="Q425" i="12"/>
  <c r="P425" i="12"/>
  <c r="O425" i="12"/>
  <c r="N425" i="12"/>
  <c r="M425" i="12"/>
  <c r="L425" i="12"/>
  <c r="K425" i="12"/>
  <c r="J425" i="12"/>
  <c r="I425" i="12"/>
  <c r="H425" i="12"/>
  <c r="G425" i="12"/>
  <c r="F425" i="12"/>
  <c r="E425" i="12"/>
  <c r="D425" i="12"/>
  <c r="C425" i="12"/>
  <c r="B425" i="12"/>
  <c r="S424" i="12"/>
  <c r="R424" i="12"/>
  <c r="Q424" i="12"/>
  <c r="P424" i="12"/>
  <c r="O424" i="12"/>
  <c r="N424" i="12"/>
  <c r="M424" i="12"/>
  <c r="L424" i="12"/>
  <c r="K424" i="12"/>
  <c r="J424" i="12"/>
  <c r="I424" i="12"/>
  <c r="H424" i="12"/>
  <c r="G424" i="12"/>
  <c r="F424" i="12"/>
  <c r="E424" i="12"/>
  <c r="D424" i="12"/>
  <c r="C424" i="12"/>
  <c r="B424" i="12"/>
  <c r="S423" i="12"/>
  <c r="R423" i="12"/>
  <c r="Q423" i="12"/>
  <c r="P423" i="12"/>
  <c r="O423" i="12"/>
  <c r="N423" i="12"/>
  <c r="M423" i="12"/>
  <c r="L423" i="12"/>
  <c r="K423" i="12"/>
  <c r="J423" i="12"/>
  <c r="I423" i="12"/>
  <c r="H423" i="12"/>
  <c r="G423" i="12"/>
  <c r="F423" i="12"/>
  <c r="E423" i="12"/>
  <c r="D423" i="12"/>
  <c r="C423" i="12"/>
  <c r="B423" i="12"/>
  <c r="S422" i="12"/>
  <c r="R422" i="12"/>
  <c r="Q422" i="12"/>
  <c r="P422" i="12"/>
  <c r="O422" i="12"/>
  <c r="N422" i="12"/>
  <c r="M422" i="12"/>
  <c r="L422" i="12"/>
  <c r="K422" i="12"/>
  <c r="J422" i="12"/>
  <c r="I422" i="12"/>
  <c r="H422" i="12"/>
  <c r="G422" i="12"/>
  <c r="F422" i="12"/>
  <c r="E422" i="12"/>
  <c r="D422" i="12"/>
  <c r="C422" i="12"/>
  <c r="B422" i="12"/>
  <c r="S421" i="12"/>
  <c r="R421" i="12"/>
  <c r="Q421" i="12"/>
  <c r="P421" i="12"/>
  <c r="O421" i="12"/>
  <c r="N421" i="12"/>
  <c r="M421" i="12"/>
  <c r="L421" i="12"/>
  <c r="K421" i="12"/>
  <c r="J421" i="12"/>
  <c r="I421" i="12"/>
  <c r="H421" i="12"/>
  <c r="G421" i="12"/>
  <c r="F421" i="12"/>
  <c r="E421" i="12"/>
  <c r="D421" i="12"/>
  <c r="C421" i="12"/>
  <c r="B421" i="12"/>
  <c r="S420" i="12"/>
  <c r="R420" i="12"/>
  <c r="Q420" i="12"/>
  <c r="P420" i="12"/>
  <c r="O420" i="12"/>
  <c r="N420" i="12"/>
  <c r="M420" i="12"/>
  <c r="L420" i="12"/>
  <c r="K420" i="12"/>
  <c r="J420" i="12"/>
  <c r="I420" i="12"/>
  <c r="H420" i="12"/>
  <c r="G420" i="12"/>
  <c r="F420" i="12"/>
  <c r="E420" i="12"/>
  <c r="D420" i="12"/>
  <c r="C420" i="12"/>
  <c r="B420" i="12"/>
  <c r="S419" i="12"/>
  <c r="R419" i="12"/>
  <c r="Q419" i="12"/>
  <c r="P419" i="12"/>
  <c r="O419" i="12"/>
  <c r="N419" i="12"/>
  <c r="M419" i="12"/>
  <c r="L419" i="12"/>
  <c r="K419" i="12"/>
  <c r="J419" i="12"/>
  <c r="I419" i="12"/>
  <c r="H419" i="12"/>
  <c r="G419" i="12"/>
  <c r="F419" i="12"/>
  <c r="E419" i="12"/>
  <c r="D419" i="12"/>
  <c r="C419" i="12"/>
  <c r="B419" i="12"/>
  <c r="S418" i="12"/>
  <c r="R418" i="12"/>
  <c r="Q418" i="12"/>
  <c r="P418" i="12"/>
  <c r="O418" i="12"/>
  <c r="N418" i="12"/>
  <c r="M418" i="12"/>
  <c r="L418" i="12"/>
  <c r="K418" i="12"/>
  <c r="J418" i="12"/>
  <c r="I418" i="12"/>
  <c r="H418" i="12"/>
  <c r="G418" i="12"/>
  <c r="F418" i="12"/>
  <c r="E418" i="12"/>
  <c r="D418" i="12"/>
  <c r="C418" i="12"/>
  <c r="B418" i="12"/>
  <c r="S417" i="12"/>
  <c r="R417" i="12"/>
  <c r="Q417" i="12"/>
  <c r="P417" i="12"/>
  <c r="O417" i="12"/>
  <c r="N417" i="12"/>
  <c r="M417" i="12"/>
  <c r="L417" i="12"/>
  <c r="K417" i="12"/>
  <c r="J417" i="12"/>
  <c r="I417" i="12"/>
  <c r="H417" i="12"/>
  <c r="G417" i="12"/>
  <c r="F417" i="12"/>
  <c r="E417" i="12"/>
  <c r="D417" i="12"/>
  <c r="C417" i="12"/>
  <c r="B417" i="12"/>
  <c r="S416" i="12"/>
  <c r="R416" i="12"/>
  <c r="Q416" i="12"/>
  <c r="P416" i="12"/>
  <c r="O416" i="12"/>
  <c r="N416" i="12"/>
  <c r="M416" i="12"/>
  <c r="L416" i="12"/>
  <c r="K416" i="12"/>
  <c r="J416" i="12"/>
  <c r="I416" i="12"/>
  <c r="H416" i="12"/>
  <c r="G416" i="12"/>
  <c r="F416" i="12"/>
  <c r="E416" i="12"/>
  <c r="D416" i="12"/>
  <c r="C416" i="12"/>
  <c r="B416" i="12"/>
  <c r="S415" i="12"/>
  <c r="R415" i="12"/>
  <c r="Q415" i="12"/>
  <c r="P415" i="12"/>
  <c r="O415" i="12"/>
  <c r="N415" i="12"/>
  <c r="M415" i="12"/>
  <c r="L415" i="12"/>
  <c r="K415" i="12"/>
  <c r="J415" i="12"/>
  <c r="I415" i="12"/>
  <c r="H415" i="12"/>
  <c r="G415" i="12"/>
  <c r="F415" i="12"/>
  <c r="E415" i="12"/>
  <c r="D415" i="12"/>
  <c r="C415" i="12"/>
  <c r="B415" i="12"/>
  <c r="S414" i="12"/>
  <c r="R414" i="12"/>
  <c r="Q414" i="12"/>
  <c r="P414" i="12"/>
  <c r="O414" i="12"/>
  <c r="N414" i="12"/>
  <c r="M414" i="12"/>
  <c r="L414" i="12"/>
  <c r="K414" i="12"/>
  <c r="J414" i="12"/>
  <c r="I414" i="12"/>
  <c r="H414" i="12"/>
  <c r="G414" i="12"/>
  <c r="F414" i="12"/>
  <c r="E414" i="12"/>
  <c r="D414" i="12"/>
  <c r="C414" i="12"/>
  <c r="B414" i="12"/>
  <c r="S413" i="12"/>
  <c r="R413" i="12"/>
  <c r="Q413" i="12"/>
  <c r="P413" i="12"/>
  <c r="O413" i="12"/>
  <c r="N413" i="12"/>
  <c r="M413" i="12"/>
  <c r="L413" i="12"/>
  <c r="K413" i="12"/>
  <c r="J413" i="12"/>
  <c r="I413" i="12"/>
  <c r="H413" i="12"/>
  <c r="G413" i="12"/>
  <c r="F413" i="12"/>
  <c r="E413" i="12"/>
  <c r="D413" i="12"/>
  <c r="C413" i="12"/>
  <c r="B413" i="12"/>
  <c r="S412" i="12"/>
  <c r="R412" i="12"/>
  <c r="Q412" i="12"/>
  <c r="P412" i="12"/>
  <c r="O412" i="12"/>
  <c r="N412" i="12"/>
  <c r="M412" i="12"/>
  <c r="L412" i="12"/>
  <c r="K412" i="12"/>
  <c r="J412" i="12"/>
  <c r="I412" i="12"/>
  <c r="H412" i="12"/>
  <c r="G412" i="12"/>
  <c r="F412" i="12"/>
  <c r="E412" i="12"/>
  <c r="D412" i="12"/>
  <c r="C412" i="12"/>
  <c r="B412" i="12"/>
  <c r="S411" i="12"/>
  <c r="R411" i="12"/>
  <c r="Q411" i="12"/>
  <c r="P411" i="12"/>
  <c r="O411" i="12"/>
  <c r="N411" i="12"/>
  <c r="M411" i="12"/>
  <c r="L411" i="12"/>
  <c r="K411" i="12"/>
  <c r="J411" i="12"/>
  <c r="I411" i="12"/>
  <c r="H411" i="12"/>
  <c r="G411" i="12"/>
  <c r="F411" i="12"/>
  <c r="E411" i="12"/>
  <c r="D411" i="12"/>
  <c r="C411" i="12"/>
  <c r="B411" i="12"/>
  <c r="S410" i="12"/>
  <c r="R410" i="12"/>
  <c r="Q410" i="12"/>
  <c r="P410" i="12"/>
  <c r="O410" i="12"/>
  <c r="N410" i="12"/>
  <c r="M410" i="12"/>
  <c r="L410" i="12"/>
  <c r="K410" i="12"/>
  <c r="J410" i="12"/>
  <c r="I410" i="12"/>
  <c r="H410" i="12"/>
  <c r="G410" i="12"/>
  <c r="F410" i="12"/>
  <c r="E410" i="12"/>
  <c r="D410" i="12"/>
  <c r="C410" i="12"/>
  <c r="B410" i="12"/>
  <c r="S409" i="12"/>
  <c r="R409" i="12"/>
  <c r="Q409" i="12"/>
  <c r="P409" i="12"/>
  <c r="O409" i="12"/>
  <c r="N409" i="12"/>
  <c r="M409" i="12"/>
  <c r="L409" i="12"/>
  <c r="K409" i="12"/>
  <c r="J409" i="12"/>
  <c r="I409" i="12"/>
  <c r="H409" i="12"/>
  <c r="G409" i="12"/>
  <c r="F409" i="12"/>
  <c r="E409" i="12"/>
  <c r="D409" i="12"/>
  <c r="C409" i="12"/>
  <c r="B409" i="12"/>
  <c r="S408" i="12"/>
  <c r="R408" i="12"/>
  <c r="Q408" i="12"/>
  <c r="P408" i="12"/>
  <c r="O408" i="12"/>
  <c r="N408" i="12"/>
  <c r="M408" i="12"/>
  <c r="L408" i="12"/>
  <c r="K408" i="12"/>
  <c r="J408" i="12"/>
  <c r="I408" i="12"/>
  <c r="H408" i="12"/>
  <c r="G408" i="12"/>
  <c r="F408" i="12"/>
  <c r="E408" i="12"/>
  <c r="D408" i="12"/>
  <c r="C408" i="12"/>
  <c r="B408" i="12"/>
  <c r="S407" i="12"/>
  <c r="R407" i="12"/>
  <c r="Q407" i="12"/>
  <c r="P407" i="12"/>
  <c r="O407" i="12"/>
  <c r="N407" i="12"/>
  <c r="M407" i="12"/>
  <c r="L407" i="12"/>
  <c r="K407" i="12"/>
  <c r="J407" i="12"/>
  <c r="I407" i="12"/>
  <c r="H407" i="12"/>
  <c r="G407" i="12"/>
  <c r="F407" i="12"/>
  <c r="E407" i="12"/>
  <c r="D407" i="12"/>
  <c r="C407" i="12"/>
  <c r="B407" i="12"/>
  <c r="S406" i="12"/>
  <c r="R406" i="12"/>
  <c r="Q406" i="12"/>
  <c r="P406" i="12"/>
  <c r="O406" i="12"/>
  <c r="N406" i="12"/>
  <c r="M406" i="12"/>
  <c r="L406" i="12"/>
  <c r="K406" i="12"/>
  <c r="J406" i="12"/>
  <c r="I406" i="12"/>
  <c r="H406" i="12"/>
  <c r="G406" i="12"/>
  <c r="F406" i="12"/>
  <c r="E406" i="12"/>
  <c r="D406" i="12"/>
  <c r="C406" i="12"/>
  <c r="B406" i="12"/>
  <c r="S405" i="12"/>
  <c r="R405" i="12"/>
  <c r="Q405" i="12"/>
  <c r="P405" i="12"/>
  <c r="O405" i="12"/>
  <c r="N405" i="12"/>
  <c r="M405" i="12"/>
  <c r="L405" i="12"/>
  <c r="K405" i="12"/>
  <c r="J405" i="12"/>
  <c r="I405" i="12"/>
  <c r="H405" i="12"/>
  <c r="G405" i="12"/>
  <c r="F405" i="12"/>
  <c r="E405" i="12"/>
  <c r="D405" i="12"/>
  <c r="C405" i="12"/>
  <c r="B405" i="12"/>
  <c r="S404" i="12"/>
  <c r="R404" i="12"/>
  <c r="Q404" i="12"/>
  <c r="P404" i="12"/>
  <c r="O404" i="12"/>
  <c r="N404" i="12"/>
  <c r="M404" i="12"/>
  <c r="L404" i="12"/>
  <c r="K404" i="12"/>
  <c r="J404" i="12"/>
  <c r="I404" i="12"/>
  <c r="H404" i="12"/>
  <c r="G404" i="12"/>
  <c r="F404" i="12"/>
  <c r="E404" i="12"/>
  <c r="D404" i="12"/>
  <c r="C404" i="12"/>
  <c r="B404" i="12"/>
  <c r="S403" i="12"/>
  <c r="R403" i="12"/>
  <c r="Q403" i="12"/>
  <c r="P403" i="12"/>
  <c r="O403" i="12"/>
  <c r="N403" i="12"/>
  <c r="M403" i="12"/>
  <c r="L403" i="12"/>
  <c r="K403" i="12"/>
  <c r="J403" i="12"/>
  <c r="I403" i="12"/>
  <c r="H403" i="12"/>
  <c r="G403" i="12"/>
  <c r="F403" i="12"/>
  <c r="E403" i="12"/>
  <c r="D403" i="12"/>
  <c r="C403" i="12"/>
  <c r="B403" i="12"/>
  <c r="S402" i="12"/>
  <c r="R402" i="12"/>
  <c r="Q402" i="12"/>
  <c r="P402" i="12"/>
  <c r="O402" i="12"/>
  <c r="N402" i="12"/>
  <c r="M402" i="12"/>
  <c r="L402" i="12"/>
  <c r="K402" i="12"/>
  <c r="J402" i="12"/>
  <c r="I402" i="12"/>
  <c r="H402" i="12"/>
  <c r="G402" i="12"/>
  <c r="F402" i="12"/>
  <c r="E402" i="12"/>
  <c r="D402" i="12"/>
  <c r="C402" i="12"/>
  <c r="B402" i="12"/>
  <c r="S401" i="12"/>
  <c r="R401" i="12"/>
  <c r="Q401" i="12"/>
  <c r="P401" i="12"/>
  <c r="O401" i="12"/>
  <c r="N401" i="12"/>
  <c r="M401" i="12"/>
  <c r="L401" i="12"/>
  <c r="K401" i="12"/>
  <c r="J401" i="12"/>
  <c r="I401" i="12"/>
  <c r="H401" i="12"/>
  <c r="G401" i="12"/>
  <c r="F401" i="12"/>
  <c r="E401" i="12"/>
  <c r="D401" i="12"/>
  <c r="C401" i="12"/>
  <c r="B401" i="12"/>
  <c r="S400" i="12"/>
  <c r="R400" i="12"/>
  <c r="Q400" i="12"/>
  <c r="P400" i="12"/>
  <c r="O400" i="12"/>
  <c r="N400" i="12"/>
  <c r="M400" i="12"/>
  <c r="L400" i="12"/>
  <c r="K400" i="12"/>
  <c r="J400" i="12"/>
  <c r="I400" i="12"/>
  <c r="H400" i="12"/>
  <c r="G400" i="12"/>
  <c r="F400" i="12"/>
  <c r="E400" i="12"/>
  <c r="D400" i="12"/>
  <c r="C400" i="12"/>
  <c r="B400" i="12"/>
  <c r="S399" i="12"/>
  <c r="R399" i="12"/>
  <c r="Q399" i="12"/>
  <c r="P399" i="12"/>
  <c r="O399" i="12"/>
  <c r="N399" i="12"/>
  <c r="M399" i="12"/>
  <c r="L399" i="12"/>
  <c r="K399" i="12"/>
  <c r="J399" i="12"/>
  <c r="I399" i="12"/>
  <c r="H399" i="12"/>
  <c r="G399" i="12"/>
  <c r="F399" i="12"/>
  <c r="E399" i="12"/>
  <c r="D399" i="12"/>
  <c r="C399" i="12"/>
  <c r="B399" i="12"/>
  <c r="S398" i="12"/>
  <c r="R398" i="12"/>
  <c r="Q398" i="12"/>
  <c r="P398" i="12"/>
  <c r="O398" i="12"/>
  <c r="N398" i="12"/>
  <c r="M398" i="12"/>
  <c r="L398" i="12"/>
  <c r="K398" i="12"/>
  <c r="J398" i="12"/>
  <c r="I398" i="12"/>
  <c r="H398" i="12"/>
  <c r="G398" i="12"/>
  <c r="F398" i="12"/>
  <c r="E398" i="12"/>
  <c r="D398" i="12"/>
  <c r="C398" i="12"/>
  <c r="B398" i="12"/>
  <c r="S397" i="12"/>
  <c r="R397" i="12"/>
  <c r="Q397" i="12"/>
  <c r="P397" i="12"/>
  <c r="O397" i="12"/>
  <c r="N397" i="12"/>
  <c r="M397" i="12"/>
  <c r="L397" i="12"/>
  <c r="K397" i="12"/>
  <c r="J397" i="12"/>
  <c r="I397" i="12"/>
  <c r="H397" i="12"/>
  <c r="G397" i="12"/>
  <c r="F397" i="12"/>
  <c r="E397" i="12"/>
  <c r="D397" i="12"/>
  <c r="C397" i="12"/>
  <c r="B397" i="12"/>
  <c r="S396" i="12"/>
  <c r="R396" i="12"/>
  <c r="Q396" i="12"/>
  <c r="P396" i="12"/>
  <c r="O396" i="12"/>
  <c r="N396" i="12"/>
  <c r="M396" i="12"/>
  <c r="L396" i="12"/>
  <c r="K396" i="12"/>
  <c r="J396" i="12"/>
  <c r="I396" i="12"/>
  <c r="H396" i="12"/>
  <c r="G396" i="12"/>
  <c r="F396" i="12"/>
  <c r="E396" i="12"/>
  <c r="D396" i="12"/>
  <c r="C396" i="12"/>
  <c r="B396" i="12"/>
  <c r="S395" i="12"/>
  <c r="R395" i="12"/>
  <c r="Q395" i="12"/>
  <c r="P395" i="12"/>
  <c r="O395" i="12"/>
  <c r="N395" i="12"/>
  <c r="M395" i="12"/>
  <c r="L395" i="12"/>
  <c r="K395" i="12"/>
  <c r="J395" i="12"/>
  <c r="I395" i="12"/>
  <c r="H395" i="12"/>
  <c r="G395" i="12"/>
  <c r="F395" i="12"/>
  <c r="E395" i="12"/>
  <c r="D395" i="12"/>
  <c r="C395" i="12"/>
  <c r="B395" i="12"/>
  <c r="S394" i="12"/>
  <c r="R394" i="12"/>
  <c r="Q394" i="12"/>
  <c r="P394" i="12"/>
  <c r="O394" i="12"/>
  <c r="N394" i="12"/>
  <c r="M394" i="12"/>
  <c r="L394" i="12"/>
  <c r="K394" i="12"/>
  <c r="J394" i="12"/>
  <c r="I394" i="12"/>
  <c r="H394" i="12"/>
  <c r="G394" i="12"/>
  <c r="F394" i="12"/>
  <c r="E394" i="12"/>
  <c r="D394" i="12"/>
  <c r="C394" i="12"/>
  <c r="B394" i="12"/>
  <c r="S393" i="12"/>
  <c r="R393" i="12"/>
  <c r="Q393" i="12"/>
  <c r="P393" i="12"/>
  <c r="O393" i="12"/>
  <c r="N393" i="12"/>
  <c r="M393" i="12"/>
  <c r="L393" i="12"/>
  <c r="K393" i="12"/>
  <c r="J393" i="12"/>
  <c r="I393" i="12"/>
  <c r="H393" i="12"/>
  <c r="G393" i="12"/>
  <c r="F393" i="12"/>
  <c r="E393" i="12"/>
  <c r="D393" i="12"/>
  <c r="C393" i="12"/>
  <c r="B393" i="12"/>
  <c r="S392" i="12"/>
  <c r="R392" i="12"/>
  <c r="Q392" i="12"/>
  <c r="P392" i="12"/>
  <c r="O392" i="12"/>
  <c r="N392" i="12"/>
  <c r="M392" i="12"/>
  <c r="L392" i="12"/>
  <c r="K392" i="12"/>
  <c r="J392" i="12"/>
  <c r="I392" i="12"/>
  <c r="H392" i="12"/>
  <c r="G392" i="12"/>
  <c r="F392" i="12"/>
  <c r="E392" i="12"/>
  <c r="D392" i="12"/>
  <c r="C392" i="12"/>
  <c r="B392" i="12"/>
  <c r="S391" i="12"/>
  <c r="R391" i="12"/>
  <c r="Q391" i="12"/>
  <c r="P391" i="12"/>
  <c r="O391" i="12"/>
  <c r="N391" i="12"/>
  <c r="M391" i="12"/>
  <c r="L391" i="12"/>
  <c r="K391" i="12"/>
  <c r="J391" i="12"/>
  <c r="I391" i="12"/>
  <c r="H391" i="12"/>
  <c r="G391" i="12"/>
  <c r="F391" i="12"/>
  <c r="E391" i="12"/>
  <c r="D391" i="12"/>
  <c r="C391" i="12"/>
  <c r="B391" i="12"/>
  <c r="S390" i="12"/>
  <c r="R390" i="12"/>
  <c r="Q390" i="12"/>
  <c r="P390" i="12"/>
  <c r="O390" i="12"/>
  <c r="N390" i="12"/>
  <c r="M390" i="12"/>
  <c r="L390" i="12"/>
  <c r="K390" i="12"/>
  <c r="J390" i="12"/>
  <c r="I390" i="12"/>
  <c r="H390" i="12"/>
  <c r="G390" i="12"/>
  <c r="F390" i="12"/>
  <c r="E390" i="12"/>
  <c r="D390" i="12"/>
  <c r="C390" i="12"/>
  <c r="B390" i="12"/>
  <c r="S389" i="12"/>
  <c r="R389" i="12"/>
  <c r="Q389" i="12"/>
  <c r="P389" i="12"/>
  <c r="O389" i="12"/>
  <c r="N389" i="12"/>
  <c r="M389" i="12"/>
  <c r="L389" i="12"/>
  <c r="K389" i="12"/>
  <c r="J389" i="12"/>
  <c r="I389" i="12"/>
  <c r="H389" i="12"/>
  <c r="G389" i="12"/>
  <c r="F389" i="12"/>
  <c r="E389" i="12"/>
  <c r="D389" i="12"/>
  <c r="C389" i="12"/>
  <c r="B389" i="12"/>
  <c r="S388" i="12"/>
  <c r="R388" i="12"/>
  <c r="Q388" i="12"/>
  <c r="P388" i="12"/>
  <c r="O388" i="12"/>
  <c r="N388" i="12"/>
  <c r="M388" i="12"/>
  <c r="L388" i="12"/>
  <c r="K388" i="12"/>
  <c r="J388" i="12"/>
  <c r="I388" i="12"/>
  <c r="H388" i="12"/>
  <c r="G388" i="12"/>
  <c r="F388" i="12"/>
  <c r="E388" i="12"/>
  <c r="D388" i="12"/>
  <c r="C388" i="12"/>
  <c r="B388" i="12"/>
  <c r="S387" i="12"/>
  <c r="R387" i="12"/>
  <c r="Q387" i="12"/>
  <c r="P387" i="12"/>
  <c r="O387" i="12"/>
  <c r="N387" i="12"/>
  <c r="M387" i="12"/>
  <c r="L387" i="12"/>
  <c r="K387" i="12"/>
  <c r="J387" i="12"/>
  <c r="I387" i="12"/>
  <c r="H387" i="12"/>
  <c r="G387" i="12"/>
  <c r="F387" i="12"/>
  <c r="E387" i="12"/>
  <c r="D387" i="12"/>
  <c r="C387" i="12"/>
  <c r="B387" i="12"/>
  <c r="S386" i="12"/>
  <c r="R386" i="12"/>
  <c r="Q386" i="12"/>
  <c r="P386" i="12"/>
  <c r="O386" i="12"/>
  <c r="N386" i="12"/>
  <c r="M386" i="12"/>
  <c r="L386" i="12"/>
  <c r="K386" i="12"/>
  <c r="J386" i="12"/>
  <c r="I386" i="12"/>
  <c r="H386" i="12"/>
  <c r="G386" i="12"/>
  <c r="F386" i="12"/>
  <c r="E386" i="12"/>
  <c r="D386" i="12"/>
  <c r="C386" i="12"/>
  <c r="B386" i="12"/>
  <c r="S385" i="12"/>
  <c r="R385" i="12"/>
  <c r="Q385" i="12"/>
  <c r="P385" i="12"/>
  <c r="O385" i="12"/>
  <c r="N385" i="12"/>
  <c r="M385" i="12"/>
  <c r="L385" i="12"/>
  <c r="K385" i="12"/>
  <c r="J385" i="12"/>
  <c r="I385" i="12"/>
  <c r="H385" i="12"/>
  <c r="G385" i="12"/>
  <c r="F385" i="12"/>
  <c r="E385" i="12"/>
  <c r="D385" i="12"/>
  <c r="C385" i="12"/>
  <c r="B385" i="12"/>
  <c r="S384" i="12"/>
  <c r="R384" i="12"/>
  <c r="Q384" i="12"/>
  <c r="P384" i="12"/>
  <c r="O384" i="12"/>
  <c r="N384" i="12"/>
  <c r="M384" i="12"/>
  <c r="L384" i="12"/>
  <c r="K384" i="12"/>
  <c r="J384" i="12"/>
  <c r="I384" i="12"/>
  <c r="H384" i="12"/>
  <c r="G384" i="12"/>
  <c r="F384" i="12"/>
  <c r="E384" i="12"/>
  <c r="D384" i="12"/>
  <c r="C384" i="12"/>
  <c r="B384" i="12"/>
  <c r="S383" i="12"/>
  <c r="R383" i="12"/>
  <c r="Q383" i="12"/>
  <c r="P383" i="12"/>
  <c r="O383" i="12"/>
  <c r="N383" i="12"/>
  <c r="M383" i="12"/>
  <c r="L383" i="12"/>
  <c r="K383" i="12"/>
  <c r="J383" i="12"/>
  <c r="I383" i="12"/>
  <c r="H383" i="12"/>
  <c r="G383" i="12"/>
  <c r="F383" i="12"/>
  <c r="E383" i="12"/>
  <c r="D383" i="12"/>
  <c r="C383" i="12"/>
  <c r="B383" i="12"/>
  <c r="S382" i="12"/>
  <c r="R382" i="12"/>
  <c r="Q382" i="12"/>
  <c r="P382" i="12"/>
  <c r="O382" i="12"/>
  <c r="N382" i="12"/>
  <c r="M382" i="12"/>
  <c r="L382" i="12"/>
  <c r="K382" i="12"/>
  <c r="J382" i="12"/>
  <c r="I382" i="12"/>
  <c r="H382" i="12"/>
  <c r="G382" i="12"/>
  <c r="F382" i="12"/>
  <c r="E382" i="12"/>
  <c r="D382" i="12"/>
  <c r="C382" i="12"/>
  <c r="B382" i="12"/>
  <c r="S381" i="12"/>
  <c r="R381" i="12"/>
  <c r="Q381" i="12"/>
  <c r="P381" i="12"/>
  <c r="O381" i="12"/>
  <c r="N381" i="12"/>
  <c r="M381" i="12"/>
  <c r="L381" i="12"/>
  <c r="K381" i="12"/>
  <c r="J381" i="12"/>
  <c r="I381" i="12"/>
  <c r="H381" i="12"/>
  <c r="G381" i="12"/>
  <c r="F381" i="12"/>
  <c r="E381" i="12"/>
  <c r="D381" i="12"/>
  <c r="C381" i="12"/>
  <c r="B381" i="12"/>
  <c r="S380" i="12"/>
  <c r="R380" i="12"/>
  <c r="Q380" i="12"/>
  <c r="P380" i="12"/>
  <c r="O380" i="12"/>
  <c r="N380" i="12"/>
  <c r="M380" i="12"/>
  <c r="L380" i="12"/>
  <c r="K380" i="12"/>
  <c r="J380" i="12"/>
  <c r="I380" i="12"/>
  <c r="H380" i="12"/>
  <c r="G380" i="12"/>
  <c r="F380" i="12"/>
  <c r="E380" i="12"/>
  <c r="D380" i="12"/>
  <c r="C380" i="12"/>
  <c r="B380" i="12"/>
  <c r="S379" i="12"/>
  <c r="R379" i="12"/>
  <c r="Q379" i="12"/>
  <c r="P379" i="12"/>
  <c r="O379" i="12"/>
  <c r="N379" i="12"/>
  <c r="M379" i="12"/>
  <c r="L379" i="12"/>
  <c r="K379" i="12"/>
  <c r="J379" i="12"/>
  <c r="I379" i="12"/>
  <c r="H379" i="12"/>
  <c r="G379" i="12"/>
  <c r="F379" i="12"/>
  <c r="E379" i="12"/>
  <c r="D379" i="12"/>
  <c r="C379" i="12"/>
  <c r="B379" i="12"/>
  <c r="S378" i="12"/>
  <c r="R378" i="12"/>
  <c r="Q378" i="12"/>
  <c r="P378" i="12"/>
  <c r="O378" i="12"/>
  <c r="N378" i="12"/>
  <c r="M378" i="12"/>
  <c r="L378" i="12"/>
  <c r="K378" i="12"/>
  <c r="J378" i="12"/>
  <c r="I378" i="12"/>
  <c r="H378" i="12"/>
  <c r="G378" i="12"/>
  <c r="F378" i="12"/>
  <c r="E378" i="12"/>
  <c r="D378" i="12"/>
  <c r="C378" i="12"/>
  <c r="B378" i="12"/>
  <c r="S377" i="12"/>
  <c r="R377" i="12"/>
  <c r="Q377" i="12"/>
  <c r="P377" i="12"/>
  <c r="O377" i="12"/>
  <c r="N377" i="12"/>
  <c r="M377" i="12"/>
  <c r="L377" i="12"/>
  <c r="K377" i="12"/>
  <c r="J377" i="12"/>
  <c r="I377" i="12"/>
  <c r="H377" i="12"/>
  <c r="G377" i="12"/>
  <c r="F377" i="12"/>
  <c r="E377" i="12"/>
  <c r="D377" i="12"/>
  <c r="C377" i="12"/>
  <c r="B377" i="12"/>
  <c r="S376" i="12"/>
  <c r="R376" i="12"/>
  <c r="Q376" i="12"/>
  <c r="P376" i="12"/>
  <c r="O376" i="12"/>
  <c r="N376" i="12"/>
  <c r="M376" i="12"/>
  <c r="L376" i="12"/>
  <c r="K376" i="12"/>
  <c r="J376" i="12"/>
  <c r="I376" i="12"/>
  <c r="H376" i="12"/>
  <c r="G376" i="12"/>
  <c r="F376" i="12"/>
  <c r="E376" i="12"/>
  <c r="D376" i="12"/>
  <c r="C376" i="12"/>
  <c r="B376" i="12"/>
  <c r="S375" i="12"/>
  <c r="R375" i="12"/>
  <c r="Q375" i="12"/>
  <c r="P375" i="12"/>
  <c r="O375" i="12"/>
  <c r="N375" i="12"/>
  <c r="M375" i="12"/>
  <c r="L375" i="12"/>
  <c r="K375" i="12"/>
  <c r="J375" i="12"/>
  <c r="I375" i="12"/>
  <c r="H375" i="12"/>
  <c r="G375" i="12"/>
  <c r="F375" i="12"/>
  <c r="E375" i="12"/>
  <c r="D375" i="12"/>
  <c r="C375" i="12"/>
  <c r="B375" i="12"/>
  <c r="S374" i="12"/>
  <c r="R374" i="12"/>
  <c r="Q374" i="12"/>
  <c r="P374" i="12"/>
  <c r="O374" i="12"/>
  <c r="N374" i="12"/>
  <c r="M374" i="12"/>
  <c r="L374" i="12"/>
  <c r="K374" i="12"/>
  <c r="J374" i="12"/>
  <c r="I374" i="12"/>
  <c r="H374" i="12"/>
  <c r="G374" i="12"/>
  <c r="F374" i="12"/>
  <c r="E374" i="12"/>
  <c r="D374" i="12"/>
  <c r="C374" i="12"/>
  <c r="B374" i="12"/>
  <c r="S373" i="12"/>
  <c r="R373" i="12"/>
  <c r="Q373" i="12"/>
  <c r="P373" i="12"/>
  <c r="O373" i="12"/>
  <c r="N373" i="12"/>
  <c r="M373" i="12"/>
  <c r="L373" i="12"/>
  <c r="K373" i="12"/>
  <c r="J373" i="12"/>
  <c r="I373" i="12"/>
  <c r="H373" i="12"/>
  <c r="G373" i="12"/>
  <c r="F373" i="12"/>
  <c r="E373" i="12"/>
  <c r="D373" i="12"/>
  <c r="C373" i="12"/>
  <c r="B373" i="12"/>
  <c r="S372" i="12"/>
  <c r="R372" i="12"/>
  <c r="Q372" i="12"/>
  <c r="P372" i="12"/>
  <c r="O372" i="12"/>
  <c r="N372" i="12"/>
  <c r="M372" i="12"/>
  <c r="L372" i="12"/>
  <c r="K372" i="12"/>
  <c r="J372" i="12"/>
  <c r="I372" i="12"/>
  <c r="H372" i="12"/>
  <c r="G372" i="12"/>
  <c r="F372" i="12"/>
  <c r="E372" i="12"/>
  <c r="D372" i="12"/>
  <c r="C372" i="12"/>
  <c r="B372" i="12"/>
  <c r="S371" i="12"/>
  <c r="R371" i="12"/>
  <c r="Q371" i="12"/>
  <c r="P371" i="12"/>
  <c r="O371" i="12"/>
  <c r="N371" i="12"/>
  <c r="M371" i="12"/>
  <c r="L371" i="12"/>
  <c r="K371" i="12"/>
  <c r="J371" i="12"/>
  <c r="I371" i="12"/>
  <c r="H371" i="12"/>
  <c r="G371" i="12"/>
  <c r="F371" i="12"/>
  <c r="E371" i="12"/>
  <c r="D371" i="12"/>
  <c r="C371" i="12"/>
  <c r="B371" i="12"/>
  <c r="S370" i="12"/>
  <c r="R370" i="12"/>
  <c r="Q370" i="12"/>
  <c r="P370" i="12"/>
  <c r="O370" i="12"/>
  <c r="N370" i="12"/>
  <c r="M370" i="12"/>
  <c r="L370" i="12"/>
  <c r="K370" i="12"/>
  <c r="J370" i="12"/>
  <c r="I370" i="12"/>
  <c r="H370" i="12"/>
  <c r="G370" i="12"/>
  <c r="F370" i="12"/>
  <c r="E370" i="12"/>
  <c r="D370" i="12"/>
  <c r="C370" i="12"/>
  <c r="B370" i="12"/>
  <c r="S369" i="12"/>
  <c r="R369" i="12"/>
  <c r="Q369" i="12"/>
  <c r="P369" i="12"/>
  <c r="O369" i="12"/>
  <c r="N369" i="12"/>
  <c r="M369" i="12"/>
  <c r="L369" i="12"/>
  <c r="K369" i="12"/>
  <c r="J369" i="12"/>
  <c r="I369" i="12"/>
  <c r="H369" i="12"/>
  <c r="G369" i="12"/>
  <c r="F369" i="12"/>
  <c r="E369" i="12"/>
  <c r="D369" i="12"/>
  <c r="C369" i="12"/>
  <c r="B369" i="12"/>
  <c r="S368" i="12"/>
  <c r="R368" i="12"/>
  <c r="Q368" i="12"/>
  <c r="P368" i="12"/>
  <c r="O368" i="12"/>
  <c r="N368" i="12"/>
  <c r="M368" i="12"/>
  <c r="L368" i="12"/>
  <c r="K368" i="12"/>
  <c r="J368" i="12"/>
  <c r="I368" i="12"/>
  <c r="H368" i="12"/>
  <c r="G368" i="12"/>
  <c r="F368" i="12"/>
  <c r="E368" i="12"/>
  <c r="D368" i="12"/>
  <c r="C368" i="12"/>
  <c r="B368" i="12"/>
  <c r="S367" i="12"/>
  <c r="R367" i="12"/>
  <c r="Q367" i="12"/>
  <c r="P367" i="12"/>
  <c r="O367" i="12"/>
  <c r="N367" i="12"/>
  <c r="M367" i="12"/>
  <c r="L367" i="12"/>
  <c r="K367" i="12"/>
  <c r="J367" i="12"/>
  <c r="I367" i="12"/>
  <c r="H367" i="12"/>
  <c r="G367" i="12"/>
  <c r="F367" i="12"/>
  <c r="E367" i="12"/>
  <c r="D367" i="12"/>
  <c r="C367" i="12"/>
  <c r="B367" i="12"/>
  <c r="S366" i="12"/>
  <c r="R366" i="12"/>
  <c r="Q366" i="12"/>
  <c r="P366" i="12"/>
  <c r="O366" i="12"/>
  <c r="N366" i="12"/>
  <c r="M366" i="12"/>
  <c r="L366" i="12"/>
  <c r="K366" i="12"/>
  <c r="J366" i="12"/>
  <c r="I366" i="12"/>
  <c r="H366" i="12"/>
  <c r="G366" i="12"/>
  <c r="F366" i="12"/>
  <c r="E366" i="12"/>
  <c r="D366" i="12"/>
  <c r="C366" i="12"/>
  <c r="B366" i="12"/>
  <c r="S365" i="12"/>
  <c r="R365" i="12"/>
  <c r="Q365" i="12"/>
  <c r="P365" i="12"/>
  <c r="O365" i="12"/>
  <c r="N365" i="12"/>
  <c r="M365" i="12"/>
  <c r="L365" i="12"/>
  <c r="K365" i="12"/>
  <c r="J365" i="12"/>
  <c r="I365" i="12"/>
  <c r="H365" i="12"/>
  <c r="G365" i="12"/>
  <c r="F365" i="12"/>
  <c r="E365" i="12"/>
  <c r="D365" i="12"/>
  <c r="C365" i="12"/>
  <c r="B365" i="12"/>
  <c r="S364" i="12"/>
  <c r="R364" i="12"/>
  <c r="Q364" i="12"/>
  <c r="P364" i="12"/>
  <c r="O364" i="12"/>
  <c r="N364" i="12"/>
  <c r="M364" i="12"/>
  <c r="L364" i="12"/>
  <c r="K364" i="12"/>
  <c r="J364" i="12"/>
  <c r="I364" i="12"/>
  <c r="H364" i="12"/>
  <c r="G364" i="12"/>
  <c r="F364" i="12"/>
  <c r="E364" i="12"/>
  <c r="D364" i="12"/>
  <c r="C364" i="12"/>
  <c r="B364" i="12"/>
  <c r="S363" i="12"/>
  <c r="R363" i="12"/>
  <c r="Q363" i="12"/>
  <c r="P363" i="12"/>
  <c r="O363" i="12"/>
  <c r="N363" i="12"/>
  <c r="M363" i="12"/>
  <c r="L363" i="12"/>
  <c r="K363" i="12"/>
  <c r="J363" i="12"/>
  <c r="I363" i="12"/>
  <c r="H363" i="12"/>
  <c r="G363" i="12"/>
  <c r="F363" i="12"/>
  <c r="E363" i="12"/>
  <c r="D363" i="12"/>
  <c r="C363" i="12"/>
  <c r="B363" i="12"/>
  <c r="S362" i="12"/>
  <c r="R362" i="12"/>
  <c r="Q362" i="12"/>
  <c r="P362" i="12"/>
  <c r="O362" i="12"/>
  <c r="N362" i="12"/>
  <c r="M362" i="12"/>
  <c r="L362" i="12"/>
  <c r="K362" i="12"/>
  <c r="J362" i="12"/>
  <c r="I362" i="12"/>
  <c r="H362" i="12"/>
  <c r="G362" i="12"/>
  <c r="F362" i="12"/>
  <c r="E362" i="12"/>
  <c r="D362" i="12"/>
  <c r="C362" i="12"/>
  <c r="B362" i="12"/>
  <c r="S361" i="12"/>
  <c r="R361" i="12"/>
  <c r="Q361" i="12"/>
  <c r="P361" i="12"/>
  <c r="O361" i="12"/>
  <c r="N361" i="12"/>
  <c r="M361" i="12"/>
  <c r="L361" i="12"/>
  <c r="K361" i="12"/>
  <c r="J361" i="12"/>
  <c r="I361" i="12"/>
  <c r="H361" i="12"/>
  <c r="G361" i="12"/>
  <c r="F361" i="12"/>
  <c r="E361" i="12"/>
  <c r="D361" i="12"/>
  <c r="C361" i="12"/>
  <c r="B361" i="12"/>
  <c r="S360" i="12"/>
  <c r="R360" i="12"/>
  <c r="Q360" i="12"/>
  <c r="P360" i="12"/>
  <c r="O360" i="12"/>
  <c r="N360" i="12"/>
  <c r="M360" i="12"/>
  <c r="L360" i="12"/>
  <c r="K360" i="12"/>
  <c r="J360" i="12"/>
  <c r="I360" i="12"/>
  <c r="H360" i="12"/>
  <c r="G360" i="12"/>
  <c r="F360" i="12"/>
  <c r="E360" i="12"/>
  <c r="D360" i="12"/>
  <c r="C360" i="12"/>
  <c r="B360" i="12"/>
  <c r="S359" i="12"/>
  <c r="R359" i="12"/>
  <c r="Q359" i="12"/>
  <c r="P359" i="12"/>
  <c r="O359" i="12"/>
  <c r="N359" i="12"/>
  <c r="M359" i="12"/>
  <c r="L359" i="12"/>
  <c r="K359" i="12"/>
  <c r="J359" i="12"/>
  <c r="I359" i="12"/>
  <c r="H359" i="12"/>
  <c r="G359" i="12"/>
  <c r="F359" i="12"/>
  <c r="E359" i="12"/>
  <c r="D359" i="12"/>
  <c r="C359" i="12"/>
  <c r="B359" i="12"/>
  <c r="S358" i="12"/>
  <c r="R358" i="12"/>
  <c r="Q358" i="12"/>
  <c r="P358" i="12"/>
  <c r="O358" i="12"/>
  <c r="N358" i="12"/>
  <c r="M358" i="12"/>
  <c r="L358" i="12"/>
  <c r="K358" i="12"/>
  <c r="J358" i="12"/>
  <c r="I358" i="12"/>
  <c r="H358" i="12"/>
  <c r="G358" i="12"/>
  <c r="F358" i="12"/>
  <c r="E358" i="12"/>
  <c r="D358" i="12"/>
  <c r="C358" i="12"/>
  <c r="B358" i="12"/>
  <c r="S357" i="12"/>
  <c r="R357" i="12"/>
  <c r="Q357" i="12"/>
  <c r="P357" i="12"/>
  <c r="O357" i="12"/>
  <c r="N357" i="12"/>
  <c r="M357" i="12"/>
  <c r="L357" i="12"/>
  <c r="K357" i="12"/>
  <c r="J357" i="12"/>
  <c r="I357" i="12"/>
  <c r="H357" i="12"/>
  <c r="G357" i="12"/>
  <c r="F357" i="12"/>
  <c r="E357" i="12"/>
  <c r="D357" i="12"/>
  <c r="C357" i="12"/>
  <c r="B357" i="12"/>
  <c r="S356" i="12"/>
  <c r="R356" i="12"/>
  <c r="Q356" i="12"/>
  <c r="P356" i="12"/>
  <c r="O356" i="12"/>
  <c r="N356" i="12"/>
  <c r="M356" i="12"/>
  <c r="L356" i="12"/>
  <c r="K356" i="12"/>
  <c r="J356" i="12"/>
  <c r="I356" i="12"/>
  <c r="H356" i="12"/>
  <c r="G356" i="12"/>
  <c r="F356" i="12"/>
  <c r="E356" i="12"/>
  <c r="D356" i="12"/>
  <c r="C356" i="12"/>
  <c r="B356" i="12"/>
  <c r="S355" i="12"/>
  <c r="R355" i="12"/>
  <c r="Q355" i="12"/>
  <c r="P355" i="12"/>
  <c r="O355" i="12"/>
  <c r="N355" i="12"/>
  <c r="M355" i="12"/>
  <c r="L355" i="12"/>
  <c r="K355" i="12"/>
  <c r="J355" i="12"/>
  <c r="I355" i="12"/>
  <c r="H355" i="12"/>
  <c r="G355" i="12"/>
  <c r="F355" i="12"/>
  <c r="E355" i="12"/>
  <c r="D355" i="12"/>
  <c r="C355" i="12"/>
  <c r="B355" i="12"/>
  <c r="S354" i="12"/>
  <c r="R354" i="12"/>
  <c r="Q354" i="12"/>
  <c r="P354" i="12"/>
  <c r="O354" i="12"/>
  <c r="N354" i="12"/>
  <c r="M354" i="12"/>
  <c r="L354" i="12"/>
  <c r="K354" i="12"/>
  <c r="J354" i="12"/>
  <c r="I354" i="12"/>
  <c r="H354" i="12"/>
  <c r="G354" i="12"/>
  <c r="F354" i="12"/>
  <c r="E354" i="12"/>
  <c r="D354" i="12"/>
  <c r="C354" i="12"/>
  <c r="B354" i="12"/>
  <c r="S353" i="12"/>
  <c r="R353" i="12"/>
  <c r="Q353" i="12"/>
  <c r="P353" i="12"/>
  <c r="O353" i="12"/>
  <c r="N353" i="12"/>
  <c r="M353" i="12"/>
  <c r="L353" i="12"/>
  <c r="K353" i="12"/>
  <c r="J353" i="12"/>
  <c r="I353" i="12"/>
  <c r="H353" i="12"/>
  <c r="G353" i="12"/>
  <c r="F353" i="12"/>
  <c r="E353" i="12"/>
  <c r="D353" i="12"/>
  <c r="C353" i="12"/>
  <c r="B353" i="12"/>
  <c r="S352" i="12"/>
  <c r="R352" i="12"/>
  <c r="Q352" i="12"/>
  <c r="P352" i="12"/>
  <c r="O352" i="12"/>
  <c r="N352" i="12"/>
  <c r="M352" i="12"/>
  <c r="L352" i="12"/>
  <c r="K352" i="12"/>
  <c r="J352" i="12"/>
  <c r="I352" i="12"/>
  <c r="H352" i="12"/>
  <c r="G352" i="12"/>
  <c r="F352" i="12"/>
  <c r="E352" i="12"/>
  <c r="D352" i="12"/>
  <c r="C352" i="12"/>
  <c r="B352" i="12"/>
  <c r="S351" i="12"/>
  <c r="R351" i="12"/>
  <c r="Q351" i="12"/>
  <c r="P351" i="12"/>
  <c r="O351" i="12"/>
  <c r="N351" i="12"/>
  <c r="M351" i="12"/>
  <c r="L351" i="12"/>
  <c r="K351" i="12"/>
  <c r="J351" i="12"/>
  <c r="I351" i="12"/>
  <c r="H351" i="12"/>
  <c r="G351" i="12"/>
  <c r="F351" i="12"/>
  <c r="E351" i="12"/>
  <c r="D351" i="12"/>
  <c r="C351" i="12"/>
  <c r="B351" i="12"/>
  <c r="S350" i="12"/>
  <c r="R350" i="12"/>
  <c r="Q350" i="12"/>
  <c r="P350" i="12"/>
  <c r="O350" i="12"/>
  <c r="N350" i="12"/>
  <c r="M350" i="12"/>
  <c r="L350" i="12"/>
  <c r="K350" i="12"/>
  <c r="J350" i="12"/>
  <c r="I350" i="12"/>
  <c r="H350" i="12"/>
  <c r="G350" i="12"/>
  <c r="F350" i="12"/>
  <c r="E350" i="12"/>
  <c r="D350" i="12"/>
  <c r="C350" i="12"/>
  <c r="B350" i="12"/>
  <c r="S349" i="12"/>
  <c r="R349" i="12"/>
  <c r="Q349" i="12"/>
  <c r="P349" i="12"/>
  <c r="O349" i="12"/>
  <c r="N349" i="12"/>
  <c r="M349" i="12"/>
  <c r="L349" i="12"/>
  <c r="K349" i="12"/>
  <c r="J349" i="12"/>
  <c r="I349" i="12"/>
  <c r="H349" i="12"/>
  <c r="G349" i="12"/>
  <c r="F349" i="12"/>
  <c r="E349" i="12"/>
  <c r="D349" i="12"/>
  <c r="C349" i="12"/>
  <c r="B349" i="12"/>
  <c r="S348" i="12"/>
  <c r="R348" i="12"/>
  <c r="Q348" i="12"/>
  <c r="P348" i="12"/>
  <c r="O348" i="12"/>
  <c r="N348" i="12"/>
  <c r="M348" i="12"/>
  <c r="L348" i="12"/>
  <c r="K348" i="12"/>
  <c r="J348" i="12"/>
  <c r="I348" i="12"/>
  <c r="H348" i="12"/>
  <c r="G348" i="12"/>
  <c r="F348" i="12"/>
  <c r="E348" i="12"/>
  <c r="D348" i="12"/>
  <c r="C348" i="12"/>
  <c r="B348" i="12"/>
  <c r="S347" i="12"/>
  <c r="R347" i="12"/>
  <c r="Q347" i="12"/>
  <c r="P347" i="12"/>
  <c r="O347" i="12"/>
  <c r="N347" i="12"/>
  <c r="M347" i="12"/>
  <c r="L347" i="12"/>
  <c r="K347" i="12"/>
  <c r="J347" i="12"/>
  <c r="I347" i="12"/>
  <c r="H347" i="12"/>
  <c r="G347" i="12"/>
  <c r="F347" i="12"/>
  <c r="E347" i="12"/>
  <c r="D347" i="12"/>
  <c r="C347" i="12"/>
  <c r="B347" i="12"/>
  <c r="S346" i="12"/>
  <c r="R346" i="12"/>
  <c r="Q346" i="12"/>
  <c r="P346" i="12"/>
  <c r="O346" i="12"/>
  <c r="N346" i="12"/>
  <c r="M346" i="12"/>
  <c r="L346" i="12"/>
  <c r="K346" i="12"/>
  <c r="J346" i="12"/>
  <c r="I346" i="12"/>
  <c r="H346" i="12"/>
  <c r="G346" i="12"/>
  <c r="F346" i="12"/>
  <c r="E346" i="12"/>
  <c r="D346" i="12"/>
  <c r="C346" i="12"/>
  <c r="B346" i="12"/>
  <c r="S345" i="12"/>
  <c r="R345" i="12"/>
  <c r="Q345" i="12"/>
  <c r="P345" i="12"/>
  <c r="O345" i="12"/>
  <c r="N345" i="12"/>
  <c r="M345" i="12"/>
  <c r="L345" i="12"/>
  <c r="K345" i="12"/>
  <c r="J345" i="12"/>
  <c r="I345" i="12"/>
  <c r="H345" i="12"/>
  <c r="G345" i="12"/>
  <c r="F345" i="12"/>
  <c r="E345" i="12"/>
  <c r="D345" i="12"/>
  <c r="C345" i="12"/>
  <c r="B345" i="12"/>
  <c r="S344" i="12"/>
  <c r="R344" i="12"/>
  <c r="Q344" i="12"/>
  <c r="P344" i="12"/>
  <c r="O344" i="12"/>
  <c r="N344" i="12"/>
  <c r="M344" i="12"/>
  <c r="L344" i="12"/>
  <c r="K344" i="12"/>
  <c r="J344" i="12"/>
  <c r="I344" i="12"/>
  <c r="H344" i="12"/>
  <c r="G344" i="12"/>
  <c r="F344" i="12"/>
  <c r="E344" i="12"/>
  <c r="D344" i="12"/>
  <c r="C344" i="12"/>
  <c r="B344" i="12"/>
  <c r="S343" i="12"/>
  <c r="R343" i="12"/>
  <c r="Q343" i="12"/>
  <c r="P343" i="12"/>
  <c r="O343" i="12"/>
  <c r="N343" i="12"/>
  <c r="M343" i="12"/>
  <c r="L343" i="12"/>
  <c r="K343" i="12"/>
  <c r="J343" i="12"/>
  <c r="I343" i="12"/>
  <c r="H343" i="12"/>
  <c r="G343" i="12"/>
  <c r="F343" i="12"/>
  <c r="E343" i="12"/>
  <c r="D343" i="12"/>
  <c r="C343" i="12"/>
  <c r="B343" i="12"/>
  <c r="S342" i="12"/>
  <c r="R342" i="12"/>
  <c r="Q342" i="12"/>
  <c r="P342" i="12"/>
  <c r="O342" i="12"/>
  <c r="N342" i="12"/>
  <c r="M342" i="12"/>
  <c r="L342" i="12"/>
  <c r="K342" i="12"/>
  <c r="J342" i="12"/>
  <c r="I342" i="12"/>
  <c r="H342" i="12"/>
  <c r="G342" i="12"/>
  <c r="F342" i="12"/>
  <c r="E342" i="12"/>
  <c r="D342" i="12"/>
  <c r="C342" i="12"/>
  <c r="B342" i="12"/>
  <c r="S341" i="12"/>
  <c r="R341" i="12"/>
  <c r="Q341" i="12"/>
  <c r="P341" i="12"/>
  <c r="O341" i="12"/>
  <c r="N341" i="12"/>
  <c r="M341" i="12"/>
  <c r="L341" i="12"/>
  <c r="K341" i="12"/>
  <c r="J341" i="12"/>
  <c r="I341" i="12"/>
  <c r="H341" i="12"/>
  <c r="G341" i="12"/>
  <c r="F341" i="12"/>
  <c r="E341" i="12"/>
  <c r="D341" i="12"/>
  <c r="C341" i="12"/>
  <c r="B341" i="12"/>
  <c r="S340" i="12"/>
  <c r="R340" i="12"/>
  <c r="Q340" i="12"/>
  <c r="P340" i="12"/>
  <c r="O340" i="12"/>
  <c r="N340" i="12"/>
  <c r="M340" i="12"/>
  <c r="L340" i="12"/>
  <c r="K340" i="12"/>
  <c r="J340" i="12"/>
  <c r="I340" i="12"/>
  <c r="H340" i="12"/>
  <c r="G340" i="12"/>
  <c r="F340" i="12"/>
  <c r="E340" i="12"/>
  <c r="D340" i="12"/>
  <c r="C340" i="12"/>
  <c r="B340" i="12"/>
  <c r="S339" i="12"/>
  <c r="R339" i="12"/>
  <c r="Q339" i="12"/>
  <c r="P339" i="12"/>
  <c r="O339" i="12"/>
  <c r="N339" i="12"/>
  <c r="M339" i="12"/>
  <c r="L339" i="12"/>
  <c r="K339" i="12"/>
  <c r="J339" i="12"/>
  <c r="I339" i="12"/>
  <c r="H339" i="12"/>
  <c r="G339" i="12"/>
  <c r="F339" i="12"/>
  <c r="E339" i="12"/>
  <c r="D339" i="12"/>
  <c r="C339" i="12"/>
  <c r="B339" i="12"/>
  <c r="S338" i="12"/>
  <c r="R338" i="12"/>
  <c r="Q338" i="12"/>
  <c r="P338" i="12"/>
  <c r="O338" i="12"/>
  <c r="N338" i="12"/>
  <c r="M338" i="12"/>
  <c r="L338" i="12"/>
  <c r="K338" i="12"/>
  <c r="J338" i="12"/>
  <c r="I338" i="12"/>
  <c r="H338" i="12"/>
  <c r="G338" i="12"/>
  <c r="F338" i="12"/>
  <c r="E338" i="12"/>
  <c r="D338" i="12"/>
  <c r="C338" i="12"/>
  <c r="B338" i="12"/>
  <c r="S337" i="12"/>
  <c r="R337" i="12"/>
  <c r="Q337" i="12"/>
  <c r="P337" i="12"/>
  <c r="O337" i="12"/>
  <c r="N337" i="12"/>
  <c r="M337" i="12"/>
  <c r="L337" i="12"/>
  <c r="K337" i="12"/>
  <c r="J337" i="12"/>
  <c r="I337" i="12"/>
  <c r="H337" i="12"/>
  <c r="G337" i="12"/>
  <c r="F337" i="12"/>
  <c r="E337" i="12"/>
  <c r="D337" i="12"/>
  <c r="C337" i="12"/>
  <c r="B337" i="12"/>
  <c r="S336" i="12"/>
  <c r="R336" i="12"/>
  <c r="Q336" i="12"/>
  <c r="P336" i="12"/>
  <c r="O336" i="12"/>
  <c r="N336" i="12"/>
  <c r="M336" i="12"/>
  <c r="L336" i="12"/>
  <c r="K336" i="12"/>
  <c r="J336" i="12"/>
  <c r="I336" i="12"/>
  <c r="H336" i="12"/>
  <c r="G336" i="12"/>
  <c r="F336" i="12"/>
  <c r="E336" i="12"/>
  <c r="D336" i="12"/>
  <c r="C336" i="12"/>
  <c r="B336" i="12"/>
  <c r="S335" i="12"/>
  <c r="R335" i="12"/>
  <c r="Q335" i="12"/>
  <c r="P335" i="12"/>
  <c r="O335" i="12"/>
  <c r="N335" i="12"/>
  <c r="M335" i="12"/>
  <c r="L335" i="12"/>
  <c r="K335" i="12"/>
  <c r="J335" i="12"/>
  <c r="I335" i="12"/>
  <c r="H335" i="12"/>
  <c r="G335" i="12"/>
  <c r="F335" i="12"/>
  <c r="E335" i="12"/>
  <c r="D335" i="12"/>
  <c r="C335" i="12"/>
  <c r="B335" i="12"/>
  <c r="S334" i="12"/>
  <c r="R334" i="12"/>
  <c r="Q334" i="12"/>
  <c r="P334" i="12"/>
  <c r="O334" i="12"/>
  <c r="N334" i="12"/>
  <c r="M334" i="12"/>
  <c r="L334" i="12"/>
  <c r="K334" i="12"/>
  <c r="J334" i="12"/>
  <c r="I334" i="12"/>
  <c r="H334" i="12"/>
  <c r="G334" i="12"/>
  <c r="F334" i="12"/>
  <c r="E334" i="12"/>
  <c r="D334" i="12"/>
  <c r="C334" i="12"/>
  <c r="B334" i="12"/>
  <c r="S333" i="12"/>
  <c r="R333" i="12"/>
  <c r="Q333" i="12"/>
  <c r="P333" i="12"/>
  <c r="O333" i="12"/>
  <c r="N333" i="12"/>
  <c r="M333" i="12"/>
  <c r="L333" i="12"/>
  <c r="K333" i="12"/>
  <c r="J333" i="12"/>
  <c r="I333" i="12"/>
  <c r="H333" i="12"/>
  <c r="G333" i="12"/>
  <c r="F333" i="12"/>
  <c r="E333" i="12"/>
  <c r="D333" i="12"/>
  <c r="C333" i="12"/>
  <c r="B333" i="12"/>
  <c r="S332" i="12"/>
  <c r="R332" i="12"/>
  <c r="Q332" i="12"/>
  <c r="P332" i="12"/>
  <c r="O332" i="12"/>
  <c r="N332" i="12"/>
  <c r="M332" i="12"/>
  <c r="L332" i="12"/>
  <c r="K332" i="12"/>
  <c r="J332" i="12"/>
  <c r="I332" i="12"/>
  <c r="H332" i="12"/>
  <c r="G332" i="12"/>
  <c r="F332" i="12"/>
  <c r="E332" i="12"/>
  <c r="D332" i="12"/>
  <c r="C332" i="12"/>
  <c r="B332" i="12"/>
  <c r="S331" i="12"/>
  <c r="R331" i="12"/>
  <c r="Q331" i="12"/>
  <c r="P331" i="12"/>
  <c r="O331" i="12"/>
  <c r="N331" i="12"/>
  <c r="M331" i="12"/>
  <c r="L331" i="12"/>
  <c r="K331" i="12"/>
  <c r="J331" i="12"/>
  <c r="I331" i="12"/>
  <c r="H331" i="12"/>
  <c r="G331" i="12"/>
  <c r="F331" i="12"/>
  <c r="E331" i="12"/>
  <c r="D331" i="12"/>
  <c r="C331" i="12"/>
  <c r="B331" i="12"/>
  <c r="S330" i="12"/>
  <c r="R330" i="12"/>
  <c r="Q330" i="12"/>
  <c r="P330" i="12"/>
  <c r="O330" i="12"/>
  <c r="N330" i="12"/>
  <c r="M330" i="12"/>
  <c r="L330" i="12"/>
  <c r="K330" i="12"/>
  <c r="J330" i="12"/>
  <c r="I330" i="12"/>
  <c r="H330" i="12"/>
  <c r="G330" i="12"/>
  <c r="F330" i="12"/>
  <c r="E330" i="12"/>
  <c r="D330" i="12"/>
  <c r="C330" i="12"/>
  <c r="B330" i="12"/>
  <c r="S329" i="12"/>
  <c r="R329" i="12"/>
  <c r="Q329" i="12"/>
  <c r="P329" i="12"/>
  <c r="O329" i="12"/>
  <c r="N329" i="12"/>
  <c r="M329" i="12"/>
  <c r="L329" i="12"/>
  <c r="K329" i="12"/>
  <c r="J329" i="12"/>
  <c r="I329" i="12"/>
  <c r="H329" i="12"/>
  <c r="G329" i="12"/>
  <c r="F329" i="12"/>
  <c r="E329" i="12"/>
  <c r="D329" i="12"/>
  <c r="C329" i="12"/>
  <c r="B329" i="12"/>
  <c r="S328" i="12"/>
  <c r="R328" i="12"/>
  <c r="Q328" i="12"/>
  <c r="P328" i="12"/>
  <c r="O328" i="12"/>
  <c r="N328" i="12"/>
  <c r="M328" i="12"/>
  <c r="L328" i="12"/>
  <c r="K328" i="12"/>
  <c r="J328" i="12"/>
  <c r="I328" i="12"/>
  <c r="H328" i="12"/>
  <c r="G328" i="12"/>
  <c r="F328" i="12"/>
  <c r="E328" i="12"/>
  <c r="D328" i="12"/>
  <c r="C328" i="12"/>
  <c r="B328" i="12"/>
  <c r="S327" i="12"/>
  <c r="R327" i="12"/>
  <c r="Q327" i="12"/>
  <c r="P327" i="12"/>
  <c r="O327" i="12"/>
  <c r="N327" i="12"/>
  <c r="M327" i="12"/>
  <c r="L327" i="12"/>
  <c r="K327" i="12"/>
  <c r="J327" i="12"/>
  <c r="I327" i="12"/>
  <c r="H327" i="12"/>
  <c r="G327" i="12"/>
  <c r="F327" i="12"/>
  <c r="E327" i="12"/>
  <c r="D327" i="12"/>
  <c r="C327" i="12"/>
  <c r="B327" i="12"/>
  <c r="S326" i="12"/>
  <c r="R326" i="12"/>
  <c r="Q326" i="12"/>
  <c r="P326" i="12"/>
  <c r="O326" i="12"/>
  <c r="N326" i="12"/>
  <c r="M326" i="12"/>
  <c r="L326" i="12"/>
  <c r="K326" i="12"/>
  <c r="J326" i="12"/>
  <c r="I326" i="12"/>
  <c r="H326" i="12"/>
  <c r="G326" i="12"/>
  <c r="F326" i="12"/>
  <c r="E326" i="12"/>
  <c r="D326" i="12"/>
  <c r="C326" i="12"/>
  <c r="B326" i="12"/>
  <c r="S325" i="12"/>
  <c r="R325" i="12"/>
  <c r="Q325" i="12"/>
  <c r="P325" i="12"/>
  <c r="O325" i="12"/>
  <c r="N325" i="12"/>
  <c r="M325" i="12"/>
  <c r="L325" i="12"/>
  <c r="K325" i="12"/>
  <c r="J325" i="12"/>
  <c r="I325" i="12"/>
  <c r="H325" i="12"/>
  <c r="G325" i="12"/>
  <c r="F325" i="12"/>
  <c r="E325" i="12"/>
  <c r="D325" i="12"/>
  <c r="C325" i="12"/>
  <c r="B325" i="12"/>
  <c r="S324" i="12"/>
  <c r="R324" i="12"/>
  <c r="Q324" i="12"/>
  <c r="P324" i="12"/>
  <c r="O324" i="12"/>
  <c r="N324" i="12"/>
  <c r="M324" i="12"/>
  <c r="L324" i="12"/>
  <c r="K324" i="12"/>
  <c r="J324" i="12"/>
  <c r="I324" i="12"/>
  <c r="H324" i="12"/>
  <c r="G324" i="12"/>
  <c r="F324" i="12"/>
  <c r="E324" i="12"/>
  <c r="D324" i="12"/>
  <c r="C324" i="12"/>
  <c r="B324" i="12"/>
  <c r="S323" i="12"/>
  <c r="R323" i="12"/>
  <c r="Q323" i="12"/>
  <c r="P323" i="12"/>
  <c r="O323" i="12"/>
  <c r="N323" i="12"/>
  <c r="M323" i="12"/>
  <c r="L323" i="12"/>
  <c r="K323" i="12"/>
  <c r="J323" i="12"/>
  <c r="I323" i="12"/>
  <c r="H323" i="12"/>
  <c r="G323" i="12"/>
  <c r="F323" i="12"/>
  <c r="E323" i="12"/>
  <c r="D323" i="12"/>
  <c r="C323" i="12"/>
  <c r="B323" i="12"/>
  <c r="S322" i="12"/>
  <c r="R322" i="12"/>
  <c r="Q322" i="12"/>
  <c r="P322" i="12"/>
  <c r="O322" i="12"/>
  <c r="N322" i="12"/>
  <c r="M322" i="12"/>
  <c r="L322" i="12"/>
  <c r="K322" i="12"/>
  <c r="J322" i="12"/>
  <c r="I322" i="12"/>
  <c r="H322" i="12"/>
  <c r="G322" i="12"/>
  <c r="F322" i="12"/>
  <c r="E322" i="12"/>
  <c r="D322" i="12"/>
  <c r="C322" i="12"/>
  <c r="B322" i="12"/>
  <c r="S321" i="12"/>
  <c r="R321" i="12"/>
  <c r="Q321" i="12"/>
  <c r="P321" i="12"/>
  <c r="O321" i="12"/>
  <c r="N321" i="12"/>
  <c r="M321" i="12"/>
  <c r="L321" i="12"/>
  <c r="K321" i="12"/>
  <c r="J321" i="12"/>
  <c r="I321" i="12"/>
  <c r="H321" i="12"/>
  <c r="G321" i="12"/>
  <c r="F321" i="12"/>
  <c r="E321" i="12"/>
  <c r="D321" i="12"/>
  <c r="C321" i="12"/>
  <c r="B321" i="12"/>
  <c r="S320" i="12"/>
  <c r="R320" i="12"/>
  <c r="Q320" i="12"/>
  <c r="P320" i="12"/>
  <c r="O320" i="12"/>
  <c r="N320" i="12"/>
  <c r="M320" i="12"/>
  <c r="L320" i="12"/>
  <c r="K320" i="12"/>
  <c r="J320" i="12"/>
  <c r="I320" i="12"/>
  <c r="H320" i="12"/>
  <c r="G320" i="12"/>
  <c r="F320" i="12"/>
  <c r="E320" i="12"/>
  <c r="D320" i="12"/>
  <c r="C320" i="12"/>
  <c r="B320" i="12"/>
  <c r="S319" i="12"/>
  <c r="R319" i="12"/>
  <c r="Q319" i="12"/>
  <c r="P319" i="12"/>
  <c r="O319" i="12"/>
  <c r="N319" i="12"/>
  <c r="M319" i="12"/>
  <c r="L319" i="12"/>
  <c r="K319" i="12"/>
  <c r="J319" i="12"/>
  <c r="I319" i="12"/>
  <c r="H319" i="12"/>
  <c r="G319" i="12"/>
  <c r="F319" i="12"/>
  <c r="E319" i="12"/>
  <c r="D319" i="12"/>
  <c r="C319" i="12"/>
  <c r="B319" i="12"/>
  <c r="S318" i="12"/>
  <c r="R318" i="12"/>
  <c r="Q318" i="12"/>
  <c r="P318" i="12"/>
  <c r="O318" i="12"/>
  <c r="N318" i="12"/>
  <c r="M318" i="12"/>
  <c r="L318" i="12"/>
  <c r="K318" i="12"/>
  <c r="J318" i="12"/>
  <c r="I318" i="12"/>
  <c r="H318" i="12"/>
  <c r="G318" i="12"/>
  <c r="F318" i="12"/>
  <c r="E318" i="12"/>
  <c r="D318" i="12"/>
  <c r="C318" i="12"/>
  <c r="B318" i="12"/>
  <c r="S317" i="12"/>
  <c r="R317" i="12"/>
  <c r="Q317" i="12"/>
  <c r="P317" i="12"/>
  <c r="O317" i="12"/>
  <c r="N317" i="12"/>
  <c r="M317" i="12"/>
  <c r="L317" i="12"/>
  <c r="K317" i="12"/>
  <c r="J317" i="12"/>
  <c r="I317" i="12"/>
  <c r="H317" i="12"/>
  <c r="G317" i="12"/>
  <c r="F317" i="12"/>
  <c r="E317" i="12"/>
  <c r="D317" i="12"/>
  <c r="C317" i="12"/>
  <c r="B317" i="12"/>
  <c r="S316" i="12"/>
  <c r="R316" i="12"/>
  <c r="Q316" i="12"/>
  <c r="P316" i="12"/>
  <c r="O316" i="12"/>
  <c r="N316" i="12"/>
  <c r="M316" i="12"/>
  <c r="L316" i="12"/>
  <c r="K316" i="12"/>
  <c r="J316" i="12"/>
  <c r="I316" i="12"/>
  <c r="H316" i="12"/>
  <c r="G316" i="12"/>
  <c r="F316" i="12"/>
  <c r="E316" i="12"/>
  <c r="D316" i="12"/>
  <c r="C316" i="12"/>
  <c r="B316" i="12"/>
  <c r="S315" i="12"/>
  <c r="R315" i="12"/>
  <c r="Q315" i="12"/>
  <c r="P315" i="12"/>
  <c r="O315" i="12"/>
  <c r="N315" i="12"/>
  <c r="M315" i="12"/>
  <c r="L315" i="12"/>
  <c r="K315" i="12"/>
  <c r="J315" i="12"/>
  <c r="I315" i="12"/>
  <c r="H315" i="12"/>
  <c r="G315" i="12"/>
  <c r="F315" i="12"/>
  <c r="E315" i="12"/>
  <c r="D315" i="12"/>
  <c r="C315" i="12"/>
  <c r="B315" i="12"/>
  <c r="S314" i="12"/>
  <c r="R314" i="12"/>
  <c r="Q314" i="12"/>
  <c r="P314" i="12"/>
  <c r="O314" i="12"/>
  <c r="N314" i="12"/>
  <c r="M314" i="12"/>
  <c r="L314" i="12"/>
  <c r="K314" i="12"/>
  <c r="J314" i="12"/>
  <c r="I314" i="12"/>
  <c r="H314" i="12"/>
  <c r="G314" i="12"/>
  <c r="F314" i="12"/>
  <c r="E314" i="12"/>
  <c r="D314" i="12"/>
  <c r="C314" i="12"/>
  <c r="B314" i="12"/>
  <c r="S313" i="12"/>
  <c r="R313" i="12"/>
  <c r="Q313" i="12"/>
  <c r="P313" i="12"/>
  <c r="O313" i="12"/>
  <c r="N313" i="12"/>
  <c r="M313" i="12"/>
  <c r="L313" i="12"/>
  <c r="K313" i="12"/>
  <c r="J313" i="12"/>
  <c r="I313" i="12"/>
  <c r="H313" i="12"/>
  <c r="G313" i="12"/>
  <c r="F313" i="12"/>
  <c r="E313" i="12"/>
  <c r="D313" i="12"/>
  <c r="C313" i="12"/>
  <c r="B313" i="12"/>
  <c r="S312" i="12"/>
  <c r="R312" i="12"/>
  <c r="Q312" i="12"/>
  <c r="P312" i="12"/>
  <c r="O312" i="12"/>
  <c r="N312" i="12"/>
  <c r="M312" i="12"/>
  <c r="L312" i="12"/>
  <c r="K312" i="12"/>
  <c r="J312" i="12"/>
  <c r="I312" i="12"/>
  <c r="H312" i="12"/>
  <c r="G312" i="12"/>
  <c r="F312" i="12"/>
  <c r="E312" i="12"/>
  <c r="D312" i="12"/>
  <c r="C312" i="12"/>
  <c r="B312" i="12"/>
  <c r="S311" i="12"/>
  <c r="R311" i="12"/>
  <c r="Q311" i="12"/>
  <c r="P311" i="12"/>
  <c r="O311" i="12"/>
  <c r="N311" i="12"/>
  <c r="M311" i="12"/>
  <c r="L311" i="12"/>
  <c r="K311" i="12"/>
  <c r="J311" i="12"/>
  <c r="I311" i="12"/>
  <c r="H311" i="12"/>
  <c r="G311" i="12"/>
  <c r="F311" i="12"/>
  <c r="E311" i="12"/>
  <c r="D311" i="12"/>
  <c r="C311" i="12"/>
  <c r="B311" i="12"/>
  <c r="S310" i="12"/>
  <c r="R310" i="12"/>
  <c r="Q310" i="12"/>
  <c r="P310" i="12"/>
  <c r="O310" i="12"/>
  <c r="N310" i="12"/>
  <c r="M310" i="12"/>
  <c r="L310" i="12"/>
  <c r="K310" i="12"/>
  <c r="J310" i="12"/>
  <c r="I310" i="12"/>
  <c r="H310" i="12"/>
  <c r="G310" i="12"/>
  <c r="F310" i="12"/>
  <c r="E310" i="12"/>
  <c r="D310" i="12"/>
  <c r="C310" i="12"/>
  <c r="B310" i="12"/>
  <c r="S309" i="12"/>
  <c r="R309" i="12"/>
  <c r="Q309" i="12"/>
  <c r="P309" i="12"/>
  <c r="O309" i="12"/>
  <c r="N309" i="12"/>
  <c r="M309" i="12"/>
  <c r="L309" i="12"/>
  <c r="K309" i="12"/>
  <c r="J309" i="12"/>
  <c r="I309" i="12"/>
  <c r="H309" i="12"/>
  <c r="G309" i="12"/>
  <c r="F309" i="12"/>
  <c r="E309" i="12"/>
  <c r="D309" i="12"/>
  <c r="C309" i="12"/>
  <c r="B309" i="12"/>
  <c r="S308" i="12"/>
  <c r="R308" i="12"/>
  <c r="Q308" i="12"/>
  <c r="P308" i="12"/>
  <c r="O308" i="12"/>
  <c r="N308" i="12"/>
  <c r="M308" i="12"/>
  <c r="L308" i="12"/>
  <c r="K308" i="12"/>
  <c r="J308" i="12"/>
  <c r="I308" i="12"/>
  <c r="H308" i="12"/>
  <c r="G308" i="12"/>
  <c r="F308" i="12"/>
  <c r="E308" i="12"/>
  <c r="D308" i="12"/>
  <c r="C308" i="12"/>
  <c r="B308" i="12"/>
  <c r="S307" i="12"/>
  <c r="R307" i="12"/>
  <c r="Q307" i="12"/>
  <c r="P307" i="12"/>
  <c r="O307" i="12"/>
  <c r="N307" i="12"/>
  <c r="M307" i="12"/>
  <c r="L307" i="12"/>
  <c r="K307" i="12"/>
  <c r="J307" i="12"/>
  <c r="I307" i="12"/>
  <c r="H307" i="12"/>
  <c r="G307" i="12"/>
  <c r="F307" i="12"/>
  <c r="E307" i="12"/>
  <c r="D307" i="12"/>
  <c r="C307" i="12"/>
  <c r="B307" i="12"/>
  <c r="S306" i="12"/>
  <c r="R306" i="12"/>
  <c r="Q306" i="12"/>
  <c r="P306" i="12"/>
  <c r="O306" i="12"/>
  <c r="N306" i="12"/>
  <c r="M306" i="12"/>
  <c r="L306" i="12"/>
  <c r="K306" i="12"/>
  <c r="J306" i="12"/>
  <c r="I306" i="12"/>
  <c r="H306" i="12"/>
  <c r="G306" i="12"/>
  <c r="F306" i="12"/>
  <c r="E306" i="12"/>
  <c r="D306" i="12"/>
  <c r="C306" i="12"/>
  <c r="B306" i="12"/>
  <c r="S305" i="12"/>
  <c r="R305" i="12"/>
  <c r="Q305" i="12"/>
  <c r="P305" i="12"/>
  <c r="O305" i="12"/>
  <c r="N305" i="12"/>
  <c r="M305" i="12"/>
  <c r="L305" i="12"/>
  <c r="K305" i="12"/>
  <c r="J305" i="12"/>
  <c r="I305" i="12"/>
  <c r="H305" i="12"/>
  <c r="G305" i="12"/>
  <c r="F305" i="12"/>
  <c r="E305" i="12"/>
  <c r="D305" i="12"/>
  <c r="C305" i="12"/>
  <c r="B305" i="12"/>
  <c r="S304" i="12"/>
  <c r="R304" i="12"/>
  <c r="Q304" i="12"/>
  <c r="P304" i="12"/>
  <c r="O304" i="12"/>
  <c r="N304" i="12"/>
  <c r="M304" i="12"/>
  <c r="L304" i="12"/>
  <c r="K304" i="12"/>
  <c r="J304" i="12"/>
  <c r="I304" i="12"/>
  <c r="H304" i="12"/>
  <c r="G304" i="12"/>
  <c r="F304" i="12"/>
  <c r="E304" i="12"/>
  <c r="D304" i="12"/>
  <c r="C304" i="12"/>
  <c r="B304" i="12"/>
  <c r="S303" i="12"/>
  <c r="R303" i="12"/>
  <c r="Q303" i="12"/>
  <c r="P303" i="12"/>
  <c r="O303" i="12"/>
  <c r="N303" i="12"/>
  <c r="M303" i="12"/>
  <c r="L303" i="12"/>
  <c r="K303" i="12"/>
  <c r="J303" i="12"/>
  <c r="I303" i="12"/>
  <c r="H303" i="12"/>
  <c r="G303" i="12"/>
  <c r="F303" i="12"/>
  <c r="E303" i="12"/>
  <c r="D303" i="12"/>
  <c r="C303" i="12"/>
  <c r="B303" i="12"/>
  <c r="S302" i="12"/>
  <c r="R302" i="12"/>
  <c r="Q302" i="12"/>
  <c r="P302" i="12"/>
  <c r="O302" i="12"/>
  <c r="N302" i="12"/>
  <c r="M302" i="12"/>
  <c r="L302" i="12"/>
  <c r="K302" i="12"/>
  <c r="J302" i="12"/>
  <c r="I302" i="12"/>
  <c r="H302" i="12"/>
  <c r="G302" i="12"/>
  <c r="F302" i="12"/>
  <c r="E302" i="12"/>
  <c r="D302" i="12"/>
  <c r="C302" i="12"/>
  <c r="B302" i="12"/>
  <c r="S301" i="12"/>
  <c r="R301" i="12"/>
  <c r="Q301" i="12"/>
  <c r="P301" i="12"/>
  <c r="O301" i="12"/>
  <c r="N301" i="12"/>
  <c r="M301" i="12"/>
  <c r="L301" i="12"/>
  <c r="K301" i="12"/>
  <c r="J301" i="12"/>
  <c r="I301" i="12"/>
  <c r="H301" i="12"/>
  <c r="G301" i="12"/>
  <c r="F301" i="12"/>
  <c r="E301" i="12"/>
  <c r="D301" i="12"/>
  <c r="C301" i="12"/>
  <c r="B301" i="12"/>
  <c r="S300" i="12"/>
  <c r="R300" i="12"/>
  <c r="Q300" i="12"/>
  <c r="P300" i="12"/>
  <c r="O300" i="12"/>
  <c r="N300" i="12"/>
  <c r="M300" i="12"/>
  <c r="L300" i="12"/>
  <c r="K300" i="12"/>
  <c r="J300" i="12"/>
  <c r="I300" i="12"/>
  <c r="H300" i="12"/>
  <c r="G300" i="12"/>
  <c r="F300" i="12"/>
  <c r="E300" i="12"/>
  <c r="D300" i="12"/>
  <c r="C300" i="12"/>
  <c r="B300" i="12"/>
  <c r="S299" i="12"/>
  <c r="R299" i="12"/>
  <c r="Q299" i="12"/>
  <c r="P299" i="12"/>
  <c r="O299" i="12"/>
  <c r="N299" i="12"/>
  <c r="M299" i="12"/>
  <c r="L299" i="12"/>
  <c r="K299" i="12"/>
  <c r="J299" i="12"/>
  <c r="I299" i="12"/>
  <c r="H299" i="12"/>
  <c r="G299" i="12"/>
  <c r="F299" i="12"/>
  <c r="E299" i="12"/>
  <c r="D299" i="12"/>
  <c r="C299" i="12"/>
  <c r="B299" i="12"/>
  <c r="S298" i="12"/>
  <c r="R298" i="12"/>
  <c r="Q298" i="12"/>
  <c r="P298" i="12"/>
  <c r="O298" i="12"/>
  <c r="N298" i="12"/>
  <c r="M298" i="12"/>
  <c r="L298" i="12"/>
  <c r="K298" i="12"/>
  <c r="J298" i="12"/>
  <c r="I298" i="12"/>
  <c r="H298" i="12"/>
  <c r="G298" i="12"/>
  <c r="F298" i="12"/>
  <c r="E298" i="12"/>
  <c r="D298" i="12"/>
  <c r="C298" i="12"/>
  <c r="B298" i="12"/>
  <c r="S297" i="12"/>
  <c r="R297" i="12"/>
  <c r="Q297" i="12"/>
  <c r="P297" i="12"/>
  <c r="O297" i="12"/>
  <c r="N297" i="12"/>
  <c r="M297" i="12"/>
  <c r="L297" i="12"/>
  <c r="K297" i="12"/>
  <c r="J297" i="12"/>
  <c r="I297" i="12"/>
  <c r="H297" i="12"/>
  <c r="G297" i="12"/>
  <c r="F297" i="12"/>
  <c r="E297" i="12"/>
  <c r="D297" i="12"/>
  <c r="C297" i="12"/>
  <c r="B297" i="12"/>
  <c r="S296" i="12"/>
  <c r="R296" i="12"/>
  <c r="Q296" i="12"/>
  <c r="P296" i="12"/>
  <c r="O296" i="12"/>
  <c r="N296" i="12"/>
  <c r="M296" i="12"/>
  <c r="L296" i="12"/>
  <c r="K296" i="12"/>
  <c r="J296" i="12"/>
  <c r="I296" i="12"/>
  <c r="H296" i="12"/>
  <c r="G296" i="12"/>
  <c r="F296" i="12"/>
  <c r="E296" i="12"/>
  <c r="D296" i="12"/>
  <c r="C296" i="12"/>
  <c r="B296" i="12"/>
  <c r="S295" i="12"/>
  <c r="R295" i="12"/>
  <c r="Q295" i="12"/>
  <c r="P295" i="12"/>
  <c r="O295" i="12"/>
  <c r="N295" i="12"/>
  <c r="M295" i="12"/>
  <c r="L295" i="12"/>
  <c r="K295" i="12"/>
  <c r="J295" i="12"/>
  <c r="I295" i="12"/>
  <c r="H295" i="12"/>
  <c r="G295" i="12"/>
  <c r="F295" i="12"/>
  <c r="E295" i="12"/>
  <c r="D295" i="12"/>
  <c r="C295" i="12"/>
  <c r="B295" i="12"/>
  <c r="S294" i="12"/>
  <c r="R294" i="12"/>
  <c r="Q294" i="12"/>
  <c r="P294" i="12"/>
  <c r="O294" i="12"/>
  <c r="N294" i="12"/>
  <c r="M294" i="12"/>
  <c r="L294" i="12"/>
  <c r="K294" i="12"/>
  <c r="J294" i="12"/>
  <c r="I294" i="12"/>
  <c r="H294" i="12"/>
  <c r="G294" i="12"/>
  <c r="F294" i="12"/>
  <c r="E294" i="12"/>
  <c r="D294" i="12"/>
  <c r="C294" i="12"/>
  <c r="B294" i="12"/>
  <c r="S293" i="12"/>
  <c r="R293" i="12"/>
  <c r="Q293" i="12"/>
  <c r="P293" i="12"/>
  <c r="O293" i="12"/>
  <c r="N293" i="12"/>
  <c r="M293" i="12"/>
  <c r="L293" i="12"/>
  <c r="K293" i="12"/>
  <c r="J293" i="12"/>
  <c r="I293" i="12"/>
  <c r="H293" i="12"/>
  <c r="G293" i="12"/>
  <c r="F293" i="12"/>
  <c r="E293" i="12"/>
  <c r="D293" i="12"/>
  <c r="C293" i="12"/>
  <c r="B293" i="12"/>
  <c r="S292" i="12"/>
  <c r="R292" i="12"/>
  <c r="Q292" i="12"/>
  <c r="P292" i="12"/>
  <c r="O292" i="12"/>
  <c r="N292" i="12"/>
  <c r="M292" i="12"/>
  <c r="L292" i="12"/>
  <c r="K292" i="12"/>
  <c r="J292" i="12"/>
  <c r="I292" i="12"/>
  <c r="H292" i="12"/>
  <c r="G292" i="12"/>
  <c r="F292" i="12"/>
  <c r="E292" i="12"/>
  <c r="D292" i="12"/>
  <c r="C292" i="12"/>
  <c r="B292" i="12"/>
  <c r="S291" i="12"/>
  <c r="R291" i="12"/>
  <c r="Q291" i="12"/>
  <c r="P291" i="12"/>
  <c r="O291" i="12"/>
  <c r="N291" i="12"/>
  <c r="M291" i="12"/>
  <c r="L291" i="12"/>
  <c r="K291" i="12"/>
  <c r="J291" i="12"/>
  <c r="I291" i="12"/>
  <c r="H291" i="12"/>
  <c r="G291" i="12"/>
  <c r="F291" i="12"/>
  <c r="E291" i="12"/>
  <c r="D291" i="12"/>
  <c r="C291" i="12"/>
  <c r="B291" i="12"/>
  <c r="S290" i="12"/>
  <c r="R290" i="12"/>
  <c r="Q290" i="12"/>
  <c r="P290" i="12"/>
  <c r="O290" i="12"/>
  <c r="N290" i="12"/>
  <c r="M290" i="12"/>
  <c r="L290" i="12"/>
  <c r="K290" i="12"/>
  <c r="J290" i="12"/>
  <c r="I290" i="12"/>
  <c r="H290" i="12"/>
  <c r="G290" i="12"/>
  <c r="F290" i="12"/>
  <c r="E290" i="12"/>
  <c r="D290" i="12"/>
  <c r="C290" i="12"/>
  <c r="B290" i="12"/>
  <c r="S289" i="12"/>
  <c r="R289" i="12"/>
  <c r="Q289" i="12"/>
  <c r="P289" i="12"/>
  <c r="O289" i="12"/>
  <c r="N289" i="12"/>
  <c r="M289" i="12"/>
  <c r="L289" i="12"/>
  <c r="K289" i="12"/>
  <c r="J289" i="12"/>
  <c r="I289" i="12"/>
  <c r="H289" i="12"/>
  <c r="G289" i="12"/>
  <c r="F289" i="12"/>
  <c r="E289" i="12"/>
  <c r="D289" i="12"/>
  <c r="C289" i="12"/>
  <c r="B289" i="12"/>
  <c r="S288" i="12"/>
  <c r="R288" i="12"/>
  <c r="Q288" i="12"/>
  <c r="P288" i="12"/>
  <c r="O288" i="12"/>
  <c r="N288" i="12"/>
  <c r="M288" i="12"/>
  <c r="L288" i="12"/>
  <c r="K288" i="12"/>
  <c r="J288" i="12"/>
  <c r="I288" i="12"/>
  <c r="H288" i="12"/>
  <c r="G288" i="12"/>
  <c r="F288" i="12"/>
  <c r="E288" i="12"/>
  <c r="D288" i="12"/>
  <c r="C288" i="12"/>
  <c r="B288" i="12"/>
  <c r="S287" i="12"/>
  <c r="R287" i="12"/>
  <c r="Q287" i="12"/>
  <c r="P287" i="12"/>
  <c r="O287" i="12"/>
  <c r="N287" i="12"/>
  <c r="M287" i="12"/>
  <c r="L287" i="12"/>
  <c r="K287" i="12"/>
  <c r="J287" i="12"/>
  <c r="I287" i="12"/>
  <c r="H287" i="12"/>
  <c r="G287" i="12"/>
  <c r="F287" i="12"/>
  <c r="E287" i="12"/>
  <c r="D287" i="12"/>
  <c r="C287" i="12"/>
  <c r="B287" i="12"/>
  <c r="S286" i="12"/>
  <c r="R286" i="12"/>
  <c r="Q286" i="12"/>
  <c r="P286" i="12"/>
  <c r="O286" i="12"/>
  <c r="N286" i="12"/>
  <c r="M286" i="12"/>
  <c r="L286" i="12"/>
  <c r="K286" i="12"/>
  <c r="J286" i="12"/>
  <c r="I286" i="12"/>
  <c r="H286" i="12"/>
  <c r="G286" i="12"/>
  <c r="F286" i="12"/>
  <c r="E286" i="12"/>
  <c r="D286" i="12"/>
  <c r="C286" i="12"/>
  <c r="B286" i="12"/>
  <c r="S285" i="12"/>
  <c r="R285" i="12"/>
  <c r="Q285" i="12"/>
  <c r="P285" i="12"/>
  <c r="O285" i="12"/>
  <c r="N285" i="12"/>
  <c r="M285" i="12"/>
  <c r="L285" i="12"/>
  <c r="K285" i="12"/>
  <c r="J285" i="12"/>
  <c r="I285" i="12"/>
  <c r="H285" i="12"/>
  <c r="G285" i="12"/>
  <c r="F285" i="12"/>
  <c r="E285" i="12"/>
  <c r="D285" i="12"/>
  <c r="C285" i="12"/>
  <c r="B285" i="12"/>
  <c r="S284" i="12"/>
  <c r="R284" i="12"/>
  <c r="Q284" i="12"/>
  <c r="P284" i="12"/>
  <c r="O284" i="12"/>
  <c r="N284" i="12"/>
  <c r="M284" i="12"/>
  <c r="L284" i="12"/>
  <c r="K284" i="12"/>
  <c r="J284" i="12"/>
  <c r="I284" i="12"/>
  <c r="H284" i="12"/>
  <c r="G284" i="12"/>
  <c r="F284" i="12"/>
  <c r="E284" i="12"/>
  <c r="D284" i="12"/>
  <c r="C284" i="12"/>
  <c r="B284" i="12"/>
  <c r="S283" i="12"/>
  <c r="R283" i="12"/>
  <c r="Q283" i="12"/>
  <c r="P283" i="12"/>
  <c r="O283" i="12"/>
  <c r="N283" i="12"/>
  <c r="M283" i="12"/>
  <c r="L283" i="12"/>
  <c r="K283" i="12"/>
  <c r="J283" i="12"/>
  <c r="I283" i="12"/>
  <c r="H283" i="12"/>
  <c r="G283" i="12"/>
  <c r="F283" i="12"/>
  <c r="E283" i="12"/>
  <c r="D283" i="12"/>
  <c r="C283" i="12"/>
  <c r="B283" i="12"/>
  <c r="S282" i="12"/>
  <c r="R282" i="12"/>
  <c r="Q282" i="12"/>
  <c r="P282" i="12"/>
  <c r="O282" i="12"/>
  <c r="N282" i="12"/>
  <c r="M282" i="12"/>
  <c r="L282" i="12"/>
  <c r="K282" i="12"/>
  <c r="J282" i="12"/>
  <c r="I282" i="12"/>
  <c r="H282" i="12"/>
  <c r="G282" i="12"/>
  <c r="F282" i="12"/>
  <c r="E282" i="12"/>
  <c r="D282" i="12"/>
  <c r="C282" i="12"/>
  <c r="B282" i="12"/>
  <c r="S281" i="12"/>
  <c r="R281" i="12"/>
  <c r="Q281" i="12"/>
  <c r="P281" i="12"/>
  <c r="O281" i="12"/>
  <c r="N281" i="12"/>
  <c r="M281" i="12"/>
  <c r="L281" i="12"/>
  <c r="K281" i="12"/>
  <c r="J281" i="12"/>
  <c r="I281" i="12"/>
  <c r="H281" i="12"/>
  <c r="G281" i="12"/>
  <c r="F281" i="12"/>
  <c r="E281" i="12"/>
  <c r="D281" i="12"/>
  <c r="C281" i="12"/>
  <c r="B281" i="12"/>
  <c r="S280" i="12"/>
  <c r="R280" i="12"/>
  <c r="Q280" i="12"/>
  <c r="P280" i="12"/>
  <c r="O280" i="12"/>
  <c r="N280" i="12"/>
  <c r="M280" i="12"/>
  <c r="L280" i="12"/>
  <c r="K280" i="12"/>
  <c r="J280" i="12"/>
  <c r="I280" i="12"/>
  <c r="H280" i="12"/>
  <c r="G280" i="12"/>
  <c r="F280" i="12"/>
  <c r="E280" i="12"/>
  <c r="D280" i="12"/>
  <c r="C280" i="12"/>
  <c r="B280" i="12"/>
  <c r="S279" i="12"/>
  <c r="R279" i="12"/>
  <c r="Q279" i="12"/>
  <c r="P279" i="12"/>
  <c r="O279" i="12"/>
  <c r="N279" i="12"/>
  <c r="M279" i="12"/>
  <c r="L279" i="12"/>
  <c r="K279" i="12"/>
  <c r="J279" i="12"/>
  <c r="I279" i="12"/>
  <c r="H279" i="12"/>
  <c r="G279" i="12"/>
  <c r="F279" i="12"/>
  <c r="E279" i="12"/>
  <c r="D279" i="12"/>
  <c r="C279" i="12"/>
  <c r="B279" i="12"/>
  <c r="S278" i="12"/>
  <c r="R278" i="12"/>
  <c r="Q278" i="12"/>
  <c r="P278" i="12"/>
  <c r="O278" i="12"/>
  <c r="N278" i="12"/>
  <c r="M278" i="12"/>
  <c r="L278" i="12"/>
  <c r="K278" i="12"/>
  <c r="J278" i="12"/>
  <c r="I278" i="12"/>
  <c r="H278" i="12"/>
  <c r="G278" i="12"/>
  <c r="F278" i="12"/>
  <c r="E278" i="12"/>
  <c r="D278" i="12"/>
  <c r="C278" i="12"/>
  <c r="B278" i="12"/>
  <c r="S277" i="12"/>
  <c r="R277" i="12"/>
  <c r="Q277" i="12"/>
  <c r="P277" i="12"/>
  <c r="O277" i="12"/>
  <c r="N277" i="12"/>
  <c r="M277" i="12"/>
  <c r="L277" i="12"/>
  <c r="K277" i="12"/>
  <c r="J277" i="12"/>
  <c r="I277" i="12"/>
  <c r="H277" i="12"/>
  <c r="G277" i="12"/>
  <c r="F277" i="12"/>
  <c r="E277" i="12"/>
  <c r="D277" i="12"/>
  <c r="C277" i="12"/>
  <c r="B277" i="12"/>
  <c r="S276" i="12"/>
  <c r="R276" i="12"/>
  <c r="Q276" i="12"/>
  <c r="P276" i="12"/>
  <c r="O276" i="12"/>
  <c r="N276" i="12"/>
  <c r="M276" i="12"/>
  <c r="L276" i="12"/>
  <c r="K276" i="12"/>
  <c r="J276" i="12"/>
  <c r="I276" i="12"/>
  <c r="H276" i="12"/>
  <c r="G276" i="12"/>
  <c r="F276" i="12"/>
  <c r="E276" i="12"/>
  <c r="D276" i="12"/>
  <c r="C276" i="12"/>
  <c r="B276" i="12"/>
  <c r="S275" i="12"/>
  <c r="R275" i="12"/>
  <c r="Q275" i="12"/>
  <c r="P275" i="12"/>
  <c r="O275" i="12"/>
  <c r="N275" i="12"/>
  <c r="M275" i="12"/>
  <c r="L275" i="12"/>
  <c r="K275" i="12"/>
  <c r="J275" i="12"/>
  <c r="I275" i="12"/>
  <c r="H275" i="12"/>
  <c r="G275" i="12"/>
  <c r="F275" i="12"/>
  <c r="E275" i="12"/>
  <c r="D275" i="12"/>
  <c r="C275" i="12"/>
  <c r="B275" i="12"/>
  <c r="S274" i="12"/>
  <c r="R274" i="12"/>
  <c r="Q274" i="12"/>
  <c r="P274" i="12"/>
  <c r="O274" i="12"/>
  <c r="N274" i="12"/>
  <c r="M274" i="12"/>
  <c r="L274" i="12"/>
  <c r="K274" i="12"/>
  <c r="J274" i="12"/>
  <c r="I274" i="12"/>
  <c r="H274" i="12"/>
  <c r="G274" i="12"/>
  <c r="F274" i="12"/>
  <c r="E274" i="12"/>
  <c r="D274" i="12"/>
  <c r="C274" i="12"/>
  <c r="B274" i="12"/>
  <c r="S273" i="12"/>
  <c r="R273" i="12"/>
  <c r="Q273" i="12"/>
  <c r="P273" i="12"/>
  <c r="O273" i="12"/>
  <c r="N273" i="12"/>
  <c r="M273" i="12"/>
  <c r="L273" i="12"/>
  <c r="K273" i="12"/>
  <c r="J273" i="12"/>
  <c r="I273" i="12"/>
  <c r="H273" i="12"/>
  <c r="G273" i="12"/>
  <c r="F273" i="12"/>
  <c r="E273" i="12"/>
  <c r="D273" i="12"/>
  <c r="C273" i="12"/>
  <c r="B273" i="12"/>
  <c r="S272" i="12"/>
  <c r="R272" i="12"/>
  <c r="Q272" i="12"/>
  <c r="P272" i="12"/>
  <c r="O272" i="12"/>
  <c r="N272" i="12"/>
  <c r="M272" i="12"/>
  <c r="L272" i="12"/>
  <c r="K272" i="12"/>
  <c r="J272" i="12"/>
  <c r="I272" i="12"/>
  <c r="H272" i="12"/>
  <c r="G272" i="12"/>
  <c r="F272" i="12"/>
  <c r="E272" i="12"/>
  <c r="D272" i="12"/>
  <c r="C272" i="12"/>
  <c r="B272" i="12"/>
  <c r="S271" i="12"/>
  <c r="R271" i="12"/>
  <c r="Q271" i="12"/>
  <c r="P271" i="12"/>
  <c r="O271" i="12"/>
  <c r="N271" i="12"/>
  <c r="M271" i="12"/>
  <c r="L271" i="12"/>
  <c r="K271" i="12"/>
  <c r="J271" i="12"/>
  <c r="I271" i="12"/>
  <c r="H271" i="12"/>
  <c r="G271" i="12"/>
  <c r="F271" i="12"/>
  <c r="E271" i="12"/>
  <c r="D271" i="12"/>
  <c r="C271" i="12"/>
  <c r="B271" i="12"/>
  <c r="S270" i="12"/>
  <c r="R270" i="12"/>
  <c r="Q270" i="12"/>
  <c r="P270" i="12"/>
  <c r="O270" i="12"/>
  <c r="N270" i="12"/>
  <c r="M270" i="12"/>
  <c r="L270" i="12"/>
  <c r="K270" i="12"/>
  <c r="J270" i="12"/>
  <c r="I270" i="12"/>
  <c r="H270" i="12"/>
  <c r="G270" i="12"/>
  <c r="F270" i="12"/>
  <c r="E270" i="12"/>
  <c r="D270" i="12"/>
  <c r="C270" i="12"/>
  <c r="B270" i="12"/>
  <c r="S269" i="12"/>
  <c r="R269" i="12"/>
  <c r="Q269" i="12"/>
  <c r="P269" i="12"/>
  <c r="O269" i="12"/>
  <c r="N269" i="12"/>
  <c r="M269" i="12"/>
  <c r="L269" i="12"/>
  <c r="K269" i="12"/>
  <c r="J269" i="12"/>
  <c r="I269" i="12"/>
  <c r="H269" i="12"/>
  <c r="G269" i="12"/>
  <c r="F269" i="12"/>
  <c r="E269" i="12"/>
  <c r="D269" i="12"/>
  <c r="C269" i="12"/>
  <c r="B269" i="12"/>
  <c r="S268" i="12"/>
  <c r="R268" i="12"/>
  <c r="Q268" i="12"/>
  <c r="P268" i="12"/>
  <c r="O268" i="12"/>
  <c r="N268" i="12"/>
  <c r="M268" i="12"/>
  <c r="L268" i="12"/>
  <c r="K268" i="12"/>
  <c r="J268" i="12"/>
  <c r="I268" i="12"/>
  <c r="H268" i="12"/>
  <c r="G268" i="12"/>
  <c r="F268" i="12"/>
  <c r="E268" i="12"/>
  <c r="D268" i="12"/>
  <c r="C268" i="12"/>
  <c r="B268" i="12"/>
  <c r="S267" i="12"/>
  <c r="R267" i="12"/>
  <c r="Q267" i="12"/>
  <c r="P267" i="12"/>
  <c r="O267" i="12"/>
  <c r="N267" i="12"/>
  <c r="M267" i="12"/>
  <c r="L267" i="12"/>
  <c r="K267" i="12"/>
  <c r="J267" i="12"/>
  <c r="I267" i="12"/>
  <c r="H267" i="12"/>
  <c r="G267" i="12"/>
  <c r="F267" i="12"/>
  <c r="E267" i="12"/>
  <c r="D267" i="12"/>
  <c r="C267" i="12"/>
  <c r="B267" i="12"/>
  <c r="S266" i="12"/>
  <c r="R266" i="12"/>
  <c r="Q266" i="12"/>
  <c r="P266" i="12"/>
  <c r="O266" i="12"/>
  <c r="N266" i="12"/>
  <c r="M266" i="12"/>
  <c r="L266" i="12"/>
  <c r="K266" i="12"/>
  <c r="J266" i="12"/>
  <c r="I266" i="12"/>
  <c r="H266" i="12"/>
  <c r="G266" i="12"/>
  <c r="F266" i="12"/>
  <c r="E266" i="12"/>
  <c r="D266" i="12"/>
  <c r="C266" i="12"/>
  <c r="B266" i="12"/>
  <c r="S265" i="12"/>
  <c r="R265" i="12"/>
  <c r="Q265" i="12"/>
  <c r="P265" i="12"/>
  <c r="O265" i="12"/>
  <c r="N265" i="12"/>
  <c r="M265" i="12"/>
  <c r="L265" i="12"/>
  <c r="K265" i="12"/>
  <c r="J265" i="12"/>
  <c r="I265" i="12"/>
  <c r="H265" i="12"/>
  <c r="G265" i="12"/>
  <c r="F265" i="12"/>
  <c r="E265" i="12"/>
  <c r="D265" i="12"/>
  <c r="C265" i="12"/>
  <c r="B265" i="12"/>
  <c r="S264" i="12"/>
  <c r="R264" i="12"/>
  <c r="Q264" i="12"/>
  <c r="P264" i="12"/>
  <c r="O264" i="12"/>
  <c r="N264" i="12"/>
  <c r="M264" i="12"/>
  <c r="L264" i="12"/>
  <c r="K264" i="12"/>
  <c r="J264" i="12"/>
  <c r="I264" i="12"/>
  <c r="H264" i="12"/>
  <c r="G264" i="12"/>
  <c r="F264" i="12"/>
  <c r="E264" i="12"/>
  <c r="D264" i="12"/>
  <c r="C264" i="12"/>
  <c r="B264" i="12"/>
  <c r="S263" i="12"/>
  <c r="R263" i="12"/>
  <c r="Q263" i="12"/>
  <c r="P263" i="12"/>
  <c r="O263" i="12"/>
  <c r="N263" i="12"/>
  <c r="M263" i="12"/>
  <c r="L263" i="12"/>
  <c r="K263" i="12"/>
  <c r="J263" i="12"/>
  <c r="I263" i="12"/>
  <c r="H263" i="12"/>
  <c r="G263" i="12"/>
  <c r="F263" i="12"/>
  <c r="E263" i="12"/>
  <c r="D263" i="12"/>
  <c r="C263" i="12"/>
  <c r="B263" i="12"/>
  <c r="S262" i="12"/>
  <c r="R262" i="12"/>
  <c r="Q262" i="12"/>
  <c r="P262" i="12"/>
  <c r="O262" i="12"/>
  <c r="N262" i="12"/>
  <c r="M262" i="12"/>
  <c r="L262" i="12"/>
  <c r="K262" i="12"/>
  <c r="J262" i="12"/>
  <c r="I262" i="12"/>
  <c r="H262" i="12"/>
  <c r="G262" i="12"/>
  <c r="F262" i="12"/>
  <c r="E262" i="12"/>
  <c r="D262" i="12"/>
  <c r="C262" i="12"/>
  <c r="B262" i="12"/>
  <c r="S261" i="12"/>
  <c r="R261" i="12"/>
  <c r="Q261" i="12"/>
  <c r="P261" i="12"/>
  <c r="O261" i="12"/>
  <c r="N261" i="12"/>
  <c r="M261" i="12"/>
  <c r="L261" i="12"/>
  <c r="K261" i="12"/>
  <c r="J261" i="12"/>
  <c r="I261" i="12"/>
  <c r="H261" i="12"/>
  <c r="G261" i="12"/>
  <c r="F261" i="12"/>
  <c r="E261" i="12"/>
  <c r="D261" i="12"/>
  <c r="C261" i="12"/>
  <c r="B261" i="12"/>
  <c r="S260" i="12"/>
  <c r="R260" i="12"/>
  <c r="Q260" i="12"/>
  <c r="P260" i="12"/>
  <c r="O260" i="12"/>
  <c r="N260" i="12"/>
  <c r="M260" i="12"/>
  <c r="L260" i="12"/>
  <c r="K260" i="12"/>
  <c r="J260" i="12"/>
  <c r="I260" i="12"/>
  <c r="H260" i="12"/>
  <c r="G260" i="12"/>
  <c r="F260" i="12"/>
  <c r="E260" i="12"/>
  <c r="D260" i="12"/>
  <c r="C260" i="12"/>
  <c r="B260" i="12"/>
  <c r="S259" i="12"/>
  <c r="R259" i="12"/>
  <c r="Q259" i="12"/>
  <c r="P259" i="12"/>
  <c r="O259" i="12"/>
  <c r="N259" i="12"/>
  <c r="M259" i="12"/>
  <c r="L259" i="12"/>
  <c r="K259" i="12"/>
  <c r="J259" i="12"/>
  <c r="I259" i="12"/>
  <c r="H259" i="12"/>
  <c r="G259" i="12"/>
  <c r="F259" i="12"/>
  <c r="E259" i="12"/>
  <c r="D259" i="12"/>
  <c r="C259" i="12"/>
  <c r="B259" i="12"/>
  <c r="S258" i="12"/>
  <c r="R258" i="12"/>
  <c r="Q258" i="12"/>
  <c r="P258" i="12"/>
  <c r="O258" i="12"/>
  <c r="N258" i="12"/>
  <c r="M258" i="12"/>
  <c r="L258" i="12"/>
  <c r="K258" i="12"/>
  <c r="J258" i="12"/>
  <c r="I258" i="12"/>
  <c r="H258" i="12"/>
  <c r="G258" i="12"/>
  <c r="F258" i="12"/>
  <c r="E258" i="12"/>
  <c r="D258" i="12"/>
  <c r="C258" i="12"/>
  <c r="B258" i="12"/>
  <c r="S257" i="12"/>
  <c r="R257" i="12"/>
  <c r="Q257" i="12"/>
  <c r="P257" i="12"/>
  <c r="O257" i="12"/>
  <c r="N257" i="12"/>
  <c r="M257" i="12"/>
  <c r="L257" i="12"/>
  <c r="K257" i="12"/>
  <c r="J257" i="12"/>
  <c r="I257" i="12"/>
  <c r="H257" i="12"/>
  <c r="G257" i="12"/>
  <c r="F257" i="12"/>
  <c r="E257" i="12"/>
  <c r="D257" i="12"/>
  <c r="C257" i="12"/>
  <c r="B257" i="12"/>
  <c r="S256" i="12"/>
  <c r="R256" i="12"/>
  <c r="Q256" i="12"/>
  <c r="P256" i="12"/>
  <c r="O256" i="12"/>
  <c r="N256" i="12"/>
  <c r="M256" i="12"/>
  <c r="L256" i="12"/>
  <c r="K256" i="12"/>
  <c r="J256" i="12"/>
  <c r="I256" i="12"/>
  <c r="H256" i="12"/>
  <c r="G256" i="12"/>
  <c r="F256" i="12"/>
  <c r="E256" i="12"/>
  <c r="D256" i="12"/>
  <c r="C256" i="12"/>
  <c r="B256" i="12"/>
  <c r="S255" i="12"/>
  <c r="R255" i="12"/>
  <c r="Q255" i="12"/>
  <c r="P255" i="12"/>
  <c r="O255" i="12"/>
  <c r="N255" i="12"/>
  <c r="M255" i="12"/>
  <c r="L255" i="12"/>
  <c r="K255" i="12"/>
  <c r="J255" i="12"/>
  <c r="I255" i="12"/>
  <c r="H255" i="12"/>
  <c r="G255" i="12"/>
  <c r="F255" i="12"/>
  <c r="E255" i="12"/>
  <c r="D255" i="12"/>
  <c r="C255" i="12"/>
  <c r="B255" i="12"/>
  <c r="S254" i="12"/>
  <c r="R254" i="12"/>
  <c r="Q254" i="12"/>
  <c r="P254" i="12"/>
  <c r="O254" i="12"/>
  <c r="N254" i="12"/>
  <c r="M254" i="12"/>
  <c r="L254" i="12"/>
  <c r="K254" i="12"/>
  <c r="J254" i="12"/>
  <c r="I254" i="12"/>
  <c r="H254" i="12"/>
  <c r="G254" i="12"/>
  <c r="F254" i="12"/>
  <c r="E254" i="12"/>
  <c r="D254" i="12"/>
  <c r="C254" i="12"/>
  <c r="B254" i="12"/>
  <c r="S253" i="12"/>
  <c r="R253" i="12"/>
  <c r="Q253" i="12"/>
  <c r="P253" i="12"/>
  <c r="O253" i="12"/>
  <c r="N253" i="12"/>
  <c r="M253" i="12"/>
  <c r="L253" i="12"/>
  <c r="K253" i="12"/>
  <c r="J253" i="12"/>
  <c r="I253" i="12"/>
  <c r="H253" i="12"/>
  <c r="G253" i="12"/>
  <c r="F253" i="12"/>
  <c r="E253" i="12"/>
  <c r="D253" i="12"/>
  <c r="C253" i="12"/>
  <c r="B253" i="12"/>
  <c r="S252" i="12"/>
  <c r="R252" i="12"/>
  <c r="Q252" i="12"/>
  <c r="P252" i="12"/>
  <c r="O252" i="12"/>
  <c r="N252" i="12"/>
  <c r="M252" i="12"/>
  <c r="L252" i="12"/>
  <c r="K252" i="12"/>
  <c r="J252" i="12"/>
  <c r="I252" i="12"/>
  <c r="H252" i="12"/>
  <c r="G252" i="12"/>
  <c r="F252" i="12"/>
  <c r="E252" i="12"/>
  <c r="D252" i="12"/>
  <c r="C252" i="12"/>
  <c r="B252" i="12"/>
  <c r="S251" i="12"/>
  <c r="R251" i="12"/>
  <c r="Q251" i="12"/>
  <c r="P251" i="12"/>
  <c r="O251" i="12"/>
  <c r="N251" i="12"/>
  <c r="M251" i="12"/>
  <c r="L251" i="12"/>
  <c r="K251" i="12"/>
  <c r="J251" i="12"/>
  <c r="I251" i="12"/>
  <c r="H251" i="12"/>
  <c r="G251" i="12"/>
  <c r="F251" i="12"/>
  <c r="E251" i="12"/>
  <c r="D251" i="12"/>
  <c r="C251" i="12"/>
  <c r="B251" i="12"/>
  <c r="S250" i="12"/>
  <c r="R250" i="12"/>
  <c r="Q250" i="12"/>
  <c r="P250" i="12"/>
  <c r="O250" i="12"/>
  <c r="N250" i="12"/>
  <c r="M250" i="12"/>
  <c r="L250" i="12"/>
  <c r="K250" i="12"/>
  <c r="J250" i="12"/>
  <c r="I250" i="12"/>
  <c r="H250" i="12"/>
  <c r="G250" i="12"/>
  <c r="F250" i="12"/>
  <c r="E250" i="12"/>
  <c r="D250" i="12"/>
  <c r="C250" i="12"/>
  <c r="B250" i="12"/>
  <c r="S249" i="12"/>
  <c r="R249" i="12"/>
  <c r="Q249" i="12"/>
  <c r="P249" i="12"/>
  <c r="O249" i="12"/>
  <c r="N249" i="12"/>
  <c r="M249" i="12"/>
  <c r="L249" i="12"/>
  <c r="K249" i="12"/>
  <c r="J249" i="12"/>
  <c r="I249" i="12"/>
  <c r="H249" i="12"/>
  <c r="G249" i="12"/>
  <c r="F249" i="12"/>
  <c r="E249" i="12"/>
  <c r="D249" i="12"/>
  <c r="C249" i="12"/>
  <c r="B249" i="12"/>
  <c r="S248" i="12"/>
  <c r="R248" i="12"/>
  <c r="Q248" i="12"/>
  <c r="P248" i="12"/>
  <c r="O248" i="12"/>
  <c r="N248" i="12"/>
  <c r="M248" i="12"/>
  <c r="L248" i="12"/>
  <c r="K248" i="12"/>
  <c r="J248" i="12"/>
  <c r="I248" i="12"/>
  <c r="H248" i="12"/>
  <c r="G248" i="12"/>
  <c r="F248" i="12"/>
  <c r="E248" i="12"/>
  <c r="D248" i="12"/>
  <c r="C248" i="12"/>
  <c r="B248" i="12"/>
  <c r="S247" i="12"/>
  <c r="R247" i="12"/>
  <c r="Q247" i="12"/>
  <c r="P247" i="12"/>
  <c r="O247" i="12"/>
  <c r="N247" i="12"/>
  <c r="M247" i="12"/>
  <c r="L247" i="12"/>
  <c r="K247" i="12"/>
  <c r="J247" i="12"/>
  <c r="I247" i="12"/>
  <c r="H247" i="12"/>
  <c r="G247" i="12"/>
  <c r="F247" i="12"/>
  <c r="E247" i="12"/>
  <c r="D247" i="12"/>
  <c r="C247" i="12"/>
  <c r="B247" i="12"/>
  <c r="S246" i="12"/>
  <c r="R246" i="12"/>
  <c r="Q246" i="12"/>
  <c r="P246" i="12"/>
  <c r="O246" i="12"/>
  <c r="N246" i="12"/>
  <c r="M246" i="12"/>
  <c r="L246" i="12"/>
  <c r="K246" i="12"/>
  <c r="J246" i="12"/>
  <c r="I246" i="12"/>
  <c r="H246" i="12"/>
  <c r="G246" i="12"/>
  <c r="F246" i="12"/>
  <c r="E246" i="12"/>
  <c r="D246" i="12"/>
  <c r="C246" i="12"/>
  <c r="B246" i="12"/>
  <c r="S245" i="12"/>
  <c r="R245" i="12"/>
  <c r="Q245" i="12"/>
  <c r="P245" i="12"/>
  <c r="O245" i="12"/>
  <c r="N245" i="12"/>
  <c r="M245" i="12"/>
  <c r="L245" i="12"/>
  <c r="K245" i="12"/>
  <c r="J245" i="12"/>
  <c r="I245" i="12"/>
  <c r="H245" i="12"/>
  <c r="G245" i="12"/>
  <c r="F245" i="12"/>
  <c r="E245" i="12"/>
  <c r="D245" i="12"/>
  <c r="C245" i="12"/>
  <c r="B245" i="12"/>
  <c r="S244" i="12"/>
  <c r="R244" i="12"/>
  <c r="Q244" i="12"/>
  <c r="P244" i="12"/>
  <c r="O244" i="12"/>
  <c r="N244" i="12"/>
  <c r="M244" i="12"/>
  <c r="L244" i="12"/>
  <c r="K244" i="12"/>
  <c r="J244" i="12"/>
  <c r="I244" i="12"/>
  <c r="H244" i="12"/>
  <c r="G244" i="12"/>
  <c r="F244" i="12"/>
  <c r="E244" i="12"/>
  <c r="D244" i="12"/>
  <c r="C244" i="12"/>
  <c r="B244" i="12"/>
  <c r="S243" i="12"/>
  <c r="R243" i="12"/>
  <c r="Q243" i="12"/>
  <c r="P243" i="12"/>
  <c r="O243" i="12"/>
  <c r="N243" i="12"/>
  <c r="M243" i="12"/>
  <c r="L243" i="12"/>
  <c r="K243" i="12"/>
  <c r="J243" i="12"/>
  <c r="I243" i="12"/>
  <c r="H243" i="12"/>
  <c r="G243" i="12"/>
  <c r="F243" i="12"/>
  <c r="E243" i="12"/>
  <c r="D243" i="12"/>
  <c r="C243" i="12"/>
  <c r="B243" i="12"/>
  <c r="S242" i="12"/>
  <c r="R242" i="12"/>
  <c r="Q242" i="12"/>
  <c r="P242" i="12"/>
  <c r="O242" i="12"/>
  <c r="N242" i="12"/>
  <c r="M242" i="12"/>
  <c r="L242" i="12"/>
  <c r="K242" i="12"/>
  <c r="J242" i="12"/>
  <c r="I242" i="12"/>
  <c r="H242" i="12"/>
  <c r="G242" i="12"/>
  <c r="F242" i="12"/>
  <c r="E242" i="12"/>
  <c r="D242" i="12"/>
  <c r="C242" i="12"/>
  <c r="B242" i="12"/>
  <c r="S241" i="12"/>
  <c r="R241" i="12"/>
  <c r="Q241" i="12"/>
  <c r="P241" i="12"/>
  <c r="O241" i="12"/>
  <c r="N241" i="12"/>
  <c r="M241" i="12"/>
  <c r="L241" i="12"/>
  <c r="K241" i="12"/>
  <c r="J241" i="12"/>
  <c r="I241" i="12"/>
  <c r="H241" i="12"/>
  <c r="G241" i="12"/>
  <c r="F241" i="12"/>
  <c r="E241" i="12"/>
  <c r="D241" i="12"/>
  <c r="C241" i="12"/>
  <c r="B241" i="12"/>
  <c r="S240" i="12"/>
  <c r="R240" i="12"/>
  <c r="Q240" i="12"/>
  <c r="P240" i="12"/>
  <c r="O240" i="12"/>
  <c r="N240" i="12"/>
  <c r="M240" i="12"/>
  <c r="L240" i="12"/>
  <c r="K240" i="12"/>
  <c r="J240" i="12"/>
  <c r="I240" i="12"/>
  <c r="H240" i="12"/>
  <c r="G240" i="12"/>
  <c r="F240" i="12"/>
  <c r="E240" i="12"/>
  <c r="D240" i="12"/>
  <c r="C240" i="12"/>
  <c r="B240" i="12"/>
  <c r="S239" i="12"/>
  <c r="R239" i="12"/>
  <c r="Q239" i="12"/>
  <c r="P239" i="12"/>
  <c r="O239" i="12"/>
  <c r="N239" i="12"/>
  <c r="M239" i="12"/>
  <c r="L239" i="12"/>
  <c r="K239" i="12"/>
  <c r="J239" i="12"/>
  <c r="I239" i="12"/>
  <c r="H239" i="12"/>
  <c r="G239" i="12"/>
  <c r="F239" i="12"/>
  <c r="E239" i="12"/>
  <c r="D239" i="12"/>
  <c r="C239" i="12"/>
  <c r="B239" i="12"/>
  <c r="S238" i="12"/>
  <c r="R238" i="12"/>
  <c r="Q238" i="12"/>
  <c r="P238" i="12"/>
  <c r="O238" i="12"/>
  <c r="N238" i="12"/>
  <c r="M238" i="12"/>
  <c r="L238" i="12"/>
  <c r="K238" i="12"/>
  <c r="J238" i="12"/>
  <c r="I238" i="12"/>
  <c r="H238" i="12"/>
  <c r="G238" i="12"/>
  <c r="F238" i="12"/>
  <c r="E238" i="12"/>
  <c r="D238" i="12"/>
  <c r="C238" i="12"/>
  <c r="B238" i="12"/>
  <c r="S237" i="12"/>
  <c r="R237" i="12"/>
  <c r="Q237" i="12"/>
  <c r="P237" i="12"/>
  <c r="O237" i="12"/>
  <c r="N237" i="12"/>
  <c r="M237" i="12"/>
  <c r="L237" i="12"/>
  <c r="K237" i="12"/>
  <c r="J237" i="12"/>
  <c r="I237" i="12"/>
  <c r="H237" i="12"/>
  <c r="G237" i="12"/>
  <c r="F237" i="12"/>
  <c r="E237" i="12"/>
  <c r="D237" i="12"/>
  <c r="C237" i="12"/>
  <c r="B237" i="12"/>
  <c r="S236" i="12"/>
  <c r="R236" i="12"/>
  <c r="Q236" i="12"/>
  <c r="P236" i="12"/>
  <c r="O236" i="12"/>
  <c r="N236" i="12"/>
  <c r="M236" i="12"/>
  <c r="L236" i="12"/>
  <c r="K236" i="12"/>
  <c r="J236" i="12"/>
  <c r="I236" i="12"/>
  <c r="H236" i="12"/>
  <c r="G236" i="12"/>
  <c r="F236" i="12"/>
  <c r="E236" i="12"/>
  <c r="D236" i="12"/>
  <c r="C236" i="12"/>
  <c r="B236" i="12"/>
  <c r="S235" i="12"/>
  <c r="R235" i="12"/>
  <c r="Q235" i="12"/>
  <c r="P235" i="12"/>
  <c r="O235" i="12"/>
  <c r="N235" i="12"/>
  <c r="M235" i="12"/>
  <c r="L235" i="12"/>
  <c r="K235" i="12"/>
  <c r="J235" i="12"/>
  <c r="I235" i="12"/>
  <c r="H235" i="12"/>
  <c r="G235" i="12"/>
  <c r="F235" i="12"/>
  <c r="E235" i="12"/>
  <c r="D235" i="12"/>
  <c r="C235" i="12"/>
  <c r="B235" i="12"/>
  <c r="S234" i="12"/>
  <c r="R234" i="12"/>
  <c r="Q234" i="12"/>
  <c r="P234" i="12"/>
  <c r="O234" i="12"/>
  <c r="N234" i="12"/>
  <c r="M234" i="12"/>
  <c r="L234" i="12"/>
  <c r="K234" i="12"/>
  <c r="J234" i="12"/>
  <c r="I234" i="12"/>
  <c r="H234" i="12"/>
  <c r="G234" i="12"/>
  <c r="F234" i="12"/>
  <c r="E234" i="12"/>
  <c r="D234" i="12"/>
  <c r="C234" i="12"/>
  <c r="B234" i="12"/>
  <c r="S233" i="12"/>
  <c r="R233" i="12"/>
  <c r="Q233" i="12"/>
  <c r="P233" i="12"/>
  <c r="O233" i="12"/>
  <c r="N233" i="12"/>
  <c r="M233" i="12"/>
  <c r="L233" i="12"/>
  <c r="K233" i="12"/>
  <c r="J233" i="12"/>
  <c r="I233" i="12"/>
  <c r="H233" i="12"/>
  <c r="G233" i="12"/>
  <c r="F233" i="12"/>
  <c r="E233" i="12"/>
  <c r="D233" i="12"/>
  <c r="C233" i="12"/>
  <c r="B233" i="12"/>
  <c r="S232" i="12"/>
  <c r="R232" i="12"/>
  <c r="Q232" i="12"/>
  <c r="P232" i="12"/>
  <c r="O232" i="12"/>
  <c r="N232" i="12"/>
  <c r="M232" i="12"/>
  <c r="L232" i="12"/>
  <c r="K232" i="12"/>
  <c r="J232" i="12"/>
  <c r="I232" i="12"/>
  <c r="H232" i="12"/>
  <c r="G232" i="12"/>
  <c r="F232" i="12"/>
  <c r="E232" i="12"/>
  <c r="D232" i="12"/>
  <c r="C232" i="12"/>
  <c r="B232" i="12"/>
  <c r="S231" i="12"/>
  <c r="R231" i="12"/>
  <c r="Q231" i="12"/>
  <c r="P231" i="12"/>
  <c r="O231" i="12"/>
  <c r="N231" i="12"/>
  <c r="M231" i="12"/>
  <c r="L231" i="12"/>
  <c r="K231" i="12"/>
  <c r="J231" i="12"/>
  <c r="I231" i="12"/>
  <c r="H231" i="12"/>
  <c r="G231" i="12"/>
  <c r="F231" i="12"/>
  <c r="E231" i="12"/>
  <c r="D231" i="12"/>
  <c r="C231" i="12"/>
  <c r="B231" i="12"/>
  <c r="S230" i="12"/>
  <c r="R230" i="12"/>
  <c r="Q230" i="12"/>
  <c r="P230" i="12"/>
  <c r="O230" i="12"/>
  <c r="N230" i="12"/>
  <c r="M230" i="12"/>
  <c r="L230" i="12"/>
  <c r="K230" i="12"/>
  <c r="J230" i="12"/>
  <c r="I230" i="12"/>
  <c r="H230" i="12"/>
  <c r="G230" i="12"/>
  <c r="F230" i="12"/>
  <c r="E230" i="12"/>
  <c r="D230" i="12"/>
  <c r="C230" i="12"/>
  <c r="B230" i="12"/>
  <c r="S229" i="12"/>
  <c r="R229" i="12"/>
  <c r="Q229" i="12"/>
  <c r="P229" i="12"/>
  <c r="O229" i="12"/>
  <c r="N229" i="12"/>
  <c r="M229" i="12"/>
  <c r="L229" i="12"/>
  <c r="K229" i="12"/>
  <c r="J229" i="12"/>
  <c r="I229" i="12"/>
  <c r="H229" i="12"/>
  <c r="G229" i="12"/>
  <c r="F229" i="12"/>
  <c r="E229" i="12"/>
  <c r="D229" i="12"/>
  <c r="C229" i="12"/>
  <c r="B229" i="12"/>
  <c r="S228" i="12"/>
  <c r="R228" i="12"/>
  <c r="Q228" i="12"/>
  <c r="P228" i="12"/>
  <c r="O228" i="12"/>
  <c r="N228" i="12"/>
  <c r="M228" i="12"/>
  <c r="L228" i="12"/>
  <c r="K228" i="12"/>
  <c r="J228" i="12"/>
  <c r="I228" i="12"/>
  <c r="H228" i="12"/>
  <c r="G228" i="12"/>
  <c r="F228" i="12"/>
  <c r="E228" i="12"/>
  <c r="D228" i="12"/>
  <c r="C228" i="12"/>
  <c r="B228" i="12"/>
  <c r="S227" i="12"/>
  <c r="R227" i="12"/>
  <c r="Q227" i="12"/>
  <c r="P227" i="12"/>
  <c r="O227" i="12"/>
  <c r="N227" i="12"/>
  <c r="M227" i="12"/>
  <c r="L227" i="12"/>
  <c r="K227" i="12"/>
  <c r="J227" i="12"/>
  <c r="I227" i="12"/>
  <c r="H227" i="12"/>
  <c r="G227" i="12"/>
  <c r="F227" i="12"/>
  <c r="E227" i="12"/>
  <c r="D227" i="12"/>
  <c r="C227" i="12"/>
  <c r="B227" i="12"/>
  <c r="S226" i="12"/>
  <c r="R226" i="12"/>
  <c r="Q226" i="12"/>
  <c r="P226" i="12"/>
  <c r="O226" i="12"/>
  <c r="N226" i="12"/>
  <c r="M226" i="12"/>
  <c r="L226" i="12"/>
  <c r="K226" i="12"/>
  <c r="J226" i="12"/>
  <c r="I226" i="12"/>
  <c r="H226" i="12"/>
  <c r="G226" i="12"/>
  <c r="F226" i="12"/>
  <c r="E226" i="12"/>
  <c r="D226" i="12"/>
  <c r="C226" i="12"/>
  <c r="B226" i="12"/>
  <c r="S225" i="12"/>
  <c r="R225" i="12"/>
  <c r="Q225" i="12"/>
  <c r="P225" i="12"/>
  <c r="O225" i="12"/>
  <c r="N225" i="12"/>
  <c r="M225" i="12"/>
  <c r="L225" i="12"/>
  <c r="K225" i="12"/>
  <c r="J225" i="12"/>
  <c r="I225" i="12"/>
  <c r="H225" i="12"/>
  <c r="G225" i="12"/>
  <c r="F225" i="12"/>
  <c r="E225" i="12"/>
  <c r="D225" i="12"/>
  <c r="C225" i="12"/>
  <c r="B225" i="12"/>
  <c r="S224" i="12"/>
  <c r="R224" i="12"/>
  <c r="Q224" i="12"/>
  <c r="P224" i="12"/>
  <c r="O224" i="12"/>
  <c r="N224" i="12"/>
  <c r="M224" i="12"/>
  <c r="L224" i="12"/>
  <c r="K224" i="12"/>
  <c r="J224" i="12"/>
  <c r="I224" i="12"/>
  <c r="H224" i="12"/>
  <c r="G224" i="12"/>
  <c r="F224" i="12"/>
  <c r="E224" i="12"/>
  <c r="D224" i="12"/>
  <c r="C224" i="12"/>
  <c r="B224" i="12"/>
  <c r="S223" i="12"/>
  <c r="R223" i="12"/>
  <c r="Q223" i="12"/>
  <c r="P223" i="12"/>
  <c r="O223" i="12"/>
  <c r="N223" i="12"/>
  <c r="M223" i="12"/>
  <c r="L223" i="12"/>
  <c r="K223" i="12"/>
  <c r="J223" i="12"/>
  <c r="I223" i="12"/>
  <c r="H223" i="12"/>
  <c r="G223" i="12"/>
  <c r="F223" i="12"/>
  <c r="E223" i="12"/>
  <c r="D223" i="12"/>
  <c r="C223" i="12"/>
  <c r="B223" i="12"/>
  <c r="S222" i="12"/>
  <c r="R222" i="12"/>
  <c r="Q222" i="12"/>
  <c r="P222" i="12"/>
  <c r="O222" i="12"/>
  <c r="N222" i="12"/>
  <c r="M222" i="12"/>
  <c r="L222" i="12"/>
  <c r="K222" i="12"/>
  <c r="J222" i="12"/>
  <c r="I222" i="12"/>
  <c r="H222" i="12"/>
  <c r="G222" i="12"/>
  <c r="F222" i="12"/>
  <c r="E222" i="12"/>
  <c r="D222" i="12"/>
  <c r="C222" i="12"/>
  <c r="B222" i="12"/>
  <c r="S221" i="12"/>
  <c r="R221" i="12"/>
  <c r="Q221" i="12"/>
  <c r="P221" i="12"/>
  <c r="O221" i="12"/>
  <c r="N221" i="12"/>
  <c r="M221" i="12"/>
  <c r="L221" i="12"/>
  <c r="K221" i="12"/>
  <c r="J221" i="12"/>
  <c r="I221" i="12"/>
  <c r="H221" i="12"/>
  <c r="G221" i="12"/>
  <c r="F221" i="12"/>
  <c r="E221" i="12"/>
  <c r="D221" i="12"/>
  <c r="C221" i="12"/>
  <c r="B221" i="12"/>
  <c r="S220" i="12"/>
  <c r="R220" i="12"/>
  <c r="Q220" i="12"/>
  <c r="P220" i="12"/>
  <c r="O220" i="12"/>
  <c r="N220" i="12"/>
  <c r="M220" i="12"/>
  <c r="L220" i="12"/>
  <c r="K220" i="12"/>
  <c r="J220" i="12"/>
  <c r="I220" i="12"/>
  <c r="H220" i="12"/>
  <c r="G220" i="12"/>
  <c r="F220" i="12"/>
  <c r="E220" i="12"/>
  <c r="D220" i="12"/>
  <c r="C220" i="12"/>
  <c r="B220" i="12"/>
  <c r="S219" i="12"/>
  <c r="R219" i="12"/>
  <c r="Q219" i="12"/>
  <c r="P219" i="12"/>
  <c r="O219" i="12"/>
  <c r="N219" i="12"/>
  <c r="M219" i="12"/>
  <c r="L219" i="12"/>
  <c r="K219" i="12"/>
  <c r="J219" i="12"/>
  <c r="I219" i="12"/>
  <c r="H219" i="12"/>
  <c r="G219" i="12"/>
  <c r="F219" i="12"/>
  <c r="E219" i="12"/>
  <c r="D219" i="12"/>
  <c r="C219" i="12"/>
  <c r="B219" i="12"/>
  <c r="S218" i="12"/>
  <c r="R218" i="12"/>
  <c r="Q218" i="12"/>
  <c r="P218" i="12"/>
  <c r="O218" i="12"/>
  <c r="N218" i="12"/>
  <c r="M218" i="12"/>
  <c r="L218" i="12"/>
  <c r="K218" i="12"/>
  <c r="J218" i="12"/>
  <c r="I218" i="12"/>
  <c r="H218" i="12"/>
  <c r="G218" i="12"/>
  <c r="F218" i="12"/>
  <c r="E218" i="12"/>
  <c r="D218" i="12"/>
  <c r="C218" i="12"/>
  <c r="B218" i="12"/>
  <c r="S217" i="12"/>
  <c r="R217" i="12"/>
  <c r="Q217" i="12"/>
  <c r="P217" i="12"/>
  <c r="O217" i="12"/>
  <c r="N217" i="12"/>
  <c r="M217" i="12"/>
  <c r="L217" i="12"/>
  <c r="K217" i="12"/>
  <c r="J217" i="12"/>
  <c r="I217" i="12"/>
  <c r="H217" i="12"/>
  <c r="G217" i="12"/>
  <c r="F217" i="12"/>
  <c r="E217" i="12"/>
  <c r="D217" i="12"/>
  <c r="C217" i="12"/>
  <c r="B217" i="12"/>
  <c r="S216" i="12"/>
  <c r="R216" i="12"/>
  <c r="Q216" i="12"/>
  <c r="P216" i="12"/>
  <c r="O216" i="12"/>
  <c r="N216" i="12"/>
  <c r="M216" i="12"/>
  <c r="L216" i="12"/>
  <c r="K216" i="12"/>
  <c r="J216" i="12"/>
  <c r="I216" i="12"/>
  <c r="H216" i="12"/>
  <c r="G216" i="12"/>
  <c r="F216" i="12"/>
  <c r="E216" i="12"/>
  <c r="D216" i="12"/>
  <c r="C216" i="12"/>
  <c r="B216" i="12"/>
  <c r="S215" i="12"/>
  <c r="R215" i="12"/>
  <c r="Q215" i="12"/>
  <c r="P215" i="12"/>
  <c r="O215" i="12"/>
  <c r="N215" i="12"/>
  <c r="M215" i="12"/>
  <c r="L215" i="12"/>
  <c r="K215" i="12"/>
  <c r="J215" i="12"/>
  <c r="I215" i="12"/>
  <c r="H215" i="12"/>
  <c r="G215" i="12"/>
  <c r="F215" i="12"/>
  <c r="E215" i="12"/>
  <c r="D215" i="12"/>
  <c r="C215" i="12"/>
  <c r="B215" i="12"/>
  <c r="S214" i="12"/>
  <c r="R214" i="12"/>
  <c r="Q214" i="12"/>
  <c r="P214" i="12"/>
  <c r="O214" i="12"/>
  <c r="N214" i="12"/>
  <c r="M214" i="12"/>
  <c r="L214" i="12"/>
  <c r="K214" i="12"/>
  <c r="J214" i="12"/>
  <c r="I214" i="12"/>
  <c r="H214" i="12"/>
  <c r="G214" i="12"/>
  <c r="F214" i="12"/>
  <c r="E214" i="12"/>
  <c r="D214" i="12"/>
  <c r="C214" i="12"/>
  <c r="B214" i="12"/>
  <c r="S213" i="12"/>
  <c r="R213" i="12"/>
  <c r="Q213" i="12"/>
  <c r="P213" i="12"/>
  <c r="O213" i="12"/>
  <c r="N213" i="12"/>
  <c r="M213" i="12"/>
  <c r="L213" i="12"/>
  <c r="K213" i="12"/>
  <c r="J213" i="12"/>
  <c r="I213" i="12"/>
  <c r="H213" i="12"/>
  <c r="G213" i="12"/>
  <c r="F213" i="12"/>
  <c r="E213" i="12"/>
  <c r="D213" i="12"/>
  <c r="C213" i="12"/>
  <c r="B213" i="12"/>
  <c r="S212" i="12"/>
  <c r="R212" i="12"/>
  <c r="Q212" i="12"/>
  <c r="P212" i="12"/>
  <c r="O212" i="12"/>
  <c r="N212" i="12"/>
  <c r="M212" i="12"/>
  <c r="L212" i="12"/>
  <c r="K212" i="12"/>
  <c r="J212" i="12"/>
  <c r="I212" i="12"/>
  <c r="H212" i="12"/>
  <c r="G212" i="12"/>
  <c r="F212" i="12"/>
  <c r="E212" i="12"/>
  <c r="D212" i="12"/>
  <c r="C212" i="12"/>
  <c r="B212" i="12"/>
  <c r="S211" i="12"/>
  <c r="R211" i="12"/>
  <c r="Q211" i="12"/>
  <c r="P211" i="12"/>
  <c r="O211" i="12"/>
  <c r="N211" i="12"/>
  <c r="M211" i="12"/>
  <c r="L211" i="12"/>
  <c r="K211" i="12"/>
  <c r="J211" i="12"/>
  <c r="I211" i="12"/>
  <c r="H211" i="12"/>
  <c r="G211" i="12"/>
  <c r="F211" i="12"/>
  <c r="E211" i="12"/>
  <c r="D211" i="12"/>
  <c r="C211" i="12"/>
  <c r="B211" i="12"/>
  <c r="S210" i="12"/>
  <c r="R210" i="12"/>
  <c r="Q210" i="12"/>
  <c r="P210" i="12"/>
  <c r="O210" i="12"/>
  <c r="N210" i="12"/>
  <c r="M210" i="12"/>
  <c r="L210" i="12"/>
  <c r="K210" i="12"/>
  <c r="J210" i="12"/>
  <c r="I210" i="12"/>
  <c r="H210" i="12"/>
  <c r="G210" i="12"/>
  <c r="F210" i="12"/>
  <c r="E210" i="12"/>
  <c r="D210" i="12"/>
  <c r="C210" i="12"/>
  <c r="B210" i="12"/>
  <c r="S209" i="12"/>
  <c r="R209" i="12"/>
  <c r="Q209" i="12"/>
  <c r="P209" i="12"/>
  <c r="O209" i="12"/>
  <c r="N209" i="12"/>
  <c r="M209" i="12"/>
  <c r="L209" i="12"/>
  <c r="K209" i="12"/>
  <c r="J209" i="12"/>
  <c r="I209" i="12"/>
  <c r="H209" i="12"/>
  <c r="G209" i="12"/>
  <c r="F209" i="12"/>
  <c r="E209" i="12"/>
  <c r="D209" i="12"/>
  <c r="C209" i="12"/>
  <c r="B209" i="12"/>
  <c r="S208" i="12"/>
  <c r="R208" i="12"/>
  <c r="Q208" i="12"/>
  <c r="P208" i="12"/>
  <c r="O208" i="12"/>
  <c r="N208" i="12"/>
  <c r="M208" i="12"/>
  <c r="L208" i="12"/>
  <c r="K208" i="12"/>
  <c r="J208" i="12"/>
  <c r="I208" i="12"/>
  <c r="H208" i="12"/>
  <c r="G208" i="12"/>
  <c r="F208" i="12"/>
  <c r="E208" i="12"/>
  <c r="D208" i="12"/>
  <c r="C208" i="12"/>
  <c r="B208" i="12"/>
  <c r="S207" i="12"/>
  <c r="R207" i="12"/>
  <c r="Q207" i="12"/>
  <c r="P207" i="12"/>
  <c r="O207" i="12"/>
  <c r="N207" i="12"/>
  <c r="M207" i="12"/>
  <c r="L207" i="12"/>
  <c r="K207" i="12"/>
  <c r="J207" i="12"/>
  <c r="I207" i="12"/>
  <c r="H207" i="12"/>
  <c r="G207" i="12"/>
  <c r="F207" i="12"/>
  <c r="E207" i="12"/>
  <c r="D207" i="12"/>
  <c r="C207" i="12"/>
  <c r="B207" i="12"/>
  <c r="S206" i="12"/>
  <c r="R206" i="12"/>
  <c r="Q206" i="12"/>
  <c r="P206" i="12"/>
  <c r="O206" i="12"/>
  <c r="N206" i="12"/>
  <c r="M206" i="12"/>
  <c r="L206" i="12"/>
  <c r="K206" i="12"/>
  <c r="J206" i="12"/>
  <c r="I206" i="12"/>
  <c r="H206" i="12"/>
  <c r="G206" i="12"/>
  <c r="F206" i="12"/>
  <c r="E206" i="12"/>
  <c r="D206" i="12"/>
  <c r="C206" i="12"/>
  <c r="B206" i="12"/>
  <c r="S205" i="12"/>
  <c r="R205" i="12"/>
  <c r="Q205" i="12"/>
  <c r="P205" i="12"/>
  <c r="O205" i="12"/>
  <c r="N205" i="12"/>
  <c r="M205" i="12"/>
  <c r="L205" i="12"/>
  <c r="K205" i="12"/>
  <c r="J205" i="12"/>
  <c r="I205" i="12"/>
  <c r="H205" i="12"/>
  <c r="G205" i="12"/>
  <c r="F205" i="12"/>
  <c r="E205" i="12"/>
  <c r="D205" i="12"/>
  <c r="C205" i="12"/>
  <c r="B205" i="12"/>
  <c r="S204" i="12"/>
  <c r="R204" i="12"/>
  <c r="Q204" i="12"/>
  <c r="P204" i="12"/>
  <c r="O204" i="12"/>
  <c r="N204" i="12"/>
  <c r="M204" i="12"/>
  <c r="L204" i="12"/>
  <c r="K204" i="12"/>
  <c r="J204" i="12"/>
  <c r="I204" i="12"/>
  <c r="H204" i="12"/>
  <c r="G204" i="12"/>
  <c r="F204" i="12"/>
  <c r="E204" i="12"/>
  <c r="D204" i="12"/>
  <c r="C204" i="12"/>
  <c r="B204" i="12"/>
  <c r="S203" i="12"/>
  <c r="R203" i="12"/>
  <c r="Q203" i="12"/>
  <c r="P203" i="12"/>
  <c r="O203" i="12"/>
  <c r="N203" i="12"/>
  <c r="M203" i="12"/>
  <c r="L203" i="12"/>
  <c r="K203" i="12"/>
  <c r="J203" i="12"/>
  <c r="I203" i="12"/>
  <c r="H203" i="12"/>
  <c r="G203" i="12"/>
  <c r="F203" i="12"/>
  <c r="E203" i="12"/>
  <c r="D203" i="12"/>
  <c r="C203" i="12"/>
  <c r="B203" i="12"/>
  <c r="S202" i="12"/>
  <c r="R202" i="12"/>
  <c r="Q202" i="12"/>
  <c r="P202" i="12"/>
  <c r="O202" i="12"/>
  <c r="N202" i="12"/>
  <c r="M202" i="12"/>
  <c r="L202" i="12"/>
  <c r="K202" i="12"/>
  <c r="J202" i="12"/>
  <c r="I202" i="12"/>
  <c r="H202" i="12"/>
  <c r="G202" i="12"/>
  <c r="F202" i="12"/>
  <c r="E202" i="12"/>
  <c r="D202" i="12"/>
  <c r="C202" i="12"/>
  <c r="B202" i="12"/>
  <c r="S201" i="12"/>
  <c r="R201" i="12"/>
  <c r="Q201" i="12"/>
  <c r="P201" i="12"/>
  <c r="O201" i="12"/>
  <c r="N201" i="12"/>
  <c r="M201" i="12"/>
  <c r="L201" i="12"/>
  <c r="K201" i="12"/>
  <c r="J201" i="12"/>
  <c r="I201" i="12"/>
  <c r="H201" i="12"/>
  <c r="G201" i="12"/>
  <c r="F201" i="12"/>
  <c r="E201" i="12"/>
  <c r="D201" i="12"/>
  <c r="C201" i="12"/>
  <c r="B201" i="12"/>
  <c r="S200" i="12"/>
  <c r="R200" i="12"/>
  <c r="Q200" i="12"/>
  <c r="P200" i="12"/>
  <c r="O200" i="12"/>
  <c r="N200" i="12"/>
  <c r="M200" i="12"/>
  <c r="L200" i="12"/>
  <c r="K200" i="12"/>
  <c r="J200" i="12"/>
  <c r="I200" i="12"/>
  <c r="H200" i="12"/>
  <c r="G200" i="12"/>
  <c r="F200" i="12"/>
  <c r="E200" i="12"/>
  <c r="D200" i="12"/>
  <c r="C200" i="12"/>
  <c r="B200" i="12"/>
  <c r="S199" i="12"/>
  <c r="R199" i="12"/>
  <c r="Q199" i="12"/>
  <c r="P199" i="12"/>
  <c r="O199" i="12"/>
  <c r="N199" i="12"/>
  <c r="M199" i="12"/>
  <c r="L199" i="12"/>
  <c r="K199" i="12"/>
  <c r="J199" i="12"/>
  <c r="I199" i="12"/>
  <c r="H199" i="12"/>
  <c r="G199" i="12"/>
  <c r="F199" i="12"/>
  <c r="E199" i="12"/>
  <c r="D199" i="12"/>
  <c r="C199" i="12"/>
  <c r="B199" i="12"/>
  <c r="S198" i="12"/>
  <c r="R198" i="12"/>
  <c r="Q198" i="12"/>
  <c r="P198" i="12"/>
  <c r="O198" i="12"/>
  <c r="N198" i="12"/>
  <c r="M198" i="12"/>
  <c r="L198" i="12"/>
  <c r="K198" i="12"/>
  <c r="J198" i="12"/>
  <c r="I198" i="12"/>
  <c r="H198" i="12"/>
  <c r="G198" i="12"/>
  <c r="F198" i="12"/>
  <c r="E198" i="12"/>
  <c r="D198" i="12"/>
  <c r="C198" i="12"/>
  <c r="B198" i="12"/>
  <c r="S197" i="12"/>
  <c r="R197" i="12"/>
  <c r="Q197" i="12"/>
  <c r="P197" i="12"/>
  <c r="O197" i="12"/>
  <c r="N197" i="12"/>
  <c r="M197" i="12"/>
  <c r="L197" i="12"/>
  <c r="K197" i="12"/>
  <c r="J197" i="12"/>
  <c r="I197" i="12"/>
  <c r="H197" i="12"/>
  <c r="G197" i="12"/>
  <c r="F197" i="12"/>
  <c r="E197" i="12"/>
  <c r="D197" i="12"/>
  <c r="C197" i="12"/>
  <c r="B197" i="12"/>
  <c r="S196" i="12"/>
  <c r="R196" i="12"/>
  <c r="Q196" i="12"/>
  <c r="P196" i="12"/>
  <c r="O196" i="12"/>
  <c r="N196" i="12"/>
  <c r="M196" i="12"/>
  <c r="L196" i="12"/>
  <c r="K196" i="12"/>
  <c r="J196" i="12"/>
  <c r="I196" i="12"/>
  <c r="H196" i="12"/>
  <c r="G196" i="12"/>
  <c r="F196" i="12"/>
  <c r="E196" i="12"/>
  <c r="D196" i="12"/>
  <c r="C196" i="12"/>
  <c r="B196" i="12"/>
  <c r="S195" i="12"/>
  <c r="R195" i="12"/>
  <c r="Q195" i="12"/>
  <c r="P195" i="12"/>
  <c r="O195" i="12"/>
  <c r="N195" i="12"/>
  <c r="M195" i="12"/>
  <c r="L195" i="12"/>
  <c r="K195" i="12"/>
  <c r="J195" i="12"/>
  <c r="I195" i="12"/>
  <c r="H195" i="12"/>
  <c r="G195" i="12"/>
  <c r="F195" i="12"/>
  <c r="E195" i="12"/>
  <c r="D195" i="12"/>
  <c r="C195" i="12"/>
  <c r="B195" i="12"/>
  <c r="S194" i="12"/>
  <c r="R194" i="12"/>
  <c r="Q194" i="12"/>
  <c r="P194" i="12"/>
  <c r="O194" i="12"/>
  <c r="N194" i="12"/>
  <c r="M194" i="12"/>
  <c r="L194" i="12"/>
  <c r="K194" i="12"/>
  <c r="J194" i="12"/>
  <c r="I194" i="12"/>
  <c r="H194" i="12"/>
  <c r="G194" i="12"/>
  <c r="F194" i="12"/>
  <c r="E194" i="12"/>
  <c r="D194" i="12"/>
  <c r="C194" i="12"/>
  <c r="B194" i="12"/>
  <c r="S193" i="12"/>
  <c r="R193" i="12"/>
  <c r="Q193" i="12"/>
  <c r="P193" i="12"/>
  <c r="O193" i="12"/>
  <c r="N193" i="12"/>
  <c r="M193" i="12"/>
  <c r="L193" i="12"/>
  <c r="K193" i="12"/>
  <c r="J193" i="12"/>
  <c r="I193" i="12"/>
  <c r="H193" i="12"/>
  <c r="G193" i="12"/>
  <c r="F193" i="12"/>
  <c r="E193" i="12"/>
  <c r="D193" i="12"/>
  <c r="C193" i="12"/>
  <c r="B193" i="12"/>
  <c r="S192" i="12"/>
  <c r="R192" i="12"/>
  <c r="Q192" i="12"/>
  <c r="P192" i="12"/>
  <c r="O192" i="12"/>
  <c r="N192" i="12"/>
  <c r="M192" i="12"/>
  <c r="L192" i="12"/>
  <c r="K192" i="12"/>
  <c r="J192" i="12"/>
  <c r="I192" i="12"/>
  <c r="H192" i="12"/>
  <c r="G192" i="12"/>
  <c r="F192" i="12"/>
  <c r="E192" i="12"/>
  <c r="D192" i="12"/>
  <c r="C192" i="12"/>
  <c r="B192" i="12"/>
  <c r="S191" i="12"/>
  <c r="R191" i="12"/>
  <c r="Q191" i="12"/>
  <c r="P191" i="12"/>
  <c r="O191" i="12"/>
  <c r="N191" i="12"/>
  <c r="M191" i="12"/>
  <c r="L191" i="12"/>
  <c r="K191" i="12"/>
  <c r="J191" i="12"/>
  <c r="I191" i="12"/>
  <c r="H191" i="12"/>
  <c r="G191" i="12"/>
  <c r="F191" i="12"/>
  <c r="E191" i="12"/>
  <c r="D191" i="12"/>
  <c r="C191" i="12"/>
  <c r="B191" i="12"/>
  <c r="S190" i="12"/>
  <c r="R190" i="12"/>
  <c r="Q190" i="12"/>
  <c r="P190" i="12"/>
  <c r="O190" i="12"/>
  <c r="N190" i="12"/>
  <c r="M190" i="12"/>
  <c r="L190" i="12"/>
  <c r="K190" i="12"/>
  <c r="J190" i="12"/>
  <c r="I190" i="12"/>
  <c r="H190" i="12"/>
  <c r="G190" i="12"/>
  <c r="F190" i="12"/>
  <c r="E190" i="12"/>
  <c r="D190" i="12"/>
  <c r="C190" i="12"/>
  <c r="B190" i="12"/>
  <c r="S189" i="12"/>
  <c r="R189" i="12"/>
  <c r="Q189" i="12"/>
  <c r="P189" i="12"/>
  <c r="O189" i="12"/>
  <c r="N189" i="12"/>
  <c r="M189" i="12"/>
  <c r="L189" i="12"/>
  <c r="K189" i="12"/>
  <c r="J189" i="12"/>
  <c r="I189" i="12"/>
  <c r="H189" i="12"/>
  <c r="G189" i="12"/>
  <c r="F189" i="12"/>
  <c r="E189" i="12"/>
  <c r="D189" i="12"/>
  <c r="C189" i="12"/>
  <c r="B189" i="12"/>
  <c r="S188" i="12"/>
  <c r="R188" i="12"/>
  <c r="Q188" i="12"/>
  <c r="P188" i="12"/>
  <c r="O188" i="12"/>
  <c r="N188" i="12"/>
  <c r="M188" i="12"/>
  <c r="L188" i="12"/>
  <c r="K188" i="12"/>
  <c r="J188" i="12"/>
  <c r="I188" i="12"/>
  <c r="H188" i="12"/>
  <c r="G188" i="12"/>
  <c r="F188" i="12"/>
  <c r="E188" i="12"/>
  <c r="D188" i="12"/>
  <c r="C188" i="12"/>
  <c r="B188" i="12"/>
  <c r="S187" i="12"/>
  <c r="R187" i="12"/>
  <c r="Q187" i="12"/>
  <c r="P187" i="12"/>
  <c r="O187" i="12"/>
  <c r="N187" i="12"/>
  <c r="M187" i="12"/>
  <c r="L187" i="12"/>
  <c r="K187" i="12"/>
  <c r="J187" i="12"/>
  <c r="I187" i="12"/>
  <c r="H187" i="12"/>
  <c r="G187" i="12"/>
  <c r="F187" i="12"/>
  <c r="E187" i="12"/>
  <c r="D187" i="12"/>
  <c r="C187" i="12"/>
  <c r="B187" i="12"/>
  <c r="S186" i="12"/>
  <c r="R186" i="12"/>
  <c r="Q186" i="12"/>
  <c r="P186" i="12"/>
  <c r="O186" i="12"/>
  <c r="N186" i="12"/>
  <c r="M186" i="12"/>
  <c r="L186" i="12"/>
  <c r="K186" i="12"/>
  <c r="J186" i="12"/>
  <c r="I186" i="12"/>
  <c r="H186" i="12"/>
  <c r="G186" i="12"/>
  <c r="F186" i="12"/>
  <c r="E186" i="12"/>
  <c r="D186" i="12"/>
  <c r="C186" i="12"/>
  <c r="B186" i="12"/>
  <c r="S185" i="12"/>
  <c r="R185" i="12"/>
  <c r="Q185" i="12"/>
  <c r="P185" i="12"/>
  <c r="O185" i="12"/>
  <c r="N185" i="12"/>
  <c r="M185" i="12"/>
  <c r="L185" i="12"/>
  <c r="K185" i="12"/>
  <c r="J185" i="12"/>
  <c r="I185" i="12"/>
  <c r="H185" i="12"/>
  <c r="G185" i="12"/>
  <c r="F185" i="12"/>
  <c r="E185" i="12"/>
  <c r="D185" i="12"/>
  <c r="C185" i="12"/>
  <c r="B185" i="12"/>
  <c r="S184" i="12"/>
  <c r="R184" i="12"/>
  <c r="Q184" i="12"/>
  <c r="P184" i="12"/>
  <c r="O184" i="12"/>
  <c r="N184" i="12"/>
  <c r="M184" i="12"/>
  <c r="L184" i="12"/>
  <c r="K184" i="12"/>
  <c r="J184" i="12"/>
  <c r="I184" i="12"/>
  <c r="H184" i="12"/>
  <c r="G184" i="12"/>
  <c r="F184" i="12"/>
  <c r="E184" i="12"/>
  <c r="D184" i="12"/>
  <c r="C184" i="12"/>
  <c r="B184" i="12"/>
  <c r="S183" i="12"/>
  <c r="R183" i="12"/>
  <c r="Q183" i="12"/>
  <c r="P183" i="12"/>
  <c r="O183" i="12"/>
  <c r="N183" i="12"/>
  <c r="M183" i="12"/>
  <c r="L183" i="12"/>
  <c r="K183" i="12"/>
  <c r="J183" i="12"/>
  <c r="I183" i="12"/>
  <c r="H183" i="12"/>
  <c r="G183" i="12"/>
  <c r="F183" i="12"/>
  <c r="E183" i="12"/>
  <c r="D183" i="12"/>
  <c r="C183" i="12"/>
  <c r="B183" i="12"/>
  <c r="S182" i="12"/>
  <c r="R182" i="12"/>
  <c r="Q182" i="12"/>
  <c r="P182" i="12"/>
  <c r="O182" i="12"/>
  <c r="N182" i="12"/>
  <c r="M182" i="12"/>
  <c r="L182" i="12"/>
  <c r="K182" i="12"/>
  <c r="J182" i="12"/>
  <c r="I182" i="12"/>
  <c r="H182" i="12"/>
  <c r="G182" i="12"/>
  <c r="F182" i="12"/>
  <c r="E182" i="12"/>
  <c r="D182" i="12"/>
  <c r="C182" i="12"/>
  <c r="B182" i="12"/>
  <c r="S181" i="12"/>
  <c r="R181" i="12"/>
  <c r="Q181" i="12"/>
  <c r="P181" i="12"/>
  <c r="O181" i="12"/>
  <c r="N181" i="12"/>
  <c r="M181" i="12"/>
  <c r="L181" i="12"/>
  <c r="K181" i="12"/>
  <c r="J181" i="12"/>
  <c r="I181" i="12"/>
  <c r="H181" i="12"/>
  <c r="G181" i="12"/>
  <c r="F181" i="12"/>
  <c r="E181" i="12"/>
  <c r="D181" i="12"/>
  <c r="C181" i="12"/>
  <c r="B181" i="12"/>
  <c r="S180" i="12"/>
  <c r="R180" i="12"/>
  <c r="Q180" i="12"/>
  <c r="P180" i="12"/>
  <c r="O180" i="12"/>
  <c r="N180" i="12"/>
  <c r="M180" i="12"/>
  <c r="L180" i="12"/>
  <c r="K180" i="12"/>
  <c r="J180" i="12"/>
  <c r="I180" i="12"/>
  <c r="H180" i="12"/>
  <c r="G180" i="12"/>
  <c r="F180" i="12"/>
  <c r="E180" i="12"/>
  <c r="D180" i="12"/>
  <c r="C180" i="12"/>
  <c r="B180" i="12"/>
  <c r="S179" i="12"/>
  <c r="R179" i="12"/>
  <c r="Q179" i="12"/>
  <c r="P179" i="12"/>
  <c r="O179" i="12"/>
  <c r="N179" i="12"/>
  <c r="M179" i="12"/>
  <c r="L179" i="12"/>
  <c r="K179" i="12"/>
  <c r="J179" i="12"/>
  <c r="I179" i="12"/>
  <c r="H179" i="12"/>
  <c r="G179" i="12"/>
  <c r="F179" i="12"/>
  <c r="E179" i="12"/>
  <c r="D179" i="12"/>
  <c r="C179" i="12"/>
  <c r="B179" i="12"/>
  <c r="S178" i="12"/>
  <c r="R178" i="12"/>
  <c r="Q178" i="12"/>
  <c r="P178" i="12"/>
  <c r="O178" i="12"/>
  <c r="N178" i="12"/>
  <c r="M178" i="12"/>
  <c r="L178" i="12"/>
  <c r="K178" i="12"/>
  <c r="J178" i="12"/>
  <c r="I178" i="12"/>
  <c r="H178" i="12"/>
  <c r="G178" i="12"/>
  <c r="F178" i="12"/>
  <c r="E178" i="12"/>
  <c r="D178" i="12"/>
  <c r="C178" i="12"/>
  <c r="B178" i="12"/>
  <c r="S177" i="12"/>
  <c r="R177" i="12"/>
  <c r="Q177" i="12"/>
  <c r="P177" i="12"/>
  <c r="O177" i="12"/>
  <c r="N177" i="12"/>
  <c r="M177" i="12"/>
  <c r="L177" i="12"/>
  <c r="K177" i="12"/>
  <c r="J177" i="12"/>
  <c r="I177" i="12"/>
  <c r="H177" i="12"/>
  <c r="G177" i="12"/>
  <c r="F177" i="12"/>
  <c r="E177" i="12"/>
  <c r="D177" i="12"/>
  <c r="C177" i="12"/>
  <c r="B177" i="12"/>
  <c r="S176" i="12"/>
  <c r="R176" i="12"/>
  <c r="Q176" i="12"/>
  <c r="P176" i="12"/>
  <c r="O176" i="12"/>
  <c r="N176" i="12"/>
  <c r="M176" i="12"/>
  <c r="L176" i="12"/>
  <c r="K176" i="12"/>
  <c r="J176" i="12"/>
  <c r="I176" i="12"/>
  <c r="H176" i="12"/>
  <c r="G176" i="12"/>
  <c r="F176" i="12"/>
  <c r="E176" i="12"/>
  <c r="D176" i="12"/>
  <c r="C176" i="12"/>
  <c r="B176" i="12"/>
  <c r="S175" i="12"/>
  <c r="R175" i="12"/>
  <c r="Q175" i="12"/>
  <c r="P175" i="12"/>
  <c r="O175" i="12"/>
  <c r="N175" i="12"/>
  <c r="M175" i="12"/>
  <c r="L175" i="12"/>
  <c r="K175" i="12"/>
  <c r="J175" i="12"/>
  <c r="I175" i="12"/>
  <c r="H175" i="12"/>
  <c r="G175" i="12"/>
  <c r="F175" i="12"/>
  <c r="E175" i="12"/>
  <c r="D175" i="12"/>
  <c r="C175" i="12"/>
  <c r="B175" i="12"/>
  <c r="S174" i="12"/>
  <c r="R174" i="12"/>
  <c r="Q174" i="12"/>
  <c r="P174" i="12"/>
  <c r="O174" i="12"/>
  <c r="N174" i="12"/>
  <c r="M174" i="12"/>
  <c r="L174" i="12"/>
  <c r="K174" i="12"/>
  <c r="J174" i="12"/>
  <c r="I174" i="12"/>
  <c r="H174" i="12"/>
  <c r="G174" i="12"/>
  <c r="F174" i="12"/>
  <c r="E174" i="12"/>
  <c r="D174" i="12"/>
  <c r="C174" i="12"/>
  <c r="B174" i="12"/>
  <c r="S173" i="12"/>
  <c r="R173" i="12"/>
  <c r="Q173" i="12"/>
  <c r="P173" i="12"/>
  <c r="O173" i="12"/>
  <c r="N173" i="12"/>
  <c r="M173" i="12"/>
  <c r="L173" i="12"/>
  <c r="K173" i="12"/>
  <c r="J173" i="12"/>
  <c r="I173" i="12"/>
  <c r="H173" i="12"/>
  <c r="G173" i="12"/>
  <c r="F173" i="12"/>
  <c r="E173" i="12"/>
  <c r="D173" i="12"/>
  <c r="C173" i="12"/>
  <c r="B173" i="12"/>
  <c r="S172" i="12"/>
  <c r="R172" i="12"/>
  <c r="Q172" i="12"/>
  <c r="P172" i="12"/>
  <c r="O172" i="12"/>
  <c r="N172" i="12"/>
  <c r="M172" i="12"/>
  <c r="L172" i="12"/>
  <c r="K172" i="12"/>
  <c r="J172" i="12"/>
  <c r="I172" i="12"/>
  <c r="H172" i="12"/>
  <c r="G172" i="12"/>
  <c r="F172" i="12"/>
  <c r="E172" i="12"/>
  <c r="D172" i="12"/>
  <c r="C172" i="12"/>
  <c r="B172" i="12"/>
  <c r="S171" i="12"/>
  <c r="R171" i="12"/>
  <c r="Q171" i="12"/>
  <c r="P171" i="12"/>
  <c r="O171" i="12"/>
  <c r="N171" i="12"/>
  <c r="M171" i="12"/>
  <c r="L171" i="12"/>
  <c r="K171" i="12"/>
  <c r="J171" i="12"/>
  <c r="I171" i="12"/>
  <c r="H171" i="12"/>
  <c r="G171" i="12"/>
  <c r="F171" i="12"/>
  <c r="E171" i="12"/>
  <c r="D171" i="12"/>
  <c r="C171" i="12"/>
  <c r="B171" i="12"/>
  <c r="S170" i="12"/>
  <c r="R170" i="12"/>
  <c r="Q170" i="12"/>
  <c r="P170" i="12"/>
  <c r="O170" i="12"/>
  <c r="N170" i="12"/>
  <c r="M170" i="12"/>
  <c r="L170" i="12"/>
  <c r="K170" i="12"/>
  <c r="J170" i="12"/>
  <c r="I170" i="12"/>
  <c r="H170" i="12"/>
  <c r="G170" i="12"/>
  <c r="F170" i="12"/>
  <c r="E170" i="12"/>
  <c r="D170" i="12"/>
  <c r="C170" i="12"/>
  <c r="B170" i="12"/>
  <c r="S169" i="12"/>
  <c r="R169" i="12"/>
  <c r="Q169" i="12"/>
  <c r="P169" i="12"/>
  <c r="O169" i="12"/>
  <c r="N169" i="12"/>
  <c r="M169" i="12"/>
  <c r="L169" i="12"/>
  <c r="K169" i="12"/>
  <c r="J169" i="12"/>
  <c r="I169" i="12"/>
  <c r="H169" i="12"/>
  <c r="G169" i="12"/>
  <c r="F169" i="12"/>
  <c r="E169" i="12"/>
  <c r="D169" i="12"/>
  <c r="C169" i="12"/>
  <c r="B169" i="12"/>
  <c r="S168" i="12"/>
  <c r="R168" i="12"/>
  <c r="Q168" i="12"/>
  <c r="P168" i="12"/>
  <c r="O168" i="12"/>
  <c r="N168" i="12"/>
  <c r="M168" i="12"/>
  <c r="L168" i="12"/>
  <c r="K168" i="12"/>
  <c r="J168" i="12"/>
  <c r="I168" i="12"/>
  <c r="H168" i="12"/>
  <c r="G168" i="12"/>
  <c r="F168" i="12"/>
  <c r="E168" i="12"/>
  <c r="D168" i="12"/>
  <c r="C168" i="12"/>
  <c r="B168" i="12"/>
  <c r="S167" i="12"/>
  <c r="R167" i="12"/>
  <c r="Q167" i="12"/>
  <c r="P167" i="12"/>
  <c r="O167" i="12"/>
  <c r="N167" i="12"/>
  <c r="M167" i="12"/>
  <c r="L167" i="12"/>
  <c r="K167" i="12"/>
  <c r="J167" i="12"/>
  <c r="I167" i="12"/>
  <c r="H167" i="12"/>
  <c r="G167" i="12"/>
  <c r="F167" i="12"/>
  <c r="E167" i="12"/>
  <c r="D167" i="12"/>
  <c r="C167" i="12"/>
  <c r="B167" i="12"/>
  <c r="S166" i="12"/>
  <c r="R166" i="12"/>
  <c r="Q166" i="12"/>
  <c r="P166" i="12"/>
  <c r="O166" i="12"/>
  <c r="N166" i="12"/>
  <c r="M166" i="12"/>
  <c r="L166" i="12"/>
  <c r="K166" i="12"/>
  <c r="J166" i="12"/>
  <c r="I166" i="12"/>
  <c r="H166" i="12"/>
  <c r="G166" i="12"/>
  <c r="F166" i="12"/>
  <c r="E166" i="12"/>
  <c r="D166" i="12"/>
  <c r="C166" i="12"/>
  <c r="B166" i="12"/>
  <c r="S165" i="12"/>
  <c r="R165" i="12"/>
  <c r="Q165" i="12"/>
  <c r="P165" i="12"/>
  <c r="O165" i="12"/>
  <c r="N165" i="12"/>
  <c r="M165" i="12"/>
  <c r="L165" i="12"/>
  <c r="K165" i="12"/>
  <c r="J165" i="12"/>
  <c r="I165" i="12"/>
  <c r="H165" i="12"/>
  <c r="G165" i="12"/>
  <c r="F165" i="12"/>
  <c r="E165" i="12"/>
  <c r="D165" i="12"/>
  <c r="C165" i="12"/>
  <c r="B165" i="12"/>
  <c r="S164" i="12"/>
  <c r="R164" i="12"/>
  <c r="Q164" i="12"/>
  <c r="P164" i="12"/>
  <c r="O164" i="12"/>
  <c r="N164" i="12"/>
  <c r="M164" i="12"/>
  <c r="L164" i="12"/>
  <c r="K164" i="12"/>
  <c r="J164" i="12"/>
  <c r="I164" i="12"/>
  <c r="H164" i="12"/>
  <c r="G164" i="12"/>
  <c r="F164" i="12"/>
  <c r="E164" i="12"/>
  <c r="D164" i="12"/>
  <c r="C164" i="12"/>
  <c r="B164" i="12"/>
  <c r="S163" i="12"/>
  <c r="R163" i="12"/>
  <c r="Q163" i="12"/>
  <c r="P163" i="12"/>
  <c r="O163" i="12"/>
  <c r="N163" i="12"/>
  <c r="M163" i="12"/>
  <c r="L163" i="12"/>
  <c r="K163" i="12"/>
  <c r="J163" i="12"/>
  <c r="I163" i="12"/>
  <c r="H163" i="12"/>
  <c r="G163" i="12"/>
  <c r="F163" i="12"/>
  <c r="E163" i="12"/>
  <c r="D163" i="12"/>
  <c r="C163" i="12"/>
  <c r="B163" i="12"/>
  <c r="S162" i="12"/>
  <c r="R162" i="12"/>
  <c r="Q162" i="12"/>
  <c r="P162" i="12"/>
  <c r="O162" i="12"/>
  <c r="N162" i="12"/>
  <c r="M162" i="12"/>
  <c r="L162" i="12"/>
  <c r="K162" i="12"/>
  <c r="J162" i="12"/>
  <c r="I162" i="12"/>
  <c r="H162" i="12"/>
  <c r="G162" i="12"/>
  <c r="F162" i="12"/>
  <c r="E162" i="12"/>
  <c r="D162" i="12"/>
  <c r="C162" i="12"/>
  <c r="B162" i="12"/>
  <c r="S161" i="12"/>
  <c r="R161" i="12"/>
  <c r="Q161" i="12"/>
  <c r="P161" i="12"/>
  <c r="O161" i="12"/>
  <c r="N161" i="12"/>
  <c r="M161" i="12"/>
  <c r="L161" i="12"/>
  <c r="K161" i="12"/>
  <c r="J161" i="12"/>
  <c r="I161" i="12"/>
  <c r="H161" i="12"/>
  <c r="G161" i="12"/>
  <c r="F161" i="12"/>
  <c r="E161" i="12"/>
  <c r="D161" i="12"/>
  <c r="C161" i="12"/>
  <c r="B161" i="12"/>
  <c r="S160" i="12"/>
  <c r="R160" i="12"/>
  <c r="Q160" i="12"/>
  <c r="P160" i="12"/>
  <c r="O160" i="12"/>
  <c r="N160" i="12"/>
  <c r="M160" i="12"/>
  <c r="L160" i="12"/>
  <c r="K160" i="12"/>
  <c r="J160" i="12"/>
  <c r="I160" i="12"/>
  <c r="H160" i="12"/>
  <c r="G160" i="12"/>
  <c r="F160" i="12"/>
  <c r="E160" i="12"/>
  <c r="D160" i="12"/>
  <c r="C160" i="12"/>
  <c r="B160" i="12"/>
  <c r="S159" i="12"/>
  <c r="R159" i="12"/>
  <c r="Q159" i="12"/>
  <c r="P159" i="12"/>
  <c r="O159" i="12"/>
  <c r="N159" i="12"/>
  <c r="M159" i="12"/>
  <c r="L159" i="12"/>
  <c r="K159" i="12"/>
  <c r="J159" i="12"/>
  <c r="I159" i="12"/>
  <c r="H159" i="12"/>
  <c r="G159" i="12"/>
  <c r="F159" i="12"/>
  <c r="E159" i="12"/>
  <c r="D159" i="12"/>
  <c r="C159" i="12"/>
  <c r="B159" i="12"/>
  <c r="S158" i="12"/>
  <c r="R158" i="12"/>
  <c r="Q158" i="12"/>
  <c r="P158" i="12"/>
  <c r="O158" i="12"/>
  <c r="N158" i="12"/>
  <c r="M158" i="12"/>
  <c r="L158" i="12"/>
  <c r="K158" i="12"/>
  <c r="J158" i="12"/>
  <c r="I158" i="12"/>
  <c r="H158" i="12"/>
  <c r="G158" i="12"/>
  <c r="F158" i="12"/>
  <c r="E158" i="12"/>
  <c r="D158" i="12"/>
  <c r="C158" i="12"/>
  <c r="B158" i="12"/>
  <c r="S157" i="12"/>
  <c r="R157" i="12"/>
  <c r="Q157" i="12"/>
  <c r="P157" i="12"/>
  <c r="O157" i="12"/>
  <c r="N157" i="12"/>
  <c r="M157" i="12"/>
  <c r="L157" i="12"/>
  <c r="K157" i="12"/>
  <c r="J157" i="12"/>
  <c r="I157" i="12"/>
  <c r="H157" i="12"/>
  <c r="G157" i="12"/>
  <c r="F157" i="12"/>
  <c r="E157" i="12"/>
  <c r="D157" i="12"/>
  <c r="C157" i="12"/>
  <c r="B157" i="12"/>
  <c r="S156" i="12"/>
  <c r="R156" i="12"/>
  <c r="Q156" i="12"/>
  <c r="P156" i="12"/>
  <c r="O156" i="12"/>
  <c r="N156" i="12"/>
  <c r="M156" i="12"/>
  <c r="L156" i="12"/>
  <c r="K156" i="12"/>
  <c r="J156" i="12"/>
  <c r="I156" i="12"/>
  <c r="H156" i="12"/>
  <c r="G156" i="12"/>
  <c r="F156" i="12"/>
  <c r="E156" i="12"/>
  <c r="D156" i="12"/>
  <c r="C156" i="12"/>
  <c r="B156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S147" i="12"/>
  <c r="R147" i="12"/>
  <c r="Q147" i="12"/>
  <c r="P147" i="12"/>
  <c r="O147" i="12"/>
  <c r="N147" i="12"/>
  <c r="M147" i="12"/>
  <c r="L147" i="12"/>
  <c r="K147" i="12"/>
  <c r="J147" i="12"/>
  <c r="I147" i="12"/>
  <c r="H147" i="12"/>
  <c r="G147" i="12"/>
  <c r="F147" i="12"/>
  <c r="E147" i="12"/>
  <c r="D147" i="12"/>
  <c r="C147" i="12"/>
  <c r="B147" i="12"/>
  <c r="S146" i="12"/>
  <c r="R146" i="12"/>
  <c r="Q146" i="12"/>
  <c r="P146" i="12"/>
  <c r="O146" i="12"/>
  <c r="N146" i="12"/>
  <c r="M146" i="12"/>
  <c r="L146" i="12"/>
  <c r="K146" i="12"/>
  <c r="J146" i="12"/>
  <c r="I146" i="12"/>
  <c r="H146" i="12"/>
  <c r="G146" i="12"/>
  <c r="F146" i="12"/>
  <c r="E146" i="12"/>
  <c r="D146" i="12"/>
  <c r="C146" i="12"/>
  <c r="B146" i="12"/>
  <c r="S145" i="12"/>
  <c r="R145" i="12"/>
  <c r="Q145" i="12"/>
  <c r="P145" i="12"/>
  <c r="O145" i="12"/>
  <c r="N145" i="12"/>
  <c r="M145" i="12"/>
  <c r="L145" i="12"/>
  <c r="K145" i="12"/>
  <c r="J145" i="12"/>
  <c r="I145" i="12"/>
  <c r="H145" i="12"/>
  <c r="G145" i="12"/>
  <c r="F145" i="12"/>
  <c r="E145" i="12"/>
  <c r="D145" i="12"/>
  <c r="C145" i="12"/>
  <c r="B145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S136" i="12"/>
  <c r="R136" i="12"/>
  <c r="Q136" i="12"/>
  <c r="P136" i="12"/>
  <c r="O136" i="12"/>
  <c r="N136" i="12"/>
  <c r="M136" i="12"/>
  <c r="L136" i="12"/>
  <c r="K136" i="12"/>
  <c r="J136" i="12"/>
  <c r="I136" i="12"/>
  <c r="H136" i="12"/>
  <c r="G136" i="12"/>
  <c r="F136" i="12"/>
  <c r="E136" i="12"/>
  <c r="D136" i="12"/>
  <c r="C136" i="12"/>
  <c r="B136" i="12"/>
  <c r="S135" i="12"/>
  <c r="R135" i="12"/>
  <c r="Q135" i="12"/>
  <c r="P135" i="12"/>
  <c r="O135" i="12"/>
  <c r="N135" i="12"/>
  <c r="M135" i="12"/>
  <c r="L135" i="12"/>
  <c r="K135" i="12"/>
  <c r="J135" i="12"/>
  <c r="I135" i="12"/>
  <c r="H135" i="12"/>
  <c r="G135" i="12"/>
  <c r="F135" i="12"/>
  <c r="E135" i="12"/>
  <c r="D135" i="12"/>
  <c r="C135" i="12"/>
  <c r="B135" i="12"/>
  <c r="S134" i="12"/>
  <c r="R134" i="12"/>
  <c r="Q134" i="12"/>
  <c r="P134" i="12"/>
  <c r="O134" i="12"/>
  <c r="N134" i="12"/>
  <c r="M134" i="12"/>
  <c r="L134" i="12"/>
  <c r="K134" i="12"/>
  <c r="J134" i="12"/>
  <c r="I134" i="12"/>
  <c r="H134" i="12"/>
  <c r="G134" i="12"/>
  <c r="F134" i="12"/>
  <c r="E134" i="12"/>
  <c r="D134" i="12"/>
  <c r="C134" i="12"/>
  <c r="B134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S125" i="12"/>
  <c r="R125" i="12"/>
  <c r="Q125" i="12"/>
  <c r="P125" i="12"/>
  <c r="O125" i="12"/>
  <c r="N125" i="12"/>
  <c r="M125" i="12"/>
  <c r="L125" i="12"/>
  <c r="K125" i="12"/>
  <c r="J125" i="12"/>
  <c r="I125" i="12"/>
  <c r="H125" i="12"/>
  <c r="G125" i="12"/>
  <c r="F125" i="12"/>
  <c r="E125" i="12"/>
  <c r="D125" i="12"/>
  <c r="C125" i="12"/>
  <c r="B125" i="12"/>
  <c r="S124" i="12"/>
  <c r="R124" i="12"/>
  <c r="Q124" i="12"/>
  <c r="P124" i="12"/>
  <c r="O124" i="12"/>
  <c r="N124" i="12"/>
  <c r="M124" i="12"/>
  <c r="L124" i="12"/>
  <c r="K124" i="12"/>
  <c r="J124" i="12"/>
  <c r="I124" i="12"/>
  <c r="H124" i="12"/>
  <c r="G124" i="12"/>
  <c r="F124" i="12"/>
  <c r="E124" i="12"/>
  <c r="D124" i="12"/>
  <c r="C124" i="12"/>
  <c r="B124" i="12"/>
  <c r="S123" i="12"/>
  <c r="R123" i="12"/>
  <c r="Q123" i="12"/>
  <c r="P123" i="12"/>
  <c r="O123" i="12"/>
  <c r="N123" i="12"/>
  <c r="M123" i="12"/>
  <c r="L123" i="12"/>
  <c r="K123" i="12"/>
  <c r="J123" i="12"/>
  <c r="I123" i="12"/>
  <c r="H123" i="12"/>
  <c r="G123" i="12"/>
  <c r="F123" i="12"/>
  <c r="E123" i="12"/>
  <c r="D123" i="12"/>
  <c r="C123" i="12"/>
  <c r="B123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S114" i="12"/>
  <c r="R114" i="12"/>
  <c r="Q114" i="12"/>
  <c r="P114" i="12"/>
  <c r="O114" i="12"/>
  <c r="N114" i="12"/>
  <c r="M114" i="12"/>
  <c r="L114" i="12"/>
  <c r="K114" i="12"/>
  <c r="J114" i="12"/>
  <c r="I114" i="12"/>
  <c r="H114" i="12"/>
  <c r="G114" i="12"/>
  <c r="F114" i="12"/>
  <c r="E114" i="12"/>
  <c r="D114" i="12"/>
  <c r="C114" i="12"/>
  <c r="B114" i="12"/>
  <c r="S113" i="12"/>
  <c r="R113" i="12"/>
  <c r="Q113" i="12"/>
  <c r="P113" i="12"/>
  <c r="O113" i="12"/>
  <c r="N113" i="12"/>
  <c r="M113" i="12"/>
  <c r="L113" i="12"/>
  <c r="K113" i="12"/>
  <c r="J113" i="12"/>
  <c r="I113" i="12"/>
  <c r="H113" i="12"/>
  <c r="G113" i="12"/>
  <c r="F113" i="12"/>
  <c r="E113" i="12"/>
  <c r="D113" i="12"/>
  <c r="C113" i="12"/>
  <c r="B113" i="12"/>
  <c r="S112" i="12"/>
  <c r="R112" i="12"/>
  <c r="Q112" i="12"/>
  <c r="P112" i="12"/>
  <c r="O112" i="12"/>
  <c r="N112" i="12"/>
  <c r="M112" i="12"/>
  <c r="L112" i="12"/>
  <c r="K112" i="12"/>
  <c r="J112" i="12"/>
  <c r="I112" i="12"/>
  <c r="H112" i="12"/>
  <c r="G112" i="12"/>
  <c r="F112" i="12"/>
  <c r="E112" i="12"/>
  <c r="D112" i="12"/>
  <c r="C112" i="12"/>
  <c r="B112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S103" i="12"/>
  <c r="R103" i="12"/>
  <c r="Q103" i="12"/>
  <c r="P103" i="12"/>
  <c r="O103" i="12"/>
  <c r="N103" i="12"/>
  <c r="M103" i="12"/>
  <c r="L103" i="12"/>
  <c r="K103" i="12"/>
  <c r="J103" i="12"/>
  <c r="I103" i="12"/>
  <c r="H103" i="12"/>
  <c r="G103" i="12"/>
  <c r="F103" i="12"/>
  <c r="E103" i="12"/>
  <c r="D103" i="12"/>
  <c r="C103" i="12"/>
  <c r="B103" i="12"/>
  <c r="S102" i="12"/>
  <c r="R102" i="12"/>
  <c r="Q102" i="12"/>
  <c r="P102" i="12"/>
  <c r="O102" i="12"/>
  <c r="N102" i="12"/>
  <c r="M102" i="12"/>
  <c r="L102" i="12"/>
  <c r="K102" i="12"/>
  <c r="J102" i="12"/>
  <c r="I102" i="12"/>
  <c r="H102" i="12"/>
  <c r="G102" i="12"/>
  <c r="F102" i="12"/>
  <c r="E102" i="12"/>
  <c r="D102" i="12"/>
  <c r="C102" i="12"/>
  <c r="B102" i="12"/>
  <c r="S101" i="12"/>
  <c r="R101" i="12"/>
  <c r="Q101" i="12"/>
  <c r="P101" i="12"/>
  <c r="O101" i="12"/>
  <c r="N101" i="12"/>
  <c r="M101" i="12"/>
  <c r="L101" i="12"/>
  <c r="K101" i="12"/>
  <c r="J101" i="12"/>
  <c r="I101" i="12"/>
  <c r="H101" i="12"/>
  <c r="G101" i="12"/>
  <c r="F101" i="12"/>
  <c r="E101" i="12"/>
  <c r="D101" i="12"/>
  <c r="C101" i="12"/>
  <c r="B101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S92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B92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S90" i="12"/>
  <c r="R90" i="12"/>
  <c r="Q90" i="12"/>
  <c r="P90" i="12"/>
  <c r="O90" i="12"/>
  <c r="N90" i="12"/>
  <c r="M90" i="12"/>
  <c r="L90" i="12"/>
  <c r="K90" i="12"/>
  <c r="J90" i="12"/>
  <c r="I90" i="12"/>
  <c r="H90" i="12"/>
  <c r="G90" i="12"/>
  <c r="F90" i="12"/>
  <c r="E90" i="12"/>
  <c r="D90" i="12"/>
  <c r="C90" i="12"/>
  <c r="B90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S80" i="12"/>
  <c r="R80" i="12"/>
  <c r="Q80" i="12"/>
  <c r="P80" i="12"/>
  <c r="O80" i="12"/>
  <c r="N80" i="12"/>
  <c r="M80" i="12"/>
  <c r="L80" i="12"/>
  <c r="K80" i="12"/>
  <c r="J80" i="12"/>
  <c r="I80" i="12"/>
  <c r="H80" i="12"/>
  <c r="G80" i="12"/>
  <c r="F80" i="12"/>
  <c r="E80" i="12"/>
  <c r="D80" i="12"/>
  <c r="C80" i="12"/>
  <c r="B80" i="12"/>
  <c r="S79" i="12"/>
  <c r="R79" i="12"/>
  <c r="Q79" i="12"/>
  <c r="P79" i="12"/>
  <c r="O79" i="12"/>
  <c r="N79" i="12"/>
  <c r="M79" i="12"/>
  <c r="L79" i="12"/>
  <c r="K79" i="12"/>
  <c r="J79" i="12"/>
  <c r="I79" i="12"/>
  <c r="H79" i="12"/>
  <c r="G79" i="12"/>
  <c r="F79" i="12"/>
  <c r="E79" i="12"/>
  <c r="D79" i="12"/>
  <c r="C79" i="12"/>
  <c r="B79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S70" i="12"/>
  <c r="R70" i="12"/>
  <c r="Q70" i="12"/>
  <c r="P70" i="12"/>
  <c r="O70" i="12"/>
  <c r="N70" i="12"/>
  <c r="M70" i="12"/>
  <c r="L70" i="12"/>
  <c r="K70" i="12"/>
  <c r="J70" i="12"/>
  <c r="I70" i="12"/>
  <c r="H70" i="12"/>
  <c r="G70" i="12"/>
  <c r="F70" i="12"/>
  <c r="E70" i="12"/>
  <c r="D70" i="12"/>
  <c r="C70" i="12"/>
  <c r="B70" i="12"/>
  <c r="S69" i="12"/>
  <c r="R69" i="12"/>
  <c r="Q69" i="12"/>
  <c r="P69" i="12"/>
  <c r="O69" i="12"/>
  <c r="N69" i="12"/>
  <c r="M69" i="12"/>
  <c r="L69" i="12"/>
  <c r="K69" i="12"/>
  <c r="J69" i="12"/>
  <c r="I69" i="12"/>
  <c r="H69" i="12"/>
  <c r="G69" i="12"/>
  <c r="F69" i="12"/>
  <c r="E69" i="12"/>
  <c r="D69" i="12"/>
  <c r="C69" i="12"/>
  <c r="B69" i="12"/>
  <c r="S68" i="12"/>
  <c r="R68" i="12"/>
  <c r="Q68" i="12"/>
  <c r="P68" i="12"/>
  <c r="O68" i="12"/>
  <c r="N68" i="12"/>
  <c r="M68" i="12"/>
  <c r="L68" i="12"/>
  <c r="K68" i="12"/>
  <c r="J68" i="12"/>
  <c r="I68" i="12"/>
  <c r="H68" i="12"/>
  <c r="G68" i="12"/>
  <c r="F68" i="12"/>
  <c r="E68" i="12"/>
  <c r="D68" i="12"/>
  <c r="C68" i="12"/>
  <c r="B68" i="12"/>
  <c r="S67" i="12"/>
  <c r="R67" i="12"/>
  <c r="Q67" i="12"/>
  <c r="P67" i="12"/>
  <c r="O67" i="12"/>
  <c r="N67" i="12"/>
  <c r="M67" i="12"/>
  <c r="L67" i="12"/>
  <c r="K67" i="12"/>
  <c r="J67" i="12"/>
  <c r="I67" i="12"/>
  <c r="H67" i="12"/>
  <c r="G67" i="12"/>
  <c r="F67" i="12"/>
  <c r="E67" i="12"/>
  <c r="D67" i="12"/>
  <c r="C67" i="12"/>
  <c r="B67" i="12"/>
  <c r="S66" i="12"/>
  <c r="R66" i="12"/>
  <c r="Q66" i="12"/>
  <c r="P66" i="12"/>
  <c r="O66" i="12"/>
  <c r="N66" i="12"/>
  <c r="M66" i="12"/>
  <c r="L66" i="12"/>
  <c r="K66" i="12"/>
  <c r="J66" i="12"/>
  <c r="I66" i="12"/>
  <c r="H66" i="12"/>
  <c r="G66" i="12"/>
  <c r="F66" i="12"/>
  <c r="E66" i="12"/>
  <c r="D66" i="12"/>
  <c r="C66" i="12"/>
  <c r="B66" i="12"/>
  <c r="S65" i="12"/>
  <c r="R65" i="12"/>
  <c r="Q65" i="12"/>
  <c r="P65" i="12"/>
  <c r="O65" i="12"/>
  <c r="N65" i="12"/>
  <c r="M65" i="12"/>
  <c r="L65" i="12"/>
  <c r="K65" i="12"/>
  <c r="J65" i="12"/>
  <c r="I65" i="12"/>
  <c r="H65" i="12"/>
  <c r="G65" i="12"/>
  <c r="F65" i="12"/>
  <c r="E65" i="12"/>
  <c r="D65" i="12"/>
  <c r="C65" i="12"/>
  <c r="B65" i="12"/>
  <c r="S64" i="12"/>
  <c r="R64" i="12"/>
  <c r="Q64" i="12"/>
  <c r="P64" i="12"/>
  <c r="O64" i="12"/>
  <c r="N64" i="12"/>
  <c r="M64" i="12"/>
  <c r="L64" i="12"/>
  <c r="K64" i="12"/>
  <c r="J64" i="12"/>
  <c r="I64" i="12"/>
  <c r="H64" i="12"/>
  <c r="G64" i="12"/>
  <c r="F64" i="12"/>
  <c r="E64" i="12"/>
  <c r="D64" i="12"/>
  <c r="C64" i="12"/>
  <c r="B64" i="12"/>
  <c r="S63" i="12"/>
  <c r="R63" i="12"/>
  <c r="Q63" i="12"/>
  <c r="P63" i="12"/>
  <c r="O63" i="12"/>
  <c r="N63" i="12"/>
  <c r="M63" i="12"/>
  <c r="L63" i="12"/>
  <c r="K63" i="12"/>
  <c r="J63" i="12"/>
  <c r="I63" i="12"/>
  <c r="H63" i="12"/>
  <c r="G63" i="12"/>
  <c r="F63" i="12"/>
  <c r="E63" i="12"/>
  <c r="D63" i="12"/>
  <c r="C63" i="12"/>
  <c r="B63" i="12"/>
  <c r="S62" i="12"/>
  <c r="R62" i="12"/>
  <c r="Q62" i="12"/>
  <c r="P62" i="12"/>
  <c r="O62" i="12"/>
  <c r="N62" i="12"/>
  <c r="M62" i="12"/>
  <c r="L62" i="12"/>
  <c r="K62" i="12"/>
  <c r="J62" i="12"/>
  <c r="I62" i="12"/>
  <c r="H62" i="12"/>
  <c r="G62" i="12"/>
  <c r="F62" i="12"/>
  <c r="E62" i="12"/>
  <c r="D62" i="12"/>
  <c r="C62" i="12"/>
  <c r="B62" i="12"/>
  <c r="S61" i="12"/>
  <c r="R61" i="12"/>
  <c r="Q61" i="12"/>
  <c r="P61" i="12"/>
  <c r="O61" i="12"/>
  <c r="N61" i="12"/>
  <c r="M61" i="12"/>
  <c r="L61" i="12"/>
  <c r="K61" i="12"/>
  <c r="J61" i="12"/>
  <c r="I61" i="12"/>
  <c r="H61" i="12"/>
  <c r="G61" i="12"/>
  <c r="F61" i="12"/>
  <c r="E61" i="12"/>
  <c r="D61" i="12"/>
  <c r="C61" i="12"/>
  <c r="B61" i="12"/>
  <c r="S60" i="12"/>
  <c r="R60" i="12"/>
  <c r="Q60" i="12"/>
  <c r="P60" i="12"/>
  <c r="O60" i="12"/>
  <c r="N60" i="12"/>
  <c r="M60" i="12"/>
  <c r="L60" i="12"/>
  <c r="K60" i="12"/>
  <c r="J60" i="12"/>
  <c r="I60" i="12"/>
  <c r="H60" i="12"/>
  <c r="G60" i="12"/>
  <c r="F60" i="12"/>
  <c r="E60" i="12"/>
  <c r="D60" i="12"/>
  <c r="C60" i="12"/>
  <c r="B60" i="12"/>
  <c r="S59" i="12"/>
  <c r="R59" i="12"/>
  <c r="Q59" i="12"/>
  <c r="P59" i="12"/>
  <c r="O59" i="12"/>
  <c r="N59" i="12"/>
  <c r="M59" i="12"/>
  <c r="L59" i="12"/>
  <c r="K59" i="12"/>
  <c r="J59" i="12"/>
  <c r="I59" i="12"/>
  <c r="H59" i="12"/>
  <c r="G59" i="12"/>
  <c r="F59" i="12"/>
  <c r="E59" i="12"/>
  <c r="D59" i="12"/>
  <c r="C59" i="12"/>
  <c r="B59" i="12"/>
  <c r="S58" i="12"/>
  <c r="R58" i="12"/>
  <c r="Q58" i="12"/>
  <c r="P58" i="12"/>
  <c r="O58" i="12"/>
  <c r="N58" i="12"/>
  <c r="M58" i="12"/>
  <c r="L58" i="12"/>
  <c r="K58" i="12"/>
  <c r="J58" i="12"/>
  <c r="I58" i="12"/>
  <c r="H58" i="12"/>
  <c r="G58" i="12"/>
  <c r="F58" i="12"/>
  <c r="E58" i="12"/>
  <c r="D58" i="12"/>
  <c r="C58" i="12"/>
  <c r="B58" i="12"/>
  <c r="S57" i="12"/>
  <c r="R57" i="12"/>
  <c r="Q57" i="12"/>
  <c r="P57" i="12"/>
  <c r="O57" i="12"/>
  <c r="N57" i="12"/>
  <c r="M57" i="12"/>
  <c r="L57" i="12"/>
  <c r="K57" i="12"/>
  <c r="J57" i="12"/>
  <c r="I57" i="12"/>
  <c r="H57" i="12"/>
  <c r="G57" i="12"/>
  <c r="F57" i="12"/>
  <c r="E57" i="12"/>
  <c r="D57" i="12"/>
  <c r="C57" i="12"/>
  <c r="B57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B48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B47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B46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B44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B43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B42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B41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B38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B26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B25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B24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B18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B16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B15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B14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B13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B10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B9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B8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B7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B6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B5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E4" i="12"/>
  <c r="D4" i="12"/>
  <c r="C4" i="12"/>
  <c r="B4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S1" i="12"/>
  <c r="F1" i="7"/>
  <c r="F36" i="7"/>
  <c r="F37" i="7"/>
  <c r="F38" i="7"/>
  <c r="F39" i="7"/>
  <c r="F40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15" i="11"/>
  <c r="F14" i="11"/>
  <c r="F13" i="11"/>
  <c r="F12" i="11"/>
  <c r="C15" i="11"/>
  <c r="C14" i="11"/>
  <c r="C13" i="11"/>
  <c r="C12" i="11"/>
  <c r="C5" i="11"/>
  <c r="C8" i="11"/>
  <c r="C7" i="11"/>
  <c r="C6" i="11"/>
  <c r="B2" i="11"/>
  <c r="F4" i="10"/>
  <c r="F8" i="11" s="1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3" i="10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09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3" i="8"/>
  <c r="F3" i="7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" i="4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" i="3"/>
  <c r="F2" i="6"/>
  <c r="F11" i="11" s="1"/>
  <c r="F2" i="5"/>
  <c r="C11" i="11" s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F1" i="10" l="1"/>
  <c r="F4" i="11" s="1"/>
  <c r="F5" i="11"/>
  <c r="F6" i="11"/>
  <c r="F7" i="11"/>
  <c r="F1" i="9"/>
  <c r="S1" i="2"/>
  <c r="F1" i="8"/>
  <c r="F1" i="3"/>
  <c r="F1" i="4"/>
  <c r="T2" i="1" l="1"/>
  <c r="C4" i="11" s="1"/>
</calcChain>
</file>

<file path=xl/sharedStrings.xml><?xml version="1.0" encoding="utf-8"?>
<sst xmlns="http://schemas.openxmlformats.org/spreadsheetml/2006/main" count="9101" uniqueCount="1921">
  <si>
    <t>Descripción</t>
  </si>
  <si>
    <t>Concentración</t>
  </si>
  <si>
    <t>Presentación</t>
  </si>
  <si>
    <t>Forma Farmacéutica</t>
  </si>
  <si>
    <t>Tipo</t>
  </si>
  <si>
    <t>CPMA</t>
  </si>
  <si>
    <t>Meses rotación</t>
  </si>
  <si>
    <t>Meses abastecidos</t>
  </si>
  <si>
    <t>Estado</t>
  </si>
  <si>
    <t>PNUMEN MEDICAMENTOS</t>
  </si>
  <si>
    <t>PNUMEN MATERIAL MEDICO</t>
  </si>
  <si>
    <t>ESTRATEGIA MEDICAMENTOS</t>
  </si>
  <si>
    <t>ESTRATEGIA MATERIAL MEDICO</t>
  </si>
  <si>
    <t>ago-21</t>
  </si>
  <si>
    <t>sep-21</t>
  </si>
  <si>
    <t>oct-21</t>
  </si>
  <si>
    <t>nov-21</t>
  </si>
  <si>
    <t>dic-21</t>
  </si>
  <si>
    <t>ene-22</t>
  </si>
  <si>
    <t>feb-22</t>
  </si>
  <si>
    <t>mar-22</t>
  </si>
  <si>
    <t>abr-22</t>
  </si>
  <si>
    <t>may-22</t>
  </si>
  <si>
    <t>jun-22</t>
  </si>
  <si>
    <t>jul-22</t>
  </si>
  <si>
    <t>Código</t>
  </si>
  <si>
    <t>Últimos 12 Meses</t>
  </si>
  <si>
    <t>% Disponibilidad</t>
  </si>
  <si>
    <t>SISMED</t>
  </si>
  <si>
    <t>PRODUCTO</t>
  </si>
  <si>
    <t>CPMA SIS</t>
  </si>
  <si>
    <t>Meses Rotacion</t>
  </si>
  <si>
    <t>Meses Abastecidos</t>
  </si>
  <si>
    <t>00091</t>
  </si>
  <si>
    <t>00095</t>
  </si>
  <si>
    <t>00111</t>
  </si>
  <si>
    <t>00132</t>
  </si>
  <si>
    <t>00143</t>
  </si>
  <si>
    <t>00200</t>
  </si>
  <si>
    <t>00223</t>
  </si>
  <si>
    <t>00225</t>
  </si>
  <si>
    <t>00234</t>
  </si>
  <si>
    <t>00259</t>
  </si>
  <si>
    <t>00269</t>
  </si>
  <si>
    <t>00274</t>
  </si>
  <si>
    <t>00393</t>
  </si>
  <si>
    <t>00396</t>
  </si>
  <si>
    <t>00620</t>
  </si>
  <si>
    <t>00624</t>
  </si>
  <si>
    <t>00625</t>
  </si>
  <si>
    <t>00627</t>
  </si>
  <si>
    <t>00662</t>
  </si>
  <si>
    <t>00663</t>
  </si>
  <si>
    <t>00671</t>
  </si>
  <si>
    <t>00673</t>
  </si>
  <si>
    <t>00725</t>
  </si>
  <si>
    <t>00750</t>
  </si>
  <si>
    <t>00794</t>
  </si>
  <si>
    <t>00808</t>
  </si>
  <si>
    <t>00822</t>
  </si>
  <si>
    <t>00830</t>
  </si>
  <si>
    <t>00900</t>
  </si>
  <si>
    <t>00909</t>
  </si>
  <si>
    <t>00939</t>
  </si>
  <si>
    <t>00947</t>
  </si>
  <si>
    <t>00990</t>
  </si>
  <si>
    <t>01009</t>
  </si>
  <si>
    <t>01043</t>
  </si>
  <si>
    <t>01053</t>
  </si>
  <si>
    <t>01205</t>
  </si>
  <si>
    <t>01213</t>
  </si>
  <si>
    <t>01243</t>
  </si>
  <si>
    <t>01260</t>
  </si>
  <si>
    <t>01323</t>
  </si>
  <si>
    <t>01344</t>
  </si>
  <si>
    <t>01346</t>
  </si>
  <si>
    <t>01358</t>
  </si>
  <si>
    <t>01378</t>
  </si>
  <si>
    <t>01391</t>
  </si>
  <si>
    <t>01467</t>
  </si>
  <si>
    <t>01522</t>
  </si>
  <si>
    <t>01532</t>
  </si>
  <si>
    <t>01628</t>
  </si>
  <si>
    <t>01636</t>
  </si>
  <si>
    <t>01639</t>
  </si>
  <si>
    <t>01657</t>
  </si>
  <si>
    <t>01682</t>
  </si>
  <si>
    <t>01684</t>
  </si>
  <si>
    <t>01695</t>
  </si>
  <si>
    <t>01711</t>
  </si>
  <si>
    <t>01800</t>
  </si>
  <si>
    <t>01837</t>
  </si>
  <si>
    <t>01841</t>
  </si>
  <si>
    <t>01846</t>
  </si>
  <si>
    <t>01958</t>
  </si>
  <si>
    <t>01964</t>
  </si>
  <si>
    <t>02003</t>
  </si>
  <si>
    <t>02052</t>
  </si>
  <si>
    <t>02055</t>
  </si>
  <si>
    <t>02128</t>
  </si>
  <si>
    <t>02132</t>
  </si>
  <si>
    <t>02149</t>
  </si>
  <si>
    <t>02188</t>
  </si>
  <si>
    <t>02269</t>
  </si>
  <si>
    <t>02309</t>
  </si>
  <si>
    <t>02319</t>
  </si>
  <si>
    <t>02320</t>
  </si>
  <si>
    <t>02354</t>
  </si>
  <si>
    <t>02381</t>
  </si>
  <si>
    <t>02642</t>
  </si>
  <si>
    <t>02654</t>
  </si>
  <si>
    <t>02752</t>
  </si>
  <si>
    <t>02754</t>
  </si>
  <si>
    <t>02788</t>
  </si>
  <si>
    <t>02794</t>
  </si>
  <si>
    <t>02830</t>
  </si>
  <si>
    <t>02836</t>
  </si>
  <si>
    <t>02862</t>
  </si>
  <si>
    <t>02884</t>
  </si>
  <si>
    <t>02891</t>
  </si>
  <si>
    <t>02922</t>
  </si>
  <si>
    <t>02954</t>
  </si>
  <si>
    <t>02979</t>
  </si>
  <si>
    <t>03010</t>
  </si>
  <si>
    <t>03018</t>
  </si>
  <si>
    <t>03078</t>
  </si>
  <si>
    <t>03080</t>
  </si>
  <si>
    <t>03086</t>
  </si>
  <si>
    <t>03088</t>
  </si>
  <si>
    <t>03097</t>
  </si>
  <si>
    <t>03107</t>
  </si>
  <si>
    <t>03139</t>
  </si>
  <si>
    <t>03191</t>
  </si>
  <si>
    <t>03213</t>
  </si>
  <si>
    <t>03215</t>
  </si>
  <si>
    <t>03224</t>
  </si>
  <si>
    <t>03234</t>
  </si>
  <si>
    <t>03266</t>
  </si>
  <si>
    <t>03302</t>
  </si>
  <si>
    <t>03317</t>
  </si>
  <si>
    <t>03351</t>
  </si>
  <si>
    <t>03429</t>
  </si>
  <si>
    <t>03443</t>
  </si>
  <si>
    <t>03444</t>
  </si>
  <si>
    <t>03452</t>
  </si>
  <si>
    <t>03454</t>
  </si>
  <si>
    <t>03501</t>
  </si>
  <si>
    <t>03513</t>
  </si>
  <si>
    <t>03515</t>
  </si>
  <si>
    <t>03519</t>
  </si>
  <si>
    <t>03552</t>
  </si>
  <si>
    <t>03576</t>
  </si>
  <si>
    <t>03592</t>
  </si>
  <si>
    <t>03595</t>
  </si>
  <si>
    <t>03602</t>
  </si>
  <si>
    <t>03624</t>
  </si>
  <si>
    <t>03703</t>
  </si>
  <si>
    <t>03708</t>
  </si>
  <si>
    <t>03710</t>
  </si>
  <si>
    <t>03713</t>
  </si>
  <si>
    <t>03718</t>
  </si>
  <si>
    <t>03735</t>
  </si>
  <si>
    <t>03747</t>
  </si>
  <si>
    <t>03751</t>
  </si>
  <si>
    <t>03758</t>
  </si>
  <si>
    <t>03783</t>
  </si>
  <si>
    <t>03787</t>
  </si>
  <si>
    <t>03788</t>
  </si>
  <si>
    <t>03789</t>
  </si>
  <si>
    <t>03796</t>
  </si>
  <si>
    <t>03810</t>
  </si>
  <si>
    <t>03873</t>
  </si>
  <si>
    <t>03878</t>
  </si>
  <si>
    <t>03894</t>
  </si>
  <si>
    <t>03921</t>
  </si>
  <si>
    <t>03944</t>
  </si>
  <si>
    <t>03979</t>
  </si>
  <si>
    <t>04024</t>
  </si>
  <si>
    <t>04034</t>
  </si>
  <si>
    <t>04058</t>
  </si>
  <si>
    <t>04077</t>
  </si>
  <si>
    <t>04085</t>
  </si>
  <si>
    <t>04127</t>
  </si>
  <si>
    <t>04168</t>
  </si>
  <si>
    <t>04176</t>
  </si>
  <si>
    <t>04184</t>
  </si>
  <si>
    <t>04187</t>
  </si>
  <si>
    <t>04291</t>
  </si>
  <si>
    <t>04322</t>
  </si>
  <si>
    <t>04328</t>
  </si>
  <si>
    <t>04333</t>
  </si>
  <si>
    <t>04350</t>
  </si>
  <si>
    <t>04371</t>
  </si>
  <si>
    <t>04381</t>
  </si>
  <si>
    <t>04390</t>
  </si>
  <si>
    <t>04398</t>
  </si>
  <si>
    <t>04455</t>
  </si>
  <si>
    <t>04511</t>
  </si>
  <si>
    <t>04514</t>
  </si>
  <si>
    <t>04523</t>
  </si>
  <si>
    <t>04556</t>
  </si>
  <si>
    <t>04565</t>
  </si>
  <si>
    <t>04582</t>
  </si>
  <si>
    <t>04585</t>
  </si>
  <si>
    <t>04594</t>
  </si>
  <si>
    <t>04597</t>
  </si>
  <si>
    <t>04618</t>
  </si>
  <si>
    <t>04666</t>
  </si>
  <si>
    <t>04677</t>
  </si>
  <si>
    <t>04696</t>
  </si>
  <si>
    <t>04701</t>
  </si>
  <si>
    <t>04717</t>
  </si>
  <si>
    <t>04743</t>
  </si>
  <si>
    <t>04752</t>
  </si>
  <si>
    <t>04760</t>
  </si>
  <si>
    <t>04763</t>
  </si>
  <si>
    <t>04776</t>
  </si>
  <si>
    <t>04794</t>
  </si>
  <si>
    <t>04805</t>
  </si>
  <si>
    <t>04808</t>
  </si>
  <si>
    <t>04831</t>
  </si>
  <si>
    <t>04847</t>
  </si>
  <si>
    <t>04900</t>
  </si>
  <si>
    <t>04922</t>
  </si>
  <si>
    <t>04982</t>
  </si>
  <si>
    <t>05009</t>
  </si>
  <si>
    <t>05018</t>
  </si>
  <si>
    <t>05103</t>
  </si>
  <si>
    <t>05105</t>
  </si>
  <si>
    <t>05118</t>
  </si>
  <si>
    <t>05151</t>
  </si>
  <si>
    <t>05157</t>
  </si>
  <si>
    <t>05166</t>
  </si>
  <si>
    <t>05167</t>
  </si>
  <si>
    <t>05172</t>
  </si>
  <si>
    <t>05211</t>
  </si>
  <si>
    <t>05212</t>
  </si>
  <si>
    <t>05253</t>
  </si>
  <si>
    <t>05267</t>
  </si>
  <si>
    <t>05281</t>
  </si>
  <si>
    <t>05309</t>
  </si>
  <si>
    <t>05335</t>
  </si>
  <si>
    <t>05408</t>
  </si>
  <si>
    <t>05443</t>
  </si>
  <si>
    <t>05475</t>
  </si>
  <si>
    <t>05487</t>
  </si>
  <si>
    <t>05491</t>
  </si>
  <si>
    <t>05520</t>
  </si>
  <si>
    <t>05551</t>
  </si>
  <si>
    <t>05586</t>
  </si>
  <si>
    <t>05588</t>
  </si>
  <si>
    <t>05589</t>
  </si>
  <si>
    <t>05590</t>
  </si>
  <si>
    <t>05598</t>
  </si>
  <si>
    <t>05626</t>
  </si>
  <si>
    <t>05627</t>
  </si>
  <si>
    <t>05634</t>
  </si>
  <si>
    <t>05646</t>
  </si>
  <si>
    <t>05658</t>
  </si>
  <si>
    <t>05660</t>
  </si>
  <si>
    <t>05661</t>
  </si>
  <si>
    <t>05688</t>
  </si>
  <si>
    <t>05694</t>
  </si>
  <si>
    <t>05731</t>
  </si>
  <si>
    <t>05807</t>
  </si>
  <si>
    <t>05809</t>
  </si>
  <si>
    <t>05831</t>
  </si>
  <si>
    <t>05856</t>
  </si>
  <si>
    <t>05872</t>
  </si>
  <si>
    <t>05873</t>
  </si>
  <si>
    <t>05880</t>
  </si>
  <si>
    <t>05884</t>
  </si>
  <si>
    <t>05889</t>
  </si>
  <si>
    <t>05913</t>
  </si>
  <si>
    <t>05915</t>
  </si>
  <si>
    <t>05964</t>
  </si>
  <si>
    <t>05986</t>
  </si>
  <si>
    <t>06144</t>
  </si>
  <si>
    <t>06188</t>
  </si>
  <si>
    <t>06231</t>
  </si>
  <si>
    <t>06239</t>
  </si>
  <si>
    <t>06357</t>
  </si>
  <si>
    <t>06377</t>
  </si>
  <si>
    <t>06386</t>
  </si>
  <si>
    <t>06387</t>
  </si>
  <si>
    <t>06396</t>
  </si>
  <si>
    <t>06420</t>
  </si>
  <si>
    <t>06427</t>
  </si>
  <si>
    <t>06431</t>
  </si>
  <si>
    <t>06432</t>
  </si>
  <si>
    <t>06435</t>
  </si>
  <si>
    <t>06437</t>
  </si>
  <si>
    <t>06466</t>
  </si>
  <si>
    <t>06471</t>
  </si>
  <si>
    <t>06485</t>
  </si>
  <si>
    <t>06502</t>
  </si>
  <si>
    <t>06519</t>
  </si>
  <si>
    <t>06570</t>
  </si>
  <si>
    <t>06602</t>
  </si>
  <si>
    <t>08013</t>
  </si>
  <si>
    <t>08054</t>
  </si>
  <si>
    <t>08068</t>
  </si>
  <si>
    <t>08115</t>
  </si>
  <si>
    <t>08163</t>
  </si>
  <si>
    <t>08187</t>
  </si>
  <si>
    <t>10145</t>
  </si>
  <si>
    <t>10148</t>
  </si>
  <si>
    <t>10155</t>
  </si>
  <si>
    <t>10221</t>
  </si>
  <si>
    <t>10230</t>
  </si>
  <si>
    <t>10244</t>
  </si>
  <si>
    <t>10300</t>
  </si>
  <si>
    <t>10302</t>
  </si>
  <si>
    <t>10355</t>
  </si>
  <si>
    <t>10363</t>
  </si>
  <si>
    <t>10367</t>
  </si>
  <si>
    <t>10369</t>
  </si>
  <si>
    <t>10372</t>
  </si>
  <si>
    <t>10386</t>
  </si>
  <si>
    <t>10419</t>
  </si>
  <si>
    <t>10554</t>
  </si>
  <si>
    <t>10927</t>
  </si>
  <si>
    <t>10929</t>
  </si>
  <si>
    <t>10930</t>
  </si>
  <si>
    <t>10933</t>
  </si>
  <si>
    <t>11251</t>
  </si>
  <si>
    <t>11359</t>
  </si>
  <si>
    <t>11368</t>
  </si>
  <si>
    <t>11369</t>
  </si>
  <si>
    <t>11370</t>
  </si>
  <si>
    <t>11385</t>
  </si>
  <si>
    <t>11464</t>
  </si>
  <si>
    <t>11848</t>
  </si>
  <si>
    <t>11850</t>
  </si>
  <si>
    <t>11853</t>
  </si>
  <si>
    <t>11854</t>
  </si>
  <si>
    <t>11921</t>
  </si>
  <si>
    <t>12036</t>
  </si>
  <si>
    <t>12806</t>
  </si>
  <si>
    <t>12808</t>
  </si>
  <si>
    <t>13024</t>
  </si>
  <si>
    <t>13030</t>
  </si>
  <si>
    <t>15231</t>
  </si>
  <si>
    <t>15276</t>
  </si>
  <si>
    <t>15334</t>
  </si>
  <si>
    <t>15336</t>
  </si>
  <si>
    <t>15430</t>
  </si>
  <si>
    <t>16282</t>
  </si>
  <si>
    <t>16395</t>
  </si>
  <si>
    <t>16569</t>
  </si>
  <si>
    <t>16570</t>
  </si>
  <si>
    <t>16571</t>
  </si>
  <si>
    <t>16599</t>
  </si>
  <si>
    <t>16602</t>
  </si>
  <si>
    <t>16656</t>
  </si>
  <si>
    <t>16657</t>
  </si>
  <si>
    <t>16737</t>
  </si>
  <si>
    <t>16771</t>
  </si>
  <si>
    <t>16774</t>
  </si>
  <si>
    <t>16776</t>
  </si>
  <si>
    <t>16862</t>
  </si>
  <si>
    <t>17008</t>
  </si>
  <si>
    <t>17013</t>
  </si>
  <si>
    <t>17014</t>
  </si>
  <si>
    <t>17029</t>
  </si>
  <si>
    <t>17030</t>
  </si>
  <si>
    <t>17074</t>
  </si>
  <si>
    <t>17075</t>
  </si>
  <si>
    <t>17083</t>
  </si>
  <si>
    <t>17090</t>
  </si>
  <si>
    <t>17697</t>
  </si>
  <si>
    <t>17703</t>
  </si>
  <si>
    <t>17705</t>
  </si>
  <si>
    <t>17709</t>
  </si>
  <si>
    <t>17723</t>
  </si>
  <si>
    <t>17734</t>
  </si>
  <si>
    <t>17766</t>
  </si>
  <si>
    <t>17771</t>
  </si>
  <si>
    <t>18048</t>
  </si>
  <si>
    <t>18049</t>
  </si>
  <si>
    <t>18091</t>
  </si>
  <si>
    <t>18102</t>
  </si>
  <si>
    <t>18157</t>
  </si>
  <si>
    <t>18225</t>
  </si>
  <si>
    <t>18318</t>
  </si>
  <si>
    <t>18327</t>
  </si>
  <si>
    <t>18331</t>
  </si>
  <si>
    <t>18381</t>
  </si>
  <si>
    <t>18511</t>
  </si>
  <si>
    <t>18522</t>
  </si>
  <si>
    <t>18625</t>
  </si>
  <si>
    <t>18725</t>
  </si>
  <si>
    <t>18940</t>
  </si>
  <si>
    <t>18958</t>
  </si>
  <si>
    <t>19116</t>
  </si>
  <si>
    <t>19174</t>
  </si>
  <si>
    <t>19232</t>
  </si>
  <si>
    <t>19238</t>
  </si>
  <si>
    <t>19239</t>
  </si>
  <si>
    <t>19244</t>
  </si>
  <si>
    <t>19245</t>
  </si>
  <si>
    <t>19246</t>
  </si>
  <si>
    <t>19265</t>
  </si>
  <si>
    <t>19266</t>
  </si>
  <si>
    <t>19268</t>
  </si>
  <si>
    <t>19405</t>
  </si>
  <si>
    <t>19421</t>
  </si>
  <si>
    <t>19455</t>
  </si>
  <si>
    <t>19507</t>
  </si>
  <si>
    <t>19636</t>
  </si>
  <si>
    <t>19702</t>
  </si>
  <si>
    <t>19719</t>
  </si>
  <si>
    <t>19723</t>
  </si>
  <si>
    <t>19850</t>
  </si>
  <si>
    <t>19852</t>
  </si>
  <si>
    <t>19853</t>
  </si>
  <si>
    <t>19855</t>
  </si>
  <si>
    <t>19857</t>
  </si>
  <si>
    <t>20036</t>
  </si>
  <si>
    <t>20043</t>
  </si>
  <si>
    <t>20086</t>
  </si>
  <si>
    <t>20361</t>
  </si>
  <si>
    <t>20496</t>
  </si>
  <si>
    <t>20622</t>
  </si>
  <si>
    <t>20635</t>
  </si>
  <si>
    <t>20684</t>
  </si>
  <si>
    <t>20737</t>
  </si>
  <si>
    <t>20803</t>
  </si>
  <si>
    <t>20810</t>
  </si>
  <si>
    <t>21197</t>
  </si>
  <si>
    <t>21275</t>
  </si>
  <si>
    <t>21421</t>
  </si>
  <si>
    <t>21482</t>
  </si>
  <si>
    <t>21526</t>
  </si>
  <si>
    <t>21864</t>
  </si>
  <si>
    <t>22030</t>
  </si>
  <si>
    <t>22110</t>
  </si>
  <si>
    <t>22147</t>
  </si>
  <si>
    <t>22186</t>
  </si>
  <si>
    <t>22187</t>
  </si>
  <si>
    <t>22252</t>
  </si>
  <si>
    <t>22291</t>
  </si>
  <si>
    <t>22362</t>
  </si>
  <si>
    <t>22364</t>
  </si>
  <si>
    <t>22365</t>
  </si>
  <si>
    <t>22372</t>
  </si>
  <si>
    <t>22405</t>
  </si>
  <si>
    <t>22407</t>
  </si>
  <si>
    <t>22451</t>
  </si>
  <si>
    <t>22556</t>
  </si>
  <si>
    <t>22616</t>
  </si>
  <si>
    <t>22626</t>
  </si>
  <si>
    <t>22644</t>
  </si>
  <si>
    <t>22647</t>
  </si>
  <si>
    <t>22710</t>
  </si>
  <si>
    <t>22775</t>
  </si>
  <si>
    <t>22779</t>
  </si>
  <si>
    <t>22975</t>
  </si>
  <si>
    <t>22982</t>
  </si>
  <si>
    <t>23034</t>
  </si>
  <si>
    <t>23090</t>
  </si>
  <si>
    <t>23122</t>
  </si>
  <si>
    <t>23416</t>
  </si>
  <si>
    <t>23438</t>
  </si>
  <si>
    <t>23510</t>
  </si>
  <si>
    <t>23523</t>
  </si>
  <si>
    <t>23542</t>
  </si>
  <si>
    <t>23587</t>
  </si>
  <si>
    <t>23596</t>
  </si>
  <si>
    <t>23738</t>
  </si>
  <si>
    <t>23784</t>
  </si>
  <si>
    <t>23959</t>
  </si>
  <si>
    <t>24100</t>
  </si>
  <si>
    <t>24116</t>
  </si>
  <si>
    <t>24121</t>
  </si>
  <si>
    <t>24122</t>
  </si>
  <si>
    <t>24125</t>
  </si>
  <si>
    <t>24137</t>
  </si>
  <si>
    <t>24148</t>
  </si>
  <si>
    <t>24276</t>
  </si>
  <si>
    <t>24313</t>
  </si>
  <si>
    <t>24571</t>
  </si>
  <si>
    <t>24704</t>
  </si>
  <si>
    <t>24719</t>
  </si>
  <si>
    <t>24722</t>
  </si>
  <si>
    <t>24732</t>
  </si>
  <si>
    <t>25009</t>
  </si>
  <si>
    <t>25122</t>
  </si>
  <si>
    <t>25143</t>
  </si>
  <si>
    <t>25172</t>
  </si>
  <si>
    <t>25214</t>
  </si>
  <si>
    <t>25223</t>
  </si>
  <si>
    <t>25230</t>
  </si>
  <si>
    <t>25287</t>
  </si>
  <si>
    <t>25293</t>
  </si>
  <si>
    <t>25315</t>
  </si>
  <si>
    <t>25406</t>
  </si>
  <si>
    <t>25452</t>
  </si>
  <si>
    <t>25556</t>
  </si>
  <si>
    <t>25557</t>
  </si>
  <si>
    <t>25558</t>
  </si>
  <si>
    <t>25742</t>
  </si>
  <si>
    <t>25860</t>
  </si>
  <si>
    <t>25929</t>
  </si>
  <si>
    <t>25967</t>
  </si>
  <si>
    <t>26362</t>
  </si>
  <si>
    <t>26650</t>
  </si>
  <si>
    <t>26872</t>
  </si>
  <si>
    <t>27327</t>
  </si>
  <si>
    <t>27904</t>
  </si>
  <si>
    <t>28337</t>
  </si>
  <si>
    <t>28450</t>
  </si>
  <si>
    <t>28601</t>
  </si>
  <si>
    <t>28608</t>
  </si>
  <si>
    <t>28613</t>
  </si>
  <si>
    <t>28661</t>
  </si>
  <si>
    <t>28776</t>
  </si>
  <si>
    <t>28777</t>
  </si>
  <si>
    <t>28856</t>
  </si>
  <si>
    <t>28957</t>
  </si>
  <si>
    <t>28965</t>
  </si>
  <si>
    <t>28967</t>
  </si>
  <si>
    <t>29000</t>
  </si>
  <si>
    <t>29001</t>
  </si>
  <si>
    <t>29020</t>
  </si>
  <si>
    <t>29151</t>
  </si>
  <si>
    <t>29208</t>
  </si>
  <si>
    <t>29409</t>
  </si>
  <si>
    <t>29429</t>
  </si>
  <si>
    <t>29496</t>
  </si>
  <si>
    <t>29524</t>
  </si>
  <si>
    <t>29633</t>
  </si>
  <si>
    <t>29738</t>
  </si>
  <si>
    <t>30352</t>
  </si>
  <si>
    <t>30407</t>
  </si>
  <si>
    <t>30436</t>
  </si>
  <si>
    <t>30465</t>
  </si>
  <si>
    <t>30589</t>
  </si>
  <si>
    <t>30697</t>
  </si>
  <si>
    <t>30854</t>
  </si>
  <si>
    <t>30978</t>
  </si>
  <si>
    <t>31108</t>
  </si>
  <si>
    <t>31149</t>
  </si>
  <si>
    <t>31363</t>
  </si>
  <si>
    <t>31368</t>
  </si>
  <si>
    <t>31453</t>
  </si>
  <si>
    <t>31488</t>
  </si>
  <si>
    <t>31719</t>
  </si>
  <si>
    <t>31721</t>
  </si>
  <si>
    <t>31788</t>
  </si>
  <si>
    <t>31858</t>
  </si>
  <si>
    <t>32213</t>
  </si>
  <si>
    <t>32251</t>
  </si>
  <si>
    <t>32252</t>
  </si>
  <si>
    <t>32267</t>
  </si>
  <si>
    <t>32610</t>
  </si>
  <si>
    <t>32618</t>
  </si>
  <si>
    <t>32711</t>
  </si>
  <si>
    <t>32713</t>
  </si>
  <si>
    <t>33009</t>
  </si>
  <si>
    <t>33201</t>
  </si>
  <si>
    <t>33219</t>
  </si>
  <si>
    <t>33265</t>
  </si>
  <si>
    <t>33268</t>
  </si>
  <si>
    <t>33281</t>
  </si>
  <si>
    <t>33373</t>
  </si>
  <si>
    <t>33374</t>
  </si>
  <si>
    <t>33511</t>
  </si>
  <si>
    <t>33849</t>
  </si>
  <si>
    <t>34052</t>
  </si>
  <si>
    <t>34343</t>
  </si>
  <si>
    <t>34975</t>
  </si>
  <si>
    <t>34998</t>
  </si>
  <si>
    <t>35019</t>
  </si>
  <si>
    <t>35040</t>
  </si>
  <si>
    <t>35046</t>
  </si>
  <si>
    <t>35082</t>
  </si>
  <si>
    <t>35686</t>
  </si>
  <si>
    <t>35709</t>
  </si>
  <si>
    <t>35719</t>
  </si>
  <si>
    <t>36271</t>
  </si>
  <si>
    <t>36412</t>
  </si>
  <si>
    <t>36413</t>
  </si>
  <si>
    <t>37091</t>
  </si>
  <si>
    <t>37191</t>
  </si>
  <si>
    <t>37227</t>
  </si>
  <si>
    <t>37293</t>
  </si>
  <si>
    <t>37328</t>
  </si>
  <si>
    <t>37398</t>
  </si>
  <si>
    <t>37508</t>
  </si>
  <si>
    <t>37671</t>
  </si>
  <si>
    <t>37672</t>
  </si>
  <si>
    <t>37832</t>
  </si>
  <si>
    <t>38126</t>
  </si>
  <si>
    <t>38234</t>
  </si>
  <si>
    <t>38353</t>
  </si>
  <si>
    <t>38543</t>
  </si>
  <si>
    <t>38594</t>
  </si>
  <si>
    <t>38600</t>
  </si>
  <si>
    <t>38601</t>
  </si>
  <si>
    <t>38666</t>
  </si>
  <si>
    <t>39025</t>
  </si>
  <si>
    <t>39026</t>
  </si>
  <si>
    <t>39027</t>
  </si>
  <si>
    <t>39028</t>
  </si>
  <si>
    <t>39029</t>
  </si>
  <si>
    <t>39305</t>
  </si>
  <si>
    <t>39450</t>
  </si>
  <si>
    <t>39834</t>
  </si>
  <si>
    <t>39835</t>
  </si>
  <si>
    <t>40779</t>
  </si>
  <si>
    <t>40940</t>
  </si>
  <si>
    <t>40942</t>
  </si>
  <si>
    <t>41031</t>
  </si>
  <si>
    <t>41083</t>
  </si>
  <si>
    <t>41090</t>
  </si>
  <si>
    <t>02724</t>
  </si>
  <si>
    <t>06127</t>
  </si>
  <si>
    <t>06564</t>
  </si>
  <si>
    <t>19418</t>
  </si>
  <si>
    <t>19635</t>
  </si>
  <si>
    <t>24248</t>
  </si>
  <si>
    <t>25983</t>
  </si>
  <si>
    <t>26054</t>
  </si>
  <si>
    <t>41295</t>
  </si>
  <si>
    <t>10428</t>
  </si>
  <si>
    <t>17045</t>
  </si>
  <si>
    <t>18164</t>
  </si>
  <si>
    <t>19840</t>
  </si>
  <si>
    <t>21519</t>
  </si>
  <si>
    <t>38175</t>
  </si>
  <si>
    <t>01826</t>
  </si>
  <si>
    <t>02004</t>
  </si>
  <si>
    <t>03451</t>
  </si>
  <si>
    <t>03601</t>
  </si>
  <si>
    <t>04253</t>
  </si>
  <si>
    <t>04469</t>
  </si>
  <si>
    <t>05528</t>
  </si>
  <si>
    <t>05699</t>
  </si>
  <si>
    <t>22211</t>
  </si>
  <si>
    <t>23875</t>
  </si>
  <si>
    <t>40969</t>
  </si>
  <si>
    <t>12010</t>
  </si>
  <si>
    <t>19676</t>
  </si>
  <si>
    <t>32238</t>
  </si>
  <si>
    <t>33269</t>
  </si>
  <si>
    <t>03178</t>
  </si>
  <si>
    <t>04365</t>
  </si>
  <si>
    <t>05970</t>
  </si>
  <si>
    <t>11926</t>
  </si>
  <si>
    <t>18520</t>
  </si>
  <si>
    <t>25302</t>
  </si>
  <si>
    <t>28491</t>
  </si>
  <si>
    <t>30714</t>
  </si>
  <si>
    <t>39083</t>
  </si>
  <si>
    <t>10248</t>
  </si>
  <si>
    <t>11455</t>
  </si>
  <si>
    <t>17483</t>
  </si>
  <si>
    <t>20284</t>
  </si>
  <si>
    <t>25228</t>
  </si>
  <si>
    <t>05345</t>
  </si>
  <si>
    <t>23126</t>
  </si>
  <si>
    <t>25378</t>
  </si>
  <si>
    <t>27629</t>
  </si>
  <si>
    <t>27804</t>
  </si>
  <si>
    <t>40323</t>
  </si>
  <si>
    <t>21878</t>
  </si>
  <si>
    <t>03431</t>
  </si>
  <si>
    <t>05638</t>
  </si>
  <si>
    <t>10482</t>
  </si>
  <si>
    <t>17040</t>
  </si>
  <si>
    <t>18369</t>
  </si>
  <si>
    <t>18383</t>
  </si>
  <si>
    <t>25200</t>
  </si>
  <si>
    <t>25210</t>
  </si>
  <si>
    <t>25559</t>
  </si>
  <si>
    <t>28412</t>
  </si>
  <si>
    <t>30437</t>
  </si>
  <si>
    <t>33521</t>
  </si>
  <si>
    <t>00202</t>
  </si>
  <si>
    <t>00914</t>
  </si>
  <si>
    <t>19347</t>
  </si>
  <si>
    <t>22483</t>
  </si>
  <si>
    <t>26938</t>
  </si>
  <si>
    <t>28551</t>
  </si>
  <si>
    <t>42726</t>
  </si>
  <si>
    <t>42727</t>
  </si>
  <si>
    <t>42728</t>
  </si>
  <si>
    <t>42729</t>
  </si>
  <si>
    <t>42730</t>
  </si>
  <si>
    <t>42731</t>
  </si>
  <si>
    <t>42732</t>
  </si>
  <si>
    <t>00670</t>
  </si>
  <si>
    <t>00786</t>
  </si>
  <si>
    <t>01930</t>
  </si>
  <si>
    <t>02031</t>
  </si>
  <si>
    <t>04415</t>
  </si>
  <si>
    <t>04420</t>
  </si>
  <si>
    <t>12023</t>
  </si>
  <si>
    <t>15360</t>
  </si>
  <si>
    <t>21015</t>
  </si>
  <si>
    <t>28060</t>
  </si>
  <si>
    <t>28417</t>
  </si>
  <si>
    <t>01032</t>
  </si>
  <si>
    <t>40491</t>
  </si>
  <si>
    <t>41927</t>
  </si>
  <si>
    <t>42638</t>
  </si>
  <si>
    <t>42639</t>
  </si>
  <si>
    <t>43518</t>
  </si>
  <si>
    <t>35072</t>
  </si>
  <si>
    <t>32004</t>
  </si>
  <si>
    <t>12019</t>
  </si>
  <si>
    <t>00958</t>
  </si>
  <si>
    <t>10246</t>
  </si>
  <si>
    <t>28389</t>
  </si>
  <si>
    <t>30031</t>
  </si>
  <si>
    <t>32325</t>
  </si>
  <si>
    <t>34533</t>
  </si>
  <si>
    <t>12228</t>
  </si>
  <si>
    <t>22227</t>
  </si>
  <si>
    <t>24802</t>
  </si>
  <si>
    <t>02202</t>
  </si>
  <si>
    <t>30144</t>
  </si>
  <si>
    <t>15225</t>
  </si>
  <si>
    <t>23249</t>
  </si>
  <si>
    <t>03964</t>
  </si>
  <si>
    <t>28896</t>
  </si>
  <si>
    <t>19167</t>
  </si>
  <si>
    <t>05919</t>
  </si>
  <si>
    <t>20085</t>
  </si>
  <si>
    <t>12414</t>
  </si>
  <si>
    <t>20515</t>
  </si>
  <si>
    <t>04644</t>
  </si>
  <si>
    <t>18726</t>
  </si>
  <si>
    <t>21613</t>
  </si>
  <si>
    <t>23127</t>
  </si>
  <si>
    <t>23234</t>
  </si>
  <si>
    <t>29264</t>
  </si>
  <si>
    <t>29689</t>
  </si>
  <si>
    <t>29692</t>
  </si>
  <si>
    <t>29804</t>
  </si>
  <si>
    <t>29891</t>
  </si>
  <si>
    <t>29965</t>
  </si>
  <si>
    <t>29966</t>
  </si>
  <si>
    <t>30500</t>
  </si>
  <si>
    <t>31590</t>
  </si>
  <si>
    <t>32268</t>
  </si>
  <si>
    <t>32269</t>
  </si>
  <si>
    <t>32270</t>
  </si>
  <si>
    <t>35583</t>
  </si>
  <si>
    <t>43121</t>
  </si>
  <si>
    <t>43863</t>
  </si>
  <si>
    <t>43902</t>
  </si>
  <si>
    <t>44106</t>
  </si>
  <si>
    <t>00946</t>
  </si>
  <si>
    <t>15287</t>
  </si>
  <si>
    <t>24652</t>
  </si>
  <si>
    <t>33773</t>
  </si>
  <si>
    <t>21750</t>
  </si>
  <si>
    <t>18057</t>
  </si>
  <si>
    <t>29634</t>
  </si>
  <si>
    <t>23063</t>
  </si>
  <si>
    <t>18671</t>
  </si>
  <si>
    <t>43969</t>
  </si>
  <si>
    <t>43898</t>
  </si>
  <si>
    <t>20775</t>
  </si>
  <si>
    <t>18682</t>
  </si>
  <si>
    <t>29849</t>
  </si>
  <si>
    <t>30498</t>
  </si>
  <si>
    <t>38955</t>
  </si>
  <si>
    <t>41678</t>
  </si>
  <si>
    <t>41694</t>
  </si>
  <si>
    <t>43982</t>
  </si>
  <si>
    <t>44064</t>
  </si>
  <si>
    <t>44068</t>
  </si>
  <si>
    <t>19312</t>
  </si>
  <si>
    <t>25279</t>
  </si>
  <si>
    <t>26371</t>
  </si>
  <si>
    <t>29930</t>
  </si>
  <si>
    <t>30142</t>
  </si>
  <si>
    <t>38707</t>
  </si>
  <si>
    <t>43815</t>
  </si>
  <si>
    <t>43816</t>
  </si>
  <si>
    <t>05106</t>
  </si>
  <si>
    <t>16640</t>
  </si>
  <si>
    <t>19491</t>
  </si>
  <si>
    <t>19492</t>
  </si>
  <si>
    <t>25084</t>
  </si>
  <si>
    <t>25212</t>
  </si>
  <si>
    <t>25389</t>
  </si>
  <si>
    <t>35343</t>
  </si>
  <si>
    <t>43917</t>
  </si>
  <si>
    <t>43932</t>
  </si>
  <si>
    <t>44390</t>
  </si>
  <si>
    <t>44435</t>
  </si>
  <si>
    <t>44437</t>
  </si>
  <si>
    <t>24372</t>
  </si>
  <si>
    <t>01274</t>
  </si>
  <si>
    <t>04000</t>
  </si>
  <si>
    <t>11909</t>
  </si>
  <si>
    <t>19125</t>
  </si>
  <si>
    <t>20707</t>
  </si>
  <si>
    <t>22727</t>
  </si>
  <si>
    <t>23112</t>
  </si>
  <si>
    <t>24331</t>
  </si>
  <si>
    <t>25530</t>
  </si>
  <si>
    <t>25988</t>
  </si>
  <si>
    <t>30371</t>
  </si>
  <si>
    <t>32633</t>
  </si>
  <si>
    <t>38027</t>
  </si>
  <si>
    <t>00071</t>
  </si>
  <si>
    <t>04289</t>
  </si>
  <si>
    <t>04292</t>
  </si>
  <si>
    <t>11920</t>
  </si>
  <si>
    <t>20875</t>
  </si>
  <si>
    <t>21286</t>
  </si>
  <si>
    <t>22229</t>
  </si>
  <si>
    <t>23948</t>
  </si>
  <si>
    <t>25832</t>
  </si>
  <si>
    <t>25845</t>
  </si>
  <si>
    <t>27277</t>
  </si>
  <si>
    <t>29164</t>
  </si>
  <si>
    <t>32720</t>
  </si>
  <si>
    <t>33454</t>
  </si>
  <si>
    <t>37235</t>
  </si>
  <si>
    <t>37418</t>
  </si>
  <si>
    <t>37465</t>
  </si>
  <si>
    <t>40225</t>
  </si>
  <si>
    <t>44250</t>
  </si>
  <si>
    <t>44836</t>
  </si>
  <si>
    <t>44838</t>
  </si>
  <si>
    <t>00639</t>
  </si>
  <si>
    <t>05527</t>
  </si>
  <si>
    <t>10370</t>
  </si>
  <si>
    <t>24718</t>
  </si>
  <si>
    <t>34569</t>
  </si>
  <si>
    <t>36965</t>
  </si>
  <si>
    <t>38085</t>
  </si>
  <si>
    <t>39932</t>
  </si>
  <si>
    <t>39934</t>
  </si>
  <si>
    <t>42920</t>
  </si>
  <si>
    <t>42921</t>
  </si>
  <si>
    <t>45071</t>
  </si>
  <si>
    <t>45074</t>
  </si>
  <si>
    <t>45204</t>
  </si>
  <si>
    <t>00226</t>
  </si>
  <si>
    <t>03182</t>
  </si>
  <si>
    <t>10249</t>
  </si>
  <si>
    <t>17039</t>
  </si>
  <si>
    <t>17047</t>
  </si>
  <si>
    <t>19114</t>
  </si>
  <si>
    <t>24020</t>
  </si>
  <si>
    <t>29484</t>
  </si>
  <si>
    <t>37326</t>
  </si>
  <si>
    <t>42676</t>
  </si>
  <si>
    <t>45221</t>
  </si>
  <si>
    <t>05645</t>
  </si>
  <si>
    <t>15232</t>
  </si>
  <si>
    <t>17049</t>
  </si>
  <si>
    <t>19221</t>
  </si>
  <si>
    <t>23592</t>
  </si>
  <si>
    <t>24236</t>
  </si>
  <si>
    <t>26898</t>
  </si>
  <si>
    <t>29376</t>
  </si>
  <si>
    <t>31067</t>
  </si>
  <si>
    <t>32237</t>
  </si>
  <si>
    <t>35315</t>
  </si>
  <si>
    <t>38680</t>
  </si>
  <si>
    <t>39453</t>
  </si>
  <si>
    <t>08136</t>
  </si>
  <si>
    <t>10301</t>
  </si>
  <si>
    <t>15233</t>
  </si>
  <si>
    <t>22454</t>
  </si>
  <si>
    <t>25873</t>
  </si>
  <si>
    <t>25874</t>
  </si>
  <si>
    <t>26952</t>
  </si>
  <si>
    <t>28341</t>
  </si>
  <si>
    <t>28451</t>
  </si>
  <si>
    <t>35249</t>
  </si>
  <si>
    <t>42512</t>
  </si>
  <si>
    <t>42754</t>
  </si>
  <si>
    <t>45236</t>
  </si>
  <si>
    <t>15224</t>
  </si>
  <si>
    <t>25008</t>
  </si>
  <si>
    <t>30183</t>
  </si>
  <si>
    <t>34703</t>
  </si>
  <si>
    <t>37809</t>
  </si>
  <si>
    <t>02554</t>
  </si>
  <si>
    <t>11905</t>
  </si>
  <si>
    <t>19879</t>
  </si>
  <si>
    <t>20224</t>
  </si>
  <si>
    <t>22088</t>
  </si>
  <si>
    <t>31906</t>
  </si>
  <si>
    <t>33452</t>
  </si>
  <si>
    <t>08140</t>
  </si>
  <si>
    <t>16826</t>
  </si>
  <si>
    <t>19345</t>
  </si>
  <si>
    <t>24014</t>
  </si>
  <si>
    <t>25609</t>
  </si>
  <si>
    <t>28655</t>
  </si>
  <si>
    <t>41486</t>
  </si>
  <si>
    <t>41719</t>
  </si>
  <si>
    <t>43270</t>
  </si>
  <si>
    <t>02666</t>
  </si>
  <si>
    <t>05876</t>
  </si>
  <si>
    <t>11048</t>
  </si>
  <si>
    <t>11778</t>
  </si>
  <si>
    <t>21900</t>
  </si>
  <si>
    <t>22166</t>
  </si>
  <si>
    <t>23096</t>
  </si>
  <si>
    <t>29995</t>
  </si>
  <si>
    <t>30818</t>
  </si>
  <si>
    <t>32061</t>
  </si>
  <si>
    <t>33354</t>
  </si>
  <si>
    <t>36717</t>
  </si>
  <si>
    <t>36805</t>
  </si>
  <si>
    <t>39080</t>
  </si>
  <si>
    <t>39992</t>
  </si>
  <si>
    <t>41339</t>
  </si>
  <si>
    <t>41998</t>
  </si>
  <si>
    <t>46472</t>
  </si>
  <si>
    <t>46588</t>
  </si>
  <si>
    <t>46827</t>
  </si>
  <si>
    <t>46884</t>
  </si>
  <si>
    <t>46885</t>
  </si>
  <si>
    <t>46886</t>
  </si>
  <si>
    <t>Stock</t>
  </si>
  <si>
    <t>ACICLOVIR</t>
  </si>
  <si>
    <t>200 mg</t>
  </si>
  <si>
    <t>TABLETA</t>
  </si>
  <si>
    <t/>
  </si>
  <si>
    <t>NORMO STOCK</t>
  </si>
  <si>
    <t>ACICLOVIR (COMO SAL SODICA)</t>
  </si>
  <si>
    <t>250 mg</t>
  </si>
  <si>
    <t>INYECTABLE</t>
  </si>
  <si>
    <t>10 mL</t>
  </si>
  <si>
    <t>No Rota</t>
  </si>
  <si>
    <t>ACIDO ACETILSALICILICO</t>
  </si>
  <si>
    <t>100 mg</t>
  </si>
  <si>
    <t>ACIDO FOLICO</t>
  </si>
  <si>
    <t>500 µg (0.5 mg)</t>
  </si>
  <si>
    <t>ACIDO FOLICO + FERROSO SULFATO (Equiv. de Hierro elemental)</t>
  </si>
  <si>
    <t>400 µg + 60 mg Fe</t>
  </si>
  <si>
    <t>SOBRE STOCK</t>
  </si>
  <si>
    <t>ACIDO TRANEXAMICO</t>
  </si>
  <si>
    <t>1 g</t>
  </si>
  <si>
    <t>SUB STOCK</t>
  </si>
  <si>
    <t>ACIDO URSODEOXICOLICO</t>
  </si>
  <si>
    <t>42967</t>
  </si>
  <si>
    <t>ACIDOS GRASOS HIPEROXIGENADOS SOLUCION</t>
  </si>
  <si>
    <t>SOLUCION</t>
  </si>
  <si>
    <t>X 30 mL</t>
  </si>
  <si>
    <t>ADENOSINA</t>
  </si>
  <si>
    <t>6 mg/2 mL</t>
  </si>
  <si>
    <t>2 mL</t>
  </si>
  <si>
    <t>31569</t>
  </si>
  <si>
    <t>ADHESIVO FOTOCURABLE DE RESINA X 6 g</t>
  </si>
  <si>
    <t>UNIDAD</t>
  </si>
  <si>
    <t>DESABASTECIDO</t>
  </si>
  <si>
    <t>AEROCAMARA DE PLASTICO ADULTO</t>
  </si>
  <si>
    <t>AEROCAMARA DE PLASTICO LACTANTE</t>
  </si>
  <si>
    <t>AGUA PARA INYECCION</t>
  </si>
  <si>
    <t>1 L</t>
  </si>
  <si>
    <t>AGUJA DE AMNIOCENTESIS CON TUBO CENTIMETRADO DESCARTABLE Nº 21 G X 150 mm</t>
  </si>
  <si>
    <t>AGUJA DENTAL TIPO CARPULE DESCARTABLE Nº 27 G X 1"</t>
  </si>
  <si>
    <t>AGUJA EPIDURAL DESCARTABLE N° 18 G X 3 1/4"</t>
  </si>
  <si>
    <t>AGUJA ESPINAL DESCARTABLE 27 G X 3 1/2"</t>
  </si>
  <si>
    <t>AGUJA ESPINAL DESCARTABLE 27 G X 4 11/16"</t>
  </si>
  <si>
    <t>AGUJA HIPODERMICA DESCARTABLE N° 18 G X 1 1/2"</t>
  </si>
  <si>
    <t>AGUJA HIPODERMICA DESCARTABLE N° 20 G X 1"</t>
  </si>
  <si>
    <t>AGUJA HIPODERMICA DESCARTABLE N° 23 G X 1"</t>
  </si>
  <si>
    <t>AGUJA PARA BIOPSIA DE MAMA DESCARTABLE 14 G X 10 cm DE 2 PROFUNDIDADES</t>
  </si>
  <si>
    <t>30526</t>
  </si>
  <si>
    <t>AGUJA PARA JERINGA DE INSULINA TIPO LAPICERO Nº 31 G X 3/16"</t>
  </si>
  <si>
    <t>ALBENDAZOL</t>
  </si>
  <si>
    <t>100 mg/5 mL</t>
  </si>
  <si>
    <t>SUSPENSION</t>
  </si>
  <si>
    <t>20 mL</t>
  </si>
  <si>
    <t>ALBUMINA HUMANA</t>
  </si>
  <si>
    <t>20 g/100 mL</t>
  </si>
  <si>
    <t>50 mL</t>
  </si>
  <si>
    <t>46149</t>
  </si>
  <si>
    <t>ALCOHOL ETILICO (ETANOL)</t>
  </si>
  <si>
    <t xml:space="preserve"> 70º </t>
  </si>
  <si>
    <t>1 GALON</t>
  </si>
  <si>
    <t xml:space="preserve">ALCOHOL ETILICO (ETANOL) </t>
  </si>
  <si>
    <t>96°</t>
  </si>
  <si>
    <t>44150</t>
  </si>
  <si>
    <t xml:space="preserve"> 96º</t>
  </si>
  <si>
    <t xml:space="preserve">GALON </t>
  </si>
  <si>
    <t>70°</t>
  </si>
  <si>
    <t>ALGODON HIDROFILO</t>
  </si>
  <si>
    <t>100 g</t>
  </si>
  <si>
    <t>25 g</t>
  </si>
  <si>
    <t>50 g</t>
  </si>
  <si>
    <t>500 g</t>
  </si>
  <si>
    <t xml:space="preserve">ALIMENTO NUTRICIONAL ISOTONICO CON TCM PARA ADULTO </t>
  </si>
  <si>
    <t>500 mL</t>
  </si>
  <si>
    <t>10256</t>
  </si>
  <si>
    <t>ALITA DESCARTABLE N° 21 G X 3/4"</t>
  </si>
  <si>
    <t xml:space="preserve">ALPRAZOLAM </t>
  </si>
  <si>
    <t xml:space="preserve">500 µg (0.5 mg) </t>
  </si>
  <si>
    <t>ALPROSTADIL</t>
  </si>
  <si>
    <t>500 µg/mL</t>
  </si>
  <si>
    <t>1 mL</t>
  </si>
  <si>
    <t>ALUMINIO HIDROXIDO + MAGNESIO HIDROXIDO</t>
  </si>
  <si>
    <t>400 + 400 mg/5 mL</t>
  </si>
  <si>
    <t>150 mL</t>
  </si>
  <si>
    <t xml:space="preserve">AMFOTERICINA B </t>
  </si>
  <si>
    <t>50 mg</t>
  </si>
  <si>
    <t>AMIKACINA (COMO SULFATO)</t>
  </si>
  <si>
    <t>250 mg/ mL</t>
  </si>
  <si>
    <t>50 mg/mL</t>
  </si>
  <si>
    <t>00638</t>
  </si>
  <si>
    <t xml:space="preserve">AMINOACIDOS </t>
  </si>
  <si>
    <t>10 %</t>
  </si>
  <si>
    <t>250 mL</t>
  </si>
  <si>
    <t>AMINOFILINA</t>
  </si>
  <si>
    <t>25 mg/mL</t>
  </si>
  <si>
    <t>AMIODARONA CLORHIDRATO</t>
  </si>
  <si>
    <t>3 mL</t>
  </si>
  <si>
    <t>AMLODIPINO (COMO BESILATO)</t>
  </si>
  <si>
    <t>10 mg</t>
  </si>
  <si>
    <t>5 mg</t>
  </si>
  <si>
    <t>AMOXICILINA</t>
  </si>
  <si>
    <t>250 mg/5 mL</t>
  </si>
  <si>
    <t>120 mL</t>
  </si>
  <si>
    <t>60 mL</t>
  </si>
  <si>
    <t>500 mg</t>
  </si>
  <si>
    <t>AMOXICILINA + ACIDO CLAVULANICO (COMO SAL POTASICA)</t>
  </si>
  <si>
    <t>250 mg + 62.5 mg/5 mL</t>
  </si>
  <si>
    <t>500 mg + 125 mg</t>
  </si>
  <si>
    <t>AMPICILINA (COMO SAL SODICA) + SULBACTAM (COMO SAL SODICA)</t>
  </si>
  <si>
    <t>1 g + 500 mg</t>
  </si>
  <si>
    <t>AMPICILINA SODICA</t>
  </si>
  <si>
    <t>32350</t>
  </si>
  <si>
    <t>APOSITO DE ESPUMA HIDROFILICA (POLIURETANO) ADHESIVO ESTERIL 15 cm X 15 cm</t>
  </si>
  <si>
    <t>APOSITO DE GASA Y ALGODON ESTERIL 10 cm X 10 cm</t>
  </si>
  <si>
    <t>APOSITO DE GASA Y ALGODON ESTERIL 10 cm X 20 cm</t>
  </si>
  <si>
    <t>41633</t>
  </si>
  <si>
    <t>APOSITO DE HIDROFIBRA CON PLATA IONICA 1.2 % + ACIDO ETILENEDIAMINETETRA ACETICO (EDTA) + CLORURO DE BENZETONIO (Be</t>
  </si>
  <si>
    <t>15 cm X 15 cm</t>
  </si>
  <si>
    <t>APOSITO HIDROCOLOIDE 10 cm X 10 cm</t>
  </si>
  <si>
    <t>APOSITO HIDROCOLOIDE 15 cm X 15 cm</t>
  </si>
  <si>
    <t>22357</t>
  </si>
  <si>
    <t>APOSITO HIDROCOLOIDE EXTRAFINO 10 cm X 10 cm</t>
  </si>
  <si>
    <t>10299</t>
  </si>
  <si>
    <t>APOSITO TRANSPARENTE ADHESIVO 10 cm X 12 cm</t>
  </si>
  <si>
    <t>APOSITO TRANSPARENTE ADHESIVO 4 cm X 4 cm</t>
  </si>
  <si>
    <t>APOSITO TRANSPARENTE ADHESIVO 6 cm X 7 cm</t>
  </si>
  <si>
    <t>APOSITO TRANSPARENTE CON GLUCONATO DE CLORHEXIDINA 8.5 cm X 11.5 cm</t>
  </si>
  <si>
    <t xml:space="preserve">ATAZANAVIR + RITONAVIR </t>
  </si>
  <si>
    <t>300 mg + 100 mg</t>
  </si>
  <si>
    <t>ATENOLOL</t>
  </si>
  <si>
    <t>00903</t>
  </si>
  <si>
    <t>ATORVASTATINA (COMO SAL CALCICA)</t>
  </si>
  <si>
    <t>20 mg</t>
  </si>
  <si>
    <t>00904</t>
  </si>
  <si>
    <t>40 mg</t>
  </si>
  <si>
    <t>00910</t>
  </si>
  <si>
    <t>ATROPINA SULFATO</t>
  </si>
  <si>
    <t>1 mg/mL</t>
  </si>
  <si>
    <t>500 µg/mL (0.5 mg/mL)</t>
  </si>
  <si>
    <t>ATROPINA SULFATO (SOLUCION OFTALMICA)</t>
  </si>
  <si>
    <t>10 mg/mL (1 %)</t>
  </si>
  <si>
    <t>5 mL</t>
  </si>
  <si>
    <t>AZITROMICINA</t>
  </si>
  <si>
    <t>200 mg/5 mL</t>
  </si>
  <si>
    <t>AZTREONAM</t>
  </si>
  <si>
    <t>BACLOFENO</t>
  </si>
  <si>
    <t>BECLOMETASONA DIPROPIONATO</t>
  </si>
  <si>
    <t>250 µg/DOSIS</t>
  </si>
  <si>
    <t>AEROSOL</t>
  </si>
  <si>
    <t>200 DOSIS</t>
  </si>
  <si>
    <t>BENCILPENICILINA BENZATINA</t>
  </si>
  <si>
    <t>1200000 UI</t>
  </si>
  <si>
    <t>BENCILPENICILINA BENZATINA CON DILUYENTE</t>
  </si>
  <si>
    <t>2400000 UI</t>
  </si>
  <si>
    <t>BENCILPENICILINA SODICA</t>
  </si>
  <si>
    <t>1000000 UI</t>
  </si>
  <si>
    <t>BENCILPENICILINA SODICA CON DILUYENTE</t>
  </si>
  <si>
    <t>BENCINA RECTIFICADA</t>
  </si>
  <si>
    <t>BENZOATO DE BENCILO</t>
  </si>
  <si>
    <t>25 g/100 mL (25 %)</t>
  </si>
  <si>
    <t>LOCION</t>
  </si>
  <si>
    <t>BETAMETASONA (COMO DIPROPIONATO)</t>
  </si>
  <si>
    <t>50 mg/100 g (0.05 %)</t>
  </si>
  <si>
    <t>CREMA</t>
  </si>
  <si>
    <t>20 g</t>
  </si>
  <si>
    <t>BETAMETASONA (COMO FOSFATO SODICO)</t>
  </si>
  <si>
    <t>4 mg/mL</t>
  </si>
  <si>
    <t>18213</t>
  </si>
  <si>
    <t>BETAMETASONA DIPROPIONATO</t>
  </si>
  <si>
    <t>50 mg/100 g</t>
  </si>
  <si>
    <t>BIPERIDENO CLORHIDRATO</t>
  </si>
  <si>
    <t>2 mg</t>
  </si>
  <si>
    <t>BISOPROLOL FUMARATO</t>
  </si>
  <si>
    <t>BOLSA  DE TRANSFERENCIA DE PLASMA 300 mL</t>
  </si>
  <si>
    <t>BOLSA COLECTORA DE ORINA X 100 mL</t>
  </si>
  <si>
    <t>BOLSA COLECTORA DE ORINA X 2 L</t>
  </si>
  <si>
    <t>BOLSA COLECTORA DE SANGRE CUADRUPLE X 450 mL CON MANITOL</t>
  </si>
  <si>
    <t>BOLSA DE COLOSTOMIA ADULTO</t>
  </si>
  <si>
    <t>BOLSA DE COLOSTOMIA NEONATAL</t>
  </si>
  <si>
    <t>BOLSA DE NUTRICION PARENTERAL 1 L</t>
  </si>
  <si>
    <t>18326</t>
  </si>
  <si>
    <t>BOLSA DE NUTRICION PARENTERAL 250 mL</t>
  </si>
  <si>
    <t>BOLSA DE NUTRICION PARENTERAL X 150 mL</t>
  </si>
  <si>
    <t>BOLSA PARA NUTRICION ENTERAL X 1.5 L</t>
  </si>
  <si>
    <t>BOLSA PARA NUTRICION PARENTERAL X 3 L</t>
  </si>
  <si>
    <t>BOLSA PARA NUTRICION PARENTERAL X 500 mL</t>
  </si>
  <si>
    <t>BOMBA DE INFUSIÓN ELASTOMÉRICA FLUJO CONTINUO 100 mL DESCARTABLE</t>
  </si>
  <si>
    <t>BOMBILLA DE ASPIRACION N° 6</t>
  </si>
  <si>
    <t>BOTA DESCARTABLE</t>
  </si>
  <si>
    <t>PAR</t>
  </si>
  <si>
    <t>33357</t>
  </si>
  <si>
    <t>BOTA DESCARTABLE ANTIDESLIZANTE</t>
  </si>
  <si>
    <t>BRAZALETE DE IDENTIFICACION PARA NIÑO (CELESTE)</t>
  </si>
  <si>
    <t>BRAZALETE DE IDENTIFICACION PARA RECIEN NACIDO (BLANCO)</t>
  </si>
  <si>
    <t>BROMOCRIPTINA (COMO MESILATO)</t>
  </si>
  <si>
    <t>2.5 mg</t>
  </si>
  <si>
    <t>BROMURO DE IPRATROPIO</t>
  </si>
  <si>
    <t>20 µg/Dosis</t>
  </si>
  <si>
    <t>BROMURO DE ROCURONIO</t>
  </si>
  <si>
    <t>10 mg/mL</t>
  </si>
  <si>
    <t>26361</t>
  </si>
  <si>
    <t>BROMURO DE VECURONIO</t>
  </si>
  <si>
    <t>4 mg</t>
  </si>
  <si>
    <t>BUDESONIDA</t>
  </si>
  <si>
    <t>200 µg/DOSIS</t>
  </si>
  <si>
    <t>BUPIVACAINA CLORHIDRATO (SIN PRESERVANTES)</t>
  </si>
  <si>
    <t>5 mg/mL (0.5 %)</t>
  </si>
  <si>
    <t>BUPIVACAINA CLORHIDRATO + DEXTROSA</t>
  </si>
  <si>
    <t>20 mg + 320 mg</t>
  </si>
  <si>
    <t>4 mL</t>
  </si>
  <si>
    <t>BURETA DE ACETATO DE CELULOSA PARA NUTRICION PARENTERAL DE 150 mL</t>
  </si>
  <si>
    <t xml:space="preserve">CABERGOLINA </t>
  </si>
  <si>
    <t>CAFEINA CITRATO</t>
  </si>
  <si>
    <t>20 mg/mL</t>
  </si>
  <si>
    <t>CALCIO GLUCONATO</t>
  </si>
  <si>
    <t>100 mg/mL (Equiv. a 8.4 mg/mL de Calc</t>
  </si>
  <si>
    <t>CÁMARA HUMIFICADORA DESCARTABLE PÚA CON AGUJERO</t>
  </si>
  <si>
    <t>CANULA ADULTO PARA TERAPIA DE ALTO FLUJO TALLA M</t>
  </si>
  <si>
    <t>CANULA BINASAL PARA OXIGENO ADULTO</t>
  </si>
  <si>
    <t>CANULA BINASAL PARA OXIGENO NEONATO</t>
  </si>
  <si>
    <t>CANULA BINASAL PARA OXIGENO PEDIATRICO</t>
  </si>
  <si>
    <t>CANULA PARA TRAQUEOSTOMIA Nº 3 X 30 mm</t>
  </si>
  <si>
    <t>CANULA PARA TRAQUEOSTOMIA Nº 3.5 X 32 mm</t>
  </si>
  <si>
    <t>CANULA PARA TRAQUEOSTOMIA Nº 3.5 X 40 mm</t>
  </si>
  <si>
    <t>CANULA PARA TRAQUEOSTOMIA Nº 6.5 CON BALON</t>
  </si>
  <si>
    <t>CANULA PARA TRAQUEOSTOMIA Nº 8</t>
  </si>
  <si>
    <t>CAPTOPRIL</t>
  </si>
  <si>
    <t>25 mg</t>
  </si>
  <si>
    <t>CARBAMAZEPINA</t>
  </si>
  <si>
    <t>CARBETOCINA</t>
  </si>
  <si>
    <t>100 ug/mL</t>
  </si>
  <si>
    <t>CARBOMERO</t>
  </si>
  <si>
    <t>200 mg/100 g</t>
  </si>
  <si>
    <t>GEL</t>
  </si>
  <si>
    <t>12 g</t>
  </si>
  <si>
    <t>CARBONATO DE CALCIO</t>
  </si>
  <si>
    <t>1.25 g (Equiv. a 500 mg de Calcio)</t>
  </si>
  <si>
    <t>CARBOXIMALTOSA FERRICA</t>
  </si>
  <si>
    <t>CARETA PROTECTORA DE POLICARBONATO</t>
  </si>
  <si>
    <t>CARTUCHO PARA ANALIZADOR DE GASES ARTERIALES LACTATO</t>
  </si>
  <si>
    <t>CARTUCHO PARA ANALIZADOR DE GASES ARTERIALES Y ELECTROLITOS EG7+</t>
  </si>
  <si>
    <t>CATETER ARTERIAL RADIAL N° 20 G</t>
  </si>
  <si>
    <t>CATÉTER ARTERIAL UMBILICAL UN LUMEN 2.5 FR</t>
  </si>
  <si>
    <t>CATETER ARTERIAL UMBILICAL UN LUMEN 3.5 FR</t>
  </si>
  <si>
    <t>CATETER DE DRENAJE TORAXICO 28 FR + TROCAR</t>
  </si>
  <si>
    <t>CATETER DRENAJE TORAXICO CON TROCAR Nº10 F</t>
  </si>
  <si>
    <t>CATETER DRENAJE TORAXICO Nº8 F</t>
  </si>
  <si>
    <t>CATETER ENDOVENOSO PERIFERICO Nº 18 G X 1 1/4"</t>
  </si>
  <si>
    <t>CATETER ENDOVENOSO PERIFERICO Nº 18 G X 1.16" CON DISPOSITIVO DE BIOSEGURIDAD</t>
  </si>
  <si>
    <t>CATETER ENDOVENOSO PERIFERICO Nº 20 G X 1 1/4" CON DISPOSITIVO DE SEGURIDAD</t>
  </si>
  <si>
    <t xml:space="preserve">CATETER ENDOVENOSO PERIFERICO Nº 24 G X 3/4" CON DISPOSITIVO DE BIOSEGURIDAD </t>
  </si>
  <si>
    <t>CATETER EPIDURAL Nº 20 G X 100 cm</t>
  </si>
  <si>
    <t>CATETER PERCUTANEO 1.9 FR CON AGUJA INTRODUCTORA Nº 26</t>
  </si>
  <si>
    <t>CATETER PERCUTANEO CON INTRODUCTOR PELABLE 2.0 FR</t>
  </si>
  <si>
    <t xml:space="preserve">CATETER UMBILICAL VENOSO </t>
  </si>
  <si>
    <t>4.0 FR</t>
  </si>
  <si>
    <t>5.0 FR</t>
  </si>
  <si>
    <t>CATETER VENOSO CENTRAL DOBLE LUMEN 12 FR X 15 cm DE ALTO FLUJO</t>
  </si>
  <si>
    <t>CATETER VENOSO CENTRAL DOBLE LUMEN 3 FR X 6 cm</t>
  </si>
  <si>
    <t>CATETER VENOSO CENTRAL TRIPLE LUMEN 7 FR X 20 cm</t>
  </si>
  <si>
    <t>23577</t>
  </si>
  <si>
    <t>CATETER VENOSO CENTRAL UN LUMEN 16 G X 13 cm</t>
  </si>
  <si>
    <t>CATETER VENOSO CENTRAL UN LUMEN DE LARGA PERMANENCIA 2.7 FR X 75 cm</t>
  </si>
  <si>
    <t>CATETER VENTRICULAR IMPREGNADO BARIO 23 cm</t>
  </si>
  <si>
    <t>CEFALEXINA</t>
  </si>
  <si>
    <t>CEFAZOLINA (COMO SAL SODICA)</t>
  </si>
  <si>
    <t>CEFOTAXIMA (COMO SAL SODICA)</t>
  </si>
  <si>
    <t>CEFTAZIDIMA</t>
  </si>
  <si>
    <t>CEFTAZIDIMA CON DILUYENTE</t>
  </si>
  <si>
    <t>CEFTRIAXONA SODICA</t>
  </si>
  <si>
    <t>CEFUROXIMA (COMO AXETIL)</t>
  </si>
  <si>
    <t>CHAQUETA DESCARTABLE TALLA L</t>
  </si>
  <si>
    <t>CHAQUETA DESCARTABLE TALLA XL</t>
  </si>
  <si>
    <t>CHAQUETA DESCARTABLE TALLA XXL</t>
  </si>
  <si>
    <t>CHAQUETA Y PANTALON DESCARTABLE TALLA L</t>
  </si>
  <si>
    <t>CHAQUETA Y PANTALON DESCARTABLE TALLA M</t>
  </si>
  <si>
    <t xml:space="preserve">CHAQUETA Y PANTALON DESCARTABLE TALLA XL </t>
  </si>
  <si>
    <t>CILASTATINA + IMIPENEM (COMO SAL SODICA)</t>
  </si>
  <si>
    <t>500 mg + 500 mg</t>
  </si>
  <si>
    <t>CIPROFLOXACINO (COMO CLORHIDRATO)</t>
  </si>
  <si>
    <t>CIPROFLOXACINO (COMO CLORHIDRATO)(SOLUCION OFTALMICA)</t>
  </si>
  <si>
    <t>3 mg/mL (0.3 %)</t>
  </si>
  <si>
    <t>CIPROFLOXACINO (COMO LACTATO)</t>
  </si>
  <si>
    <t>200 mg/100 mL</t>
  </si>
  <si>
    <t>100 mL</t>
  </si>
  <si>
    <t>CIRCUITO CORRUGADO NEONATAL CON TUBO EN "T" PARA VENTILACION A PRESION POSITIVA</t>
  </si>
  <si>
    <t>CLAMP UMBILICAL DESCARTABLE</t>
  </si>
  <si>
    <t>CLARITROMICINA</t>
  </si>
  <si>
    <t>CLINDAMICINA (COMO CLORHIDRATO)</t>
  </si>
  <si>
    <t>300 mg</t>
  </si>
  <si>
    <t>CLINDAMICINA (COMO FOSFATO)</t>
  </si>
  <si>
    <t>600 mg</t>
  </si>
  <si>
    <t>CLIP DE TITANIO M X 6</t>
  </si>
  <si>
    <t>CLIP DE TITANIO TIPO HORIZON ML X 6</t>
  </si>
  <si>
    <t>CLONAZEPAM</t>
  </si>
  <si>
    <t>CLORFENAMINA MALEATO</t>
  </si>
  <si>
    <t>2 mg/5 mL</t>
  </si>
  <si>
    <t>JARABE</t>
  </si>
  <si>
    <t>CLORHEXIDINA</t>
  </si>
  <si>
    <t>4 g/100 mL</t>
  </si>
  <si>
    <t>CLORHEXIDINA GLUCONATO</t>
  </si>
  <si>
    <t>2 g/100 mL</t>
  </si>
  <si>
    <t>CLORURO DE SUXAMETONIO</t>
  </si>
  <si>
    <t>CLOTRIMAZOL</t>
  </si>
  <si>
    <t>1 g/100 g (1 %)</t>
  </si>
  <si>
    <t>1 g/100 mL (1 %)</t>
  </si>
  <si>
    <t>OVULO</t>
  </si>
  <si>
    <t>CODEINA FOSFATO</t>
  </si>
  <si>
    <t>30 mg/mL</t>
  </si>
  <si>
    <t>COLECTOR DE SECRECION BRONQUIAL-SPECIMEN-TRAP 70 mL</t>
  </si>
  <si>
    <t>COLISTINA</t>
  </si>
  <si>
    <t xml:space="preserve">150 mg/ 2mL  </t>
  </si>
  <si>
    <t>38459</t>
  </si>
  <si>
    <t>COLISTINA (COMO COLISTIMETATO DE SODIO)</t>
  </si>
  <si>
    <t xml:space="preserve">150 mg  </t>
  </si>
  <si>
    <t>COMPRESA DE GASA QUIRURGICA 48 cm X 48 cm</t>
  </si>
  <si>
    <t>CONECTOR BIFURCADO CON ADAPTADOR EN Y ADULTO</t>
  </si>
  <si>
    <t>CONECTOR DE CATETER DE DERIVACION VENTRICULO PERITONEAL</t>
  </si>
  <si>
    <t xml:space="preserve">CUBO DE POLIESTIRENO PARA PROTECCION EN LOS PROCESOS DE INTUBACION/EXTUBACION </t>
  </si>
  <si>
    <t>DANAZOL</t>
  </si>
  <si>
    <t>DEXAMETASONA</t>
  </si>
  <si>
    <t>DEXAMETASONA FOSFATO (COMO SAL SODICA)</t>
  </si>
  <si>
    <t>4 mg/2 mL</t>
  </si>
  <si>
    <t>24307</t>
  </si>
  <si>
    <t xml:space="preserve">DEXKETOPROFENO </t>
  </si>
  <si>
    <t>DEXMEDETOMIDINA</t>
  </si>
  <si>
    <t>DEXTROMETORFANO BROMHIDRATO</t>
  </si>
  <si>
    <t>15 mg/5 mL</t>
  </si>
  <si>
    <t>DEXTROSA</t>
  </si>
  <si>
    <t>10 g/100 mL (10 %)</t>
  </si>
  <si>
    <t>333 mg/mL (33 %)</t>
  </si>
  <si>
    <t>5 g/100 mL (5 %)</t>
  </si>
  <si>
    <t>50 g/100 mL (50 %)</t>
  </si>
  <si>
    <t>DIAZEPAM</t>
  </si>
  <si>
    <t>5 mg/mL</t>
  </si>
  <si>
    <t>DICLOFENACO SODICO</t>
  </si>
  <si>
    <t>DICLOXACILINA (COMO SAL SODICA)</t>
  </si>
  <si>
    <t>DIGOXINA</t>
  </si>
  <si>
    <t>250 µg (0.25 mg)</t>
  </si>
  <si>
    <t>DIMENHIDRINATO</t>
  </si>
  <si>
    <t>DINITRATO DE ISOSORBIDA(SUB LINGUAL)</t>
  </si>
  <si>
    <t>DISPOSITIVO INTRAUTERINO CON LEVONORGESTREL 52 mg</t>
  </si>
  <si>
    <t>SISTEMA</t>
  </si>
  <si>
    <t>DISPOSITIVO INTRAUTERINO DE COBRE</t>
  </si>
  <si>
    <t>DOBUTAMINA (COMO CLORHIDRATO)</t>
  </si>
  <si>
    <t>250 mg/20 mL</t>
  </si>
  <si>
    <t>41842</t>
  </si>
  <si>
    <t>DOLUTEGRAVIR + LAMIVUDINA + TENOFOVIR</t>
  </si>
  <si>
    <t>50 mg + 300 mg + 300 mg</t>
  </si>
  <si>
    <t>DOPAMINA CLORHIDRATO</t>
  </si>
  <si>
    <t>40 mg/mL</t>
  </si>
  <si>
    <t xml:space="preserve">DOXICICLINA </t>
  </si>
  <si>
    <t>EFAVIRENZ</t>
  </si>
  <si>
    <t xml:space="preserve">EFAVIRENZ + LAMIVUDINA + TENOFOVIR </t>
  </si>
  <si>
    <t xml:space="preserve">400 mg + 300 mg + 300 mg </t>
  </si>
  <si>
    <t>ELECTRODO CARDIACO PARA ADULTO</t>
  </si>
  <si>
    <t>38984</t>
  </si>
  <si>
    <t>ELECTRODO NEONATAL PARA MONITOR MULTIPARAMETRO</t>
  </si>
  <si>
    <t>EMTRICITABINA + TENOFOVIR</t>
  </si>
  <si>
    <t xml:space="preserve">200 mg + 300 mg </t>
  </si>
  <si>
    <t>ENALAPRIL MALEATO</t>
  </si>
  <si>
    <t>ENOXAPARINA SODICA</t>
  </si>
  <si>
    <t>40 mg/0.4 mL</t>
  </si>
  <si>
    <t>0.4 mL</t>
  </si>
  <si>
    <t>60 mg/0.6 mL</t>
  </si>
  <si>
    <t>0.6 mL</t>
  </si>
  <si>
    <t>ENVASE DE PLASTICO CON TAPA ROSCA PARA ESPUTO 60 mL</t>
  </si>
  <si>
    <t>EPINEFRINA (COMO CLORHIDRATO O TARTRATO)</t>
  </si>
  <si>
    <t>EPOETINA ALFA (ERITROPOYETINA)</t>
  </si>
  <si>
    <t>2000 UI/mL</t>
  </si>
  <si>
    <t>EQUIPO DE TRANSFUSION DE SANGRE</t>
  </si>
  <si>
    <t>EQUIPO DE TRANSFUSION DE SANGRE CON FILTRO</t>
  </si>
  <si>
    <t>EQUIPO DE VENOCLISIS</t>
  </si>
  <si>
    <t>EQUIPO DE VENOCLISIS CON LINEA CLARA PARA BOMBA DE INFUSION</t>
  </si>
  <si>
    <t>EQUIPO DE VENOCLISIS OPACO</t>
  </si>
  <si>
    <t>EQUIPO MICROGOTERO CON CAMARA GRADUADA 150 mL</t>
  </si>
  <si>
    <t>ERGOMETRINA MALEATO</t>
  </si>
  <si>
    <t>200 µg/mL (0.2 mg/mL)</t>
  </si>
  <si>
    <t xml:space="preserve">ERITROMICINA </t>
  </si>
  <si>
    <t>ERITROMICINA</t>
  </si>
  <si>
    <t>ESCOPOLAMINA N-BUTILBROMURO</t>
  </si>
  <si>
    <t xml:space="preserve">ESPECULO VAGINAL DESCARTABLE GRANDE </t>
  </si>
  <si>
    <t>ESPECULO VAGINAL DESCARTABLE MEDIANO</t>
  </si>
  <si>
    <t>26075</t>
  </si>
  <si>
    <t xml:space="preserve">ESPECULO VAGINAL DESCARTABLE PEQUEÑO </t>
  </si>
  <si>
    <t>ESPIROMETRO DESCARTABLE DE PLASTICO DE 3 BOLAS</t>
  </si>
  <si>
    <t>ESPIRONOLACTONA</t>
  </si>
  <si>
    <t>ESPONJA HEMOSTATICA DE CELULOSA 5 cm X 7.5 cm</t>
  </si>
  <si>
    <t xml:space="preserve">ESTRADIOL CIPIONATO + MEDROXIPROGESTERONA ACETATO </t>
  </si>
  <si>
    <t>5 mg + 25 mg/0.5 mL</t>
  </si>
  <si>
    <t>0.5 mL</t>
  </si>
  <si>
    <t>ESTRIOL (CREMA VAGINAL)</t>
  </si>
  <si>
    <t>100 mg/100 g (0.1 %)</t>
  </si>
  <si>
    <t>15 g</t>
  </si>
  <si>
    <t>ETAMBUTOL CLORHIDRATO</t>
  </si>
  <si>
    <t>400 mg</t>
  </si>
  <si>
    <t>ETILEFRINA</t>
  </si>
  <si>
    <t>ETINILESTRADIOL + LEVONORGESTREL (BLISTER)</t>
  </si>
  <si>
    <t>30 µg + 150 µg</t>
  </si>
  <si>
    <t>21 tab + 7 tab SIN EFEC</t>
  </si>
  <si>
    <t>ETONOGESTREL (IMPLANTE)</t>
  </si>
  <si>
    <t>68 mg</t>
  </si>
  <si>
    <t>EXTENSION PARA EQUIPO DE VENOCLISIS DOBLE LUMEN NEONATAL</t>
  </si>
  <si>
    <t xml:space="preserve">FAJA DE COMPRESION PARA TROMBOSIS Y EMBOLIA (BOLSA X 2 UNI) </t>
  </si>
  <si>
    <t>TALLA L</t>
  </si>
  <si>
    <t>TALLA M</t>
  </si>
  <si>
    <t>TALLA S</t>
  </si>
  <si>
    <t>FENILEFRINA (SOLUCION OFTALMICA)</t>
  </si>
  <si>
    <t>15 mL</t>
  </si>
  <si>
    <t>FENITOINA SODICA</t>
  </si>
  <si>
    <t>125 mg/5 mL</t>
  </si>
  <si>
    <t>50mg/mL</t>
  </si>
  <si>
    <t xml:space="preserve">FENOBARBITAL </t>
  </si>
  <si>
    <t>FENOBARBITAL SODICO</t>
  </si>
  <si>
    <t>100 mg/mL</t>
  </si>
  <si>
    <t>FENTANILO</t>
  </si>
  <si>
    <t>50 µg/mL</t>
  </si>
  <si>
    <t>FERROSO SULFATO</t>
  </si>
  <si>
    <t>75 mg (Equiv. 15 mg Fe)/5 mL</t>
  </si>
  <si>
    <t>180 mL</t>
  </si>
  <si>
    <t>FILTRO ANTIBACTERIAL VIRAL + INTERCAMBIADOR DE CALOR HUMEDAD ADULTO PARA CIRCUITO CORRUGADO</t>
  </si>
  <si>
    <t>FILTRO BACTERIOLÓGICO DESCARTABLE PARA VENTILADOR MECÁNICO</t>
  </si>
  <si>
    <t>25544</t>
  </si>
  <si>
    <t>FILTRO INTERCAMBIADOR DE CALOR Y HUMEDAD ADULTO PARA VENTILADOR PULMONAR MECANICO</t>
  </si>
  <si>
    <t>FITOMENADIONA</t>
  </si>
  <si>
    <t>FLUCONAZOL</t>
  </si>
  <si>
    <t>150 mg</t>
  </si>
  <si>
    <t>2 mg/mL</t>
  </si>
  <si>
    <t>03591</t>
  </si>
  <si>
    <t>FLUMAZENIL</t>
  </si>
  <si>
    <t>100 µg/mL (0.1 mg/mL)</t>
  </si>
  <si>
    <t>FLUOXETINA (COMO CLORHIDRATO)</t>
  </si>
  <si>
    <t>FORMULA ENTERAL POLIMERICA ADULTO</t>
  </si>
  <si>
    <t xml:space="preserve"> X 850 g</t>
  </si>
  <si>
    <t>30687</t>
  </si>
  <si>
    <t xml:space="preserve">FORMULA LACTEA DE CONTINUACION </t>
  </si>
  <si>
    <t>POLVO</t>
  </si>
  <si>
    <t>400 g</t>
  </si>
  <si>
    <t>FORMULA NUTRICIONAL CON PROTEINAS</t>
  </si>
  <si>
    <t xml:space="preserve">FORMULA POLIMERICA PARA NIÑOS MAYORES DE 10 AÑOS </t>
  </si>
  <si>
    <t>900 g APROX.</t>
  </si>
  <si>
    <t>FORMULA POLIMERICA SIN LACTOSA ADULTO</t>
  </si>
  <si>
    <t>850 g</t>
  </si>
  <si>
    <t>FORMULACIONES DE SALES DE REHIDRATACION ORAL</t>
  </si>
  <si>
    <t xml:space="preserve">FORTIFICADOR DE LECHE MATERNA </t>
  </si>
  <si>
    <t>5 mL x 100</t>
  </si>
  <si>
    <t>FRASCO ESTERIL CON TAPA PARA MUESTRA DE ORINA 120 mL</t>
  </si>
  <si>
    <t>FURAZOLIDONA</t>
  </si>
  <si>
    <t>50 mg/5 mL</t>
  </si>
  <si>
    <t>FUROSEMIDA</t>
  </si>
  <si>
    <t>GABAPENTINA</t>
  </si>
  <si>
    <t>03727</t>
  </si>
  <si>
    <t xml:space="preserve">GANCICLOVIR </t>
  </si>
  <si>
    <t>GASA ESTERIL 7.5 cm X 7.5 cm X 5 UNIDADES</t>
  </si>
  <si>
    <t>GASA QUIRURGICA RADIOPACA ESTERIL 10 cm X 10 cm X 5</t>
  </si>
  <si>
    <t>GEL ANTIBACTERIAL PARA MANOS</t>
  </si>
  <si>
    <t xml:space="preserve">1 L </t>
  </si>
  <si>
    <t>19166</t>
  </si>
  <si>
    <t>GELATINA SUCCINALADA</t>
  </si>
  <si>
    <t>GEMFIBROZILO</t>
  </si>
  <si>
    <t>GENTAMICINA (COMO SULFATO)</t>
  </si>
  <si>
    <t>80 mg/mL</t>
  </si>
  <si>
    <t>GLIBENCLAMIDA</t>
  </si>
  <si>
    <t>GORRO DE CIRUGIA TIPO GUSANO PARA ENFERMERA</t>
  </si>
  <si>
    <t>41485</t>
  </si>
  <si>
    <t>GUANTE PARA EXAMEN DESCARTABLE DE NITRILO SIN POLVO TALLA L</t>
  </si>
  <si>
    <t>GUANTE PARA EXAMEN DESCARTABLE DE NITRILO SIN POLVO TALLA L X 100</t>
  </si>
  <si>
    <t xml:space="preserve">GUANTE PARA EXAMEN DESCARTABLE DE NITRILO SIN POLVO TALLA M </t>
  </si>
  <si>
    <t>X 100</t>
  </si>
  <si>
    <t>41488</t>
  </si>
  <si>
    <t>GUANTE PARA EXAMEN DESCARTABLE DE NITRILO SIN POLVO TALLA M</t>
  </si>
  <si>
    <t>41340</t>
  </si>
  <si>
    <t xml:space="preserve">GUANTE PARA EXAMEN DESCARTABLE DE NITRILO SIN POLVO TALLA S </t>
  </si>
  <si>
    <t>100 UNIDADES</t>
  </si>
  <si>
    <t>41364</t>
  </si>
  <si>
    <t>GUANTE PARA EXAMEN DESCARTABLE DE NITRILO SIN POLVO TALLA S</t>
  </si>
  <si>
    <t>41490</t>
  </si>
  <si>
    <t>GUANTE PARA EXAMEN DESCARTABLE DE NITRILO SIN POLVO TALLA XL</t>
  </si>
  <si>
    <t xml:space="preserve">GUANTE PARA EXAMEN DESCARTABLE TALLA L </t>
  </si>
  <si>
    <t>GUANTE PARA EXAMEN DESCARTABLE TALLA M</t>
  </si>
  <si>
    <t xml:space="preserve">GUANTE PARA EXAMEN DESCARTABLE TALLA S </t>
  </si>
  <si>
    <t>GUANTE QUIRURGICO ESTERIL DESCARTABLE Nº 6 1/2</t>
  </si>
  <si>
    <t>GUANTE QUIRURGICO ESTERIL DESCARTABLE Nº 7</t>
  </si>
  <si>
    <t xml:space="preserve">GUANTE QUIRURGICO ESTERIL DESCARTABLE Nº 7 1/2 </t>
  </si>
  <si>
    <t>16572</t>
  </si>
  <si>
    <t xml:space="preserve">GUANTE QUIRURGICO ESTERIL DESCARTABLE Nº 8 </t>
  </si>
  <si>
    <t>49235</t>
  </si>
  <si>
    <t>GUIA PARA TUBO ENDOTRAQUEAL NEONATAL STYLE STERILE 10FR BX20 20 EA/BX</t>
  </si>
  <si>
    <t>(en blanco)</t>
  </si>
  <si>
    <t>03881</t>
  </si>
  <si>
    <t>HALOPERIDOL</t>
  </si>
  <si>
    <t>03882</t>
  </si>
  <si>
    <t>HEPARINA SODICA</t>
  </si>
  <si>
    <t>25000 UI/5 mL</t>
  </si>
  <si>
    <t>HIDROCLOROTIAZIDA</t>
  </si>
  <si>
    <t>HIDROCORTISONA (COMO ACETATO)</t>
  </si>
  <si>
    <t>HIDROCORTISONA (COMO SUCCINATO SODICO)</t>
  </si>
  <si>
    <t>HIDROXOCOBALAMINA</t>
  </si>
  <si>
    <t>HIERRO (COMO SACARATO)</t>
  </si>
  <si>
    <t>20 mg Fe/mL</t>
  </si>
  <si>
    <t xml:space="preserve">HIERRO POLIMALTOSA </t>
  </si>
  <si>
    <t>HIPROMELOSA (SOLUCION OFTALMICA)</t>
  </si>
  <si>
    <t xml:space="preserve">3 mg/mL </t>
  </si>
  <si>
    <t>HOJA DE BISTURI DESCARTABLE Nº 15</t>
  </si>
  <si>
    <t>HOJA DE BISTURI DESCARTABLE Nº 21</t>
  </si>
  <si>
    <t>IBUPROFENO</t>
  </si>
  <si>
    <t>INMUNOGLOBULINA ANTI D</t>
  </si>
  <si>
    <t>300 ug</t>
  </si>
  <si>
    <t xml:space="preserve">INMUNOGLOBULINA ANTIHEPATITIS B </t>
  </si>
  <si>
    <t>200 UI/mL</t>
  </si>
  <si>
    <t>18952</t>
  </si>
  <si>
    <t>INSPIROMETRO INCENTIVO PARA TERAPIA RESPIRATORIA</t>
  </si>
  <si>
    <t>INSULINA DETEMIR</t>
  </si>
  <si>
    <t>100 UI/ mL</t>
  </si>
  <si>
    <t>INSULINA HUMANA (ADN RECOMBINANTE)</t>
  </si>
  <si>
    <t>100 UI/mL</t>
  </si>
  <si>
    <t>INSULINA ISOFANA HUMANA (NPH) ADN RECOMBINANTE</t>
  </si>
  <si>
    <t xml:space="preserve">100 UI/mL </t>
  </si>
  <si>
    <t>IOPAMIDOL</t>
  </si>
  <si>
    <t>Equiv. 300 mg Iodo/mL</t>
  </si>
  <si>
    <t>ISONIAZIDA</t>
  </si>
  <si>
    <t>ITRACONAZOL</t>
  </si>
  <si>
    <t>IVERMECTINA</t>
  </si>
  <si>
    <t>6 mg/mL</t>
  </si>
  <si>
    <t>JERINGA DESCARTABLE 1 mL CON AGUJA 25 G X 5/8"</t>
  </si>
  <si>
    <t>JERINGA DESCARTABLE 10 mL CON AGUJA 21G X 1 1/2"</t>
  </si>
  <si>
    <t>JERINGA DESCARTABLE 100 mL PICO LARGO</t>
  </si>
  <si>
    <t>JERINGA DESCARTABLE 20 mL CON AGUJA 21 G X 1 1/2"</t>
  </si>
  <si>
    <t>JERINGA DESCARTABLE 3 mL CON AGUJA 21 G X 1 1/2"</t>
  </si>
  <si>
    <t>JERINGA DESCARTABLE 3 mL PARA GASES ARTERIALES Y ELECTROLITOS CON HEPARINA DE LITIO</t>
  </si>
  <si>
    <t>JERINGA DESCARTABLE 5 mL CON AGUJA 21 G X 1 1/2"</t>
  </si>
  <si>
    <t>JERINGA DESCARTABLE 7 mL BAJA RESISTENCIA PARA ANESTESIA EPIDURAL</t>
  </si>
  <si>
    <t>JERINGA DESCARTABLE DE INSULINA 0.5 mL CON AGUJA 31 G x 15/64"</t>
  </si>
  <si>
    <t>19875</t>
  </si>
  <si>
    <t>JERINGA DESCARTABLE DE TUBERCULINA 1 mL CON AGUJA 25 G X 5/8"</t>
  </si>
  <si>
    <t>JUEGO CIRCUITO CORRUGADO ADULTO PARA EQUIPO DE ANESTESIA</t>
  </si>
  <si>
    <t>JUEGO CIRCUITO CORRUGADO NEONATAL DESCARTABLE PARA VENTILADOR MECANICO</t>
  </si>
  <si>
    <t>JUEGO CIRCUITO CORRUGADO NEONATAL PARA EQUIPO DE ANESTESIA</t>
  </si>
  <si>
    <t>JUEGO DE TROCAR UNIVERSAL</t>
  </si>
  <si>
    <t>X 8 PIEZAS</t>
  </si>
  <si>
    <t>KETAMINA (COMO CLORHIDRATO)</t>
  </si>
  <si>
    <t xml:space="preserve">KIT COMPLETO  DESCARTABLE DE TUBOS CORRUGADOS Y ACCESORIOS ADULTO PARA VENTILADOR VOLUMETRICO </t>
  </si>
  <si>
    <t>KIT COMPLETO DESCARTABLE DE TUBOS CORRUGADOS Y ACCESORIOS NEONATAL PARA CPAP NASAL Nº 10.5</t>
  </si>
  <si>
    <t>KIT COMPLETO DESCARTABLE DE TUBOS CORRUGADOS Y ACCESORIOS NEONATAL PARA CPAP NASAL Nº 7.5</t>
  </si>
  <si>
    <t>KIT COMPLETO DESCARTABLE DE TUBOS CORRUGADOS Y ACCESORIOS NEONATAL PARA CPAP NASAL Nº 9</t>
  </si>
  <si>
    <t>KIT COMPLETO DESCARTABLE DE TUBOS CORRUGADOS Y ACCESORIOS NEONATAL PARA OXIGENOTERAPIA</t>
  </si>
  <si>
    <t xml:space="preserve">LABETALOL </t>
  </si>
  <si>
    <t>5 mg/ mL</t>
  </si>
  <si>
    <t>LACTULOSA</t>
  </si>
  <si>
    <t>3.33 g/5 mL</t>
  </si>
  <si>
    <t>04323</t>
  </si>
  <si>
    <t>LAMIVUDINA</t>
  </si>
  <si>
    <t>10 mg/ mL</t>
  </si>
  <si>
    <t>240 mL</t>
  </si>
  <si>
    <t>04326</t>
  </si>
  <si>
    <t>LANATOSIDO C</t>
  </si>
  <si>
    <t>200 µg/ mL</t>
  </si>
  <si>
    <t>LANCETA DESCARTABLE NO RETRACTIL 30 G</t>
  </si>
  <si>
    <t>LANCETA DESCARTABLE RETRACTIL 23 G GRADUABLE X 1.3 mm, 1.8 mm, 2.3 mm</t>
  </si>
  <si>
    <t>LAPIZ PARA ELECTROBISTURI ADULTO</t>
  </si>
  <si>
    <t>LENTE DE PROTECCION DE POLICARBONATO</t>
  </si>
  <si>
    <t>LEUPRORELINA ACETATO</t>
  </si>
  <si>
    <t>3.75 mg</t>
  </si>
  <si>
    <t>19454</t>
  </si>
  <si>
    <t>LEVETIRACETAM</t>
  </si>
  <si>
    <t>300 mL</t>
  </si>
  <si>
    <t>LEVOFLOXACINO</t>
  </si>
  <si>
    <t>LEVONORGESTREL</t>
  </si>
  <si>
    <t>750 µg</t>
  </si>
  <si>
    <t>BLISTER X 2</t>
  </si>
  <si>
    <t>LEVOTIROXINA SODICA</t>
  </si>
  <si>
    <t>100 µg (0.1 mg)</t>
  </si>
  <si>
    <t>LIDOCAINA CLORHIDRATO</t>
  </si>
  <si>
    <t>2 g/100 g</t>
  </si>
  <si>
    <t>10 g</t>
  </si>
  <si>
    <t xml:space="preserve">LIDOCAINA CLORHIDRATO + EPINEFRINA  </t>
  </si>
  <si>
    <t xml:space="preserve">20 mg + 12.5  µg/mL </t>
  </si>
  <si>
    <t>1.8 mL</t>
  </si>
  <si>
    <t xml:space="preserve">LIDOCAINA CLORHIDRATO + EPINEFRINA </t>
  </si>
  <si>
    <t>20 mg + 10 ug/mL</t>
  </si>
  <si>
    <t>LIDOCAINA CLORHIDRATO SIN PRESERVANTES</t>
  </si>
  <si>
    <t>2 g/100 mL (2 %)</t>
  </si>
  <si>
    <t>LINEA DE INFUSION CON BURETA PARA BOMBA DE INFUSION</t>
  </si>
  <si>
    <t>34408</t>
  </si>
  <si>
    <t>LINEA DE INFUSION PARA NUTRICION ENTERAL PARA BOMBA DE INFUSION</t>
  </si>
  <si>
    <t>LINEZOLID</t>
  </si>
  <si>
    <t>LIPIDOS</t>
  </si>
  <si>
    <t>LLAVE DE TRIPLE VIA CON EXTENSION X 10 cm</t>
  </si>
  <si>
    <t>LLAVE DE TRIPLE VIA CON EXTENSION X 50 cm</t>
  </si>
  <si>
    <t>LLAVE DE TRIPLE VIA DESCARTABLE</t>
  </si>
  <si>
    <t>LOPINAVIR + RITONAVIR</t>
  </si>
  <si>
    <t>200 mg + 50 mg</t>
  </si>
  <si>
    <t>LORATADINA</t>
  </si>
  <si>
    <t>5 mg/5 mL</t>
  </si>
  <si>
    <t>LOSARTAN POTASICO</t>
  </si>
  <si>
    <t>MAGNESIO SULFATO</t>
  </si>
  <si>
    <t>200 mg/mL</t>
  </si>
  <si>
    <t>MAMELUCO DESCARTABLE TALLA L</t>
  </si>
  <si>
    <t>MAMELUCO DESCARTABLE TALLA XL</t>
  </si>
  <si>
    <t xml:space="preserve">MANDIL DESCARTABLE </t>
  </si>
  <si>
    <t>29967</t>
  </si>
  <si>
    <t xml:space="preserve">MANDIL DESCARTABLE NO ESTERIL </t>
  </si>
  <si>
    <t>TALLA "L"</t>
  </si>
  <si>
    <t>TALLA XL</t>
  </si>
  <si>
    <t>MANDIL DESCARTABLE NO ESTERIL</t>
  </si>
  <si>
    <t xml:space="preserve"> TALLA M</t>
  </si>
  <si>
    <t>MANDILON DESCARTABLE TALLA L</t>
  </si>
  <si>
    <t>43510</t>
  </si>
  <si>
    <t>MANGA DE POLIETILENO ESTERIL PARA LAPAROSCOPIA 15.2 cm X 2.5 m</t>
  </si>
  <si>
    <t>MANGA DE POLIETILENO ESTERIL PARA LAPAROSCOPIA 18 cm X 2.5 m</t>
  </si>
  <si>
    <t>MANITOL</t>
  </si>
  <si>
    <t>20 g/100 mL (20 %)</t>
  </si>
  <si>
    <t>MANTA PARA EQUIPO DE HIPOTERMIA  PARA NEONATO 2.5 a 4 kg DE PESO</t>
  </si>
  <si>
    <t>MANTA PARA EQUIPO DE HIPOTERMIA  PARA NEONATO 4 a 7 kg DE PESO</t>
  </si>
  <si>
    <t>MANTA TERMICA ADULTO 2.10 m X 90 cm</t>
  </si>
  <si>
    <t>30200</t>
  </si>
  <si>
    <t>MANTA TERMICA PARA CUERPO ENTERO 91 cm X 2.13 m APROX.</t>
  </si>
  <si>
    <t>18955</t>
  </si>
  <si>
    <t>MANTA TERMICA PEDIATRICO 0.91 m X 0.84 m</t>
  </si>
  <si>
    <t>MASCARA DE OXIGENO CON BOLSA DE RESERVORIO NO REINHALATORIA</t>
  </si>
  <si>
    <t>MASCARA DE OXIGENO DESCARTABLE NEONATAL Nº 1</t>
  </si>
  <si>
    <t>MASCARA DE OXIGENO DESCARTABLE PARA NEBULIZACION ADULTO</t>
  </si>
  <si>
    <t>MASCARA DE OXIGENO TIPO VENTURI PARA ADULTO</t>
  </si>
  <si>
    <t>MASCARILLA DESCARTABLE EFICIENCIA DE FILTRADO 95%</t>
  </si>
  <si>
    <t>MASCARILLA DESCARTABLE QUIRURGICA 3 PLIEGUES</t>
  </si>
  <si>
    <t>MASCARILLA DESCARTABLE TIPO N-95</t>
  </si>
  <si>
    <t>MEBENDAZOL</t>
  </si>
  <si>
    <t>30 mL</t>
  </si>
  <si>
    <t>MEDIA DE COMPRESION MUSLO TALLA L</t>
  </si>
  <si>
    <t>MEDIA DE COMPRESION MUSLO TALLA M</t>
  </si>
  <si>
    <t>MEDIA DE COMPRESIÓN MUSLO TALLA S</t>
  </si>
  <si>
    <t>MEDROXIPROGESTERONA ACETATO</t>
  </si>
  <si>
    <t>150 mg/mL</t>
  </si>
  <si>
    <t>MENOTROPINA</t>
  </si>
  <si>
    <t>75 UI</t>
  </si>
  <si>
    <t>MEROPENEM</t>
  </si>
  <si>
    <t>METAMIZOL SODICO</t>
  </si>
  <si>
    <t>METFORMINA CLORHIDRATO</t>
  </si>
  <si>
    <t>850 mg</t>
  </si>
  <si>
    <t>METILDOPA</t>
  </si>
  <si>
    <t>METILPREDNISOLONA</t>
  </si>
  <si>
    <t>8 mL</t>
  </si>
  <si>
    <t>METILPREDNISOLONA (COMO SUCCINATO SODICO)</t>
  </si>
  <si>
    <t>METOCLOPRAMIDA CLORHIDRATO</t>
  </si>
  <si>
    <t>METOTREXATO SODICO</t>
  </si>
  <si>
    <t>METRONIDAZOL</t>
  </si>
  <si>
    <t>04817</t>
  </si>
  <si>
    <t>MICONAZOL + TINIDAZOL</t>
  </si>
  <si>
    <t>100 mg + 150 mg</t>
  </si>
  <si>
    <t>MICROCUBETA DESCARTABLE PARA HEMOGLOBINOMETRO PORTATIL</t>
  </si>
  <si>
    <t>MIDAZOLAM</t>
  </si>
  <si>
    <t>04838</t>
  </si>
  <si>
    <t>MILRINONA</t>
  </si>
  <si>
    <t>10 mg/10 mL</t>
  </si>
  <si>
    <t>26665</t>
  </si>
  <si>
    <t>MINI PUNZON PARA MEZCLAS INTRAVENOSAS CON FILTRO DE AIRE DE 0.45 µm Y FILTRO DE PARTICULAS DE 5 µm</t>
  </si>
  <si>
    <t>04846</t>
  </si>
  <si>
    <t>MIRTAZAPINA</t>
  </si>
  <si>
    <t>30 mg</t>
  </si>
  <si>
    <t>MISOPROSTOL</t>
  </si>
  <si>
    <t>200 µg</t>
  </si>
  <si>
    <t>MORFINA (CLORHIDRATO)</t>
  </si>
  <si>
    <t>MULTIVITAMINICOS</t>
  </si>
  <si>
    <t>MUPIROCINA (COMO SAL CALCICA)</t>
  </si>
  <si>
    <t>2 g/100 g (2 %)</t>
  </si>
  <si>
    <t xml:space="preserve">NAPROXENO </t>
  </si>
  <si>
    <t>NEOSTIGMINA METILSULFATO</t>
  </si>
  <si>
    <t>NEVIRAPINA</t>
  </si>
  <si>
    <t>NIFEDIPINO</t>
  </si>
  <si>
    <t>05021</t>
  </si>
  <si>
    <t>NIFEDIPINO (TABLETA DE LIBERACION MODIFICADA)</t>
  </si>
  <si>
    <t>05063</t>
  </si>
  <si>
    <t>NISTATINA (GOTAS)</t>
  </si>
  <si>
    <t>100000 UI/mL</t>
  </si>
  <si>
    <t>12 mL</t>
  </si>
  <si>
    <t>NITROFURANTOINA</t>
  </si>
  <si>
    <t>NITROGLICERINA (GLICEROLTRINITRATO)</t>
  </si>
  <si>
    <t>NOREPINEFRINA (COMO ACIDO TARTRATO)</t>
  </si>
  <si>
    <t xml:space="preserve">NUTRIENTE COMPLETO BALANCEADO CON TRIGLICERIDO CADENA MEDIA </t>
  </si>
  <si>
    <t>220 g</t>
  </si>
  <si>
    <t>OCTREOTIDA</t>
  </si>
  <si>
    <t>200 µg/mL</t>
  </si>
  <si>
    <t>OLIGOELEMENTOS</t>
  </si>
  <si>
    <t>OLIGOELEMENTOS PEDIATRICOS</t>
  </si>
  <si>
    <t>OMEPRAZOL (COMO SAL SODICA)</t>
  </si>
  <si>
    <t>OMEPRAZOL (TABLETA DE LIBERACION MODIFICADA)</t>
  </si>
  <si>
    <t>ONDANSETRON (COMO CLORHIDRATO)</t>
  </si>
  <si>
    <t>ORFENADRINA CITRATO</t>
  </si>
  <si>
    <t>OSELTAMIVIR</t>
  </si>
  <si>
    <t>75 mg</t>
  </si>
  <si>
    <t>OXACILINA</t>
  </si>
  <si>
    <t>OXIGENO MEDICINAL GAS COMPRIMIDO</t>
  </si>
  <si>
    <t>99.5 %</t>
  </si>
  <si>
    <t>GAS</t>
  </si>
  <si>
    <t>m3</t>
  </si>
  <si>
    <t>OXIGENO MEDICINAL LIQUIDO CRIOGENICO</t>
  </si>
  <si>
    <t>LIQUIDO</t>
  </si>
  <si>
    <t>OXITOCINA</t>
  </si>
  <si>
    <t>10 UI</t>
  </si>
  <si>
    <t>PANTALON DESCARTABLE TALLA XXL</t>
  </si>
  <si>
    <t>16825</t>
  </si>
  <si>
    <t>PAÑAL CALZON DESCARTABLE PARA ADULTO TALLA GRANDE</t>
  </si>
  <si>
    <t>PAÑAL CALZON DESCARTABLE PARA ADULTO TALLA MEDIANO</t>
  </si>
  <si>
    <t>PAÑAL DESCARTABLE TIPO CALZON PARA ADULTO TALLA L</t>
  </si>
  <si>
    <t>36194</t>
  </si>
  <si>
    <t>PAÑAL DESCARTABLE TIPO CALZON PARA ADULTO TALLA XL</t>
  </si>
  <si>
    <t xml:space="preserve">PAÑAL DESCARTABLE TIPO CALZON PARA PREMATUROS HASTA 2.2 Kg </t>
  </si>
  <si>
    <t>PAÑAL DESCARTABLE TIPO CALZON PARA RECIEN NACIDO</t>
  </si>
  <si>
    <t>PAÑAL DESCARTABLE TIPO TOALLA X 10</t>
  </si>
  <si>
    <t>PAÑO HUMEDO HIPOALERGENICO PARA BEBES X 100 HOJAS</t>
  </si>
  <si>
    <t>PARACETAMOL</t>
  </si>
  <si>
    <t>120 mg/5 mL</t>
  </si>
  <si>
    <t>26066</t>
  </si>
  <si>
    <t>PECTINA + CARBOXIMETILCELULOSA SODICO</t>
  </si>
  <si>
    <t>0.1 g + 3.4 g/100 g</t>
  </si>
  <si>
    <t>30 g</t>
  </si>
  <si>
    <t>PEROXIDO DE HIDROGENO (AGUA OXIGENADA)</t>
  </si>
  <si>
    <t>3 % (10 VOL)</t>
  </si>
  <si>
    <t>PETIDINA CLORHIDRATO</t>
  </si>
  <si>
    <t>PIPERACILINA + TAZOBACTAM</t>
  </si>
  <si>
    <t>4 g + 500 mg</t>
  </si>
  <si>
    <t>PIRAZINAMIDA</t>
  </si>
  <si>
    <t>PIRIDOXINA CLORHIDRATO</t>
  </si>
  <si>
    <t>PLACA NEUTRA ADULTO DESCARTABLE PARA ELECTROCAUTERIO</t>
  </si>
  <si>
    <t>PLACA NEUTRA NEONATAL DESCARTABLE PARA ELECTROBISTURI</t>
  </si>
  <si>
    <t>POLIGELINA</t>
  </si>
  <si>
    <t>3.5 g/100 mL (3.5 %)</t>
  </si>
  <si>
    <t>POLVO PARA OSTOMIA X 1 oz</t>
  </si>
  <si>
    <t>POTASIO CLORURO</t>
  </si>
  <si>
    <t xml:space="preserve">20 g/100 mL </t>
  </si>
  <si>
    <t>POTASIO FOSFATO DIBASICO + POTASIO FOSFATO MONOBASICO</t>
  </si>
  <si>
    <t>139.4 mg + 54.4 mg</t>
  </si>
  <si>
    <t>PREDNISONA</t>
  </si>
  <si>
    <t>PRESERVATIVOS SIN NONOXINOL</t>
  </si>
  <si>
    <t>18881</t>
  </si>
  <si>
    <t>PROGESTERONA</t>
  </si>
  <si>
    <t>PROPOFOL</t>
  </si>
  <si>
    <t>PROPRANOLOL CLORHIDRATO</t>
  </si>
  <si>
    <t>PROTECTOR CUTANEO HEXAMETILDISILOXANO+TERPOLIMERO ACRILATO+POLIFENILMETILSILOXAN</t>
  </si>
  <si>
    <t>28 mL</t>
  </si>
  <si>
    <t>PROTECTOR CUTANEO HEXAMETILDISILOXANO+TERPOLIMERO ACRILATO+POLIFENILMETILSILOXANO X 1 mL</t>
  </si>
  <si>
    <t>PROTECTOR FACIAL CON VISOR</t>
  </si>
  <si>
    <t>PROTECTOR OCULAR DESCARTABLE PARA FOTOTERAPIA RECIEN NACIDO DE 20-28 cm</t>
  </si>
  <si>
    <t>PROTECTOR OCULAR DESCARTABLE PARA FOTOTERAPIA RECIEN NACIDO DE 24-33 cm</t>
  </si>
  <si>
    <t>PROTECTOR OCULAR DESCARTABLE PARA FOTOTERAPIA RECIEN NACIDO DE 30-38 cm</t>
  </si>
  <si>
    <t>PRUEBA RAPIDA COVID-19 IgG/IgM</t>
  </si>
  <si>
    <t>KIT</t>
  </si>
  <si>
    <t>DETERMINACION</t>
  </si>
  <si>
    <t>PRUEBA RAPIDA CUALITATIVA DE ANTIGENO ESPECIFICO PARA SARS-CoV2 (COVID-19) INMUNOENSAYO CROMATOGRAFICO</t>
  </si>
  <si>
    <t>01 DETERMINACION</t>
  </si>
  <si>
    <t xml:space="preserve">PRUEBA RAPIDA PARA HEPATITIS B </t>
  </si>
  <si>
    <t>1 DET</t>
  </si>
  <si>
    <t>30 DET</t>
  </si>
  <si>
    <t xml:space="preserve">PRUEBA RAPIDA PARA VIH 1-2 y SIFILIS </t>
  </si>
  <si>
    <t>25 DET</t>
  </si>
  <si>
    <t>PUNZON PERFORADOR PARA CONEXIÓN A FRASCO</t>
  </si>
  <si>
    <t>QUETIAPINA</t>
  </si>
  <si>
    <t>RALTEGRAVIR</t>
  </si>
  <si>
    <t>RANITIDINA (COMO CLORHIDRATO)</t>
  </si>
  <si>
    <t>REMIFENTANILO</t>
  </si>
  <si>
    <t>47028</t>
  </si>
  <si>
    <t>RESPIRADOR QUIRUGICO TIPO N-95</t>
  </si>
  <si>
    <t>RETRACTOR DE HERIDA DESCARTABLE FLEXIBLE 11 cm A 17 cm TALLA XL</t>
  </si>
  <si>
    <t>RIFAMPICINA</t>
  </si>
  <si>
    <t>RISPERIDONA</t>
  </si>
  <si>
    <t xml:space="preserve">SALBUTAMOL </t>
  </si>
  <si>
    <t>100 µg/DOSIS</t>
  </si>
  <si>
    <t>SALES DE REHIDRATACION ORAL</t>
  </si>
  <si>
    <t>20.5 g/L</t>
  </si>
  <si>
    <t>SENSOR BIS PARA EQUIPO DE ANESTESIA</t>
  </si>
  <si>
    <t>SERTRALINA</t>
  </si>
  <si>
    <t>SET DE ANESTESIA COMPLETO PARA ADULTO</t>
  </si>
  <si>
    <t>SET</t>
  </si>
  <si>
    <t>SET DE CATETER PERCUTANEO CON INTRODUCTOR PELABLE 1.9 FR X 20 cm</t>
  </si>
  <si>
    <t>SET DE CORRUGADOS ADULTO PARA VENTILADOR VOLUMETRICO</t>
  </si>
  <si>
    <t>SET DE CORRUGADOS DESCARTABLES NEONATAL PARA OXIGENOTERAPIA</t>
  </si>
  <si>
    <t>SET DE INFUSIÓN (LÍNEA DE EXTENSIÓN OPACA Y JERINGA DESCARTABLE 50 mL)</t>
  </si>
  <si>
    <t xml:space="preserve">SET DE INFUSIÓN (LÍNEA DE EXTENSIÓN Y JERINGA PERFUSORA 20 mL) </t>
  </si>
  <si>
    <t>SET DE INFUSION (LINEA DE EXTENSION Y JERINGA PERFUSORA 50 mL)</t>
  </si>
  <si>
    <t>SET DE TRAQUEOSTOMIA PERCUTANEA Nº 7 X 15 PIEZAS</t>
  </si>
  <si>
    <t>SET DE TRAQUEOSTOMIA PERCUTANEA NO FENESTRADO Nº 8 X 12 PIEZAS</t>
  </si>
  <si>
    <t>SEVOFLURANO</t>
  </si>
  <si>
    <t>100 mL/100 mL</t>
  </si>
  <si>
    <t>SIMETICONA</t>
  </si>
  <si>
    <t>SIMVASTATINA</t>
  </si>
  <si>
    <t xml:space="preserve">SISTEMA DE DERIVACION VENTRICULAR EXTERNA PARA MEDIR PRESION INTRACRANEAL CIRCUITO CERRADO TIPO BECKER </t>
  </si>
  <si>
    <t>SISTEMA DE DERIVACION VENTRICULO PERITONEAL PRESION BAJA NEONATAL</t>
  </si>
  <si>
    <t>SISTEMA DE DRENAJE TORAXICO DESCARTABLE 1 SOLA CAMARA</t>
  </si>
  <si>
    <t>SISTEMA DOBLE DE DRENAJE TORAXICO DESCARTABLE 3 CAMARA CON VALVULA</t>
  </si>
  <si>
    <t>SODIO BICARBONATO</t>
  </si>
  <si>
    <t>8.4 g/100 mL (8.4 %)</t>
  </si>
  <si>
    <t>SODIO CLORURO</t>
  </si>
  <si>
    <t>900 mg/100 mL (0.9 %)</t>
  </si>
  <si>
    <t>SODIO FOSFATO DIBASICO + SODIO FOSFATO MONOBASICO  (SOLUCION RECTAL)</t>
  </si>
  <si>
    <t>6 g + 16 g/100 mL</t>
  </si>
  <si>
    <t>133 mL</t>
  </si>
  <si>
    <t xml:space="preserve">SOLUCION ISOTONICA BALANCEADA INY </t>
  </si>
  <si>
    <t>SOLUCION POLIELECTROLITICA</t>
  </si>
  <si>
    <t>SOLUCIONES ISOTONICAS</t>
  </si>
  <si>
    <t>02432</t>
  </si>
  <si>
    <t>SOLUCIONES PARA NUTRICION PARENTERAL</t>
  </si>
  <si>
    <t>SONDA DE ALIMENTACION DE CLORURO DE POLIVINILO 10 FR</t>
  </si>
  <si>
    <t>SONDA DE ALIMENTACION DE CLORURO DE POLIVINILO 4 FR</t>
  </si>
  <si>
    <t>SONDA DE ALIMENTACION DE CLORURO DE POLIVINILO 5 FR</t>
  </si>
  <si>
    <t>SONDA DE ALIMENTACION DE CLORURO DE POLIVINILO 6 FR</t>
  </si>
  <si>
    <t>SONDA DE ALIMENTACION DE CLORURO DE POLIVINILO 8 FR</t>
  </si>
  <si>
    <t>17009</t>
  </si>
  <si>
    <t xml:space="preserve">SONDA DE ASPIRACION ENDOTRAQUEAL CIRCUITO CERRADO N° 06 </t>
  </si>
  <si>
    <t>17010</t>
  </si>
  <si>
    <t>SONDA DE ASPIRACION ENDOTRAQUEAL CIRCUITO CERRADO Nº 08</t>
  </si>
  <si>
    <t>SONDA DE ASPIRACION ENDOTRAQUEAL CIRCUITO CERRADO Nº 14</t>
  </si>
  <si>
    <t>SONDA DE ASPIRACION ENDOTRAQUEAL EN CIRCUITO CERRADO N° 5 F</t>
  </si>
  <si>
    <t>SONDA DE ASPIRACION ENDOTRAQUEAL N° 6</t>
  </si>
  <si>
    <t>SONDA DE ASPIRACION ENDOTRAQUEAL Nº 10</t>
  </si>
  <si>
    <t>SONDA DE ASPIRACION ENDOTRAQUEAL Nº 14</t>
  </si>
  <si>
    <t>SONDA DE ASPIRACION ENDOTRAQUEAL Nº 8</t>
  </si>
  <si>
    <t>SONDA NASOGASTRICA DE SILICONA Nº 14</t>
  </si>
  <si>
    <t>SONDA NASOGASTRICA Nº 14</t>
  </si>
  <si>
    <t>SONDA NASOGASTRICA Nº 16</t>
  </si>
  <si>
    <t xml:space="preserve">SONDA VESICAL  </t>
  </si>
  <si>
    <t>2 VIAS DESCARTABLE</t>
  </si>
  <si>
    <t>Nº 16</t>
  </si>
  <si>
    <t>3 VIAS DESCARTABLE</t>
  </si>
  <si>
    <t>Nº 18 CON BALON 50 mL</t>
  </si>
  <si>
    <t xml:space="preserve">SONDA VESICAL </t>
  </si>
  <si>
    <t xml:space="preserve"> Nº 14</t>
  </si>
  <si>
    <t>3 VIAS DE SILICONA DE LARGA PERMANENC</t>
  </si>
  <si>
    <t>Nº 18</t>
  </si>
  <si>
    <t xml:space="preserve">SONDA VESICAL TIPO NELATON </t>
  </si>
  <si>
    <t xml:space="preserve">N° 14 </t>
  </si>
  <si>
    <t>Nº 12</t>
  </si>
  <si>
    <t xml:space="preserve">SUCEDANEO DE LA LECHE MATERNA CON LACTOSA </t>
  </si>
  <si>
    <t>SUCEDANEO DE LA LECHE MATERNA PARA PREMATUROS 30 CALORIAS</t>
  </si>
  <si>
    <t>59 mL</t>
  </si>
  <si>
    <t xml:space="preserve">SUCEDANEO DE LA LECHE MATERNA SIN LACTOSA </t>
  </si>
  <si>
    <t xml:space="preserve">SUCEDANEO DE LECHE MATERNA PARA PREMATUROS 24 Kcal/onz </t>
  </si>
  <si>
    <t>SUGAMMADEX</t>
  </si>
  <si>
    <t>SUJETADOR DE TELA TIPO VELCRO DESCARTABLE PARA TUBO DE TRAQUEOSTOMIA ADULTO</t>
  </si>
  <si>
    <t>SUJETADOR DE TUBO ENDOTRAQUEAL UNIVERSAL</t>
  </si>
  <si>
    <t>SULFADIAZINA DE PLATA</t>
  </si>
  <si>
    <t xml:space="preserve">1 g/100 g </t>
  </si>
  <si>
    <t>SULFAMETOXAZOL + TRIMETOPRIMA</t>
  </si>
  <si>
    <t>200 mg + 40 mg/5 mL</t>
  </si>
  <si>
    <t>80 mg + 16 mg / mL</t>
  </si>
  <si>
    <t>800 mg + 160 mg</t>
  </si>
  <si>
    <t>SULFATO DE HIDROXICLOROQUINA</t>
  </si>
  <si>
    <t>400mg (Equiv. 310mg hidroxicloroquina</t>
  </si>
  <si>
    <t xml:space="preserve">SULFATO FERROSO </t>
  </si>
  <si>
    <t>300 mg (Equiv. 60 mg Fe)</t>
  </si>
  <si>
    <t xml:space="preserve">SUPLEMENTO NUTRICIONAL SIN FENILALANINA </t>
  </si>
  <si>
    <t>SURFACTANTE PULMONAR DE ORIGEN NATURAL (SUSPENSION INTRATRAQUEAL)</t>
  </si>
  <si>
    <t>SUTURA ACIDO POLIGLACTIN 3/0 C/A 1/2 CIRCULO REDONDA 17 mm X 70 cm</t>
  </si>
  <si>
    <t>SUTURA ACIDO POLIGLACTIN 4/0 C/A 1/2 CIRCULO REDONDA 17 mm X 70 cm</t>
  </si>
  <si>
    <t>SUTURA ACIDO POLIGLACTIN 5/0 C/A 1/2 CIRCULO REDONDA 17 mm X 70 cm</t>
  </si>
  <si>
    <t>SUTURA ACIDO POLIGLICOLICO 1 C/A 1/2 CIRCULO REDONDA 35 mm X 100 cm</t>
  </si>
  <si>
    <t>SUTURA CATGUT CROMICO 1 C/A 1/2 CIRCULO REDONDA 40 mm X 100 cm</t>
  </si>
  <si>
    <t>SUTURA CATGUT CROMICO 2/0 C/A 1/2 CIRCULO REDONDA 30 mm X 100 cm</t>
  </si>
  <si>
    <t>SUTURA CATGUT CROMICO 2/0 C/A 1/2 CIRCULO REDONDA 40 mm X 100 cm</t>
  </si>
  <si>
    <t>SUTURA CATGUT CROMICO 2/0 C/A 1/2 CIRCULO REDONDA 40 mm X 70 cm</t>
  </si>
  <si>
    <t>SUTURA CATGUT CROMICO 2/0 C/A 1/2 CIRCULO REDONDA 40 mm X 75 cm</t>
  </si>
  <si>
    <t>SUTURA CATGUT CROMICO 2/0 C/DOBLE AGUJA 1/2 CIRCULO REDONDA 40 mm X 150 cm</t>
  </si>
  <si>
    <t>SUTURA CATGUT CROMICO 3/0 C/A 1/2 CIRCULO REDONDA 25 mm X 70 cm</t>
  </si>
  <si>
    <t>SUTURA CATGUT SIMPLE 1 C/A 1/2 CIRCULO REDONDA 40 mm X 100 cm</t>
  </si>
  <si>
    <t>SUTURA DE LINO MULTIEMPAQUE 1 C/A 1/2 CIRCULO REDONDA 40 cm X 50 cm</t>
  </si>
  <si>
    <t>SUTURA DE POLIDIOXANONA 3/0 C/A 1/2 CIRCULO REDONDA 26 mm X 70 cm</t>
  </si>
  <si>
    <t>SUTURA DE POLIDIOXANONA 5/0 C/A 1/2 CIRCULO REDONDA 17 mm X 70 cm</t>
  </si>
  <si>
    <t>SUTURA DE POLIGLECAPRONE 5/0 C/A 1/2 CIRCULO REDONDA 15 mm X 70 cm</t>
  </si>
  <si>
    <t>SUTURA DE POLIPROPILENO 5/0 C/2A 3/8 CIRCULO REDONDA 13 mm X 70 cm</t>
  </si>
  <si>
    <t>29441</t>
  </si>
  <si>
    <t>SUTURA DE POLIPROPILENO AZUL MONOFILAMENTO 4/0 C/DOBLE AGUJA 1/2 CIRCULO REDONDA 17 mm X 75 cm</t>
  </si>
  <si>
    <t>SUTURA LINO MULTIEMPAQUE 1 S/A 8 HEBRAS X 70 cm</t>
  </si>
  <si>
    <t>SUTURA LINO MULTIEMPAQUE 2/0 S/A 8 HEBRAS X 70 cm</t>
  </si>
  <si>
    <t>42071</t>
  </si>
  <si>
    <t>SUTURA NAILON AZUL MONOFILAMENTO 3/0 C/A 3/8 CIRCULO CORTANTE 25 mm X 70 cm</t>
  </si>
  <si>
    <t>SUTURA NYLON AZUL MONOFILAMENTO 3/0 C/A 3/8 CIRCULO CORTANTE 25 mm X 75 cm</t>
  </si>
  <si>
    <t>SUTURA NYLON AZUL MONOFILAMENTO 4/0 C/A 3/8 CIRCULO CORTANTE 20 mm X 75 cm</t>
  </si>
  <si>
    <t>SUTURA POLIPROPILEN AZUL MONOFILAMENTO 2/0 C/2A 1/2 CIRCULO REDONDA 26 mm X 90 cm</t>
  </si>
  <si>
    <t>SUTURA SEDA NEGRA TRENZADA  5/0 C/A  1/2 CIRCULO  REDONDA  20 mm x 75 cm</t>
  </si>
  <si>
    <t>SUTURA SEDA NEGRA TRENZADA 3/0 C/A 3/8 CIRCULO CORTANTE 25 mm X 75 cm</t>
  </si>
  <si>
    <t>TENOFOVIR</t>
  </si>
  <si>
    <t>TERMOMETRO CLINICO ORAL 35 - 42ºC</t>
  </si>
  <si>
    <t>TIAMINA CLORHIDRATO</t>
  </si>
  <si>
    <t>TIGECICLINA</t>
  </si>
  <si>
    <t>TIOPENTAL SODICO</t>
  </si>
  <si>
    <t>TIRA REACTIVA PARA GLUCOSA EN SANGRE CON LANCETA</t>
  </si>
  <si>
    <t>TRAMADOL CLORHIDRATO</t>
  </si>
  <si>
    <t>TROPICAMIDA (SOLUCION OFTALMICA)</t>
  </si>
  <si>
    <t>TUBO DE ASPIRACION TRANSPARENTE 5/16 X 7/16 X 2 m</t>
  </si>
  <si>
    <t>TUBO DE ASPIRACION TRANSPARENTE 5/16 X 7/16 X 2.5 m</t>
  </si>
  <si>
    <t>44770</t>
  </si>
  <si>
    <t>TUBO DE ASPIRACION TRANSPARENTE 9/32 in X 3.0 m</t>
  </si>
  <si>
    <t>TUBO DE ASPIRACION TRANSPARENTE 9/32" X 2.5 m</t>
  </si>
  <si>
    <t>TUBO DE DRENAJE PEN ROSE 1" X 17"</t>
  </si>
  <si>
    <t>TUBO ENDOTRAQUEAL DESCARTABLE N° 3.5 SIN BALON</t>
  </si>
  <si>
    <t>TUBO ENDOTRAQUEAL DESCARTABLE N° 4.5 SIN BALON</t>
  </si>
  <si>
    <t>TUBO ENDOTRAQUEAL DESCARTABLE N° 8.0 CON BALON</t>
  </si>
  <si>
    <t>TUBO ENDOTRAQUEAL DESCARTABLE Nº 2.5 SIN BALON</t>
  </si>
  <si>
    <t>TUBO ENDOTRAQUEAL DESCARTABLE Nº 3.0 SIN BALON</t>
  </si>
  <si>
    <t>TUBO ENDOTRAQUEAL DESCARTABLE Nº 4.0 CON BALON</t>
  </si>
  <si>
    <t>TUBO ENDOTRAQUEAL DESCARTABLE Nº 4.0 SIN BALON</t>
  </si>
  <si>
    <t>TUBO ENDOTRAQUEAL DESCARTABLE Nº 4.5 CON BALON</t>
  </si>
  <si>
    <t>TUBO ENDOTRAQUEAL DESCARTABLE Nº 5.0 CON BALON</t>
  </si>
  <si>
    <t>TUBO ENDOTRAQUEAL DESCARTABLE Nº 6.0 CON BALON</t>
  </si>
  <si>
    <t>TUBO ENDOTRAQUEAL DESCARTABLE Nº 6.5 CON BALON</t>
  </si>
  <si>
    <t>TUBO ENDOTRAQUEAL DESCARTABLE Nº 7.0 CON BALON</t>
  </si>
  <si>
    <t>TUBO ENDOTRAQUEAL DESCARTABLE Nº 7.5 CON BALON</t>
  </si>
  <si>
    <t>VALGANCICLOVIR</t>
  </si>
  <si>
    <t>450 mg</t>
  </si>
  <si>
    <t>VALPROATO SODICO</t>
  </si>
  <si>
    <t>VANCOMICINA CLORHIDRATO</t>
  </si>
  <si>
    <t>VASOPRESINA</t>
  </si>
  <si>
    <t>20 UI</t>
  </si>
  <si>
    <t>VENDA ELASTICA 4" X 5 yd</t>
  </si>
  <si>
    <t>VENDA ELASTICA 6" X 5 yd</t>
  </si>
  <si>
    <t>VERAPAMILO CLORHIDRATO</t>
  </si>
  <si>
    <t>80 mg</t>
  </si>
  <si>
    <t>WARFARINA SODICA</t>
  </si>
  <si>
    <t>YODO POVIDONA</t>
  </si>
  <si>
    <t xml:space="preserve">10 g/100 mL </t>
  </si>
  <si>
    <t>ZIDOVUDINA</t>
  </si>
  <si>
    <t>06573</t>
  </si>
  <si>
    <t>ZOLPIDEM TARTRATO</t>
  </si>
  <si>
    <t>% para SIS</t>
  </si>
  <si>
    <t>Etiquetas de fila</t>
  </si>
  <si>
    <t>Total general</t>
  </si>
  <si>
    <t>(Varios elementos)</t>
  </si>
  <si>
    <t>LISTA DE MEDICAMENTOS</t>
  </si>
  <si>
    <t>% de disponibilidad de medicamentos</t>
  </si>
  <si>
    <t>TRAZADORES DE SALA DE OPERACIONES</t>
  </si>
  <si>
    <t>% de disponibilidad de medicamentos esenciales</t>
  </si>
  <si>
    <t>DESCRIPCION DEL MEDICAMENTOS</t>
  </si>
  <si>
    <t>CONCENTRACION</t>
  </si>
  <si>
    <t>PRESENTACION</t>
  </si>
  <si>
    <t>FORMA FARMACEUTICA</t>
  </si>
  <si>
    <t>ESTADO</t>
  </si>
  <si>
    <t>GELATINA SUCCINILATADA</t>
  </si>
  <si>
    <t>LISTA DE MEDICAMENTOS ESTRATEGIA</t>
  </si>
  <si>
    <t>LISTA DE MATERIAL MEDICO ESTRATEGIA</t>
  </si>
  <si>
    <t>LISTA DE MATERIAL MEDICO ESENCIALES</t>
  </si>
  <si>
    <t>LISTA DE MEDICAMENTOS ESENCIALES</t>
  </si>
  <si>
    <t>S</t>
  </si>
  <si>
    <t>00356</t>
  </si>
  <si>
    <t>ACIDO ALENDRONICO (COMO ALENDRONATO SODICO)</t>
  </si>
  <si>
    <t>70 mg</t>
  </si>
  <si>
    <t>500 æg (0.5 mg)</t>
  </si>
  <si>
    <t>400 æg + 60 mg Fe</t>
  </si>
  <si>
    <t>AMFOTERICINA B</t>
  </si>
  <si>
    <t>00664</t>
  </si>
  <si>
    <t>500 æg/mL (0.5 mg/mL)</t>
  </si>
  <si>
    <t>250 æg/DOSIS</t>
  </si>
  <si>
    <t>BENZATINA BENCILPENICILINA</t>
  </si>
  <si>
    <t>BENZATINA BENCILPENICILINA CON DILUYENTE</t>
  </si>
  <si>
    <t>CABERGOLINA</t>
  </si>
  <si>
    <t>CALCIO CARBONATO</t>
  </si>
  <si>
    <t>01705</t>
  </si>
  <si>
    <t>CLORANFENICOL (COMO SUCCINATO SODICO)</t>
  </si>
  <si>
    <t>02657</t>
  </si>
  <si>
    <t>250 æg (0.25 mg)</t>
  </si>
  <si>
    <t>DINITRATO DE ISOSORBIDA</t>
  </si>
  <si>
    <t>DOXICICLINA</t>
  </si>
  <si>
    <t>200 æg/mL (0.2 mg/mL)</t>
  </si>
  <si>
    <t>ERITROMICINA (COMO ESTEARATO O ETILSUCCINATO)</t>
  </si>
  <si>
    <t>ESTRIOL</t>
  </si>
  <si>
    <t>FENOBARBITAL</t>
  </si>
  <si>
    <t>50 æg/mL</t>
  </si>
  <si>
    <t>300 mg (Equiv. 60 mg Hierrp)</t>
  </si>
  <si>
    <t>GLICEROLTRINITRATO (NITROGLICERINA)</t>
  </si>
  <si>
    <t>GONADOTROFINA CORIONICA</t>
  </si>
  <si>
    <t>5000 UI</t>
  </si>
  <si>
    <t>ISOXSUPRINA</t>
  </si>
  <si>
    <t>3.3 g/5 mL</t>
  </si>
  <si>
    <t>400 æg/2 mL</t>
  </si>
  <si>
    <t>100 æg (0.1 mg)</t>
  </si>
  <si>
    <t>04394</t>
  </si>
  <si>
    <t>LIDOCAINA CLORHIDRATO + EPINEFRINA</t>
  </si>
  <si>
    <t>METRONIDAZOL (COMO BENZOATO)</t>
  </si>
  <si>
    <t>MIDAZOLAM (COMO CLORHIDRATO)</t>
  </si>
  <si>
    <t>200 æg</t>
  </si>
  <si>
    <t>MORFINA CLORHIDRATO</t>
  </si>
  <si>
    <t>NAPROXENO</t>
  </si>
  <si>
    <t>500 æg/mL</t>
  </si>
  <si>
    <t>NISTATINA</t>
  </si>
  <si>
    <t>05154</t>
  </si>
  <si>
    <t>OMEPRAZOL</t>
  </si>
  <si>
    <t>SALBUTAMOL (COMO SULFATO)</t>
  </si>
  <si>
    <t>100 æg/DOSIS</t>
  </si>
  <si>
    <t>SERTRALINA (COMO CLORHIDRATO)</t>
  </si>
  <si>
    <t>SURFACTANTE PULMONAR DE ORIGEN NATURAL</t>
  </si>
  <si>
    <t>TIMOLOL (COMO MALEATO)(SOLUCION OFTALMICA)</t>
  </si>
  <si>
    <t>VANCOMICINA (COMO CLORHIDRATO)</t>
  </si>
  <si>
    <t>% General</t>
  </si>
  <si>
    <t>% Esenciales</t>
  </si>
  <si>
    <t>Disponibilidad</t>
  </si>
  <si>
    <t>% Medicamentos</t>
  </si>
  <si>
    <t>% Material Médico</t>
  </si>
  <si>
    <t>Fuente: Almacén de Farmacia</t>
  </si>
  <si>
    <t>% para 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</si>
</sst>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9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" fontId="1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0" fontId="3" fillId="3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164" fontId="7" fillId="3" borderId="0" xfId="1" applyNumberFormat="1" applyFont="1" applyFill="1" applyAlignment="1">
      <alignment horizontal="center" vertical="center"/>
    </xf>
    <xf numFmtId="0" fontId="0" fillId="0" borderId="0" xfId="0" pivotButton="1"/>
    <xf numFmtId="0" fontId="2" fillId="6" borderId="2" xfId="0" applyFont="1" applyFill="1" applyBorder="1" applyAlignment="1">
      <alignment horizontal="center" vertical="center" wrapText="1"/>
    </xf>
    <xf numFmtId="9" fontId="8" fillId="3" borderId="4" xfId="0" applyNumberFormat="1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9" fontId="8" fillId="3" borderId="5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8" xfId="0" applyBorder="1"/>
    <xf numFmtId="0" fontId="0" fillId="0" borderId="19" xfId="0" applyBorder="1"/>
    <xf numFmtId="0" fontId="2" fillId="6" borderId="20" xfId="0" applyFont="1" applyFill="1" applyBorder="1" applyAlignment="1">
      <alignment horizontal="center" vertical="center" wrapText="1"/>
    </xf>
    <xf numFmtId="9" fontId="8" fillId="3" borderId="22" xfId="0" applyNumberFormat="1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1" xfId="0" applyBorder="1"/>
    <xf numFmtId="0" fontId="0" fillId="0" borderId="27" xfId="0" applyBorder="1"/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horizontal="center"/>
    </xf>
    <xf numFmtId="0" fontId="0" fillId="5" borderId="0" xfId="0" applyFill="1"/>
    <xf numFmtId="0" fontId="1" fillId="7" borderId="5" xfId="0" applyFont="1" applyFill="1" applyBorder="1" applyAlignment="1">
      <alignment horizontal="center" vertical="center"/>
    </xf>
    <xf numFmtId="9" fontId="1" fillId="7" borderId="5" xfId="1" applyFont="1" applyFill="1" applyBorder="1" applyAlignment="1">
      <alignment horizontal="center" vertical="center"/>
    </xf>
    <xf numFmtId="0" fontId="0" fillId="8" borderId="34" xfId="0" applyFill="1" applyBorder="1" applyAlignment="1">
      <alignment horizontal="center" vertical="center"/>
    </xf>
    <xf numFmtId="9" fontId="0" fillId="8" borderId="35" xfId="1" applyFont="1" applyFill="1" applyBorder="1" applyAlignment="1">
      <alignment horizontal="center" vertical="center"/>
    </xf>
    <xf numFmtId="0" fontId="0" fillId="8" borderId="36" xfId="0" applyFill="1" applyBorder="1" applyAlignment="1">
      <alignment horizontal="center" vertical="center"/>
    </xf>
    <xf numFmtId="9" fontId="0" fillId="8" borderId="37" xfId="1" applyFont="1" applyFill="1" applyBorder="1" applyAlignment="1">
      <alignment horizontal="center" vertical="center"/>
    </xf>
    <xf numFmtId="0" fontId="0" fillId="7" borderId="36" xfId="0" applyFill="1" applyBorder="1" applyAlignment="1">
      <alignment horizontal="center" vertical="center"/>
    </xf>
    <xf numFmtId="9" fontId="0" fillId="7" borderId="37" xfId="1" applyFont="1" applyFill="1" applyBorder="1" applyAlignment="1">
      <alignment horizontal="center" vertical="center"/>
    </xf>
    <xf numFmtId="0" fontId="0" fillId="7" borderId="38" xfId="0" applyFill="1" applyBorder="1" applyAlignment="1">
      <alignment horizontal="center" vertical="center"/>
    </xf>
    <xf numFmtId="9" fontId="0" fillId="7" borderId="39" xfId="1" applyFont="1" applyFill="1" applyBorder="1" applyAlignment="1">
      <alignment horizontal="center" vertical="center"/>
    </xf>
    <xf numFmtId="0" fontId="0" fillId="5" borderId="40" xfId="0" applyFill="1" applyBorder="1"/>
    <xf numFmtId="0" fontId="0" fillId="5" borderId="41" xfId="0" applyFill="1" applyBorder="1"/>
    <xf numFmtId="10" fontId="1" fillId="7" borderId="5" xfId="0" applyNumberFormat="1" applyFont="1" applyFill="1" applyBorder="1" applyAlignment="1">
      <alignment horizontal="center" vertical="center"/>
    </xf>
    <xf numFmtId="10" fontId="0" fillId="8" borderId="42" xfId="1" applyNumberFormat="1" applyFont="1" applyFill="1" applyBorder="1" applyAlignment="1">
      <alignment horizontal="center"/>
    </xf>
    <xf numFmtId="10" fontId="0" fillId="7" borderId="43" xfId="1" applyNumberFormat="1" applyFont="1" applyFill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0" fillId="5" borderId="31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/>
    </xf>
    <xf numFmtId="0" fontId="0" fillId="8" borderId="26" xfId="0" applyFill="1" applyBorder="1" applyAlignment="1">
      <alignment horizontal="center"/>
    </xf>
    <xf numFmtId="0" fontId="0" fillId="8" borderId="2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43" xfId="0" applyFill="1" applyBorder="1" applyAlignment="1">
      <alignment horizontal="center"/>
    </xf>
    <xf numFmtId="0" fontId="9" fillId="5" borderId="44" xfId="0" applyFont="1" applyFill="1" applyBorder="1" applyAlignment="1">
      <alignment horizontal="center" vertical="top"/>
    </xf>
    <xf numFmtId="0" fontId="9" fillId="5" borderId="45" xfId="0" applyFont="1" applyFill="1" applyBorder="1" applyAlignment="1">
      <alignment horizontal="center" vertical="top"/>
    </xf>
    <xf numFmtId="0" fontId="9" fillId="5" borderId="46" xfId="0" applyFont="1" applyFill="1" applyBorder="1" applyAlignment="1">
      <alignment horizontal="center" vertical="top"/>
    </xf>
  </cellXfs>
  <cellStyles count="2">
    <cellStyle name="Normal" xfId="0" builtinId="0"/>
    <cellStyle name="Porcentaje" xfId="1" builtinId="5"/>
  </cellStyles>
  <dxfs count="108">
    <dxf>
      <numFmt numFmtId="0" formatCode="General"/>
      <alignment horizontal="center" vertical="center" textRotation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77DD77"/>
        </patternFill>
      </fill>
    </dxf>
    <dxf>
      <fill>
        <patternFill>
          <bgColor rgb="FFFF6961"/>
        </patternFill>
      </fill>
    </dxf>
    <dxf>
      <fill>
        <patternFill>
          <bgColor rgb="FFF94027"/>
        </patternFill>
      </fill>
    </dxf>
    <dxf>
      <fill>
        <patternFill>
          <bgColor theme="9"/>
        </patternFill>
      </fill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5050"/>
      <color rgb="FFF94027"/>
      <color rgb="FFFF6961"/>
      <color rgb="FF77DD77"/>
      <color rgb="FF1D8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Manuel Delgado Marcos" refreshedDate="44795.636481481481" createdVersion="4" refreshedVersion="4" minRefreshableVersion="3" recordCount="1219" xr:uid="{00000000-000A-0000-FFFF-FFFF77000000}">
  <cacheSource type="worksheet">
    <worksheetSource name="TblDisponibilidad"/>
  </cacheSource>
  <cacheFields count="27">
    <cacheField name="Código" numFmtId="49">
      <sharedItems containsBlank="1" count="679">
        <s v="00143"/>
        <s v="00132"/>
        <s v="00091"/>
        <s v="00200"/>
        <s v="03513"/>
        <s v="00223"/>
        <s v="00225"/>
        <s v="00226"/>
        <s v="42967"/>
        <s v="00234"/>
        <s v="31569"/>
        <s v="36412"/>
        <s v="36717"/>
        <s v="08013"/>
        <s v="25452"/>
        <s v="30818"/>
        <s v="23523"/>
        <s v="23738"/>
        <s v="31368"/>
        <s v="10145"/>
        <s v="10148"/>
        <s v="10155"/>
        <s v="30589"/>
        <s v="30526"/>
        <s v="00259"/>
        <s v="00269"/>
        <s v="00274"/>
        <s v="46149"/>
        <s v="10230"/>
        <s v="44150"/>
        <s v="10221"/>
        <s v="10244"/>
        <s v="10246"/>
        <s v="10248"/>
        <s v="10249"/>
        <s v="46827"/>
        <s v="10256"/>
        <s v="00393"/>
        <s v="00396"/>
        <s v="18091"/>
        <s v="00620"/>
        <s v="00627"/>
        <s v="00625"/>
        <s v="00638"/>
        <s v="00639"/>
        <s v="00662"/>
        <s v="00663"/>
        <s v="00671"/>
        <s v="00673"/>
        <s v="00786"/>
        <s v="00794"/>
        <s v="00808"/>
        <s v="00725"/>
        <s v="00750"/>
        <s v="00822"/>
        <s v="00830"/>
        <s v="32350"/>
        <s v="18522"/>
        <s v="18381"/>
        <s v="41633"/>
        <s v="15231"/>
        <s v="15232"/>
        <s v="22357"/>
        <s v="10299"/>
        <s v="20803"/>
        <s v="10302"/>
        <s v="28601"/>
        <s v="38085"/>
        <s v="00900"/>
        <s v="00903"/>
        <s v="00904"/>
        <s v="00910"/>
        <s v="00909"/>
        <s v="00914"/>
        <s v="00939"/>
        <s v="00946"/>
        <s v="00947"/>
        <s v="00958"/>
        <s v="00990"/>
        <s v="01009"/>
        <s v="01043"/>
        <s v="18048"/>
        <s v="01032"/>
        <s v="18318"/>
        <s v="20810"/>
        <s v="01053"/>
        <s v="01205"/>
        <s v="01213"/>
        <s v="18213"/>
        <s v="01243"/>
        <s v="01274"/>
        <s v="10372"/>
        <s v="10355"/>
        <s v="10363"/>
        <s v="21421"/>
        <s v="10367"/>
        <s v="20284"/>
        <s v="10369"/>
        <s v="18326"/>
        <s v="25214"/>
        <s v="25172"/>
        <s v="10370"/>
        <s v="18327"/>
        <s v="40779"/>
        <s v="15276"/>
        <s v="31590"/>
        <s v="33357"/>
        <s v="15287"/>
        <s v="10386"/>
        <s v="01323"/>
        <s v="20622"/>
        <s v="01344"/>
        <s v="26361"/>
        <s v="01346"/>
        <s v="01358"/>
        <s v="01378"/>
        <s v="19239"/>
        <s v="35709"/>
        <s v="01391"/>
        <s v="29001"/>
        <s v="01467"/>
        <s v="40940"/>
        <s v="42512"/>
        <s v="15334"/>
        <s v="15336"/>
        <s v="10419"/>
        <s v="37672"/>
        <s v="37671"/>
        <s v="20684"/>
        <s v="38666"/>
        <s v="10428"/>
        <s v="01522"/>
        <s v="01532"/>
        <s v="19702"/>
        <s v="21750"/>
        <s v="20635"/>
        <s v="25929"/>
        <s v="43815"/>
        <s v="34975"/>
        <s v="28661"/>
        <s v="15430"/>
        <s v="40969"/>
        <s v="25406"/>
        <s v="32213"/>
        <s v="19855"/>
        <s v="19244"/>
        <s v="19421"/>
        <s v="33201"/>
        <s v="23587"/>
        <s v="19719"/>
        <s v="30854"/>
        <s v="19635"/>
        <s v="19245"/>
        <s v="20737"/>
        <s v="19636"/>
        <s v="37328"/>
        <s v="23249"/>
        <s v="29633"/>
        <s v="23577"/>
        <s v="31488"/>
        <s v="24248"/>
        <s v="01628"/>
        <s v="01636"/>
        <s v="01639"/>
        <s v="01657"/>
        <s v="01682"/>
        <s v="18157"/>
        <s v="01684"/>
        <s v="01711"/>
        <s v="32269"/>
        <s v="43902"/>
        <s v="44068"/>
        <s v="25873"/>
        <s v="25874"/>
        <s v="28451"/>
        <s v="01800"/>
        <s v="01846"/>
        <s v="01841"/>
        <s v="01837"/>
        <s v="34569"/>
        <s v="10554"/>
        <s v="01930"/>
        <s v="01964"/>
        <s v="01958"/>
        <s v="32237"/>
        <s v="23542"/>
        <s v="02004"/>
        <s v="02003"/>
        <s v="02128"/>
        <s v="02132"/>
        <s v="02149"/>
        <s v="02188"/>
        <s v="37398"/>
        <s v="02269"/>
        <s v="02319"/>
        <s v="02309"/>
        <s v="02354"/>
        <s v="02381"/>
        <s v="30407"/>
        <s v="28613"/>
        <s v="38459"/>
        <s v="18940"/>
        <s v="20043"/>
        <s v="31788"/>
        <s v="44064"/>
        <s v="02554"/>
        <s v="02654"/>
        <s v="02642"/>
        <s v="24307"/>
        <s v="02666"/>
        <s v="02724"/>
        <s v="03783"/>
        <s v="03787"/>
        <s v="03789"/>
        <s v="03788"/>
        <s v="03796"/>
        <s v="02754"/>
        <s v="02752"/>
        <s v="02788"/>
        <s v="02830"/>
        <s v="02836"/>
        <s v="02862"/>
        <s v="02884"/>
        <s v="02891"/>
        <s v="02954"/>
        <s v="33009"/>
        <s v="08068"/>
        <s v="02979"/>
        <s v="41842"/>
        <s v="03010"/>
        <s v="03018"/>
        <s v="17703"/>
        <s v="45074"/>
        <s v="37508"/>
        <s v="38984"/>
        <s v="30437"/>
        <s v="03078"/>
        <s v="03080"/>
        <s v="03086"/>
        <s v="03088"/>
        <s v="22405"/>
        <s v="03097"/>
        <s v="03107"/>
        <s v="10927"/>
        <s v="24722"/>
        <s v="10929"/>
        <s v="10930"/>
        <s v="10933"/>
        <s v="18225"/>
        <s v="03139"/>
        <s v="03182"/>
        <s v="03191"/>
        <s v="03178"/>
        <s v="03215"/>
        <s v="03213"/>
        <s v="22710"/>
        <s v="25122"/>
        <s v="26075"/>
        <s v="32267"/>
        <s v="03224"/>
        <s v="33511"/>
        <s v="03234"/>
        <s v="03266"/>
        <s v="03302"/>
        <s v="03317"/>
        <s v="18102"/>
        <s v="03351"/>
        <s v="19850"/>
        <s v="46884"/>
        <s v="46885"/>
        <s v="46886"/>
        <s v="03431"/>
        <s v="03451"/>
        <s v="03444"/>
        <s v="03443"/>
        <s v="03454"/>
        <s v="03452"/>
        <s v="03501"/>
        <s v="03519"/>
        <s v="22626"/>
        <s v="41719"/>
        <s v="25544"/>
        <s v="03576"/>
        <s v="03595"/>
        <s v="03592"/>
        <s v="03591"/>
        <s v="03602"/>
        <s v="03624"/>
        <s v="42754"/>
        <s v="30687"/>
        <s v="29738"/>
        <s v="46588"/>
        <s v="39080"/>
        <s v="19312"/>
        <s v="39305"/>
        <s v="24276"/>
        <s v="03708"/>
        <s v="03703"/>
        <s v="03710"/>
        <s v="03713"/>
        <s v="03718"/>
        <s v="03727"/>
        <s v="24137"/>
        <s v="30352"/>
        <s v="30498"/>
        <s v="19166"/>
        <s v="03735"/>
        <s v="03751"/>
        <s v="03747"/>
        <s v="03758"/>
        <s v="37326"/>
        <s v="41485"/>
        <s v="41486"/>
        <s v="41339"/>
        <s v="41488"/>
        <s v="41340"/>
        <s v="41364"/>
        <s v="41490"/>
        <s v="25009"/>
        <s v="23112"/>
        <s v="25008"/>
        <s v="16569"/>
        <s v="16570"/>
        <s v="16571"/>
        <s v="16572"/>
        <s v="49235"/>
        <s v="03881"/>
        <s v="03878"/>
        <s v="03882"/>
        <s v="03873"/>
        <s v="03894"/>
        <s v="03921"/>
        <s v="03944"/>
        <s v="26362"/>
        <s v="03979"/>
        <s v="19238"/>
        <s v="28551"/>
        <s v="04000"/>
        <s v="16599"/>
        <s v="16602"/>
        <s v="04024"/>
        <s v="04034"/>
        <s v="30371"/>
        <s v="04058"/>
        <s v="29409"/>
        <s v="18952"/>
        <s v="28491"/>
        <s v="04085"/>
        <s v="22187"/>
        <s v="04127"/>
        <s v="04168"/>
        <s v="04184"/>
        <s v="18057"/>
        <s v="16656"/>
        <s v="11368"/>
        <s v="25143"/>
        <s v="11369"/>
        <s v="16657"/>
        <s v="22454"/>
        <s v="11370"/>
        <s v="23034"/>
        <s v="39083"/>
        <s v="19875"/>
        <s v="29208"/>
        <s v="23090"/>
        <s v="35082"/>
        <s v="42639"/>
        <s v="04187"/>
        <s v="26054"/>
        <s v="33373"/>
        <s v="33374"/>
        <s v="28450"/>
        <s v="35719"/>
        <s v="38594"/>
        <s v="04291"/>
        <s v="04323"/>
        <s v="04328"/>
        <s v="04326"/>
        <s v="04333"/>
        <s v="41678"/>
        <s v="41694"/>
        <s v="24148"/>
        <s v="29891"/>
        <s v="04350"/>
        <s v="19454"/>
        <s v="19405"/>
        <s v="04365"/>
        <s v="38680"/>
        <s v="04381"/>
        <s v="04415"/>
        <s v="23438"/>
        <s v="04398"/>
        <s v="04390"/>
        <s v="24313"/>
        <s v="34408"/>
        <s v="04455"/>
        <s v="08115"/>
        <s v="24704"/>
        <s v="20361"/>
        <s v="16737"/>
        <s v="18625"/>
        <s v="04514"/>
        <s v="04511"/>
        <s v="04523"/>
        <s v="04556"/>
        <s v="29689"/>
        <s v="35583"/>
        <s v="29965"/>
        <s v="29966"/>
        <s v="29967"/>
        <s v="35343"/>
        <s v="44250"/>
        <s v="38955"/>
        <s v="19491"/>
        <s v="43510"/>
        <s v="23126"/>
        <s v="04565"/>
        <s v="44836"/>
        <s v="44838"/>
        <s v="37293"/>
        <s v="30200"/>
        <s v="18955"/>
        <s v="25742"/>
        <s v="29496"/>
        <s v="16774"/>
        <s v="11464"/>
        <s v="29930"/>
        <s v="23127"/>
        <s v="29849"/>
        <s v="04585"/>
        <s v="04582"/>
        <s v="38600"/>
        <s v="38601"/>
        <s v="41090"/>
        <s v="04594"/>
        <s v="04597"/>
        <s v="04618"/>
        <s v="04666"/>
        <s v="04677"/>
        <s v="04696"/>
        <s v="04701"/>
        <s v="19167"/>
        <s v="04717"/>
        <s v="04752"/>
        <s v="04743"/>
        <s v="04760"/>
        <s v="04794"/>
        <s v="04776"/>
        <s v="04805"/>
        <s v="04817"/>
        <s v="28777"/>
        <s v="04831"/>
        <s v="18511"/>
        <s v="04838"/>
        <s v="26665"/>
        <s v="04846"/>
        <s v="04847"/>
        <s v="04900"/>
        <s v="05528"/>
        <s v="04922"/>
        <s v="04982"/>
        <s v="05009"/>
        <s v="17709"/>
        <s v="05018"/>
        <s v="05021"/>
        <s v="05063"/>
        <s v="05103"/>
        <s v="05106"/>
        <s v="05118"/>
        <s v="43270"/>
        <s v="08136"/>
        <s v="18958"/>
        <s v="27629"/>
        <s v="05151"/>
        <s v="35040"/>
        <s v="05157"/>
        <s v="05167"/>
        <s v="05166"/>
        <s v="05172"/>
        <s v="05211"/>
        <s v="05212"/>
        <s v="08140"/>
        <s v="22291"/>
        <s v="05253"/>
        <s v="44106"/>
        <s v="16825"/>
        <s v="16826"/>
        <s v="29634"/>
        <s v="36194"/>
        <s v="22110"/>
        <s v="22779"/>
        <s v="32618"/>
        <s v="23416"/>
        <s v="34998"/>
        <s v="05281"/>
        <s v="05309"/>
        <s v="05335"/>
        <s v="26066"/>
        <s v="16862"/>
        <s v="05408"/>
        <s v="05443"/>
        <s v="05475"/>
        <s v="05491"/>
        <s v="31363"/>
        <s v="29524"/>
        <s v="05520"/>
        <s v="32004"/>
        <s v="05551"/>
        <s v="18049"/>
        <s v="05588"/>
        <s v="05589"/>
        <s v="05586"/>
        <s v="05590"/>
        <s v="08054"/>
        <s v="18881"/>
        <s v="05626"/>
        <s v="05634"/>
        <s v="23122"/>
        <s v="32252"/>
        <s v="30142"/>
        <s v="45071"/>
        <s v="42921"/>
        <s v="42920"/>
        <s v="43863"/>
        <s v="45221"/>
        <s v="39992"/>
        <s v="22211"/>
        <s v="28776"/>
        <s v="19507"/>
        <s v="05645"/>
        <s v="05646"/>
        <s v="21275"/>
        <s v="05660"/>
        <s v="05658"/>
        <s v="05661"/>
        <s v="18671"/>
        <s v="47028"/>
        <s v="42638"/>
        <s v="05688"/>
        <s v="05694"/>
        <s v="05731"/>
        <s v="19723"/>
        <s v="20036"/>
        <s v="19418"/>
        <s v="05807"/>
        <s v="37227"/>
        <s v="40225"/>
        <s v="28337"/>
        <s v="44437"/>
        <s v="41031"/>
        <s v="25967"/>
        <s v="33269"/>
        <s v="25378"/>
        <s v="38126"/>
        <s v="05809"/>
        <s v="02922"/>
        <s v="05831"/>
        <s v="26650"/>
        <s v="25230"/>
        <s v="25287"/>
        <s v="19455"/>
        <s v="05856"/>
        <s v="05889"/>
        <s v="05873"/>
        <s v="05872"/>
        <s v="05880"/>
        <s v="05884"/>
        <s v="05913"/>
        <s v="43969"/>
        <s v="05598"/>
        <s v="05919"/>
        <s v="02432"/>
        <s v="39029"/>
        <s v="39025"/>
        <s v="39026"/>
        <s v="39027"/>
        <s v="39028"/>
        <s v="17009"/>
        <s v="17010"/>
        <s v="17013"/>
        <s v="17008"/>
        <s v="11853"/>
        <s v="11848"/>
        <s v="11850"/>
        <s v="11854"/>
        <s v="20086"/>
        <s v="17074"/>
        <s v="17075"/>
        <s v="17030"/>
        <s v="17045"/>
        <s v="17049"/>
        <s v="17029"/>
        <s v="38543"/>
        <s v="17083"/>
        <s v="17090"/>
        <s v="29995"/>
        <s v="30465"/>
        <s v="32713"/>
        <s v="35686"/>
        <s v="21482"/>
        <s v="41083"/>
        <s v="22556"/>
        <s v="05964"/>
        <s v="05986"/>
        <s v="05970"/>
        <s v="03515"/>
        <s v="03964"/>
        <s v="03552"/>
        <s v="44435"/>
        <s v="21864"/>
        <s v="24719"/>
        <s v="22975"/>
        <s v="23959"/>
        <s v="22644"/>
        <s v="23596"/>
        <s v="19266"/>
        <s v="19265"/>
        <s v="21519"/>
        <s v="12019"/>
        <s v="45204"/>
        <s v="12036"/>
        <s v="12023"/>
        <s v="19268"/>
        <s v="20496"/>
        <s v="22451"/>
        <s v="25609"/>
        <s v="22647"/>
        <s v="24372"/>
        <s v="29441"/>
        <s v="24122"/>
        <s v="24121"/>
        <s v="42071"/>
        <s v="19174"/>
        <s v="12228"/>
        <s v="24014"/>
        <s v="19116"/>
        <s v="19232"/>
        <s v="17766"/>
        <s v="31453"/>
        <s v="06127"/>
        <s v="19345"/>
        <s v="06188"/>
        <s v="30697"/>
        <s v="06239"/>
        <s v="06231"/>
        <s v="06357"/>
        <s v="21197"/>
        <s v="20707"/>
        <s v="44770"/>
        <s v="34533"/>
        <s v="24732"/>
        <s v="25558"/>
        <s v="25559"/>
        <s v="22775"/>
        <s v="25556"/>
        <s v="25557"/>
        <s v="25832"/>
        <s v="25860"/>
        <s v="28417"/>
        <s v="25228"/>
        <s v="22364"/>
        <s v="22362"/>
        <s v="22365"/>
        <s v="22252"/>
        <s v="19347"/>
        <s v="17771"/>
        <s v="06466"/>
        <s v="06471"/>
        <s v="17697"/>
        <s v="12806"/>
        <s v="12808"/>
        <s v="06485"/>
        <s v="06502"/>
        <s v="06519"/>
        <s v="06564"/>
        <s v="06573"/>
        <s v="06570"/>
        <s v="06602"/>
        <m/>
      </sharedItems>
    </cacheField>
    <cacheField name="Descripción" numFmtId="49">
      <sharedItems containsBlank="1" count="588">
        <s v="ACICLOVIR"/>
        <s v="ACICLOVIR (COMO SAL SODICA)"/>
        <s v="ACIDO ACETILSALICILICO"/>
        <s v="ACIDO FOLICO"/>
        <s v="ACIDO FOLICO + FERROSO SULFATO (Equiv. de Hierro elemental)"/>
        <s v="ACIDO TRANEXAMICO"/>
        <s v="ACIDO URSODEOXICOLICO"/>
        <s v="ACIDOS GRASOS HIPEROXIGENADOS SOLUCION"/>
        <s v="ADENOSINA"/>
        <s v="ADHESIVO FOTOCURABLE DE RESINA X 6 g"/>
        <s v="AEROCAMARA DE PLASTICO ADULTO"/>
        <s v="AEROCAMARA DE PLASTICO LACTANTE"/>
        <s v="AGUA PARA INYECCION"/>
        <s v="AGUJA DE AMNIOCENTESIS CON TUBO CENTIMETRADO DESCARTABLE Nº 21 G X 150 mm"/>
        <s v="AGUJA DENTAL TIPO CARPULE DESCARTABLE Nº 27 G X 1&quot;"/>
        <s v="AGUJA EPIDURAL DESCARTABLE N° 18 G X 3 1/4&quot;"/>
        <s v="AGUJA ESPINAL DESCARTABLE 27 G X 3 1/2&quot;"/>
        <s v="AGUJA ESPINAL DESCARTABLE 27 G X 4 11/16&quot;"/>
        <s v="AGUJA HIPODERMICA DESCARTABLE N° 18 G X 1 1/2&quot;"/>
        <s v="AGUJA HIPODERMICA DESCARTABLE N° 20 G X 1&quot;"/>
        <s v="AGUJA HIPODERMICA DESCARTABLE N° 23 G X 1&quot;"/>
        <s v="AGUJA PARA BIOPSIA DE MAMA DESCARTABLE 14 G X 10 cm DE 2 PROFUNDIDADES"/>
        <s v="AGUJA PARA JERINGA DE INSULINA TIPO LAPICERO Nº 31 G X 3/16&quot;"/>
        <s v="ALBENDAZOL"/>
        <s v="ALBUMINA HUMANA"/>
        <s v="ALCOHOL ETILICO (ETANOL)"/>
        <s v="ALCOHOL ETILICO (ETANOL) "/>
        <s v="ALGODON HIDROFILO"/>
        <s v="ALIMENTO NUTRICIONAL ISOTONICO CON TCM PARA ADULTO "/>
        <s v="ALITA DESCARTABLE N° 21 G X 3/4&quot;"/>
        <s v="ALPRAZOLAM "/>
        <s v="ALPROSTADIL"/>
        <s v="ALUMINIO HIDROXIDO + MAGNESIO HIDROXIDO"/>
        <s v="AMFOTERICINA B "/>
        <s v="AMIKACINA (COMO SULFATO)"/>
        <s v="AMINOACIDOS "/>
        <s v="AMINOFILINA"/>
        <s v="AMIODARONA CLORHIDRATO"/>
        <s v="AMLODIPINO (COMO BESILATO)"/>
        <s v="AMOXICILINA"/>
        <s v="AMOXICILINA + ACIDO CLAVULANICO (COMO SAL POTASICA)"/>
        <s v="AMPICILINA (COMO SAL SODICA) + SULBACTAM (COMO SAL SODICA)"/>
        <s v="AMPICILINA SODICA"/>
        <s v="APOSITO DE ESPUMA HIDROFILICA (POLIURETANO) ADHESIVO ESTERIL 15 cm X 15 cm"/>
        <s v="APOSITO DE GASA Y ALGODON ESTERIL 10 cm X 10 cm"/>
        <s v="APOSITO DE GASA Y ALGODON ESTERIL 10 cm X 20 cm"/>
        <s v="APOSITO DE HIDROFIBRA CON PLATA IONICA 1.2 % + ACIDO ETILENEDIAMINETETRA ACETICO (EDTA) + CLORURO DE BENZETONIO (Be"/>
        <s v="APOSITO HIDROCOLOIDE 10 cm X 10 cm"/>
        <s v="APOSITO HIDROCOLOIDE 15 cm X 15 cm"/>
        <s v="APOSITO HIDROCOLOIDE EXTRAFINO 10 cm X 10 cm"/>
        <s v="APOSITO TRANSPARENTE ADHESIVO 10 cm X 12 cm"/>
        <s v="APOSITO TRANSPARENTE ADHESIVO 4 cm X 4 cm"/>
        <s v="APOSITO TRANSPARENTE ADHESIVO 6 cm X 7 cm"/>
        <s v="APOSITO TRANSPARENTE CON GLUCONATO DE CLORHEXIDINA 8.5 cm X 11.5 cm"/>
        <s v="ATAZANAVIR + RITONAVIR "/>
        <s v="ATENOLOL"/>
        <s v="ATORVASTATINA (COMO SAL CALCICA)"/>
        <s v="ATROPINA SULFATO"/>
        <s v="ATROPINA SULFATO (SOLUCION OFTALMICA)"/>
        <s v="AZITROMICINA"/>
        <s v="AZTREONAM"/>
        <s v="BACLOFENO"/>
        <s v="BECLOMETASONA DIPROPIONATO"/>
        <s v="BENCILPENICILINA BENZATINA"/>
        <s v="BENCILPENICILINA BENZATINA CON DILUYENTE"/>
        <s v="BENCILPENICILINA SODICA"/>
        <s v="BENCILPENICILINA SODICA CON DILUYENTE"/>
        <s v="BENCINA RECTIFICADA"/>
        <s v="BENZOATO DE BENCILO"/>
        <s v="BETAMETASONA (COMO DIPROPIONATO)"/>
        <s v="BETAMETASONA (COMO FOSFATO SODICO)"/>
        <s v="BETAMETASONA DIPROPIONATO"/>
        <s v="BIPERIDENO CLORHIDRATO"/>
        <s v="BISOPROLOL FUMARATO"/>
        <s v="BOLSA  DE TRANSFERENCIA DE PLASMA 300 mL"/>
        <s v="BOLSA COLECTORA DE ORINA X 100 mL"/>
        <s v="BOLSA COLECTORA DE ORINA X 2 L"/>
        <s v="BOLSA COLECTORA DE SANGRE CUADRUPLE X 450 mL CON MANITOL"/>
        <s v="BOLSA DE COLOSTOMIA ADULTO"/>
        <s v="BOLSA DE COLOSTOMIA NEONATAL"/>
        <s v="BOLSA DE NUTRICION PARENTERAL 1 L"/>
        <s v="BOLSA DE NUTRICION PARENTERAL 250 mL"/>
        <s v="BOLSA DE NUTRICION PARENTERAL X 150 mL"/>
        <s v="BOLSA PARA NUTRICION ENTERAL X 1.5 L"/>
        <s v="BOLSA PARA NUTRICION PARENTERAL X 3 L"/>
        <s v="BOLSA PARA NUTRICION PARENTERAL X 500 mL"/>
        <s v="BOMBA DE INFUSIÓN ELASTOMÉRICA FLUJO CONTINUO 100 mL DESCARTABLE"/>
        <s v="BOMBILLA DE ASPIRACION N° 6"/>
        <s v="BOTA DESCARTABLE"/>
        <s v="BOTA DESCARTABLE ANTIDESLIZANTE"/>
        <s v="BRAZALETE DE IDENTIFICACION PARA NIÑO (CELESTE)"/>
        <s v="BRAZALETE DE IDENTIFICACION PARA RECIEN NACIDO (BLANCO)"/>
        <s v="BROMOCRIPTINA (COMO MESILATO)"/>
        <s v="BROMURO DE IPRATROPIO"/>
        <s v="BROMURO DE ROCURONIO"/>
        <s v="BROMURO DE VECURONIO"/>
        <s v="BUDESONIDA"/>
        <s v="BUPIVACAINA CLORHIDRATO (SIN PRESERVANTES)"/>
        <s v="BUPIVACAINA CLORHIDRATO + DEXTROSA"/>
        <s v="BURETA DE ACETATO DE CELULOSA PARA NUTRICION PARENTERAL DE 150 mL"/>
        <s v="CABERGOLINA "/>
        <s v="CAFEINA CITRATO"/>
        <s v="CALCIO GLUCONATO"/>
        <s v="CÁMARA HUMIFICADORA DESCARTABLE PÚA CON AGUJERO"/>
        <s v="CANULA ADULTO PARA TERAPIA DE ALTO FLUJO TALLA M"/>
        <s v="CANULA BINASAL PARA OXIGENO ADULTO"/>
        <s v="CANULA BINASAL PARA OXIGENO NEONATO"/>
        <s v="CANULA BINASAL PARA OXIGENO PEDIATRICO"/>
        <s v="CANULA PARA TRAQUEOSTOMIA Nº 3 X 30 mm"/>
        <s v="CANULA PARA TRAQUEOSTOMIA Nº 3.5 X 32 mm"/>
        <s v="CANULA PARA TRAQUEOSTOMIA Nº 3.5 X 40 mm"/>
        <s v="CANULA PARA TRAQUEOSTOMIA Nº 6.5 CON BALON"/>
        <s v="CANULA PARA TRAQUEOSTOMIA Nº 8"/>
        <s v="CAPTOPRIL"/>
        <s v="CARBAMAZEPINA"/>
        <s v="CARBETOCINA"/>
        <s v="CARBOMERO"/>
        <s v="CARBONATO DE CALCIO"/>
        <s v="CARBOXIMALTOSA FERRICA"/>
        <s v="CARETA PROTECTORA DE POLICARBONATO"/>
        <s v="CARTUCHO PARA ANALIZADOR DE GASES ARTERIALES LACTATO"/>
        <s v="CARTUCHO PARA ANALIZADOR DE GASES ARTERIALES Y ELECTROLITOS EG7+"/>
        <s v="CATETER ARTERIAL RADIAL N° 20 G"/>
        <s v="CATÉTER ARTERIAL UMBILICAL UN LUMEN 2.5 FR"/>
        <s v="CATETER ARTERIAL UMBILICAL UN LUMEN 3.5 FR"/>
        <s v="CATETER DE DRENAJE TORAXICO 28 FR + TROCAR"/>
        <s v="CATETER DRENAJE TORAXICO CON TROCAR Nº10 F"/>
        <s v="CATETER DRENAJE TORAXICO Nº8 F"/>
        <s v="CATETER ENDOVENOSO PERIFERICO Nº 18 G X 1 1/4&quot;"/>
        <s v="CATETER ENDOVENOSO PERIFERICO Nº 18 G X 1.16&quot; CON DISPOSITIVO DE BIOSEGURIDAD"/>
        <s v="CATETER ENDOVENOSO PERIFERICO Nº 20 G X 1 1/4&quot; CON DISPOSITIVO DE SEGURIDAD"/>
        <s v="CATETER ENDOVENOSO PERIFERICO Nº 24 G X 3/4&quot; CON DISPOSITIVO DE BIOSEGURIDAD "/>
        <s v="CATETER EPIDURAL Nº 20 G X 100 cm"/>
        <s v="CATETER PERCUTANEO 1.9 FR CON AGUJA INTRODUCTORA Nº 26"/>
        <s v="CATETER PERCUTANEO CON INTRODUCTOR PELABLE 2.0 FR"/>
        <s v="CATETER UMBILICAL VENOSO "/>
        <s v="CATETER VENOSO CENTRAL DOBLE LUMEN 12 FR X 15 cm DE ALTO FLUJO"/>
        <s v="CATETER VENOSO CENTRAL DOBLE LUMEN 3 FR X 6 cm"/>
        <s v="CATETER VENOSO CENTRAL TRIPLE LUMEN 7 FR X 20 cm"/>
        <s v="CATETER VENOSO CENTRAL UN LUMEN 16 G X 13 cm"/>
        <s v="CATETER VENOSO CENTRAL UN LUMEN DE LARGA PERMANENCIA 2.7 FR X 75 cm"/>
        <s v="CATETER VENTRICULAR IMPREGNADO BARIO 23 cm"/>
        <s v="CEFALEXINA"/>
        <s v="CEFAZOLINA (COMO SAL SODICA)"/>
        <s v="CEFOTAXIMA (COMO SAL SODICA)"/>
        <s v="CEFTAZIDIMA"/>
        <s v="CEFTAZIDIMA CON DILUYENTE"/>
        <s v="CEFTRIAXONA SODICA"/>
        <s v="CEFUROXIMA (COMO AXETIL)"/>
        <s v="CHAQUETA DESCARTABLE TALLA L"/>
        <s v="CHAQUETA DESCARTABLE TALLA XL"/>
        <s v="CHAQUETA DESCARTABLE TALLA XXL"/>
        <s v="CHAQUETA Y PANTALON DESCARTABLE TALLA L"/>
        <s v="CHAQUETA Y PANTALON DESCARTABLE TALLA M"/>
        <s v="CHAQUETA Y PANTALON DESCARTABLE TALLA XL "/>
        <s v="CILASTATINA + IMIPENEM (COMO SAL SODICA)"/>
        <s v="CIPROFLOXACINO (COMO CLORHIDRATO)"/>
        <s v="CIPROFLOXACINO (COMO CLORHIDRATO)(SOLUCION OFTALMICA)"/>
        <s v="CIPROFLOXACINO (COMO LACTATO)"/>
        <s v="CIRCUITO CORRUGADO NEONATAL CON TUBO EN &quot;T&quot; PARA VENTILACION A PRESION POSITIVA"/>
        <s v="CLAMP UMBILICAL DESCARTABLE"/>
        <s v="CLARITROMICINA"/>
        <s v="CLINDAMICINA (COMO CLORHIDRATO)"/>
        <s v="CLINDAMICINA (COMO FOSFATO)"/>
        <s v="CLIP DE TITANIO M X 6"/>
        <s v="CLIP DE TITANIO TIPO HORIZON ML X 6"/>
        <s v="CLONAZEPAM"/>
        <s v="CLORFENAMINA MALEATO"/>
        <s v="CLORHEXIDINA"/>
        <s v="CLORHEXIDINA GLUCONATO"/>
        <s v="CLORURO DE SUXAMETONIO"/>
        <s v="CLOTRIMAZOL"/>
        <s v="CODEINA FOSFATO"/>
        <s v="COLECTOR DE SECRECION BRONQUIAL-SPECIMEN-TRAP 70 mL"/>
        <s v="COLISTINA"/>
        <s v="COLISTINA (COMO COLISTIMETATO DE SODIO)"/>
        <s v="COMPRESA DE GASA QUIRURGICA 48 cm X 48 cm"/>
        <s v="CONECTOR BIFURCADO CON ADAPTADOR EN Y ADULTO"/>
        <s v="CONECTOR DE CATETER DE DERIVACION VENTRICULO PERITONEAL"/>
        <s v="CUBO DE POLIESTIRENO PARA PROTECCION EN LOS PROCESOS DE INTUBACION/EXTUBACION "/>
        <s v="DANAZOL"/>
        <s v="DEXAMETASONA"/>
        <s v="DEXAMETASONA FOSFATO (COMO SAL SODICA)"/>
        <s v="DEXKETOPROFENO "/>
        <s v="DEXMEDETOMIDINA"/>
        <s v="DEXTROMETORFANO BROMHIDRATO"/>
        <s v="DEXTROSA"/>
        <s v="DIAZEPAM"/>
        <s v="DICLOFENACO SODICO"/>
        <s v="DICLOXACILINA (COMO SAL SODICA)"/>
        <s v="DIGOXINA"/>
        <s v="DIMENHIDRINATO"/>
        <s v="DINITRATO DE ISOSORBIDA(SUB LINGUAL)"/>
        <s v="DISPOSITIVO INTRAUTERINO CON LEVONORGESTREL 52 mg"/>
        <s v="DISPOSITIVO INTRAUTERINO DE COBRE"/>
        <s v="DOBUTAMINA (COMO CLORHIDRATO)"/>
        <s v="DOLUTEGRAVIR + LAMIVUDINA + TENOFOVIR"/>
        <s v="DOPAMINA CLORHIDRATO"/>
        <s v="DOXICICLINA "/>
        <s v="EFAVIRENZ"/>
        <s v="EFAVIRENZ + LAMIVUDINA + TENOFOVIR "/>
        <s v="ELECTRODO CARDIACO PARA ADULTO"/>
        <s v="ELECTRODO NEONATAL PARA MONITOR MULTIPARAMETRO"/>
        <s v="EMTRICITABINA + TENOFOVIR"/>
        <s v="ENALAPRIL MALEATO"/>
        <s v="ENOXAPARINA SODICA"/>
        <s v="ENVASE DE PLASTICO CON TAPA ROSCA PARA ESPUTO 60 mL"/>
        <s v="EPINEFRINA (COMO CLORHIDRATO O TARTRATO)"/>
        <s v="EPOETINA ALFA (ERITROPOYETINA)"/>
        <s v="EQUIPO DE TRANSFUSION DE SANGRE"/>
        <s v="EQUIPO DE TRANSFUSION DE SANGRE CON FILTRO"/>
        <s v="EQUIPO DE VENOCLISIS"/>
        <s v="EQUIPO DE VENOCLISIS CON LINEA CLARA PARA BOMBA DE INFUSION"/>
        <s v="EQUIPO DE VENOCLISIS OPACO"/>
        <s v="EQUIPO MICROGOTERO CON CAMARA GRADUADA 150 mL"/>
        <s v="ERGOMETRINA MALEATO"/>
        <s v="ERITROMICINA "/>
        <s v="ERITROMICINA"/>
        <s v="ESCOPOLAMINA N-BUTILBROMURO"/>
        <s v="ESPECULO VAGINAL DESCARTABLE GRANDE "/>
        <s v="ESPECULO VAGINAL DESCARTABLE MEDIANO"/>
        <s v="ESPECULO VAGINAL DESCARTABLE PEQUEÑO "/>
        <s v="ESPIROMETRO DESCARTABLE DE PLASTICO DE 3 BOLAS"/>
        <s v="ESPIRONOLACTONA"/>
        <s v="ESPONJA HEMOSTATICA DE CELULOSA 5 cm X 7.5 cm"/>
        <s v="ESTRADIOL CIPIONATO + MEDROXIPROGESTERONA ACETATO "/>
        <s v="ESTRIOL (CREMA VAGINAL)"/>
        <s v="ETAMBUTOL CLORHIDRATO"/>
        <s v="ETILEFRINA"/>
        <s v="ETINILESTRADIOL + LEVONORGESTREL (BLISTER)"/>
        <s v="ETONOGESTREL (IMPLANTE)"/>
        <s v="EXTENSION PARA EQUIPO DE VENOCLISIS DOBLE LUMEN NEONATAL"/>
        <s v="FAJA DE COMPRESION PARA TROMBOSIS Y EMBOLIA (BOLSA X 2 UNI) "/>
        <s v="FENILEFRINA (SOLUCION OFTALMICA)"/>
        <s v="FENITOINA SODICA"/>
        <s v="FENOBARBITAL "/>
        <s v="FENOBARBITAL SODICO"/>
        <s v="FENTANILO"/>
        <s v="FERROSO SULFATO"/>
        <s v="FILTRO ANTIBACTERIAL VIRAL + INTERCAMBIADOR DE CALOR HUMEDAD ADULTO PARA CIRCUITO CORRUGADO"/>
        <s v="FILTRO BACTERIOLÓGICO DESCARTABLE PARA VENTILADOR MECÁNICO"/>
        <s v="FILTRO INTERCAMBIADOR DE CALOR Y HUMEDAD ADULTO PARA VENTILADOR PULMONAR MECANICO"/>
        <s v="FITOMENADIONA"/>
        <s v="FLUCONAZOL"/>
        <s v="FLUMAZENIL"/>
        <s v="FLUOXETINA (COMO CLORHIDRATO)"/>
        <s v="FORMULA ENTERAL POLIMERICA ADULTO"/>
        <s v="FORMULA LACTEA DE CONTINUACION "/>
        <s v="FORMULA NUTRICIONAL CON PROTEINAS"/>
        <s v="FORMULA POLIMERICA PARA NIÑOS MAYORES DE 10 AÑOS "/>
        <s v="FORMULA POLIMERICA SIN LACTOSA ADULTO"/>
        <s v="FORMULACIONES DE SALES DE REHIDRATACION ORAL"/>
        <s v="FORTIFICADOR DE LECHE MATERNA "/>
        <s v="FRASCO ESTERIL CON TAPA PARA MUESTRA DE ORINA 120 mL"/>
        <s v="FURAZOLIDONA"/>
        <s v="FUROSEMIDA"/>
        <s v="GABAPENTINA"/>
        <s v="GANCICLOVIR "/>
        <s v="GASA ESTERIL 7.5 cm X 7.5 cm X 5 UNIDADES"/>
        <s v="GASA QUIRURGICA RADIOPACA ESTERIL 10 cm X 10 cm X 5"/>
        <s v="GEL ANTIBACTERIAL PARA MANOS"/>
        <s v="GELATINA SUCCINALADA"/>
        <s v="GEMFIBROZILO"/>
        <s v="GENTAMICINA (COMO SULFATO)"/>
        <s v="GLIBENCLAMIDA"/>
        <s v="GORRO DE CIRUGIA TIPO GUSANO PARA ENFERMERA"/>
        <s v="GUANTE PARA EXAMEN DESCARTABLE DE NITRILO SIN POLVO TALLA L"/>
        <s v="GUANTE PARA EXAMEN DESCARTABLE DE NITRILO SIN POLVO TALLA L X 100"/>
        <s v="GUANTE PARA EXAMEN DESCARTABLE DE NITRILO SIN POLVO TALLA M "/>
        <s v="GUANTE PARA EXAMEN DESCARTABLE DE NITRILO SIN POLVO TALLA M"/>
        <s v="GUANTE PARA EXAMEN DESCARTABLE DE NITRILO SIN POLVO TALLA S "/>
        <s v="GUANTE PARA EXAMEN DESCARTABLE DE NITRILO SIN POLVO TALLA S"/>
        <s v="GUANTE PARA EXAMEN DESCARTABLE DE NITRILO SIN POLVO TALLA XL"/>
        <s v="GUANTE PARA EXAMEN DESCARTABLE TALLA L "/>
        <s v="GUANTE PARA EXAMEN DESCARTABLE TALLA M"/>
        <s v="GUANTE PARA EXAMEN DESCARTABLE TALLA S "/>
        <s v="GUANTE QUIRURGICO ESTERIL DESCARTABLE Nº 6 1/2"/>
        <s v="GUANTE QUIRURGICO ESTERIL DESCARTABLE Nº 7"/>
        <s v="GUANTE QUIRURGICO ESTERIL DESCARTABLE Nº 7 1/2 "/>
        <s v="GUANTE QUIRURGICO ESTERIL DESCARTABLE Nº 8 "/>
        <s v="GUIA PARA TUBO ENDOTRAQUEAL NEONATAL STYLE STERILE 10FR BX20 20 EA/BX"/>
        <s v="HALOPERIDOL"/>
        <s v="HEPARINA SODICA"/>
        <s v="HIDROCLOROTIAZIDA"/>
        <s v="HIDROCORTISONA (COMO ACETATO)"/>
        <s v="HIDROCORTISONA (COMO SUCCINATO SODICO)"/>
        <s v="HIDROXOCOBALAMINA"/>
        <s v="HIERRO (COMO SACARATO)"/>
        <s v="HIERRO POLIMALTOSA "/>
        <s v="HIPROMELOSA (SOLUCION OFTALMICA)"/>
        <s v="HOJA DE BISTURI DESCARTABLE Nº 15"/>
        <s v="HOJA DE BISTURI DESCARTABLE Nº 21"/>
        <s v="IBUPROFENO"/>
        <s v="INMUNOGLOBULINA ANTI D"/>
        <s v="INMUNOGLOBULINA ANTIHEPATITIS B "/>
        <s v="INSPIROMETRO INCENTIVO PARA TERAPIA RESPIRATORIA"/>
        <s v="INSULINA DETEMIR"/>
        <s v="INSULINA HUMANA (ADN RECOMBINANTE)"/>
        <s v="INSULINA ISOFANA HUMANA (NPH) ADN RECOMBINANTE"/>
        <s v="IOPAMIDOL"/>
        <s v="ISONIAZIDA"/>
        <s v="ITRACONAZOL"/>
        <s v="IVERMECTINA"/>
        <s v="JERINGA DESCARTABLE 1 mL CON AGUJA 25 G X 5/8&quot;"/>
        <s v="JERINGA DESCARTABLE 10 mL CON AGUJA 21G X 1 1/2&quot;"/>
        <s v="JERINGA DESCARTABLE 100 mL PICO LARGO"/>
        <s v="JERINGA DESCARTABLE 20 mL CON AGUJA 21 G X 1 1/2&quot;"/>
        <s v="JERINGA DESCARTABLE 3 mL CON AGUJA 21 G X 1 1/2&quot;"/>
        <s v="JERINGA DESCARTABLE 3 mL PARA GASES ARTERIALES Y ELECTROLITOS CON HEPARINA DE LITIO"/>
        <s v="JERINGA DESCARTABLE 5 mL CON AGUJA 21 G X 1 1/2&quot;"/>
        <s v="JERINGA DESCARTABLE 7 mL BAJA RESISTENCIA PARA ANESTESIA EPIDURAL"/>
        <s v="JERINGA DESCARTABLE DE INSULINA 0.5 mL CON AGUJA 31 G x 15/64&quot;"/>
        <s v="JERINGA DESCARTABLE DE TUBERCULINA 1 mL CON AGUJA 25 G X 5/8&quot;"/>
        <s v="JUEGO CIRCUITO CORRUGADO ADULTO PARA EQUIPO DE ANESTESIA"/>
        <s v="JUEGO CIRCUITO CORRUGADO NEONATAL DESCARTABLE PARA VENTILADOR MECANICO"/>
        <s v="JUEGO CIRCUITO CORRUGADO NEONATAL PARA EQUIPO DE ANESTESIA"/>
        <s v="JUEGO DE TROCAR UNIVERSAL"/>
        <s v="KETAMINA (COMO CLORHIDRATO)"/>
        <s v="KIT COMPLETO  DESCARTABLE DE TUBOS CORRUGADOS Y ACCESORIOS ADULTO PARA VENTILADOR VOLUMETRICO "/>
        <s v="KIT COMPLETO DESCARTABLE DE TUBOS CORRUGADOS Y ACCESORIOS NEONATAL PARA CPAP NASAL Nº 10.5"/>
        <s v="KIT COMPLETO DESCARTABLE DE TUBOS CORRUGADOS Y ACCESORIOS NEONATAL PARA CPAP NASAL Nº 7.5"/>
        <s v="KIT COMPLETO DESCARTABLE DE TUBOS CORRUGADOS Y ACCESORIOS NEONATAL PARA CPAP NASAL Nº 9"/>
        <s v="KIT COMPLETO DESCARTABLE DE TUBOS CORRUGADOS Y ACCESORIOS NEONATAL PARA OXIGENOTERAPIA"/>
        <s v="LABETALOL "/>
        <s v="LACTULOSA"/>
        <s v="LAMIVUDINA"/>
        <s v="LANATOSIDO C"/>
        <s v="LANCETA DESCARTABLE NO RETRACTIL 30 G"/>
        <s v="LANCETA DESCARTABLE RETRACTIL 23 G GRADUABLE X 1.3 mm, 1.8 mm, 2.3 mm"/>
        <s v="LAPIZ PARA ELECTROBISTURI ADULTO"/>
        <s v="LENTE DE PROTECCION DE POLICARBONATO"/>
        <s v="LEUPRORELINA ACETATO"/>
        <s v="LEVETIRACETAM"/>
        <s v="LEVOFLOXACINO"/>
        <s v="LEVONORGESTREL"/>
        <s v="LEVOTIROXINA SODICA"/>
        <s v="LIDOCAINA CLORHIDRATO"/>
        <s v="LIDOCAINA CLORHIDRATO + EPINEFRINA  "/>
        <s v="LIDOCAINA CLORHIDRATO + EPINEFRINA "/>
        <s v="LIDOCAINA CLORHIDRATO SIN PRESERVANTES"/>
        <s v="LINEA DE INFUSION CON BURETA PARA BOMBA DE INFUSION"/>
        <s v="LINEA DE INFUSION PARA NUTRICION ENTERAL PARA BOMBA DE INFUSION"/>
        <s v="LINEZOLID"/>
        <s v="LIPIDOS"/>
        <s v="LLAVE DE TRIPLE VIA CON EXTENSION X 10 cm"/>
        <s v="LLAVE DE TRIPLE VIA CON EXTENSION X 50 cm"/>
        <s v="LLAVE DE TRIPLE VIA DESCARTABLE"/>
        <s v="LOPINAVIR + RITONAVIR"/>
        <s v="LORATADINA"/>
        <s v="LOSARTAN POTASICO"/>
        <s v="MAGNESIO SULFATO"/>
        <s v="MAMELUCO DESCARTABLE TALLA L"/>
        <s v="MAMELUCO DESCARTABLE TALLA XL"/>
        <s v="MANDIL DESCARTABLE "/>
        <s v="MANDIL DESCARTABLE NO ESTERIL "/>
        <s v="MANDIL DESCARTABLE NO ESTERIL"/>
        <s v="MANDILON DESCARTABLE TALLA L"/>
        <s v="MANGA DE POLIETILENO ESTERIL PARA LAPAROSCOPIA 15.2 cm X 2.5 m"/>
        <s v="MANGA DE POLIETILENO ESTERIL PARA LAPAROSCOPIA 18 cm X 2.5 m"/>
        <s v="MANITOL"/>
        <s v="MANTA PARA EQUIPO DE HIPOTERMIA  PARA NEONATO 2.5 a 4 kg DE PESO"/>
        <s v="MANTA PARA EQUIPO DE HIPOTERMIA  PARA NEONATO 4 a 7 kg DE PESO"/>
        <s v="MANTA TERMICA ADULTO 2.10 m X 90 cm"/>
        <s v="MANTA TERMICA PARA CUERPO ENTERO 91 cm X 2.13 m APROX."/>
        <s v="MANTA TERMICA PEDIATRICO 0.91 m X 0.84 m"/>
        <s v="MASCARA DE OXIGENO CON BOLSA DE RESERVORIO NO REINHALATORIA"/>
        <s v="MASCARA DE OXIGENO DESCARTABLE NEONATAL Nº 1"/>
        <s v="MASCARA DE OXIGENO DESCARTABLE PARA NEBULIZACION ADULTO"/>
        <s v="MASCARA DE OXIGENO TIPO VENTURI PARA ADULTO"/>
        <s v="MASCARILLA DESCARTABLE EFICIENCIA DE FILTRADO 95%"/>
        <s v="MASCARILLA DESCARTABLE QUIRURGICA 3 PLIEGUES"/>
        <s v="MASCARILLA DESCARTABLE TIPO N-95"/>
        <s v="MEBENDAZOL"/>
        <s v="MEDIA DE COMPRESION MUSLO TALLA L"/>
        <s v="MEDIA DE COMPRESION MUSLO TALLA M"/>
        <s v="MEDIA DE COMPRESIÓN MUSLO TALLA S"/>
        <s v="MEDROXIPROGESTERONA ACETATO"/>
        <s v="MENOTROPINA"/>
        <s v="MEROPENEM"/>
        <s v="METAMIZOL SODICO"/>
        <s v="METFORMINA CLORHIDRATO"/>
        <s v="METILDOPA"/>
        <s v="METILPREDNISOLONA"/>
        <s v="METILPREDNISOLONA (COMO SUCCINATO SODICO)"/>
        <s v="METOCLOPRAMIDA CLORHIDRATO"/>
        <s v="METOTREXATO SODICO"/>
        <s v="METRONIDAZOL"/>
        <s v="MICONAZOL + TINIDAZOL"/>
        <s v="MICROCUBETA DESCARTABLE PARA HEMOGLOBINOMETRO PORTATIL"/>
        <s v="MIDAZOLAM"/>
        <s v="MILRINONA"/>
        <s v="MINI PUNZON PARA MEZCLAS INTRAVENOSAS CON FILTRO DE AIRE DE 0.45 µm Y FILTRO DE PARTICULAS DE 5 µm"/>
        <s v="MIRTAZAPINA"/>
        <s v="MISOPROSTOL"/>
        <s v="MORFINA (CLORHIDRATO)"/>
        <s v="MULTIVITAMINICOS"/>
        <s v="MUPIROCINA (COMO SAL CALCICA)"/>
        <s v="NAPROXENO "/>
        <s v="NEOSTIGMINA METILSULFATO"/>
        <s v="NEVIRAPINA"/>
        <s v="NIFEDIPINO"/>
        <s v="NIFEDIPINO (TABLETA DE LIBERACION MODIFICADA)"/>
        <s v="NISTATINA (GOTAS)"/>
        <s v="NITROFURANTOINA"/>
        <s v="NITROGLICERINA (GLICEROLTRINITRATO)"/>
        <s v="NOREPINEFRINA (COMO ACIDO TARTRATO)"/>
        <s v="NUTRIENTE COMPLETO BALANCEADO CON TRIGLICERIDO CADENA MEDIA "/>
        <s v="OCTREOTIDA"/>
        <s v="OLIGOELEMENTOS"/>
        <s v="OLIGOELEMENTOS PEDIATRICOS"/>
        <s v="OMEPRAZOL (COMO SAL SODICA)"/>
        <s v="OMEPRAZOL (TABLETA DE LIBERACION MODIFICADA)"/>
        <s v="ONDANSETRON (COMO CLORHIDRATO)"/>
        <s v="ORFENADRINA CITRATO"/>
        <s v="OSELTAMIVIR"/>
        <s v="OXACILINA"/>
        <s v="OXIGENO MEDICINAL GAS COMPRIMIDO"/>
        <s v="OXIGENO MEDICINAL LIQUIDO CRIOGENICO"/>
        <s v="OXITOCINA"/>
        <s v="PANTALON DESCARTABLE TALLA XXL"/>
        <s v="PAÑAL CALZON DESCARTABLE PARA ADULTO TALLA GRANDE"/>
        <s v="PAÑAL CALZON DESCARTABLE PARA ADULTO TALLA MEDIANO"/>
        <s v="PAÑAL DESCARTABLE TIPO CALZON PARA ADULTO TALLA L"/>
        <s v="PAÑAL DESCARTABLE TIPO CALZON PARA ADULTO TALLA XL"/>
        <s v="PAÑAL DESCARTABLE TIPO CALZON PARA PREMATUROS HASTA 2.2 Kg "/>
        <s v="PAÑAL DESCARTABLE TIPO CALZON PARA RECIEN NACIDO"/>
        <s v="PAÑAL DESCARTABLE TIPO TOALLA X 10"/>
        <s v="PAÑO HUMEDO HIPOALERGENICO PARA BEBES X 100 HOJAS"/>
        <s v="PARACETAMOL"/>
        <s v="PECTINA + CARBOXIMETILCELULOSA SODICO"/>
        <s v="PEROXIDO DE HIDROGENO (AGUA OXIGENADA)"/>
        <s v="PETIDINA CLORHIDRATO"/>
        <s v="PIPERACILINA + TAZOBACTAM"/>
        <s v="PIRAZINAMIDA"/>
        <s v="PIRIDOXINA CLORHIDRATO"/>
        <s v="PLACA NEUTRA ADULTO DESCARTABLE PARA ELECTROCAUTERIO"/>
        <s v="PLACA NEUTRA NEONATAL DESCARTABLE PARA ELECTROBISTURI"/>
        <s v="POLIGELINA"/>
        <s v="POLVO PARA OSTOMIA X 1 oz"/>
        <s v="POTASIO CLORURO"/>
        <s v="POTASIO FOSFATO DIBASICO + POTASIO FOSFATO MONOBASICO"/>
        <s v="PREDNISONA"/>
        <s v="PRESERVATIVOS SIN NONOXINOL"/>
        <s v="PROGESTERONA"/>
        <s v="PROPOFOL"/>
        <s v="PROPRANOLOL CLORHIDRATO"/>
        <s v="PROTECTOR CUTANEO HEXAMETILDISILOXANO+TERPOLIMERO ACRILATO+POLIFENILMETILSILOXAN"/>
        <s v="PROTECTOR CUTANEO HEXAMETILDISILOXANO+TERPOLIMERO ACRILATO+POLIFENILMETILSILOXANO X 1 mL"/>
        <s v="PROTECTOR FACIAL CON VISOR"/>
        <s v="PROTECTOR OCULAR DESCARTABLE PARA FOTOTERAPIA RECIEN NACIDO DE 20-28 cm"/>
        <s v="PROTECTOR OCULAR DESCARTABLE PARA FOTOTERAPIA RECIEN NACIDO DE 24-33 cm"/>
        <s v="PROTECTOR OCULAR DESCARTABLE PARA FOTOTERAPIA RECIEN NACIDO DE 30-38 cm"/>
        <s v="PRUEBA RAPIDA COVID-19 IgG/IgM"/>
        <s v="PRUEBA RAPIDA CUALITATIVA DE ANTIGENO ESPECIFICO PARA SARS-CoV2 (COVID-19) INMUNOENSAYO CROMATOGRAFICO"/>
        <s v="PRUEBA RAPIDA PARA HEPATITIS B "/>
        <s v="PRUEBA RAPIDA PARA VIH 1-2 y SIFILIS "/>
        <s v="PUNZON PERFORADOR PARA CONEXIÓN A FRASCO"/>
        <s v="QUETIAPINA"/>
        <s v="RALTEGRAVIR"/>
        <s v="RANITIDINA (COMO CLORHIDRATO)"/>
        <s v="REMIFENTANILO"/>
        <s v="RESPIRADOR QUIRUGICO TIPO N-95"/>
        <s v="RETRACTOR DE HERIDA DESCARTABLE FLEXIBLE 11 cm A 17 cm TALLA XL"/>
        <s v="RIFAMPICINA"/>
        <s v="RISPERIDONA"/>
        <s v="SALBUTAMOL "/>
        <s v="SALES DE REHIDRATACION ORAL"/>
        <s v="SENSOR BIS PARA EQUIPO DE ANESTESIA"/>
        <s v="SERTRALINA"/>
        <s v="SET DE ANESTESIA COMPLETO PARA ADULTO"/>
        <s v="SET DE CATETER PERCUTANEO CON INTRODUCTOR PELABLE 1.9 FR X 20 cm"/>
        <s v="SET DE CORRUGADOS ADULTO PARA VENTILADOR VOLUMETRICO"/>
        <s v="SET DE CORRUGADOS DESCARTABLES NEONATAL PARA OXIGENOTERAPIA"/>
        <s v="SET DE INFUSIÓN (LÍNEA DE EXTENSIÓN OPACA Y JERINGA DESCARTABLE 50 mL)"/>
        <s v="SET DE INFUSIÓN (LÍNEA DE EXTENSIÓN Y JERINGA PERFUSORA 20 mL) "/>
        <s v="SET DE INFUSION (LINEA DE EXTENSION Y JERINGA PERFUSORA 50 mL)"/>
        <s v="SET DE TRAQUEOSTOMIA PERCUTANEA Nº 7 X 15 PIEZAS"/>
        <s v="SET DE TRAQUEOSTOMIA PERCUTANEA NO FENESTRADO Nº 8 X 12 PIEZAS"/>
        <s v="SEVOFLURANO"/>
        <s v="SIMETICONA"/>
        <s v="SIMVASTATINA"/>
        <s v="SISTEMA DE DERIVACION VENTRICULAR EXTERNA PARA MEDIR PRESION INTRACRANEAL CIRCUITO CERRADO TIPO BECKER "/>
        <s v="SISTEMA DE DERIVACION VENTRICULO PERITONEAL PRESION BAJA NEONATAL"/>
        <s v="SISTEMA DE DRENAJE TORAXICO DESCARTABLE 1 SOLA CAMARA"/>
        <s v="SISTEMA DOBLE DE DRENAJE TORAXICO DESCARTABLE 3 CAMARA CON VALVULA"/>
        <s v="SODIO BICARBONATO"/>
        <s v="SODIO CLORURO"/>
        <s v="SODIO FOSFATO DIBASICO + SODIO FOSFATO MONOBASICO  (SOLUCION RECTAL)"/>
        <s v="SOLUCION ISOTONICA BALANCEADA INY "/>
        <s v="SOLUCION POLIELECTROLITICA"/>
        <s v="SOLUCIONES ISOTONICAS"/>
        <s v="SOLUCIONES PARA NUTRICION PARENTERAL"/>
        <s v="SONDA DE ALIMENTACION DE CLORURO DE POLIVINILO 10 FR"/>
        <s v="SONDA DE ALIMENTACION DE CLORURO DE POLIVINILO 4 FR"/>
        <s v="SONDA DE ALIMENTACION DE CLORURO DE POLIVINILO 5 FR"/>
        <s v="SONDA DE ALIMENTACION DE CLORURO DE POLIVINILO 6 FR"/>
        <s v="SONDA DE ALIMENTACION DE CLORURO DE POLIVINILO 8 FR"/>
        <s v="SONDA DE ASPIRACION ENDOTRAQUEAL CIRCUITO CERRADO N° 06 "/>
        <s v="SONDA DE ASPIRACION ENDOTRAQUEAL CIRCUITO CERRADO Nº 08"/>
        <s v="SONDA DE ASPIRACION ENDOTRAQUEAL CIRCUITO CERRADO Nº 14"/>
        <s v="SONDA DE ASPIRACION ENDOTRAQUEAL EN CIRCUITO CERRADO N° 5 F"/>
        <s v="SONDA DE ASPIRACION ENDOTRAQUEAL N° 6"/>
        <s v="SONDA DE ASPIRACION ENDOTRAQUEAL Nº 10"/>
        <s v="SONDA DE ASPIRACION ENDOTRAQUEAL Nº 14"/>
        <s v="SONDA DE ASPIRACION ENDOTRAQUEAL Nº 8"/>
        <s v="SONDA NASOGASTRICA DE SILICONA Nº 14"/>
        <s v="SONDA NASOGASTRICA Nº 14"/>
        <s v="SONDA NASOGASTRICA Nº 16"/>
        <s v="SONDA VESICAL  "/>
        <s v="SONDA VESICAL "/>
        <s v="SONDA VESICAL TIPO NELATON "/>
        <s v="SUCEDANEO DE LA LECHE MATERNA CON LACTOSA "/>
        <s v="SUCEDANEO DE LA LECHE MATERNA PARA PREMATUROS 30 CALORIAS"/>
        <s v="SUCEDANEO DE LA LECHE MATERNA SIN LACTOSA "/>
        <s v="SUCEDANEO DE LECHE MATERNA PARA PREMATUROS 24 Kcal/onz "/>
        <s v="SUGAMMADEX"/>
        <s v="SUJETADOR DE TELA TIPO VELCRO DESCARTABLE PARA TUBO DE TRAQUEOSTOMIA ADULTO"/>
        <s v="SUJETADOR DE TUBO ENDOTRAQUEAL UNIVERSAL"/>
        <s v="SULFADIAZINA DE PLATA"/>
        <s v="SULFAMETOXAZOL + TRIMETOPRIMA"/>
        <s v="SULFATO DE HIDROXICLOROQUINA"/>
        <s v="SULFATO FERROSO "/>
        <s v="SUPLEMENTO NUTRICIONAL SIN FENILALANINA "/>
        <s v="SURFACTANTE PULMONAR DE ORIGEN NATURAL (SUSPENSION INTRATRAQUEAL)"/>
        <s v="SUTURA ACIDO POLIGLACTIN 3/0 C/A 1/2 CIRCULO REDONDA 17 mm X 70 cm"/>
        <s v="SUTURA ACIDO POLIGLACTIN 4/0 C/A 1/2 CIRCULO REDONDA 17 mm X 70 cm"/>
        <s v="SUTURA ACIDO POLIGLACTIN 5/0 C/A 1/2 CIRCULO REDONDA 17 mm X 70 cm"/>
        <s v="SUTURA ACIDO POLIGLICOLICO 1 C/A 1/2 CIRCULO REDONDA 35 mm X 100 cm"/>
        <s v="SUTURA CATGUT CROMICO 1 C/A 1/2 CIRCULO REDONDA 40 mm X 100 cm"/>
        <s v="SUTURA CATGUT CROMICO 2/0 C/A 1/2 CIRCULO REDONDA 30 mm X 100 cm"/>
        <s v="SUTURA CATGUT CROMICO 2/0 C/A 1/2 CIRCULO REDONDA 40 mm X 100 cm"/>
        <s v="SUTURA CATGUT CROMICO 2/0 C/A 1/2 CIRCULO REDONDA 40 mm X 70 cm"/>
        <s v="SUTURA CATGUT CROMICO 2/0 C/A 1/2 CIRCULO REDONDA 40 mm X 75 cm"/>
        <s v="SUTURA CATGUT CROMICO 2/0 C/DOBLE AGUJA 1/2 CIRCULO REDONDA 40 mm X 150 cm"/>
        <s v="SUTURA CATGUT CROMICO 3/0 C/A 1/2 CIRCULO REDONDA 25 mm X 70 cm"/>
        <s v="SUTURA CATGUT SIMPLE 1 C/A 1/2 CIRCULO REDONDA 40 mm X 100 cm"/>
        <s v="SUTURA DE LINO MULTIEMPAQUE 1 C/A 1/2 CIRCULO REDONDA 40 cm X 50 cm"/>
        <s v="SUTURA DE POLIDIOXANONA 3/0 C/A 1/2 CIRCULO REDONDA 26 mm X 70 cm"/>
        <s v="SUTURA DE POLIDIOXANONA 5/0 C/A 1/2 CIRCULO REDONDA 17 mm X 70 cm"/>
        <s v="SUTURA DE POLIGLECAPRONE 5/0 C/A 1/2 CIRCULO REDONDA 15 mm X 70 cm"/>
        <s v="SUTURA DE POLIPROPILENO 5/0 C/2A 3/8 CIRCULO REDONDA 13 mm X 70 cm"/>
        <s v="SUTURA DE POLIPROPILENO AZUL MONOFILAMENTO 4/0 C/DOBLE AGUJA 1/2 CIRCULO REDONDA 17 mm X 75 cm"/>
        <s v="SUTURA LINO MULTIEMPAQUE 1 S/A 8 HEBRAS X 70 cm"/>
        <s v="SUTURA LINO MULTIEMPAQUE 2/0 S/A 8 HEBRAS X 70 cm"/>
        <s v="SUTURA NAILON AZUL MONOFILAMENTO 3/0 C/A 3/8 CIRCULO CORTANTE 25 mm X 70 cm"/>
        <s v="SUTURA NYLON AZUL MONOFILAMENTO 3/0 C/A 3/8 CIRCULO CORTANTE 25 mm X 75 cm"/>
        <s v="SUTURA NYLON AZUL MONOFILAMENTO 4/0 C/A 3/8 CIRCULO CORTANTE 20 mm X 75 cm"/>
        <s v="SUTURA POLIPROPILEN AZUL MONOFILAMENTO 2/0 C/2A 1/2 CIRCULO REDONDA 26 mm X 90 cm"/>
        <s v="SUTURA SEDA NEGRA TRENZADA  5/0 C/A  1/2 CIRCULO  REDONDA  20 mm x 75 cm"/>
        <s v="SUTURA SEDA NEGRA TRENZADA 3/0 C/A 3/8 CIRCULO CORTANTE 25 mm X 75 cm"/>
        <s v="TENOFOVIR"/>
        <s v="TERMOMETRO CLINICO ORAL 35 - 42ºC"/>
        <s v="TIAMINA CLORHIDRATO"/>
        <s v="TIGECICLINA"/>
        <s v="TIOPENTAL SODICO"/>
        <s v="TIRA REACTIVA PARA GLUCOSA EN SANGRE CON LANCETA"/>
        <s v="TRAMADOL CLORHIDRATO"/>
        <s v="TROPICAMIDA (SOLUCION OFTALMICA)"/>
        <s v="TUBO DE ASPIRACION TRANSPARENTE 5/16 X 7/16 X 2 m"/>
        <s v="TUBO DE ASPIRACION TRANSPARENTE 5/16 X 7/16 X 2.5 m"/>
        <s v="TUBO DE ASPIRACION TRANSPARENTE 9/32 in X 3.0 m"/>
        <s v="TUBO DE ASPIRACION TRANSPARENTE 9/32&quot; X 2.5 m"/>
        <s v="TUBO DE DRENAJE PEN ROSE 1&quot; X 17&quot;"/>
        <s v="TUBO ENDOTRAQUEAL DESCARTABLE N° 3.5 SIN BALON"/>
        <s v="TUBO ENDOTRAQUEAL DESCARTABLE N° 4.5 SIN BALON"/>
        <s v="TUBO ENDOTRAQUEAL DESCARTABLE N° 8.0 CON BALON"/>
        <s v="TUBO ENDOTRAQUEAL DESCARTABLE Nº 2.5 SIN BALON"/>
        <s v="TUBO ENDOTRAQUEAL DESCARTABLE Nº 3.0 SIN BALON"/>
        <s v="TUBO ENDOTRAQUEAL DESCARTABLE Nº 4.0 CON BALON"/>
        <s v="TUBO ENDOTRAQUEAL DESCARTABLE Nº 4.0 SIN BALON"/>
        <s v="TUBO ENDOTRAQUEAL DESCARTABLE Nº 4.5 CON BALON"/>
        <s v="TUBO ENDOTRAQUEAL DESCARTABLE Nº 5.0 CON BALON"/>
        <s v="TUBO ENDOTRAQUEAL DESCARTABLE Nº 6.0 CON BALON"/>
        <s v="TUBO ENDOTRAQUEAL DESCARTABLE Nº 6.5 CON BALON"/>
        <s v="TUBO ENDOTRAQUEAL DESCARTABLE Nº 7.0 CON BALON"/>
        <s v="TUBO ENDOTRAQUEAL DESCARTABLE Nº 7.5 CON BALON"/>
        <s v="VALGANCICLOVIR"/>
        <s v="VALPROATO SODICO"/>
        <s v="VANCOMICINA CLORHIDRATO"/>
        <s v="VASOPRESINA"/>
        <s v="VENDA ELASTICA 4&quot; X 5 yd"/>
        <s v="VENDA ELASTICA 6&quot; X 5 yd"/>
        <s v="VERAPAMILO CLORHIDRATO"/>
        <s v="WARFARINA SODICA"/>
        <s v="YODO POVIDONA"/>
        <s v="ZIDOVUDINA"/>
        <s v="ZOLPIDEM TARTRATO"/>
        <m/>
      </sharedItems>
    </cacheField>
    <cacheField name="Concentración" numFmtId="49">
      <sharedItems containsBlank="1" count="170">
        <s v="200 mg"/>
        <s v="250 mg"/>
        <s v="100 mg"/>
        <s v="500 µg (0.5 mg)"/>
        <s v="400 µg + 60 mg Fe"/>
        <s v="1 g"/>
        <s v=""/>
        <s v="6 mg/2 mL"/>
        <s v="100 mg/5 mL"/>
        <s v="20 g/100 mL"/>
        <s v=" 70º "/>
        <s v="96°"/>
        <s v=" 96º"/>
        <s v="70°"/>
        <s v="500 µg (0.5 mg) "/>
        <s v="500 µg/mL"/>
        <s v="400 + 400 mg/5 mL"/>
        <s v="50 mg"/>
        <s v="250 mg/ mL"/>
        <s v="50 mg/mL"/>
        <s v="10 %"/>
        <s v="25 mg/mL"/>
        <s v="10 mg"/>
        <s v="5 mg"/>
        <s v="250 mg/5 mL"/>
        <s v="500 mg"/>
        <s v="250 mg + 62.5 mg/5 mL"/>
        <s v="500 mg + 125 mg"/>
        <s v="1 g + 500 mg"/>
        <s v="300 mg + 100 mg"/>
        <s v="20 mg"/>
        <s v="40 mg"/>
        <s v="1 mg/mL"/>
        <s v="500 µg/mL (0.5 mg/mL)"/>
        <s v="10 mg/mL (1 %)"/>
        <s v="200 mg/5 mL"/>
        <s v="250 µg/DOSIS"/>
        <s v="1200000 UI"/>
        <s v="2400000 UI"/>
        <s v="1000000 UI"/>
        <s v="25 g/100 mL (25 %)"/>
        <s v="50 mg/100 g (0.05 %)"/>
        <s v="4 mg/mL"/>
        <s v="50 mg/100 g"/>
        <s v="2 mg"/>
        <s v="2.5 mg"/>
        <s v="20 µg/Dosis"/>
        <s v="10 mg/mL"/>
        <s v="4 mg"/>
        <s v="200 µg/DOSIS"/>
        <s v="5 mg/mL (0.5 %)"/>
        <s v="20 mg + 320 mg"/>
        <s v="20 mg/mL"/>
        <s v="100 mg/mL (Equiv. a 8.4 mg/mL de Calc"/>
        <s v="25 mg"/>
        <s v="100 ug/mL"/>
        <s v="200 mg/100 g"/>
        <s v="1.25 g (Equiv. a 500 mg de Calcio)"/>
        <s v="4.0 FR"/>
        <s v="5.0 FR"/>
        <s v="500 mg + 500 mg"/>
        <s v="3 mg/mL (0.3 %)"/>
        <s v="200 mg/100 mL"/>
        <s v="300 mg"/>
        <s v="600 mg"/>
        <s v="2 mg/5 mL"/>
        <s v="4 g/100 mL"/>
        <s v="2 g/100 mL"/>
        <s v="1 g/100 g (1 %)"/>
        <s v="1 g/100 mL (1 %)"/>
        <s v="30 mg/mL"/>
        <s v="150 mg/ 2mL  "/>
        <s v="150 mg  "/>
        <s v="4 mg/2 mL"/>
        <s v="15 mg/5 mL"/>
        <s v="10 g/100 mL (10 %)"/>
        <s v="333 mg/mL (33 %)"/>
        <s v="5 g/100 mL (5 %)"/>
        <s v="50 g/100 mL (50 %)"/>
        <s v="5 mg/mL"/>
        <s v="250 µg (0.25 mg)"/>
        <s v="250 mg/20 mL"/>
        <s v="50 mg + 300 mg + 300 mg"/>
        <s v="40 mg/mL"/>
        <s v="400 mg + 300 mg + 300 mg "/>
        <s v="200 mg + 300 mg "/>
        <s v="40 mg/0.4 mL"/>
        <s v="60 mg/0.6 mL"/>
        <s v="2000 UI/mL"/>
        <s v="200 µg/mL (0.2 mg/mL)"/>
        <s v="5 mg + 25 mg/0.5 mL"/>
        <s v="100 mg/100 g (0.1 %)"/>
        <s v="400 mg"/>
        <s v="30 µg + 150 µg"/>
        <s v="68 mg"/>
        <s v="125 mg/5 mL"/>
        <s v="50mg/mL"/>
        <s v="100 mg/mL"/>
        <s v="50 µg/mL"/>
        <s v="75 mg (Equiv. 15 mg Fe)/5 mL"/>
        <s v="150 mg"/>
        <s v="2 mg/mL"/>
        <s v="100 µg/mL (0.1 mg/mL)"/>
        <s v="50 mg/5 mL"/>
        <s v="80 mg/mL"/>
        <s v="(en blanco)"/>
        <s v="25000 UI/5 mL"/>
        <s v="20 mg Fe/mL"/>
        <s v="3 mg/mL "/>
        <s v="300 ug"/>
        <s v="200 UI/mL"/>
        <s v="100 UI/ mL"/>
        <s v="100 UI/mL"/>
        <s v="100 UI/mL "/>
        <s v="Equiv. 300 mg Iodo/mL"/>
        <s v="6 mg/mL"/>
        <s v="5 mg/ mL"/>
        <s v="3.33 g/5 mL"/>
        <s v="10 mg/ mL"/>
        <s v="200 µg/ mL"/>
        <s v="3.75 mg"/>
        <s v="750 µg"/>
        <s v="100 µg (0.1 mg)"/>
        <s v="2 g/100 g"/>
        <s v="20 mg + 12.5  µg/mL "/>
        <s v="20 mg + 10 ug/mL"/>
        <s v="2 g/100 mL (2 %)"/>
        <s v="200 mg + 50 mg"/>
        <s v="5 mg/5 mL"/>
        <s v="200 mg/mL"/>
        <s v="20 g/100 mL (20 %)"/>
        <s v="150 mg/mL"/>
        <s v="75 UI"/>
        <s v="850 mg"/>
        <s v="100 mg + 150 mg"/>
        <s v="10 mg/10 mL"/>
        <s v="30 mg"/>
        <s v="200 µg"/>
        <s v="2 g/100 g (2 %)"/>
        <s v="100000 UI/mL"/>
        <s v="200 µg/mL"/>
        <s v="75 mg"/>
        <s v="99.5 %"/>
        <s v="10 UI"/>
        <s v="120 mg/5 mL"/>
        <s v="0.1 g + 3.4 g/100 g"/>
        <s v="3 % (10 VOL)"/>
        <s v="4 g + 500 mg"/>
        <s v="3.5 g/100 mL (3.5 %)"/>
        <s v="20 g/100 mL "/>
        <s v="139.4 mg + 54.4 mg"/>
        <s v="100 µg/DOSIS"/>
        <s v="100 mL/100 mL"/>
        <s v="8.4 g/100 mL (8.4 %)"/>
        <s v="900 mg/100 mL (0.9 %)"/>
        <s v="6 g + 16 g/100 mL"/>
        <s v="2 VIAS DESCARTABLE"/>
        <s v="3 VIAS DESCARTABLE"/>
        <s v="3 VIAS DE SILICONA DE LARGA PERMANENC"/>
        <s v="1 g/100 g "/>
        <s v="200 mg + 40 mg/5 mL"/>
        <s v="80 mg + 16 mg / mL"/>
        <s v="800 mg + 160 mg"/>
        <s v="400mg (Equiv. 310mg hidroxicloroquina"/>
        <s v="300 mg (Equiv. 60 mg Fe)"/>
        <s v="450 mg"/>
        <s v="20 UI"/>
        <s v="80 mg"/>
        <s v="10 g/100 mL "/>
        <m/>
      </sharedItems>
    </cacheField>
    <cacheField name="Presentación" numFmtId="49">
      <sharedItems containsBlank="1" count="19">
        <s v="TABLETA"/>
        <s v="INYECTABLE"/>
        <s v="SOLUCION"/>
        <s v="UNIDAD"/>
        <s v="SUSPENSION"/>
        <s v="AEROSOL"/>
        <s v="LOCION"/>
        <s v="CREMA"/>
        <s v="PAR"/>
        <s v="GEL"/>
        <s v="JARABE"/>
        <s v="OVULO"/>
        <s v="SISTEMA"/>
        <s v="POLVO"/>
        <s v="GAS"/>
        <s v="LIQUIDO"/>
        <s v="KIT"/>
        <s v="SET"/>
        <m/>
      </sharedItems>
    </cacheField>
    <cacheField name="Forma Farmacéutica" numFmtId="49">
      <sharedItems containsBlank="1" count="78">
        <s v=""/>
        <s v="10 mL"/>
        <s v="X 30 mL"/>
        <s v="2 mL"/>
        <s v="1 L"/>
        <s v="20 mL"/>
        <s v="50 mL"/>
        <s v="1 GALON"/>
        <s v="GALON "/>
        <s v="100 g"/>
        <s v="25 g"/>
        <s v="50 g"/>
        <s v="500 g"/>
        <s v="500 mL"/>
        <s v="1 mL"/>
        <s v="150 mL"/>
        <s v="250 mL"/>
        <s v="3 mL"/>
        <s v="120 mL"/>
        <s v="60 mL"/>
        <s v="15 cm X 15 cm"/>
        <s v="5 mL"/>
        <s v="200 DOSIS"/>
        <s v="20 g"/>
        <s v="4 mL"/>
        <s v="12 g"/>
        <s v="UNIDAD"/>
        <s v="100 mL"/>
        <s v="0.4 mL"/>
        <s v="0.6 mL"/>
        <s v="0.5 mL"/>
        <s v="15 g"/>
        <s v="21 tab + 7 tab SIN EFEC"/>
        <s v="TALLA L"/>
        <s v="TALLA M"/>
        <s v="TALLA S"/>
        <s v="15 mL"/>
        <s v="180 mL"/>
        <s v=" X 850 g"/>
        <s v="400 g"/>
        <s v="900 g APROX."/>
        <s v="850 g"/>
        <s v="5 mL x 100"/>
        <s v="1 L "/>
        <s v="X 100"/>
        <s v="100 UNIDADES"/>
        <s v="(en blanco)"/>
        <s v="X 8 PIEZAS"/>
        <s v="240 mL"/>
        <s v="300 mL"/>
        <s v="BLISTER X 2"/>
        <s v="10 g"/>
        <s v="1.8 mL"/>
        <s v="TALLA &quot;L&quot;"/>
        <s v="TALLA XL"/>
        <s v=" TALLA M"/>
        <s v="30 mL"/>
        <s v="8 mL"/>
        <s v="12 mL"/>
        <s v="220 g"/>
        <s v="m3"/>
        <s v="30 g"/>
        <s v="28 mL"/>
        <s v="DETERMINACION"/>
        <s v="01 DETERMINACION"/>
        <s v="1 DET"/>
        <s v="30 DET"/>
        <s v="25 DET"/>
        <s v="20.5 g/L"/>
        <s v="133 mL"/>
        <s v="Nº 16"/>
        <s v="Nº 18 CON BALON 50 mL"/>
        <s v=" Nº 14"/>
        <s v="Nº 18"/>
        <s v="N° 14 "/>
        <s v="Nº 12"/>
        <s v="59 mL"/>
        <m/>
      </sharedItems>
    </cacheField>
    <cacheField name="Tipo" numFmtId="49">
      <sharedItems containsBlank="1" count="5">
        <s v="M"/>
        <s v="M    "/>
        <s v="I"/>
        <s v="I    "/>
        <m/>
      </sharedItems>
    </cacheField>
    <cacheField name="ago-21" numFmtId="0">
      <sharedItems containsString="0" containsBlank="1" containsNumber="1" containsInteger="1" minValue="0" maxValue="189500"/>
    </cacheField>
    <cacheField name="sep-21" numFmtId="0">
      <sharedItems containsString="0" containsBlank="1" containsNumber="1" containsInteger="1" minValue="0" maxValue="201700"/>
    </cacheField>
    <cacheField name="oct-21" numFmtId="0">
      <sharedItems containsString="0" containsBlank="1" containsNumber="1" containsInteger="1" minValue="0" maxValue="79000"/>
    </cacheField>
    <cacheField name="nov-21" numFmtId="0">
      <sharedItems containsString="0" containsBlank="1" containsNumber="1" containsInteger="1" minValue="0" maxValue="234000"/>
    </cacheField>
    <cacheField name="dic-21" numFmtId="0">
      <sharedItems containsString="0" containsBlank="1" containsNumber="1" containsInteger="1" minValue="0" maxValue="65000"/>
    </cacheField>
    <cacheField name="ene-22" numFmtId="0">
      <sharedItems containsString="0" containsBlank="1" containsNumber="1" containsInteger="1" minValue="0" maxValue="210000"/>
    </cacheField>
    <cacheField name="feb-22" numFmtId="0">
      <sharedItems containsString="0" containsBlank="1" containsNumber="1" containsInteger="1" minValue="0" maxValue="121697"/>
    </cacheField>
    <cacheField name="mar-22" numFmtId="0">
      <sharedItems containsString="0" containsBlank="1" containsNumber="1" containsInteger="1" minValue="0" maxValue="224500"/>
    </cacheField>
    <cacheField name="abr-22" numFmtId="0">
      <sharedItems containsString="0" containsBlank="1" containsNumber="1" containsInteger="1" minValue="0" maxValue="120000"/>
    </cacheField>
    <cacheField name="may-22" numFmtId="0">
      <sharedItems containsString="0" containsBlank="1" containsNumber="1" containsInteger="1" minValue="0" maxValue="15620568"/>
    </cacheField>
    <cacheField name="jun-22" numFmtId="0">
      <sharedItems containsString="0" containsBlank="1" containsNumber="1" containsInteger="1" minValue="0" maxValue="8144863"/>
    </cacheField>
    <cacheField name="jul-22" numFmtId="0">
      <sharedItems containsString="0" containsBlank="1" containsNumber="1" containsInteger="1" minValue="0" maxValue="25861167"/>
    </cacheField>
    <cacheField name="CPMA" numFmtId="0">
      <sharedItems containsString="0" containsBlank="1" containsNumber="1" minValue="0" maxValue="4141579.0833333335"/>
    </cacheField>
    <cacheField name="Stock" numFmtId="0">
      <sharedItems containsString="0" containsBlank="1" containsNumber="1" containsInteger="1" minValue="0" maxValue="733900"/>
    </cacheField>
    <cacheField name="Meses rotación" numFmtId="0">
      <sharedItems containsString="0" containsBlank="1" containsNumber="1" containsInteger="1" minValue="0" maxValue="4"/>
    </cacheField>
    <cacheField name="Meses abastecidos" numFmtId="0">
      <sharedItems containsBlank="1" containsMixedTypes="1" containsNumber="1" minValue="0" maxValue="314.39999999999998"/>
    </cacheField>
    <cacheField name="Estado" numFmtId="0">
      <sharedItems containsBlank="1" count="6">
        <s v="NORMO STOCK"/>
        <s v="No Rota"/>
        <s v="SOBRE STOCK"/>
        <s v="SUB STOCK"/>
        <s v="DESABASTECIDO"/>
        <m/>
      </sharedItems>
    </cacheField>
    <cacheField name="PNUMEN MEDICAMENTOS" numFmtId="0">
      <sharedItems containsBlank="1"/>
    </cacheField>
    <cacheField name="PNUMEN MATERIAL MEDICO" numFmtId="0">
      <sharedItems containsBlank="1"/>
    </cacheField>
    <cacheField name="ESTRATEGIA MEDICAMENTOS" numFmtId="0">
      <sharedItems containsBlank="1"/>
    </cacheField>
    <cacheField name="ESTRATEGIA MATERIAL MEDIC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19">
  <r>
    <x v="0"/>
    <x v="0"/>
    <x v="0"/>
    <x v="0"/>
    <x v="0"/>
    <x v="0"/>
    <n v="54"/>
    <n v="25"/>
    <n v="61"/>
    <n v="51"/>
    <n v="60"/>
    <n v="308"/>
    <n v="221"/>
    <n v="534"/>
    <n v="135"/>
    <n v="24"/>
    <n v="164"/>
    <n v="1690"/>
    <n v="277.25"/>
    <n v="906"/>
    <n v="4"/>
    <n v="3.267808836789901"/>
    <x v="0"/>
    <s v="SI"/>
    <s v="NO"/>
    <s v="NO"/>
    <s v="NO"/>
  </r>
  <r>
    <x v="1"/>
    <x v="1"/>
    <x v="1"/>
    <x v="1"/>
    <x v="1"/>
    <x v="1"/>
    <n v="0"/>
    <n v="3"/>
    <n v="8"/>
    <n v="0"/>
    <n v="0"/>
    <n v="0"/>
    <n v="0"/>
    <n v="0"/>
    <n v="0"/>
    <n v="0"/>
    <n v="0"/>
    <n v="0"/>
    <n v="5.5"/>
    <n v="10"/>
    <n v="0"/>
    <s v="No Rota"/>
    <x v="1"/>
    <s v="SI"/>
    <s v="NO"/>
    <s v="NO"/>
    <s v="NO"/>
  </r>
  <r>
    <x v="2"/>
    <x v="2"/>
    <x v="2"/>
    <x v="0"/>
    <x v="0"/>
    <x v="0"/>
    <n v="134"/>
    <n v="146"/>
    <n v="1021"/>
    <n v="1584"/>
    <n v="1687"/>
    <n v="2022"/>
    <n v="2160"/>
    <n v="1536"/>
    <n v="92"/>
    <n v="5816"/>
    <n v="1868"/>
    <n v="12667"/>
    <n v="2561.0833333333335"/>
    <n v="5926"/>
    <n v="4"/>
    <n v="2.3138645755376954"/>
    <x v="0"/>
    <s v="SI"/>
    <s v="NO"/>
    <s v="NO"/>
    <s v="NO"/>
  </r>
  <r>
    <x v="3"/>
    <x v="3"/>
    <x v="3"/>
    <x v="0"/>
    <x v="0"/>
    <x v="0"/>
    <n v="4910"/>
    <n v="4375"/>
    <n v="3327"/>
    <n v="3952"/>
    <n v="4993"/>
    <n v="4666"/>
    <n v="481"/>
    <n v="10"/>
    <n v="511"/>
    <n v="7900"/>
    <n v="3308"/>
    <n v="15797"/>
    <n v="4519.166666666667"/>
    <n v="16123"/>
    <n v="4"/>
    <n v="3.567693158768209"/>
    <x v="0"/>
    <s v="SI"/>
    <s v="NO"/>
    <s v="NO"/>
    <s v="NO"/>
  </r>
  <r>
    <x v="4"/>
    <x v="4"/>
    <x v="4"/>
    <x v="0"/>
    <x v="0"/>
    <x v="0"/>
    <n v="8812"/>
    <n v="10464"/>
    <n v="5098"/>
    <n v="4734"/>
    <n v="4336"/>
    <n v="4359"/>
    <n v="5649"/>
    <n v="6652"/>
    <n v="6477"/>
    <n v="16488"/>
    <n v="4909"/>
    <n v="39528"/>
    <n v="9792.1666666666661"/>
    <n v="151820"/>
    <n v="4"/>
    <n v="15.504229571255937"/>
    <x v="2"/>
    <s v="SI"/>
    <s v="NO"/>
    <s v="NO"/>
    <s v="NO"/>
  </r>
  <r>
    <x v="5"/>
    <x v="5"/>
    <x v="5"/>
    <x v="1"/>
    <x v="1"/>
    <x v="0"/>
    <n v="414"/>
    <n v="289"/>
    <n v="166"/>
    <n v="400"/>
    <n v="578"/>
    <n v="700"/>
    <n v="606"/>
    <n v="759"/>
    <n v="691"/>
    <n v="1213"/>
    <n v="464"/>
    <n v="4293"/>
    <n v="881.08333333333337"/>
    <n v="1357"/>
    <n v="4"/>
    <n v="1.5401494372458147"/>
    <x v="3"/>
    <s v="SI"/>
    <s v="NO"/>
    <s v="NO"/>
    <s v="NO"/>
  </r>
  <r>
    <x v="6"/>
    <x v="5"/>
    <x v="1"/>
    <x v="0"/>
    <x v="0"/>
    <x v="0"/>
    <n v="536"/>
    <n v="333"/>
    <n v="95"/>
    <n v="0"/>
    <n v="154"/>
    <n v="352"/>
    <n v="465"/>
    <n v="500"/>
    <n v="299"/>
    <n v="623"/>
    <n v="239"/>
    <n v="2358"/>
    <n v="541.27272727272725"/>
    <n v="54"/>
    <n v="4"/>
    <n v="9.9764863957003694E-2"/>
    <x v="3"/>
    <s v="SI"/>
    <s v="NO"/>
    <s v="NO"/>
    <s v="NO"/>
  </r>
  <r>
    <x v="7"/>
    <x v="6"/>
    <x v="1"/>
    <x v="0"/>
    <x v="0"/>
    <x v="0"/>
    <n v="6"/>
    <n v="0"/>
    <n v="0"/>
    <n v="0"/>
    <n v="0"/>
    <n v="0"/>
    <n v="0"/>
    <n v="0"/>
    <n v="0"/>
    <n v="0"/>
    <n v="0"/>
    <n v="0"/>
    <n v="6"/>
    <n v="0"/>
    <n v="0"/>
    <s v="No Rota"/>
    <x v="1"/>
    <s v="NO"/>
    <s v="NO"/>
    <s v="NO"/>
    <s v="NO"/>
  </r>
  <r>
    <x v="8"/>
    <x v="7"/>
    <x v="6"/>
    <x v="2"/>
    <x v="2"/>
    <x v="2"/>
    <n v="0"/>
    <n v="0"/>
    <n v="0"/>
    <n v="8"/>
    <n v="2"/>
    <n v="3"/>
    <n v="3"/>
    <n v="2"/>
    <n v="1"/>
    <n v="5"/>
    <n v="0"/>
    <n v="15"/>
    <n v="4.875"/>
    <n v="25"/>
    <n v="3"/>
    <n v="5.1282051282051286"/>
    <x v="0"/>
    <s v="NO"/>
    <s v="NO"/>
    <s v="NO"/>
    <s v="NO"/>
  </r>
  <r>
    <x v="9"/>
    <x v="8"/>
    <x v="7"/>
    <x v="1"/>
    <x v="3"/>
    <x v="0"/>
    <n v="2"/>
    <n v="0"/>
    <n v="0"/>
    <n v="1"/>
    <n v="1"/>
    <n v="0"/>
    <n v="0"/>
    <n v="0"/>
    <n v="0"/>
    <n v="10"/>
    <n v="0"/>
    <n v="0"/>
    <n v="3.5"/>
    <n v="22"/>
    <n v="1"/>
    <n v="6.2857142857142856"/>
    <x v="2"/>
    <s v="SI"/>
    <s v="NO"/>
    <s v="NO"/>
    <s v="NO"/>
  </r>
  <r>
    <x v="10"/>
    <x v="9"/>
    <x v="6"/>
    <x v="3"/>
    <x v="0"/>
    <x v="2"/>
    <n v="0"/>
    <n v="0"/>
    <n v="0"/>
    <n v="0"/>
    <n v="0"/>
    <n v="0"/>
    <n v="5"/>
    <n v="0"/>
    <n v="0"/>
    <n v="0"/>
    <n v="0"/>
    <n v="5"/>
    <n v="5"/>
    <n v="0"/>
    <n v="1"/>
    <n v="0"/>
    <x v="4"/>
    <s v="NO"/>
    <s v="NO"/>
    <s v="NO"/>
    <s v="NO"/>
  </r>
  <r>
    <x v="11"/>
    <x v="10"/>
    <x v="6"/>
    <x v="3"/>
    <x v="0"/>
    <x v="2"/>
    <n v="12"/>
    <n v="6"/>
    <n v="2"/>
    <n v="4"/>
    <n v="1"/>
    <n v="4"/>
    <n v="6"/>
    <n v="4"/>
    <n v="6"/>
    <n v="10"/>
    <n v="4"/>
    <n v="34"/>
    <n v="7.75"/>
    <n v="71"/>
    <n v="4"/>
    <n v="9.1612903225806459"/>
    <x v="2"/>
    <s v="NO"/>
    <s v="NO"/>
    <s v="NO"/>
    <s v="NO"/>
  </r>
  <r>
    <x v="12"/>
    <x v="11"/>
    <x v="6"/>
    <x v="3"/>
    <x v="0"/>
    <x v="2"/>
    <n v="2"/>
    <n v="1"/>
    <n v="2"/>
    <n v="6"/>
    <n v="1"/>
    <n v="3"/>
    <n v="1"/>
    <n v="3"/>
    <n v="5"/>
    <n v="10"/>
    <n v="4"/>
    <n v="23"/>
    <n v="5.083333333333333"/>
    <n v="13"/>
    <n v="4"/>
    <n v="2.557377049180328"/>
    <x v="0"/>
    <s v="NO"/>
    <s v="NO"/>
    <s v="NO"/>
    <s v="NO"/>
  </r>
  <r>
    <x v="13"/>
    <x v="12"/>
    <x v="6"/>
    <x v="1"/>
    <x v="4"/>
    <x v="0"/>
    <n v="1855"/>
    <n v="2218"/>
    <n v="2360"/>
    <n v="2149"/>
    <n v="2158"/>
    <n v="2351"/>
    <n v="2331"/>
    <n v="2517"/>
    <n v="2305"/>
    <n v="7875"/>
    <n v="2013"/>
    <n v="15776"/>
    <n v="3825.6666666666665"/>
    <n v="7747"/>
    <n v="4"/>
    <n v="2.0250065348087478"/>
    <x v="0"/>
    <s v="SI"/>
    <s v="NO"/>
    <s v="NO"/>
    <s v="NO"/>
  </r>
  <r>
    <x v="14"/>
    <x v="13"/>
    <x v="6"/>
    <x v="3"/>
    <x v="0"/>
    <x v="2"/>
    <n v="2"/>
    <n v="6"/>
    <n v="5"/>
    <n v="4"/>
    <n v="2"/>
    <n v="2"/>
    <n v="4"/>
    <n v="3"/>
    <n v="1"/>
    <n v="1"/>
    <n v="0"/>
    <n v="10"/>
    <n v="3.6363636363636362"/>
    <n v="13"/>
    <n v="3"/>
    <n v="3.5750000000000002"/>
    <x v="0"/>
    <s v="NO"/>
    <s v="NO"/>
    <s v="NO"/>
    <s v="NO"/>
  </r>
  <r>
    <x v="15"/>
    <x v="14"/>
    <x v="6"/>
    <x v="3"/>
    <x v="0"/>
    <x v="2"/>
    <n v="0"/>
    <n v="0"/>
    <n v="0"/>
    <n v="0"/>
    <n v="0"/>
    <n v="0"/>
    <n v="33"/>
    <n v="0"/>
    <n v="0"/>
    <n v="0"/>
    <n v="0"/>
    <n v="33"/>
    <n v="33"/>
    <n v="0"/>
    <n v="1"/>
    <n v="0"/>
    <x v="4"/>
    <s v="NO"/>
    <s v="SI"/>
    <s v="NO"/>
    <s v="NO"/>
  </r>
  <r>
    <x v="16"/>
    <x v="15"/>
    <x v="6"/>
    <x v="3"/>
    <x v="0"/>
    <x v="2"/>
    <n v="218"/>
    <n v="301"/>
    <n v="77"/>
    <n v="43"/>
    <n v="251"/>
    <n v="67"/>
    <n v="140"/>
    <n v="373"/>
    <n v="334"/>
    <n v="712"/>
    <n v="142"/>
    <n v="1631"/>
    <n v="357.41666666666669"/>
    <n v="477"/>
    <n v="4"/>
    <n v="1.3345768244346001"/>
    <x v="3"/>
    <s v="NO"/>
    <s v="NO"/>
    <s v="NO"/>
    <s v="NO"/>
  </r>
  <r>
    <x v="17"/>
    <x v="16"/>
    <x v="6"/>
    <x v="3"/>
    <x v="0"/>
    <x v="2"/>
    <n v="514"/>
    <n v="527"/>
    <n v="505"/>
    <n v="426"/>
    <n v="476"/>
    <n v="510"/>
    <n v="520"/>
    <n v="554"/>
    <n v="573"/>
    <n v="777"/>
    <n v="443"/>
    <n v="3550"/>
    <n v="781.25"/>
    <n v="708"/>
    <n v="4"/>
    <n v="0.90624000000000005"/>
    <x v="3"/>
    <s v="NO"/>
    <s v="NO"/>
    <s v="NO"/>
    <s v="NO"/>
  </r>
  <r>
    <x v="18"/>
    <x v="17"/>
    <x v="6"/>
    <x v="3"/>
    <x v="0"/>
    <x v="2"/>
    <n v="52"/>
    <n v="7"/>
    <n v="45"/>
    <n v="34"/>
    <n v="46"/>
    <n v="34"/>
    <n v="33"/>
    <n v="41"/>
    <n v="2"/>
    <n v="69"/>
    <n v="34"/>
    <n v="216"/>
    <n v="51.083333333333336"/>
    <n v="464"/>
    <n v="4"/>
    <n v="9.0831973898858074"/>
    <x v="2"/>
    <s v="NO"/>
    <s v="NO"/>
    <s v="NO"/>
    <s v="NO"/>
  </r>
  <r>
    <x v="19"/>
    <x v="18"/>
    <x v="6"/>
    <x v="3"/>
    <x v="0"/>
    <x v="2"/>
    <n v="6641"/>
    <n v="6814"/>
    <n v="5856"/>
    <n v="6145"/>
    <n v="7120"/>
    <n v="6739"/>
    <n v="6802"/>
    <n v="7102"/>
    <n v="6859"/>
    <n v="16502"/>
    <n v="6013"/>
    <n v="45425"/>
    <n v="10668.166666666666"/>
    <n v="56475"/>
    <n v="4"/>
    <n v="5.2937868112296709"/>
    <x v="0"/>
    <s v="NO"/>
    <s v="SI"/>
    <s v="NO"/>
    <s v="NO"/>
  </r>
  <r>
    <x v="20"/>
    <x v="19"/>
    <x v="6"/>
    <x v="3"/>
    <x v="0"/>
    <x v="2"/>
    <n v="10014"/>
    <n v="9"/>
    <n v="247"/>
    <n v="36"/>
    <n v="100"/>
    <n v="10134"/>
    <n v="1900"/>
    <n v="2051"/>
    <n v="3545"/>
    <n v="1253"/>
    <n v="100"/>
    <n v="16458"/>
    <n v="3820.5833333333335"/>
    <n v="3925"/>
    <n v="4"/>
    <n v="1.0273300324994001"/>
    <x v="3"/>
    <s v="NO"/>
    <s v="SI"/>
    <s v="NO"/>
    <s v="NO"/>
  </r>
  <r>
    <x v="21"/>
    <x v="20"/>
    <x v="6"/>
    <x v="3"/>
    <x v="0"/>
    <x v="2"/>
    <n v="9896"/>
    <n v="670"/>
    <n v="842"/>
    <n v="689"/>
    <n v="724"/>
    <n v="771"/>
    <n v="900"/>
    <n v="2059"/>
    <n v="2305"/>
    <n v="6322"/>
    <n v="556"/>
    <n v="8019"/>
    <n v="2812.75"/>
    <n v="4686"/>
    <n v="4"/>
    <n v="1.6659852457559328"/>
    <x v="3"/>
    <s v="NO"/>
    <s v="SI"/>
    <s v="NO"/>
    <s v="NO"/>
  </r>
  <r>
    <x v="22"/>
    <x v="21"/>
    <x v="6"/>
    <x v="3"/>
    <x v="0"/>
    <x v="2"/>
    <n v="4"/>
    <n v="2"/>
    <n v="1"/>
    <n v="3"/>
    <n v="0"/>
    <n v="2"/>
    <n v="3"/>
    <n v="1"/>
    <n v="3"/>
    <n v="21"/>
    <n v="2"/>
    <n v="23"/>
    <n v="5.9090909090909092"/>
    <n v="30"/>
    <n v="4"/>
    <n v="5.0769230769230766"/>
    <x v="0"/>
    <s v="NO"/>
    <s v="SI"/>
    <s v="NO"/>
    <s v="NO"/>
  </r>
  <r>
    <x v="23"/>
    <x v="22"/>
    <x v="6"/>
    <x v="3"/>
    <x v="0"/>
    <x v="2"/>
    <n v="0"/>
    <n v="0"/>
    <n v="416"/>
    <n v="250"/>
    <n v="384"/>
    <n v="141"/>
    <n v="169"/>
    <n v="26"/>
    <n v="49"/>
    <n v="6"/>
    <n v="11"/>
    <n v="415"/>
    <n v="186.7"/>
    <n v="5699"/>
    <n v="4"/>
    <n v="30.524906266738085"/>
    <x v="2"/>
    <s v="NO"/>
    <s v="NO"/>
    <s v="NO"/>
    <s v="NO"/>
  </r>
  <r>
    <x v="24"/>
    <x v="23"/>
    <x v="8"/>
    <x v="4"/>
    <x v="5"/>
    <x v="0"/>
    <n v="28"/>
    <n v="5"/>
    <n v="18"/>
    <n v="12"/>
    <n v="14"/>
    <n v="10"/>
    <n v="20"/>
    <n v="1"/>
    <n v="2"/>
    <n v="40"/>
    <n v="0"/>
    <n v="53"/>
    <n v="18.454545454545453"/>
    <n v="0"/>
    <n v="3"/>
    <n v="0"/>
    <x v="4"/>
    <s v="SI"/>
    <s v="NO"/>
    <s v="NO"/>
    <s v="NO"/>
  </r>
  <r>
    <x v="25"/>
    <x v="23"/>
    <x v="0"/>
    <x v="0"/>
    <x v="0"/>
    <x v="0"/>
    <n v="154"/>
    <n v="100"/>
    <n v="200"/>
    <n v="78"/>
    <n v="70"/>
    <n v="144"/>
    <n v="160"/>
    <n v="130"/>
    <n v="170"/>
    <n v="440"/>
    <n v="70"/>
    <n v="934"/>
    <n v="220.83333333333334"/>
    <n v="1980"/>
    <n v="4"/>
    <n v="8.9660377358490564"/>
    <x v="2"/>
    <s v="SI"/>
    <s v="NO"/>
    <s v="NO"/>
    <s v="NO"/>
  </r>
  <r>
    <x v="26"/>
    <x v="24"/>
    <x v="9"/>
    <x v="1"/>
    <x v="6"/>
    <x v="1"/>
    <n v="46"/>
    <n v="11"/>
    <n v="33"/>
    <n v="48"/>
    <n v="0"/>
    <n v="0"/>
    <n v="0"/>
    <n v="0"/>
    <n v="0"/>
    <n v="88"/>
    <n v="3"/>
    <n v="55"/>
    <n v="40.571428571428569"/>
    <n v="14"/>
    <n v="3"/>
    <n v="0.34507042253521131"/>
    <x v="3"/>
    <s v="NO"/>
    <s v="NO"/>
    <s v="NO"/>
    <s v="NO"/>
  </r>
  <r>
    <x v="27"/>
    <x v="25"/>
    <x v="10"/>
    <x v="2"/>
    <x v="7"/>
    <x v="0"/>
    <n v="0"/>
    <n v="0"/>
    <n v="0"/>
    <n v="0"/>
    <n v="0"/>
    <n v="0"/>
    <n v="162"/>
    <n v="6"/>
    <n v="0"/>
    <n v="0"/>
    <n v="0"/>
    <n v="168"/>
    <n v="112"/>
    <n v="0"/>
    <n v="1"/>
    <n v="0"/>
    <x v="4"/>
    <s v="NO"/>
    <s v="NO"/>
    <s v="NO"/>
    <s v="NO"/>
  </r>
  <r>
    <x v="28"/>
    <x v="26"/>
    <x v="11"/>
    <x v="2"/>
    <x v="4"/>
    <x v="2"/>
    <n v="506"/>
    <n v="435"/>
    <n v="14"/>
    <n v="0"/>
    <n v="23"/>
    <n v="12"/>
    <n v="26"/>
    <n v="74"/>
    <n v="0"/>
    <n v="682"/>
    <n v="0"/>
    <n v="112"/>
    <n v="209.33333333333334"/>
    <n v="3025"/>
    <n v="2"/>
    <n v="14.450636942675159"/>
    <x v="2"/>
    <s v="NO"/>
    <s v="NO"/>
    <s v="NO"/>
    <s v="NO"/>
  </r>
  <r>
    <x v="29"/>
    <x v="25"/>
    <x v="12"/>
    <x v="3"/>
    <x v="8"/>
    <x v="2"/>
    <n v="0"/>
    <n v="0"/>
    <n v="10"/>
    <n v="58"/>
    <n v="44"/>
    <n v="38"/>
    <n v="36"/>
    <n v="34"/>
    <n v="49"/>
    <n v="10"/>
    <n v="0"/>
    <n v="157"/>
    <n v="48.444444444444443"/>
    <n v="5"/>
    <n v="3"/>
    <n v="0.10321100917431193"/>
    <x v="3"/>
    <s v="NO"/>
    <s v="NO"/>
    <s v="NO"/>
    <s v="NO"/>
  </r>
  <r>
    <x v="30"/>
    <x v="25"/>
    <x v="13"/>
    <x v="2"/>
    <x v="4"/>
    <x v="0"/>
    <n v="210"/>
    <n v="69"/>
    <n v="0"/>
    <n v="0"/>
    <n v="0"/>
    <n v="4"/>
    <n v="167"/>
    <n v="601"/>
    <n v="782"/>
    <n v="1530"/>
    <n v="0"/>
    <n v="1554"/>
    <n v="614.625"/>
    <n v="3039"/>
    <n v="3"/>
    <n v="4.9444783404514947"/>
    <x v="0"/>
    <s v="NO"/>
    <s v="NO"/>
    <s v="NO"/>
    <s v="NO"/>
  </r>
  <r>
    <x v="31"/>
    <x v="27"/>
    <x v="6"/>
    <x v="3"/>
    <x v="9"/>
    <x v="2"/>
    <n v="14"/>
    <n v="17"/>
    <n v="14"/>
    <n v="20"/>
    <n v="12"/>
    <n v="19"/>
    <n v="12"/>
    <n v="13"/>
    <n v="15"/>
    <n v="27"/>
    <n v="20"/>
    <n v="105"/>
    <n v="24"/>
    <n v="71"/>
    <n v="4"/>
    <n v="2.9583333333333335"/>
    <x v="0"/>
    <s v="NO"/>
    <s v="SI"/>
    <s v="NO"/>
    <s v="NO"/>
  </r>
  <r>
    <x v="32"/>
    <x v="27"/>
    <x v="6"/>
    <x v="3"/>
    <x v="10"/>
    <x v="2"/>
    <n v="2"/>
    <n v="0"/>
    <n v="3"/>
    <n v="1"/>
    <n v="3"/>
    <n v="8"/>
    <n v="4"/>
    <n v="3"/>
    <n v="5"/>
    <n v="12"/>
    <n v="3"/>
    <n v="27"/>
    <n v="6.4545454545454541"/>
    <n v="573"/>
    <n v="4"/>
    <n v="88.774647887323951"/>
    <x v="2"/>
    <s v="NO"/>
    <s v="SI"/>
    <s v="NO"/>
    <s v="NO"/>
  </r>
  <r>
    <x v="33"/>
    <x v="27"/>
    <x v="6"/>
    <x v="3"/>
    <x v="11"/>
    <x v="2"/>
    <n v="10"/>
    <n v="11"/>
    <n v="16"/>
    <n v="16"/>
    <n v="26"/>
    <n v="34"/>
    <n v="15"/>
    <n v="17"/>
    <n v="25"/>
    <n v="34"/>
    <n v="26"/>
    <n v="161"/>
    <n v="32.583333333333336"/>
    <n v="1200"/>
    <n v="4"/>
    <n v="36.828644501278767"/>
    <x v="2"/>
    <s v="NO"/>
    <s v="SI"/>
    <s v="NO"/>
    <s v="NO"/>
  </r>
  <r>
    <x v="34"/>
    <x v="27"/>
    <x v="6"/>
    <x v="3"/>
    <x v="12"/>
    <x v="2"/>
    <n v="0"/>
    <n v="0"/>
    <n v="0"/>
    <n v="0"/>
    <n v="0"/>
    <n v="900"/>
    <n v="0"/>
    <n v="0"/>
    <n v="900"/>
    <n v="0"/>
    <n v="0"/>
    <n v="1800"/>
    <n v="1200"/>
    <n v="4500"/>
    <n v="2"/>
    <n v="3.75"/>
    <x v="0"/>
    <s v="NO"/>
    <s v="SI"/>
    <s v="NO"/>
    <s v="NO"/>
  </r>
  <r>
    <x v="35"/>
    <x v="28"/>
    <x v="6"/>
    <x v="3"/>
    <x v="13"/>
    <x v="1"/>
    <n v="8"/>
    <n v="9"/>
    <n v="45"/>
    <n v="48"/>
    <n v="65"/>
    <n v="36"/>
    <n v="75"/>
    <n v="111"/>
    <n v="12"/>
    <n v="426"/>
    <n v="50"/>
    <n v="477"/>
    <n v="113.5"/>
    <n v="592"/>
    <n v="4"/>
    <n v="5.2158590308370041"/>
    <x v="0"/>
    <s v="NO"/>
    <s v="NO"/>
    <s v="NO"/>
    <s v="NO"/>
  </r>
  <r>
    <x v="36"/>
    <x v="29"/>
    <x v="6"/>
    <x v="3"/>
    <x v="0"/>
    <x v="2"/>
    <n v="65"/>
    <n v="175"/>
    <n v="204"/>
    <n v="195"/>
    <n v="259"/>
    <n v="255"/>
    <n v="279"/>
    <n v="248"/>
    <n v="225"/>
    <n v="534"/>
    <n v="200"/>
    <n v="1662"/>
    <n v="358.41666666666669"/>
    <n v="2115"/>
    <n v="4"/>
    <n v="5.9009532666821665"/>
    <x v="0"/>
    <s v="NO"/>
    <s v="NO"/>
    <s v="NO"/>
    <s v="NO"/>
  </r>
  <r>
    <x v="37"/>
    <x v="30"/>
    <x v="14"/>
    <x v="0"/>
    <x v="0"/>
    <x v="0"/>
    <n v="885"/>
    <n v="735"/>
    <n v="0"/>
    <n v="20"/>
    <n v="0"/>
    <n v="0"/>
    <n v="260"/>
    <n v="370"/>
    <n v="345"/>
    <n v="2043"/>
    <n v="393"/>
    <n v="2403"/>
    <n v="828.22222222222217"/>
    <n v="80"/>
    <n v="4"/>
    <n v="9.6592433592701907E-2"/>
    <x v="3"/>
    <s v="SI"/>
    <s v="NO"/>
    <s v="NO"/>
    <s v="NO"/>
  </r>
  <r>
    <x v="38"/>
    <x v="31"/>
    <x v="15"/>
    <x v="1"/>
    <x v="14"/>
    <x v="0"/>
    <n v="27"/>
    <n v="26"/>
    <n v="29"/>
    <n v="22"/>
    <n v="23"/>
    <n v="34"/>
    <n v="24"/>
    <n v="21"/>
    <n v="27"/>
    <n v="67"/>
    <n v="4"/>
    <n v="164"/>
    <n v="39"/>
    <n v="24"/>
    <n v="4"/>
    <n v="0.61538461538461542"/>
    <x v="3"/>
    <s v="NO"/>
    <s v="NO"/>
    <s v="NO"/>
    <s v="NO"/>
  </r>
  <r>
    <x v="39"/>
    <x v="32"/>
    <x v="16"/>
    <x v="4"/>
    <x v="15"/>
    <x v="0"/>
    <n v="20"/>
    <n v="19"/>
    <n v="29"/>
    <n v="16"/>
    <n v="35"/>
    <n v="14"/>
    <n v="23"/>
    <n v="29"/>
    <n v="1"/>
    <n v="41"/>
    <n v="5"/>
    <n v="95"/>
    <n v="27.25"/>
    <n v="1"/>
    <n v="4"/>
    <n v="3.669724770642202E-2"/>
    <x v="3"/>
    <s v="NO"/>
    <s v="NO"/>
    <s v="NO"/>
    <s v="NO"/>
  </r>
  <r>
    <x v="40"/>
    <x v="33"/>
    <x v="17"/>
    <x v="1"/>
    <x v="1"/>
    <x v="1"/>
    <n v="11"/>
    <n v="1"/>
    <n v="4"/>
    <n v="24"/>
    <n v="8"/>
    <n v="2"/>
    <n v="10"/>
    <n v="9"/>
    <n v="3"/>
    <n v="30"/>
    <n v="23"/>
    <n v="107"/>
    <n v="19.333333333333332"/>
    <n v="277"/>
    <n v="4"/>
    <n v="14.327586206896553"/>
    <x v="2"/>
    <s v="SI"/>
    <s v="NO"/>
    <s v="NO"/>
    <s v="NO"/>
  </r>
  <r>
    <x v="41"/>
    <x v="34"/>
    <x v="18"/>
    <x v="1"/>
    <x v="3"/>
    <x v="0"/>
    <n v="768"/>
    <n v="536"/>
    <n v="573"/>
    <n v="572"/>
    <n v="475"/>
    <n v="372"/>
    <n v="551"/>
    <n v="515"/>
    <n v="537"/>
    <n v="1043"/>
    <n v="580"/>
    <n v="3619"/>
    <n v="845.08333333333337"/>
    <n v="5133"/>
    <n v="4"/>
    <n v="6.0739572034316138"/>
    <x v="2"/>
    <s v="SI"/>
    <s v="NO"/>
    <s v="NO"/>
    <s v="NO"/>
  </r>
  <r>
    <x v="42"/>
    <x v="34"/>
    <x v="19"/>
    <x v="1"/>
    <x v="3"/>
    <x v="1"/>
    <n v="9"/>
    <n v="14"/>
    <n v="0"/>
    <n v="4"/>
    <n v="3"/>
    <n v="16"/>
    <n v="0"/>
    <n v="0"/>
    <n v="17"/>
    <n v="40"/>
    <n v="16"/>
    <n v="72"/>
    <n v="21.222222222222221"/>
    <n v="8"/>
    <n v="4"/>
    <n v="0.37696335078534032"/>
    <x v="3"/>
    <s v="SI"/>
    <s v="NO"/>
    <s v="NO"/>
    <s v="NO"/>
  </r>
  <r>
    <x v="43"/>
    <x v="35"/>
    <x v="20"/>
    <x v="1"/>
    <x v="16"/>
    <x v="0"/>
    <n v="77"/>
    <n v="137"/>
    <n v="123"/>
    <n v="112"/>
    <n v="125"/>
    <n v="177"/>
    <n v="135"/>
    <n v="126"/>
    <n v="127"/>
    <n v="285"/>
    <n v="142"/>
    <n v="972"/>
    <n v="211.5"/>
    <n v="91"/>
    <n v="4"/>
    <n v="0.43026004728132389"/>
    <x v="3"/>
    <s v="NO"/>
    <s v="NO"/>
    <s v="NO"/>
    <s v="NO"/>
  </r>
  <r>
    <x v="44"/>
    <x v="35"/>
    <x v="20"/>
    <x v="1"/>
    <x v="13"/>
    <x v="0"/>
    <n v="0"/>
    <n v="0"/>
    <n v="0"/>
    <n v="2"/>
    <n v="0"/>
    <n v="0"/>
    <n v="0"/>
    <n v="0"/>
    <n v="0"/>
    <n v="12"/>
    <n v="0"/>
    <n v="0"/>
    <n v="7"/>
    <n v="12"/>
    <n v="1"/>
    <n v="1.7142857142857142"/>
    <x v="3"/>
    <s v="NO"/>
    <s v="NO"/>
    <s v="NO"/>
    <s v="NO"/>
  </r>
  <r>
    <x v="45"/>
    <x v="36"/>
    <x v="21"/>
    <x v="1"/>
    <x v="1"/>
    <x v="0"/>
    <n v="2"/>
    <n v="0"/>
    <n v="2"/>
    <n v="0"/>
    <n v="1"/>
    <n v="0"/>
    <n v="0"/>
    <n v="0"/>
    <n v="0"/>
    <n v="0"/>
    <n v="0"/>
    <n v="0"/>
    <n v="1.6666666666666667"/>
    <n v="0"/>
    <n v="0"/>
    <s v="No Rota"/>
    <x v="1"/>
    <s v="SI"/>
    <s v="NO"/>
    <s v="NO"/>
    <s v="NO"/>
  </r>
  <r>
    <x v="46"/>
    <x v="37"/>
    <x v="19"/>
    <x v="1"/>
    <x v="17"/>
    <x v="0"/>
    <n v="5"/>
    <n v="0"/>
    <n v="3"/>
    <n v="0"/>
    <n v="2"/>
    <n v="1"/>
    <n v="0"/>
    <n v="4"/>
    <n v="1"/>
    <n v="25"/>
    <n v="0"/>
    <n v="14"/>
    <n v="6.875"/>
    <n v="39"/>
    <n v="3"/>
    <n v="5.6727272727272728"/>
    <x v="0"/>
    <s v="SI"/>
    <s v="NO"/>
    <s v="NO"/>
    <s v="NO"/>
  </r>
  <r>
    <x v="47"/>
    <x v="38"/>
    <x v="22"/>
    <x v="0"/>
    <x v="0"/>
    <x v="0"/>
    <n v="409"/>
    <n v="0"/>
    <n v="94"/>
    <n v="142"/>
    <n v="316"/>
    <n v="627"/>
    <n v="551"/>
    <n v="1386"/>
    <n v="401"/>
    <n v="1876"/>
    <n v="279"/>
    <n v="3975"/>
    <n v="914.18181818181813"/>
    <n v="1573"/>
    <n v="4"/>
    <n v="1.7206642800318219"/>
    <x v="3"/>
    <s v="SI"/>
    <s v="NO"/>
    <s v="NO"/>
    <s v="NO"/>
  </r>
  <r>
    <x v="48"/>
    <x v="38"/>
    <x v="23"/>
    <x v="0"/>
    <x v="0"/>
    <x v="1"/>
    <n v="327"/>
    <n v="44"/>
    <n v="1277"/>
    <n v="679"/>
    <n v="0"/>
    <n v="0"/>
    <n v="0"/>
    <n v="0"/>
    <n v="287"/>
    <n v="5651"/>
    <n v="1033"/>
    <n v="2787"/>
    <n v="1510.625"/>
    <n v="7672"/>
    <n v="4"/>
    <n v="5.0786925941249486"/>
    <x v="0"/>
    <s v="SI"/>
    <s v="NO"/>
    <s v="NO"/>
    <s v="NO"/>
  </r>
  <r>
    <x v="49"/>
    <x v="39"/>
    <x v="24"/>
    <x v="4"/>
    <x v="18"/>
    <x v="0"/>
    <n v="11"/>
    <n v="1"/>
    <n v="3"/>
    <n v="4"/>
    <n v="7"/>
    <n v="14"/>
    <n v="2"/>
    <n v="10"/>
    <n v="4"/>
    <n v="31"/>
    <n v="15"/>
    <n v="70"/>
    <n v="14.333333333333334"/>
    <n v="102"/>
    <n v="4"/>
    <n v="7.1162790697674412"/>
    <x v="2"/>
    <s v="SI"/>
    <s v="NO"/>
    <s v="NO"/>
    <s v="NO"/>
  </r>
  <r>
    <x v="50"/>
    <x v="39"/>
    <x v="24"/>
    <x v="4"/>
    <x v="19"/>
    <x v="0"/>
    <n v="8"/>
    <n v="9"/>
    <n v="14"/>
    <n v="14"/>
    <n v="14"/>
    <n v="18"/>
    <n v="7"/>
    <n v="12"/>
    <n v="12"/>
    <n v="61"/>
    <n v="3"/>
    <n v="90"/>
    <n v="21.833333333333332"/>
    <n v="161"/>
    <n v="4"/>
    <n v="7.3740458015267176"/>
    <x v="2"/>
    <s v="SI"/>
    <s v="NO"/>
    <s v="NO"/>
    <s v="NO"/>
  </r>
  <r>
    <x v="51"/>
    <x v="39"/>
    <x v="25"/>
    <x v="0"/>
    <x v="0"/>
    <x v="0"/>
    <n v="1000"/>
    <n v="744"/>
    <n v="819"/>
    <n v="868"/>
    <n v="793"/>
    <n v="1540"/>
    <n v="480"/>
    <n v="1087"/>
    <n v="870"/>
    <n v="2816"/>
    <n v="776"/>
    <n v="6561"/>
    <n v="1529.5"/>
    <n v="21232"/>
    <n v="4"/>
    <n v="13.881660673422687"/>
    <x v="2"/>
    <s v="SI"/>
    <s v="NO"/>
    <s v="NO"/>
    <s v="NO"/>
  </r>
  <r>
    <x v="52"/>
    <x v="40"/>
    <x v="26"/>
    <x v="4"/>
    <x v="19"/>
    <x v="0"/>
    <n v="10"/>
    <n v="5"/>
    <n v="6"/>
    <n v="10"/>
    <n v="19"/>
    <n v="26"/>
    <n v="4"/>
    <n v="12"/>
    <n v="10"/>
    <n v="117"/>
    <n v="20"/>
    <n v="110"/>
    <n v="29.083333333333332"/>
    <n v="43"/>
    <n v="4"/>
    <n v="1.4785100286532953"/>
    <x v="3"/>
    <s v="SI"/>
    <s v="NO"/>
    <s v="NO"/>
    <s v="NO"/>
  </r>
  <r>
    <x v="53"/>
    <x v="40"/>
    <x v="27"/>
    <x v="0"/>
    <x v="0"/>
    <x v="0"/>
    <n v="1385"/>
    <n v="1121"/>
    <n v="1270"/>
    <n v="1313"/>
    <n v="1476"/>
    <n v="3299"/>
    <n v="323"/>
    <n v="218"/>
    <n v="1111"/>
    <n v="0"/>
    <n v="1627"/>
    <n v="8189"/>
    <n v="1939.2727272727273"/>
    <n v="1447"/>
    <n v="3"/>
    <n v="0.74615600975060947"/>
    <x v="3"/>
    <s v="SI"/>
    <s v="NO"/>
    <s v="NO"/>
    <s v="NO"/>
  </r>
  <r>
    <x v="54"/>
    <x v="41"/>
    <x v="28"/>
    <x v="1"/>
    <x v="0"/>
    <x v="0"/>
    <n v="82"/>
    <n v="18"/>
    <n v="64"/>
    <n v="16"/>
    <n v="174"/>
    <n v="47"/>
    <n v="29"/>
    <n v="45"/>
    <n v="16"/>
    <n v="25"/>
    <n v="16"/>
    <n v="197"/>
    <n v="60.75"/>
    <n v="1096"/>
    <n v="4"/>
    <n v="18.041152263374485"/>
    <x v="2"/>
    <s v="SI"/>
    <s v="NO"/>
    <s v="NO"/>
    <s v="NO"/>
  </r>
  <r>
    <x v="55"/>
    <x v="42"/>
    <x v="5"/>
    <x v="1"/>
    <x v="0"/>
    <x v="0"/>
    <n v="518"/>
    <n v="263"/>
    <n v="401"/>
    <n v="325"/>
    <n v="463"/>
    <n v="432"/>
    <n v="296"/>
    <n v="436"/>
    <n v="553"/>
    <n v="837"/>
    <n v="305"/>
    <n v="2658"/>
    <n v="623.91666666666663"/>
    <n v="4268"/>
    <n v="4"/>
    <n v="6.8406571390410047"/>
    <x v="2"/>
    <s v="SI"/>
    <s v="NO"/>
    <s v="NO"/>
    <s v="NO"/>
  </r>
  <r>
    <x v="56"/>
    <x v="43"/>
    <x v="6"/>
    <x v="3"/>
    <x v="0"/>
    <x v="2"/>
    <n v="0"/>
    <n v="0"/>
    <n v="0"/>
    <n v="3"/>
    <n v="2"/>
    <n v="19"/>
    <n v="0"/>
    <n v="2"/>
    <n v="6"/>
    <n v="16"/>
    <n v="1"/>
    <n v="35"/>
    <n v="10.5"/>
    <n v="8"/>
    <n v="4"/>
    <n v="0.76190476190476186"/>
    <x v="3"/>
    <s v="NO"/>
    <s v="NO"/>
    <s v="NO"/>
    <s v="NO"/>
  </r>
  <r>
    <x v="57"/>
    <x v="44"/>
    <x v="6"/>
    <x v="3"/>
    <x v="0"/>
    <x v="2"/>
    <n v="444"/>
    <n v="343"/>
    <n v="343"/>
    <n v="355"/>
    <n v="179"/>
    <n v="221"/>
    <n v="329"/>
    <n v="302"/>
    <n v="337"/>
    <n v="11010"/>
    <n v="283"/>
    <n v="2297"/>
    <n v="1370.25"/>
    <n v="9777"/>
    <n v="4"/>
    <n v="7.135194307608101"/>
    <x v="2"/>
    <s v="NO"/>
    <s v="SI"/>
    <s v="NO"/>
    <s v="NO"/>
  </r>
  <r>
    <x v="58"/>
    <x v="45"/>
    <x v="6"/>
    <x v="3"/>
    <x v="0"/>
    <x v="2"/>
    <n v="977"/>
    <n v="1031"/>
    <n v="844"/>
    <n v="792"/>
    <n v="784"/>
    <n v="831"/>
    <n v="888"/>
    <n v="979"/>
    <n v="812"/>
    <n v="4594"/>
    <n v="621"/>
    <n v="5788"/>
    <n v="1578.4166666666667"/>
    <n v="13413"/>
    <n v="4"/>
    <n v="8.497756190275064"/>
    <x v="2"/>
    <s v="NO"/>
    <s v="SI"/>
    <s v="NO"/>
    <s v="NO"/>
  </r>
  <r>
    <x v="59"/>
    <x v="46"/>
    <x v="6"/>
    <x v="3"/>
    <x v="20"/>
    <x v="2"/>
    <n v="0"/>
    <n v="0"/>
    <n v="0"/>
    <n v="0"/>
    <n v="3"/>
    <n v="7"/>
    <n v="0"/>
    <n v="0"/>
    <n v="5"/>
    <n v="5"/>
    <n v="0"/>
    <n v="13"/>
    <n v="6.6"/>
    <n v="24"/>
    <n v="3"/>
    <n v="3.6363636363636367"/>
    <x v="0"/>
    <s v="NO"/>
    <s v="NO"/>
    <s v="NO"/>
    <s v="NO"/>
  </r>
  <r>
    <x v="60"/>
    <x v="47"/>
    <x v="6"/>
    <x v="3"/>
    <x v="0"/>
    <x v="2"/>
    <n v="0"/>
    <n v="0"/>
    <n v="0"/>
    <n v="0"/>
    <n v="0"/>
    <n v="0"/>
    <n v="0"/>
    <n v="0"/>
    <n v="0"/>
    <n v="0"/>
    <n v="0"/>
    <n v="0"/>
    <n v="0"/>
    <n v="0"/>
    <n v="0"/>
    <s v="No Rota"/>
    <x v="1"/>
    <s v="NO"/>
    <s v="SI"/>
    <s v="NO"/>
    <s v="NO"/>
  </r>
  <r>
    <x v="61"/>
    <x v="48"/>
    <x v="6"/>
    <x v="3"/>
    <x v="0"/>
    <x v="2"/>
    <n v="0"/>
    <n v="10"/>
    <n v="7"/>
    <n v="5"/>
    <n v="1"/>
    <n v="4"/>
    <n v="7"/>
    <n v="3"/>
    <n v="4"/>
    <n v="40"/>
    <n v="15"/>
    <n v="77"/>
    <n v="15.727272727272727"/>
    <n v="0"/>
    <n v="4"/>
    <n v="0"/>
    <x v="4"/>
    <s v="NO"/>
    <s v="SI"/>
    <s v="NO"/>
    <s v="NO"/>
  </r>
  <r>
    <x v="62"/>
    <x v="49"/>
    <x v="6"/>
    <x v="3"/>
    <x v="0"/>
    <x v="2"/>
    <n v="0"/>
    <n v="0"/>
    <n v="0"/>
    <n v="3"/>
    <n v="9"/>
    <n v="8"/>
    <n v="17"/>
    <n v="7"/>
    <n v="6"/>
    <n v="0"/>
    <n v="0"/>
    <n v="38"/>
    <n v="12.571428571428571"/>
    <n v="495"/>
    <n v="2"/>
    <n v="39.375"/>
    <x v="2"/>
    <s v="NO"/>
    <s v="SI"/>
    <s v="NO"/>
    <s v="NO"/>
  </r>
  <r>
    <x v="63"/>
    <x v="50"/>
    <x v="6"/>
    <x v="3"/>
    <x v="0"/>
    <x v="2"/>
    <n v="0"/>
    <n v="0"/>
    <n v="0"/>
    <n v="47"/>
    <n v="11"/>
    <n v="20"/>
    <n v="25"/>
    <n v="98"/>
    <n v="0"/>
    <n v="0"/>
    <n v="0"/>
    <n v="143"/>
    <n v="57.333333333333336"/>
    <n v="0"/>
    <n v="1"/>
    <n v="0"/>
    <x v="4"/>
    <s v="NO"/>
    <s v="SI"/>
    <s v="NO"/>
    <s v="NO"/>
  </r>
  <r>
    <x v="64"/>
    <x v="51"/>
    <x v="6"/>
    <x v="3"/>
    <x v="0"/>
    <x v="2"/>
    <n v="2962"/>
    <n v="2390"/>
    <n v="3464"/>
    <n v="3401"/>
    <n v="2683"/>
    <n v="2579"/>
    <n v="1313"/>
    <n v="1522"/>
    <n v="2968"/>
    <n v="4796"/>
    <n v="2431"/>
    <n v="15333"/>
    <n v="3820.1666666666665"/>
    <n v="8681"/>
    <n v="4"/>
    <n v="2.2724139435452204"/>
    <x v="0"/>
    <s v="NO"/>
    <s v="SI"/>
    <s v="NO"/>
    <s v="NO"/>
  </r>
  <r>
    <x v="65"/>
    <x v="52"/>
    <x v="6"/>
    <x v="3"/>
    <x v="0"/>
    <x v="2"/>
    <n v="3895"/>
    <n v="3577"/>
    <n v="2099"/>
    <n v="1461"/>
    <n v="3911"/>
    <n v="4163"/>
    <n v="3884"/>
    <n v="13"/>
    <n v="3248"/>
    <n v="8282"/>
    <n v="4018"/>
    <n v="24188"/>
    <n v="5228.25"/>
    <n v="2758"/>
    <n v="4"/>
    <n v="0.52751876823028743"/>
    <x v="3"/>
    <s v="NO"/>
    <s v="SI"/>
    <s v="NO"/>
    <s v="NO"/>
  </r>
  <r>
    <x v="66"/>
    <x v="53"/>
    <x v="6"/>
    <x v="3"/>
    <x v="0"/>
    <x v="2"/>
    <n v="10"/>
    <n v="16"/>
    <n v="57"/>
    <n v="54"/>
    <n v="43"/>
    <n v="48"/>
    <n v="21"/>
    <n v="12"/>
    <n v="47"/>
    <n v="151"/>
    <n v="12"/>
    <n v="254"/>
    <n v="60.416666666666664"/>
    <n v="91"/>
    <n v="4"/>
    <n v="1.5062068965517241"/>
    <x v="3"/>
    <s v="NO"/>
    <s v="NO"/>
    <s v="NO"/>
    <s v="NO"/>
  </r>
  <r>
    <x v="67"/>
    <x v="54"/>
    <x v="29"/>
    <x v="0"/>
    <x v="0"/>
    <x v="0"/>
    <n v="90"/>
    <n v="0"/>
    <n v="0"/>
    <n v="0"/>
    <n v="0"/>
    <n v="0"/>
    <n v="0"/>
    <n v="0"/>
    <n v="0"/>
    <n v="0"/>
    <n v="0"/>
    <n v="0"/>
    <n v="90"/>
    <n v="690"/>
    <n v="0"/>
    <s v="No Rota"/>
    <x v="1"/>
    <s v="NO"/>
    <s v="NO"/>
    <s v="SI"/>
    <s v="NO"/>
  </r>
  <r>
    <x v="68"/>
    <x v="55"/>
    <x v="2"/>
    <x v="0"/>
    <x v="0"/>
    <x v="1"/>
    <n v="201"/>
    <n v="228"/>
    <n v="62"/>
    <n v="24"/>
    <n v="315"/>
    <n v="160"/>
    <n v="38"/>
    <n v="210"/>
    <n v="80"/>
    <n v="295"/>
    <n v="76"/>
    <n v="672"/>
    <n v="196.75"/>
    <n v="1213"/>
    <n v="4"/>
    <n v="6.165184243964422"/>
    <x v="2"/>
    <s v="SI"/>
    <s v="NO"/>
    <s v="NO"/>
    <s v="NO"/>
  </r>
  <r>
    <x v="69"/>
    <x v="56"/>
    <x v="30"/>
    <x v="0"/>
    <x v="0"/>
    <x v="1"/>
    <n v="2020"/>
    <n v="1190"/>
    <n v="1260"/>
    <n v="2010"/>
    <n v="2860"/>
    <n v="1490"/>
    <n v="2440"/>
    <n v="2831"/>
    <n v="1880"/>
    <n v="5325"/>
    <n v="3075"/>
    <n v="16147"/>
    <n v="3544"/>
    <n v="13733"/>
    <n v="4"/>
    <n v="3.875"/>
    <x v="0"/>
    <s v="SI"/>
    <s v="NO"/>
    <s v="NO"/>
    <s v="NO"/>
  </r>
  <r>
    <x v="70"/>
    <x v="56"/>
    <x v="31"/>
    <x v="0"/>
    <x v="0"/>
    <x v="1"/>
    <n v="0"/>
    <n v="0"/>
    <n v="0"/>
    <n v="30"/>
    <n v="60"/>
    <n v="80"/>
    <n v="100"/>
    <n v="374"/>
    <n v="260"/>
    <n v="720"/>
    <n v="300"/>
    <n v="1884"/>
    <n v="423.11111111111109"/>
    <n v="2116"/>
    <n v="4"/>
    <n v="5.0010504201680677"/>
    <x v="0"/>
    <s v="SI"/>
    <s v="NO"/>
    <s v="NO"/>
    <s v="NO"/>
  </r>
  <r>
    <x v="71"/>
    <x v="57"/>
    <x v="32"/>
    <x v="1"/>
    <x v="14"/>
    <x v="0"/>
    <n v="0"/>
    <n v="0"/>
    <n v="0"/>
    <n v="65"/>
    <n v="19"/>
    <n v="15"/>
    <n v="1"/>
    <n v="47"/>
    <n v="12"/>
    <n v="30"/>
    <n v="32"/>
    <n v="243"/>
    <n v="51.555555555555557"/>
    <n v="58"/>
    <n v="4"/>
    <n v="1.125"/>
    <x v="3"/>
    <s v="SI"/>
    <s v="NO"/>
    <s v="NO"/>
    <s v="NO"/>
  </r>
  <r>
    <x v="72"/>
    <x v="57"/>
    <x v="33"/>
    <x v="1"/>
    <x v="14"/>
    <x v="0"/>
    <n v="199"/>
    <n v="132"/>
    <n v="116"/>
    <n v="68"/>
    <n v="126"/>
    <n v="127"/>
    <n v="148"/>
    <n v="189"/>
    <n v="199"/>
    <n v="93"/>
    <n v="47"/>
    <n v="807"/>
    <n v="187.58333333333334"/>
    <n v="2284"/>
    <n v="4"/>
    <n v="12.175921812527765"/>
    <x v="2"/>
    <s v="SI"/>
    <s v="NO"/>
    <s v="NO"/>
    <s v="NO"/>
  </r>
  <r>
    <x v="73"/>
    <x v="58"/>
    <x v="34"/>
    <x v="2"/>
    <x v="21"/>
    <x v="0"/>
    <n v="25"/>
    <n v="0"/>
    <n v="0"/>
    <n v="0"/>
    <n v="0"/>
    <n v="0"/>
    <n v="0"/>
    <n v="0"/>
    <n v="0"/>
    <n v="0"/>
    <n v="0"/>
    <n v="0"/>
    <n v="25"/>
    <n v="5"/>
    <n v="0"/>
    <s v="No Rota"/>
    <x v="1"/>
    <s v="SI"/>
    <s v="NO"/>
    <s v="NO"/>
    <s v="NO"/>
  </r>
  <r>
    <x v="74"/>
    <x v="59"/>
    <x v="35"/>
    <x v="4"/>
    <x v="19"/>
    <x v="0"/>
    <n v="8"/>
    <n v="11"/>
    <n v="10"/>
    <n v="6"/>
    <n v="15"/>
    <n v="17"/>
    <n v="4"/>
    <n v="0"/>
    <n v="19"/>
    <n v="37"/>
    <n v="12"/>
    <n v="72"/>
    <n v="19.181818181818183"/>
    <n v="46"/>
    <n v="4"/>
    <n v="2.3981042654028433"/>
    <x v="0"/>
    <s v="SI"/>
    <s v="NO"/>
    <s v="NO"/>
    <s v="NO"/>
  </r>
  <r>
    <x v="75"/>
    <x v="59"/>
    <x v="1"/>
    <x v="0"/>
    <x v="0"/>
    <x v="1"/>
    <n v="0"/>
    <n v="0"/>
    <n v="0"/>
    <n v="0"/>
    <n v="0"/>
    <n v="0"/>
    <n v="0"/>
    <n v="22"/>
    <n v="0"/>
    <n v="0"/>
    <n v="0"/>
    <n v="22"/>
    <n v="22"/>
    <n v="0"/>
    <n v="1"/>
    <n v="0"/>
    <x v="4"/>
    <s v="NO"/>
    <s v="NO"/>
    <s v="NO"/>
    <s v="NO"/>
  </r>
  <r>
    <x v="76"/>
    <x v="59"/>
    <x v="25"/>
    <x v="0"/>
    <x v="0"/>
    <x v="0"/>
    <n v="383"/>
    <n v="220"/>
    <n v="289"/>
    <n v="225"/>
    <n v="262"/>
    <n v="1244"/>
    <n v="185"/>
    <n v="318"/>
    <n v="284"/>
    <n v="0"/>
    <n v="300"/>
    <n v="2657"/>
    <n v="578.81818181818187"/>
    <n v="2819"/>
    <n v="3"/>
    <n v="4.8702685723260561"/>
    <x v="0"/>
    <s v="SI"/>
    <s v="NO"/>
    <s v="NO"/>
    <s v="NO"/>
  </r>
  <r>
    <x v="77"/>
    <x v="60"/>
    <x v="5"/>
    <x v="1"/>
    <x v="0"/>
    <x v="0"/>
    <n v="0"/>
    <n v="0"/>
    <n v="0"/>
    <n v="0"/>
    <n v="0"/>
    <n v="0"/>
    <n v="0"/>
    <n v="0"/>
    <n v="0"/>
    <n v="0"/>
    <n v="0"/>
    <n v="0"/>
    <n v="0"/>
    <n v="50"/>
    <n v="0"/>
    <s v="No Rota"/>
    <x v="1"/>
    <s v="NO"/>
    <s v="NO"/>
    <s v="NO"/>
    <s v="NO"/>
  </r>
  <r>
    <x v="78"/>
    <x v="61"/>
    <x v="22"/>
    <x v="0"/>
    <x v="0"/>
    <x v="0"/>
    <n v="230"/>
    <n v="108"/>
    <n v="144"/>
    <n v="211"/>
    <n v="61"/>
    <n v="116"/>
    <n v="219"/>
    <n v="252"/>
    <n v="236"/>
    <n v="163"/>
    <n v="264"/>
    <n v="1353"/>
    <n v="279.75"/>
    <n v="987"/>
    <n v="4"/>
    <n v="3.5281501340482575"/>
    <x v="0"/>
    <s v="SI"/>
    <s v="NO"/>
    <s v="NO"/>
    <s v="NO"/>
  </r>
  <r>
    <x v="79"/>
    <x v="62"/>
    <x v="36"/>
    <x v="5"/>
    <x v="22"/>
    <x v="0"/>
    <n v="1"/>
    <n v="1"/>
    <n v="2"/>
    <n v="3"/>
    <n v="2"/>
    <n v="7"/>
    <n v="5"/>
    <n v="1"/>
    <n v="3"/>
    <n v="5"/>
    <n v="7"/>
    <n v="27"/>
    <n v="5.333333333333333"/>
    <n v="35"/>
    <n v="4"/>
    <n v="6.5625"/>
    <x v="2"/>
    <s v="SI"/>
    <s v="NO"/>
    <s v="NO"/>
    <s v="NO"/>
  </r>
  <r>
    <x v="80"/>
    <x v="63"/>
    <x v="37"/>
    <x v="1"/>
    <x v="0"/>
    <x v="0"/>
    <n v="9"/>
    <n v="18"/>
    <n v="25"/>
    <n v="10"/>
    <n v="6"/>
    <n v="13"/>
    <n v="8"/>
    <n v="104"/>
    <n v="44"/>
    <n v="4"/>
    <n v="7"/>
    <n v="185"/>
    <n v="36.083333333333336"/>
    <n v="102"/>
    <n v="4"/>
    <n v="2.8267898383371821"/>
    <x v="0"/>
    <s v="SI"/>
    <s v="NO"/>
    <s v="NO"/>
    <s v="NO"/>
  </r>
  <r>
    <x v="81"/>
    <x v="64"/>
    <x v="38"/>
    <x v="1"/>
    <x v="0"/>
    <x v="0"/>
    <n v="20"/>
    <n v="85"/>
    <n v="46"/>
    <n v="30"/>
    <n v="40"/>
    <n v="77"/>
    <n v="44"/>
    <n v="7"/>
    <n v="29"/>
    <n v="68"/>
    <n v="79"/>
    <n v="328"/>
    <n v="71.083333333333329"/>
    <n v="410"/>
    <n v="4"/>
    <n v="5.7678780773739744"/>
    <x v="0"/>
    <s v="SI"/>
    <s v="NO"/>
    <s v="NO"/>
    <s v="NO"/>
  </r>
  <r>
    <x v="82"/>
    <x v="65"/>
    <x v="39"/>
    <x v="1"/>
    <x v="0"/>
    <x v="0"/>
    <n v="43"/>
    <n v="59"/>
    <n v="39"/>
    <n v="55"/>
    <n v="72"/>
    <n v="71"/>
    <n v="93"/>
    <n v="70"/>
    <n v="78"/>
    <n v="114"/>
    <n v="40"/>
    <n v="424"/>
    <n v="96.5"/>
    <n v="1002"/>
    <n v="4"/>
    <n v="10.383419689119171"/>
    <x v="2"/>
    <s v="SI"/>
    <s v="NO"/>
    <s v="NO"/>
    <s v="NO"/>
  </r>
  <r>
    <x v="83"/>
    <x v="66"/>
    <x v="39"/>
    <x v="1"/>
    <x v="0"/>
    <x v="0"/>
    <n v="0"/>
    <n v="0"/>
    <n v="28"/>
    <n v="0"/>
    <n v="0"/>
    <n v="0"/>
    <n v="0"/>
    <n v="0"/>
    <n v="0"/>
    <n v="0"/>
    <n v="0"/>
    <n v="0"/>
    <n v="28"/>
    <n v="0"/>
    <n v="0"/>
    <s v="No Rota"/>
    <x v="1"/>
    <s v="SI"/>
    <s v="NO"/>
    <s v="NO"/>
    <s v="NO"/>
  </r>
  <r>
    <x v="84"/>
    <x v="67"/>
    <x v="6"/>
    <x v="2"/>
    <x v="4"/>
    <x v="2"/>
    <n v="87"/>
    <n v="56"/>
    <n v="33"/>
    <n v="2"/>
    <n v="0"/>
    <n v="1"/>
    <n v="0"/>
    <n v="2"/>
    <n v="75"/>
    <n v="38"/>
    <n v="0"/>
    <n v="78"/>
    <n v="41.333333333333336"/>
    <n v="551"/>
    <n v="3"/>
    <n v="13.330645161290322"/>
    <x v="2"/>
    <s v="NO"/>
    <s v="NO"/>
    <s v="NO"/>
    <s v="NO"/>
  </r>
  <r>
    <x v="85"/>
    <x v="68"/>
    <x v="40"/>
    <x v="6"/>
    <x v="18"/>
    <x v="0"/>
    <n v="2"/>
    <n v="11"/>
    <n v="9"/>
    <n v="3"/>
    <n v="9"/>
    <n v="7"/>
    <n v="6"/>
    <n v="5"/>
    <n v="2"/>
    <n v="5"/>
    <n v="8"/>
    <n v="41"/>
    <n v="9"/>
    <n v="0"/>
    <n v="4"/>
    <n v="0"/>
    <x v="4"/>
    <s v="SI"/>
    <s v="NO"/>
    <s v="NO"/>
    <s v="NO"/>
  </r>
  <r>
    <x v="86"/>
    <x v="69"/>
    <x v="41"/>
    <x v="7"/>
    <x v="23"/>
    <x v="0"/>
    <n v="77"/>
    <n v="51"/>
    <n v="61"/>
    <n v="62"/>
    <n v="72"/>
    <n v="79"/>
    <n v="78"/>
    <n v="42"/>
    <n v="33"/>
    <n v="30"/>
    <n v="15"/>
    <n v="289"/>
    <n v="74.083333333333329"/>
    <n v="0"/>
    <n v="4"/>
    <n v="0"/>
    <x v="4"/>
    <s v="SI"/>
    <s v="NO"/>
    <s v="NO"/>
    <s v="NO"/>
  </r>
  <r>
    <x v="87"/>
    <x v="70"/>
    <x v="42"/>
    <x v="1"/>
    <x v="14"/>
    <x v="0"/>
    <n v="790"/>
    <n v="700"/>
    <n v="739"/>
    <n v="870"/>
    <n v="917"/>
    <n v="806"/>
    <n v="608"/>
    <n v="902"/>
    <n v="809"/>
    <n v="1357"/>
    <n v="771"/>
    <n v="4919"/>
    <n v="1182.3333333333333"/>
    <n v="984"/>
    <n v="4"/>
    <n v="0.83225260783760935"/>
    <x v="3"/>
    <s v="SI"/>
    <s v="NO"/>
    <s v="NO"/>
    <s v="NO"/>
  </r>
  <r>
    <x v="88"/>
    <x v="71"/>
    <x v="43"/>
    <x v="7"/>
    <x v="23"/>
    <x v="0"/>
    <n v="0"/>
    <n v="0"/>
    <n v="0"/>
    <n v="0"/>
    <n v="0"/>
    <n v="0"/>
    <n v="0"/>
    <n v="47"/>
    <n v="52"/>
    <n v="1"/>
    <n v="0"/>
    <n v="101"/>
    <n v="50.25"/>
    <n v="22"/>
    <n v="3"/>
    <n v="0.43781094527363185"/>
    <x v="3"/>
    <s v="SI"/>
    <s v="NO"/>
    <s v="NO"/>
    <s v="NO"/>
  </r>
  <r>
    <x v="89"/>
    <x v="72"/>
    <x v="44"/>
    <x v="0"/>
    <x v="0"/>
    <x v="0"/>
    <n v="0"/>
    <n v="0"/>
    <n v="20"/>
    <n v="0"/>
    <n v="14"/>
    <n v="0"/>
    <n v="40"/>
    <n v="0"/>
    <n v="0"/>
    <n v="100"/>
    <n v="0"/>
    <n v="40"/>
    <n v="42.8"/>
    <n v="326"/>
    <n v="2"/>
    <n v="7.6168224299065423"/>
    <x v="2"/>
    <s v="SI"/>
    <s v="NO"/>
    <s v="NO"/>
    <s v="NO"/>
  </r>
  <r>
    <x v="90"/>
    <x v="73"/>
    <x v="23"/>
    <x v="0"/>
    <x v="0"/>
    <x v="1"/>
    <n v="10"/>
    <n v="0"/>
    <n v="10"/>
    <n v="0"/>
    <n v="0"/>
    <n v="0"/>
    <n v="0"/>
    <n v="0"/>
    <n v="0"/>
    <n v="0"/>
    <n v="0"/>
    <n v="0"/>
    <n v="10"/>
    <n v="89"/>
    <n v="0"/>
    <s v="No Rota"/>
    <x v="1"/>
    <s v="SI"/>
    <s v="NO"/>
    <s v="NO"/>
    <s v="NO"/>
  </r>
  <r>
    <x v="91"/>
    <x v="74"/>
    <x v="6"/>
    <x v="3"/>
    <x v="0"/>
    <x v="2"/>
    <n v="182"/>
    <n v="134"/>
    <n v="126"/>
    <n v="151"/>
    <n v="129"/>
    <n v="212"/>
    <n v="177"/>
    <n v="157"/>
    <n v="194"/>
    <n v="187"/>
    <n v="212"/>
    <n v="1317"/>
    <n v="264.83333333333331"/>
    <n v="899"/>
    <n v="4"/>
    <n v="3.3945877910635622"/>
    <x v="0"/>
    <s v="NO"/>
    <s v="NO"/>
    <s v="NO"/>
    <s v="NO"/>
  </r>
  <r>
    <x v="92"/>
    <x v="75"/>
    <x v="6"/>
    <x v="3"/>
    <x v="0"/>
    <x v="2"/>
    <n v="101"/>
    <n v="90"/>
    <n v="104"/>
    <n v="99"/>
    <n v="54"/>
    <n v="84"/>
    <n v="76"/>
    <n v="147"/>
    <n v="67"/>
    <n v="100"/>
    <n v="15"/>
    <n v="444"/>
    <n v="115.08333333333333"/>
    <n v="2028"/>
    <n v="4"/>
    <n v="17.622013034033309"/>
    <x v="2"/>
    <s v="NO"/>
    <s v="SI"/>
    <s v="NO"/>
    <s v="NO"/>
  </r>
  <r>
    <x v="93"/>
    <x v="76"/>
    <x v="6"/>
    <x v="3"/>
    <x v="0"/>
    <x v="2"/>
    <n v="727"/>
    <n v="691"/>
    <n v="730"/>
    <n v="655"/>
    <n v="682"/>
    <n v="670"/>
    <n v="765"/>
    <n v="811"/>
    <n v="803"/>
    <n v="1464"/>
    <n v="602"/>
    <n v="5017"/>
    <n v="1134.75"/>
    <n v="708"/>
    <n v="4"/>
    <n v="0.62392597488433577"/>
    <x v="3"/>
    <s v="NO"/>
    <s v="SI"/>
    <s v="NO"/>
    <s v="NO"/>
  </r>
  <r>
    <x v="94"/>
    <x v="77"/>
    <x v="6"/>
    <x v="3"/>
    <x v="0"/>
    <x v="2"/>
    <n v="296"/>
    <n v="182"/>
    <n v="312"/>
    <n v="510"/>
    <n v="303"/>
    <n v="308"/>
    <n v="347"/>
    <n v="370"/>
    <n v="456"/>
    <n v="574"/>
    <n v="280"/>
    <n v="2398"/>
    <n v="528"/>
    <n v="265"/>
    <n v="4"/>
    <n v="0.50189393939393945"/>
    <x v="3"/>
    <s v="NO"/>
    <s v="SI"/>
    <s v="NO"/>
    <s v="NO"/>
  </r>
  <r>
    <x v="95"/>
    <x v="78"/>
    <x v="6"/>
    <x v="3"/>
    <x v="0"/>
    <x v="2"/>
    <n v="5"/>
    <n v="0"/>
    <n v="0"/>
    <n v="0"/>
    <n v="0"/>
    <n v="0"/>
    <n v="62"/>
    <n v="72"/>
    <n v="14"/>
    <n v="46"/>
    <n v="22"/>
    <n v="205"/>
    <n v="60.857142857142854"/>
    <n v="752"/>
    <n v="4"/>
    <n v="12.35680751173709"/>
    <x v="2"/>
    <s v="NO"/>
    <s v="SI"/>
    <s v="NO"/>
    <s v="NO"/>
  </r>
  <r>
    <x v="96"/>
    <x v="79"/>
    <x v="6"/>
    <x v="3"/>
    <x v="0"/>
    <x v="2"/>
    <n v="0"/>
    <n v="0"/>
    <n v="3"/>
    <n v="45"/>
    <n v="43"/>
    <n v="68"/>
    <n v="41"/>
    <n v="0"/>
    <n v="0"/>
    <n v="129"/>
    <n v="30"/>
    <n v="220"/>
    <n v="72.375"/>
    <n v="184"/>
    <n v="3"/>
    <n v="2.5423143350604489"/>
    <x v="0"/>
    <s v="NO"/>
    <s v="NO"/>
    <s v="NO"/>
    <s v="NO"/>
  </r>
  <r>
    <x v="97"/>
    <x v="80"/>
    <x v="6"/>
    <x v="3"/>
    <x v="0"/>
    <x v="2"/>
    <n v="7"/>
    <n v="50"/>
    <n v="29"/>
    <n v="9"/>
    <n v="1"/>
    <n v="20"/>
    <n v="23"/>
    <n v="31"/>
    <n v="23"/>
    <n v="96"/>
    <n v="54"/>
    <n v="229"/>
    <n v="47.666666666666664"/>
    <n v="404"/>
    <n v="4"/>
    <n v="8.4755244755244767"/>
    <x v="2"/>
    <s v="NO"/>
    <s v="NO"/>
    <s v="NO"/>
    <s v="NO"/>
  </r>
  <r>
    <x v="98"/>
    <x v="81"/>
    <x v="6"/>
    <x v="3"/>
    <x v="0"/>
    <x v="2"/>
    <n v="116"/>
    <n v="130"/>
    <n v="152"/>
    <n v="207"/>
    <n v="182"/>
    <n v="243"/>
    <n v="145"/>
    <n v="179"/>
    <n v="153"/>
    <n v="527"/>
    <n v="169"/>
    <n v="1251"/>
    <n v="287.83333333333331"/>
    <n v="55"/>
    <n v="4"/>
    <n v="0.19108280254777071"/>
    <x v="3"/>
    <s v="NO"/>
    <s v="NO"/>
    <s v="NO"/>
    <s v="NO"/>
  </r>
  <r>
    <x v="99"/>
    <x v="82"/>
    <x v="6"/>
    <x v="3"/>
    <x v="0"/>
    <x v="2"/>
    <n v="341"/>
    <n v="238"/>
    <n v="257"/>
    <n v="246"/>
    <n v="207"/>
    <n v="268"/>
    <n v="233"/>
    <n v="300"/>
    <n v="274"/>
    <n v="539"/>
    <n v="352"/>
    <n v="2008"/>
    <n v="438.58333333333331"/>
    <n v="1020"/>
    <n v="4"/>
    <n v="2.3256697700931031"/>
    <x v="0"/>
    <s v="NO"/>
    <s v="NO"/>
    <s v="NO"/>
    <s v="NO"/>
  </r>
  <r>
    <x v="100"/>
    <x v="83"/>
    <x v="6"/>
    <x v="3"/>
    <x v="0"/>
    <x v="2"/>
    <n v="0"/>
    <n v="0"/>
    <n v="0"/>
    <n v="0"/>
    <n v="0"/>
    <n v="0"/>
    <n v="0"/>
    <n v="0"/>
    <n v="0"/>
    <n v="0"/>
    <n v="0"/>
    <n v="0"/>
    <n v="0"/>
    <n v="0"/>
    <n v="0"/>
    <s v="No Rota"/>
    <x v="1"/>
    <s v="NO"/>
    <s v="SI"/>
    <s v="NO"/>
    <s v="NO"/>
  </r>
  <r>
    <x v="101"/>
    <x v="84"/>
    <x v="6"/>
    <x v="3"/>
    <x v="0"/>
    <x v="2"/>
    <n v="0"/>
    <n v="0"/>
    <n v="0"/>
    <n v="0"/>
    <n v="0"/>
    <n v="0"/>
    <n v="0"/>
    <n v="0"/>
    <n v="0"/>
    <n v="0"/>
    <n v="0"/>
    <n v="0"/>
    <n v="0"/>
    <n v="52"/>
    <n v="0"/>
    <s v="No Rota"/>
    <x v="1"/>
    <s v="NO"/>
    <s v="NO"/>
    <s v="NO"/>
    <s v="NO"/>
  </r>
  <r>
    <x v="102"/>
    <x v="85"/>
    <x v="6"/>
    <x v="3"/>
    <x v="0"/>
    <x v="2"/>
    <n v="58"/>
    <n v="41"/>
    <n v="52"/>
    <n v="39"/>
    <n v="77"/>
    <n v="73"/>
    <n v="73"/>
    <n v="80"/>
    <n v="58"/>
    <n v="30"/>
    <n v="38"/>
    <n v="404"/>
    <n v="85.25"/>
    <n v="857"/>
    <n v="4"/>
    <n v="10.052785923753666"/>
    <x v="2"/>
    <s v="NO"/>
    <s v="NO"/>
    <s v="NO"/>
    <s v="NO"/>
  </r>
  <r>
    <x v="103"/>
    <x v="86"/>
    <x v="6"/>
    <x v="3"/>
    <x v="0"/>
    <x v="2"/>
    <n v="17"/>
    <n v="33"/>
    <n v="0"/>
    <n v="0"/>
    <n v="0"/>
    <n v="0"/>
    <n v="0"/>
    <n v="0"/>
    <n v="0"/>
    <n v="0"/>
    <n v="0"/>
    <n v="0"/>
    <n v="25"/>
    <n v="0"/>
    <n v="0"/>
    <s v="No Rota"/>
    <x v="1"/>
    <s v="NO"/>
    <s v="NO"/>
    <s v="NO"/>
    <s v="NO"/>
  </r>
  <r>
    <x v="104"/>
    <x v="87"/>
    <x v="6"/>
    <x v="3"/>
    <x v="0"/>
    <x v="2"/>
    <n v="381"/>
    <n v="309"/>
    <n v="711"/>
    <n v="496"/>
    <n v="454"/>
    <n v="422"/>
    <n v="177"/>
    <n v="240"/>
    <n v="362"/>
    <n v="860"/>
    <n v="303"/>
    <n v="2204"/>
    <n v="576.58333333333337"/>
    <n v="722"/>
    <n v="4"/>
    <n v="1.2522040757334874"/>
    <x v="3"/>
    <s v="NO"/>
    <s v="SI"/>
    <s v="NO"/>
    <s v="NO"/>
  </r>
  <r>
    <x v="105"/>
    <x v="88"/>
    <x v="6"/>
    <x v="8"/>
    <x v="0"/>
    <x v="2"/>
    <n v="0"/>
    <n v="0"/>
    <n v="88"/>
    <n v="0"/>
    <n v="0"/>
    <n v="0"/>
    <n v="0"/>
    <n v="1600"/>
    <n v="4400"/>
    <n v="2000"/>
    <n v="0"/>
    <n v="6000"/>
    <n v="2817.6"/>
    <n v="20100"/>
    <n v="3"/>
    <n v="7.1337308347529813"/>
    <x v="2"/>
    <s v="NO"/>
    <s v="NO"/>
    <s v="NO"/>
    <s v="NO"/>
  </r>
  <r>
    <x v="106"/>
    <x v="89"/>
    <x v="6"/>
    <x v="8"/>
    <x v="0"/>
    <x v="2"/>
    <n v="7300"/>
    <n v="7000"/>
    <n v="4082"/>
    <n v="9900"/>
    <n v="8960"/>
    <n v="14000"/>
    <n v="8700"/>
    <n v="0"/>
    <n v="5890"/>
    <n v="6500"/>
    <n v="0"/>
    <n v="28590"/>
    <n v="10092.200000000001"/>
    <n v="16300"/>
    <n v="3"/>
    <n v="1.6151086978062266"/>
    <x v="3"/>
    <s v="NO"/>
    <s v="SI"/>
    <s v="NO"/>
    <s v="NO"/>
  </r>
  <r>
    <x v="107"/>
    <x v="90"/>
    <x v="6"/>
    <x v="3"/>
    <x v="0"/>
    <x v="2"/>
    <n v="0"/>
    <n v="7"/>
    <n v="0"/>
    <n v="0"/>
    <n v="0"/>
    <n v="0"/>
    <n v="0"/>
    <n v="0"/>
    <n v="0"/>
    <n v="0"/>
    <n v="0"/>
    <n v="0"/>
    <n v="7"/>
    <n v="0"/>
    <n v="0"/>
    <s v="No Rota"/>
    <x v="1"/>
    <s v="NO"/>
    <s v="NO"/>
    <s v="NO"/>
    <s v="NO"/>
  </r>
  <r>
    <x v="108"/>
    <x v="91"/>
    <x v="6"/>
    <x v="3"/>
    <x v="0"/>
    <x v="2"/>
    <n v="1272"/>
    <n v="1215"/>
    <n v="1174"/>
    <n v="1006"/>
    <n v="1196"/>
    <n v="1306"/>
    <n v="1288"/>
    <n v="1379"/>
    <n v="1278"/>
    <n v="2247"/>
    <n v="1067"/>
    <n v="8647"/>
    <n v="1922.9166666666667"/>
    <n v="11035"/>
    <n v="4"/>
    <n v="5.7386782231852651"/>
    <x v="0"/>
    <s v="NO"/>
    <s v="NO"/>
    <s v="NO"/>
    <s v="NO"/>
  </r>
  <r>
    <x v="109"/>
    <x v="92"/>
    <x v="45"/>
    <x v="0"/>
    <x v="0"/>
    <x v="0"/>
    <n v="135"/>
    <n v="399"/>
    <n v="124"/>
    <n v="320"/>
    <n v="134"/>
    <n v="164"/>
    <n v="101"/>
    <n v="160"/>
    <n v="357"/>
    <n v="352"/>
    <n v="323"/>
    <n v="1524"/>
    <n v="341.08333333333331"/>
    <n v="484"/>
    <n v="4"/>
    <n v="1.4190080625458099"/>
    <x v="3"/>
    <s v="SI"/>
    <s v="NO"/>
    <s v="NO"/>
    <s v="NO"/>
  </r>
  <r>
    <x v="110"/>
    <x v="93"/>
    <x v="46"/>
    <x v="5"/>
    <x v="22"/>
    <x v="0"/>
    <n v="2"/>
    <n v="2"/>
    <n v="3"/>
    <n v="5"/>
    <n v="5"/>
    <n v="13"/>
    <n v="4"/>
    <n v="3"/>
    <n v="3"/>
    <n v="10"/>
    <n v="7"/>
    <n v="43"/>
    <n v="8.3333333333333339"/>
    <n v="196"/>
    <n v="4"/>
    <n v="23.52"/>
    <x v="2"/>
    <s v="SI"/>
    <s v="NO"/>
    <s v="NO"/>
    <s v="NO"/>
  </r>
  <r>
    <x v="111"/>
    <x v="94"/>
    <x v="47"/>
    <x v="1"/>
    <x v="21"/>
    <x v="0"/>
    <n v="56"/>
    <n v="46"/>
    <n v="58"/>
    <n v="81"/>
    <n v="47"/>
    <n v="34"/>
    <n v="67"/>
    <n v="73"/>
    <n v="66"/>
    <n v="153"/>
    <n v="61"/>
    <n v="435"/>
    <n v="98.083333333333329"/>
    <n v="1571"/>
    <n v="4"/>
    <n v="16.016992353440951"/>
    <x v="2"/>
    <s v="SI"/>
    <s v="NO"/>
    <s v="NO"/>
    <s v="NO"/>
  </r>
  <r>
    <x v="112"/>
    <x v="95"/>
    <x v="48"/>
    <x v="1"/>
    <x v="0"/>
    <x v="1"/>
    <n v="0"/>
    <n v="0"/>
    <n v="0"/>
    <n v="0"/>
    <n v="0"/>
    <n v="0"/>
    <n v="0"/>
    <n v="0"/>
    <n v="1"/>
    <n v="37"/>
    <n v="0"/>
    <n v="5"/>
    <n v="14.333333333333334"/>
    <n v="400"/>
    <n v="3"/>
    <n v="27.906976744186046"/>
    <x v="2"/>
    <s v="SI"/>
    <s v="NO"/>
    <s v="NO"/>
    <s v="NO"/>
  </r>
  <r>
    <x v="113"/>
    <x v="95"/>
    <x v="42"/>
    <x v="1"/>
    <x v="14"/>
    <x v="0"/>
    <n v="9"/>
    <n v="156"/>
    <n v="15"/>
    <n v="221"/>
    <n v="250"/>
    <n v="44"/>
    <n v="199"/>
    <n v="9"/>
    <n v="3"/>
    <n v="113"/>
    <n v="7"/>
    <n v="392"/>
    <n v="118.16666666666667"/>
    <n v="1868"/>
    <n v="4"/>
    <n v="15.808180535966148"/>
    <x v="2"/>
    <s v="SI"/>
    <s v="NO"/>
    <s v="NO"/>
    <s v="NO"/>
  </r>
  <r>
    <x v="114"/>
    <x v="96"/>
    <x v="49"/>
    <x v="5"/>
    <x v="22"/>
    <x v="0"/>
    <n v="1"/>
    <n v="4"/>
    <n v="0"/>
    <n v="3"/>
    <n v="4"/>
    <n v="4"/>
    <n v="2"/>
    <n v="4"/>
    <n v="5"/>
    <n v="15"/>
    <n v="3"/>
    <n v="25"/>
    <n v="6.3636363636363633"/>
    <n v="12"/>
    <n v="4"/>
    <n v="1.8857142857142859"/>
    <x v="3"/>
    <s v="SI"/>
    <s v="NO"/>
    <s v="NO"/>
    <s v="NO"/>
  </r>
  <r>
    <x v="115"/>
    <x v="97"/>
    <x v="50"/>
    <x v="1"/>
    <x v="5"/>
    <x v="0"/>
    <n v="249"/>
    <n v="240"/>
    <n v="253"/>
    <n v="227"/>
    <n v="275"/>
    <n v="182"/>
    <n v="251"/>
    <n v="278"/>
    <n v="109"/>
    <n v="651"/>
    <n v="215"/>
    <n v="1516"/>
    <n v="370.5"/>
    <n v="2128"/>
    <n v="4"/>
    <n v="5.7435897435897436"/>
    <x v="0"/>
    <s v="SI"/>
    <s v="NO"/>
    <s v="NO"/>
    <s v="NO"/>
  </r>
  <r>
    <x v="116"/>
    <x v="98"/>
    <x v="51"/>
    <x v="1"/>
    <x v="24"/>
    <x v="0"/>
    <n v="502"/>
    <n v="508"/>
    <n v="483"/>
    <n v="442"/>
    <n v="479"/>
    <n v="488"/>
    <n v="505"/>
    <n v="560"/>
    <n v="555"/>
    <n v="1139"/>
    <n v="447"/>
    <n v="3489"/>
    <n v="799.75"/>
    <n v="1851"/>
    <n v="4"/>
    <n v="2.3144732728977804"/>
    <x v="0"/>
    <s v="SI"/>
    <s v="NO"/>
    <s v="NO"/>
    <s v="NO"/>
  </r>
  <r>
    <x v="117"/>
    <x v="99"/>
    <x v="6"/>
    <x v="3"/>
    <x v="0"/>
    <x v="2"/>
    <n v="293"/>
    <n v="291"/>
    <n v="243"/>
    <n v="370"/>
    <n v="443"/>
    <n v="207"/>
    <n v="127"/>
    <n v="219"/>
    <n v="5"/>
    <n v="879"/>
    <n v="228"/>
    <n v="1027"/>
    <n v="361"/>
    <n v="1820"/>
    <n v="4"/>
    <n v="5.0415512465373959"/>
    <x v="0"/>
    <s v="NO"/>
    <s v="NO"/>
    <s v="NO"/>
    <s v="NO"/>
  </r>
  <r>
    <x v="118"/>
    <x v="100"/>
    <x v="3"/>
    <x v="0"/>
    <x v="0"/>
    <x v="0"/>
    <n v="157"/>
    <n v="69"/>
    <n v="53"/>
    <n v="63"/>
    <n v="229"/>
    <n v="167"/>
    <n v="100"/>
    <n v="69"/>
    <n v="39"/>
    <n v="0"/>
    <n v="0"/>
    <n v="415"/>
    <n v="136.1"/>
    <n v="2032"/>
    <n v="2"/>
    <n v="14.930198383541514"/>
    <x v="2"/>
    <s v="SI"/>
    <s v="NO"/>
    <s v="NO"/>
    <s v="NO"/>
  </r>
  <r>
    <x v="119"/>
    <x v="101"/>
    <x v="52"/>
    <x v="1"/>
    <x v="14"/>
    <x v="0"/>
    <n v="326"/>
    <n v="241"/>
    <n v="208"/>
    <n v="280"/>
    <n v="191"/>
    <n v="340"/>
    <n v="227"/>
    <n v="247"/>
    <n v="170"/>
    <n v="639"/>
    <n v="233"/>
    <n v="1758"/>
    <n v="405"/>
    <n v="795"/>
    <n v="4"/>
    <n v="1.962962962962963"/>
    <x v="3"/>
    <s v="SI"/>
    <s v="NO"/>
    <s v="NO"/>
    <s v="NO"/>
  </r>
  <r>
    <x v="120"/>
    <x v="102"/>
    <x v="53"/>
    <x v="1"/>
    <x v="1"/>
    <x v="0"/>
    <n v="571"/>
    <n v="470"/>
    <n v="556"/>
    <n v="583"/>
    <n v="501"/>
    <n v="700"/>
    <n v="520"/>
    <n v="663"/>
    <n v="570"/>
    <n v="1722"/>
    <n v="671"/>
    <n v="4509"/>
    <n v="1003"/>
    <n v="2342"/>
    <n v="4"/>
    <n v="2.3349950149551346"/>
    <x v="0"/>
    <s v="SI"/>
    <s v="NO"/>
    <s v="NO"/>
    <s v="NO"/>
  </r>
  <r>
    <x v="121"/>
    <x v="103"/>
    <x v="6"/>
    <x v="3"/>
    <x v="0"/>
    <x v="2"/>
    <n v="22"/>
    <n v="9"/>
    <n v="1"/>
    <n v="3"/>
    <n v="1"/>
    <n v="10"/>
    <n v="13"/>
    <n v="30"/>
    <n v="37"/>
    <n v="58"/>
    <n v="28"/>
    <n v="169"/>
    <n v="31.75"/>
    <n v="277"/>
    <n v="4"/>
    <n v="8.7244094488188981"/>
    <x v="2"/>
    <s v="NO"/>
    <s v="NO"/>
    <s v="NO"/>
    <s v="NO"/>
  </r>
  <r>
    <x v="122"/>
    <x v="104"/>
    <x v="6"/>
    <x v="3"/>
    <x v="0"/>
    <x v="2"/>
    <n v="1"/>
    <n v="2"/>
    <n v="1"/>
    <n v="2"/>
    <n v="1"/>
    <n v="2"/>
    <n v="1"/>
    <n v="2"/>
    <n v="2"/>
    <n v="1"/>
    <n v="0"/>
    <n v="9"/>
    <n v="2.1818181818181817"/>
    <n v="0"/>
    <n v="3"/>
    <n v="0"/>
    <x v="4"/>
    <s v="NO"/>
    <s v="SI"/>
    <s v="NO"/>
    <s v="NO"/>
  </r>
  <r>
    <x v="123"/>
    <x v="105"/>
    <x v="6"/>
    <x v="3"/>
    <x v="0"/>
    <x v="2"/>
    <n v="28"/>
    <n v="27"/>
    <n v="34"/>
    <n v="40"/>
    <n v="39"/>
    <n v="44"/>
    <n v="45"/>
    <n v="66"/>
    <n v="47"/>
    <n v="269"/>
    <n v="130"/>
    <n v="574"/>
    <n v="111.91666666666667"/>
    <n v="135"/>
    <n v="4"/>
    <n v="1.2062546537602383"/>
    <x v="3"/>
    <s v="NO"/>
    <s v="SI"/>
    <s v="NO"/>
    <s v="NO"/>
  </r>
  <r>
    <x v="124"/>
    <x v="106"/>
    <x v="6"/>
    <x v="3"/>
    <x v="0"/>
    <x v="2"/>
    <n v="129"/>
    <n v="92"/>
    <n v="115"/>
    <n v="105"/>
    <n v="29"/>
    <n v="104"/>
    <n v="115"/>
    <n v="100"/>
    <n v="119"/>
    <n v="237"/>
    <n v="86"/>
    <n v="749"/>
    <n v="165"/>
    <n v="1013"/>
    <n v="4"/>
    <n v="6.1393939393939396"/>
    <x v="2"/>
    <s v="NO"/>
    <s v="SI"/>
    <s v="NO"/>
    <s v="NO"/>
  </r>
  <r>
    <x v="125"/>
    <x v="107"/>
    <x v="6"/>
    <x v="3"/>
    <x v="0"/>
    <x v="2"/>
    <n v="56"/>
    <n v="69"/>
    <n v="62"/>
    <n v="66"/>
    <n v="98"/>
    <n v="57"/>
    <n v="47"/>
    <n v="57"/>
    <n v="42"/>
    <n v="193"/>
    <n v="37"/>
    <n v="322"/>
    <n v="92.166666666666671"/>
    <n v="355"/>
    <n v="4"/>
    <n v="3.8517179023508135"/>
    <x v="0"/>
    <s v="NO"/>
    <s v="SI"/>
    <s v="NO"/>
    <s v="NO"/>
  </r>
  <r>
    <x v="126"/>
    <x v="108"/>
    <x v="6"/>
    <x v="3"/>
    <x v="0"/>
    <x v="2"/>
    <n v="2"/>
    <n v="1"/>
    <n v="0"/>
    <n v="2"/>
    <n v="2"/>
    <n v="0"/>
    <n v="0"/>
    <n v="0"/>
    <n v="0"/>
    <n v="0"/>
    <n v="0"/>
    <n v="0"/>
    <n v="1.75"/>
    <n v="11"/>
    <n v="0"/>
    <s v="No Rota"/>
    <x v="1"/>
    <s v="NO"/>
    <s v="SI"/>
    <s v="NO"/>
    <s v="NO"/>
  </r>
  <r>
    <x v="127"/>
    <x v="109"/>
    <x v="6"/>
    <x v="3"/>
    <x v="0"/>
    <x v="2"/>
    <n v="0"/>
    <n v="1"/>
    <n v="1"/>
    <n v="1"/>
    <n v="1"/>
    <n v="0"/>
    <n v="0"/>
    <n v="0"/>
    <n v="1"/>
    <n v="0"/>
    <n v="0"/>
    <n v="2"/>
    <n v="1.1666666666666667"/>
    <n v="6"/>
    <n v="2"/>
    <n v="5.1428571428571423"/>
    <x v="0"/>
    <s v="NO"/>
    <s v="SI"/>
    <s v="NO"/>
    <s v="NO"/>
  </r>
  <r>
    <x v="128"/>
    <x v="110"/>
    <x v="6"/>
    <x v="3"/>
    <x v="0"/>
    <x v="2"/>
    <n v="1"/>
    <n v="3"/>
    <n v="3"/>
    <n v="0"/>
    <n v="0"/>
    <n v="0"/>
    <n v="1"/>
    <n v="1"/>
    <n v="1"/>
    <n v="1"/>
    <n v="1"/>
    <n v="5"/>
    <n v="1.8888888888888888"/>
    <n v="0"/>
    <n v="4"/>
    <n v="0"/>
    <x v="4"/>
    <s v="NO"/>
    <s v="SI"/>
    <s v="NO"/>
    <s v="NO"/>
  </r>
  <r>
    <x v="129"/>
    <x v="111"/>
    <x v="6"/>
    <x v="3"/>
    <x v="0"/>
    <x v="2"/>
    <n v="0"/>
    <n v="0"/>
    <n v="0"/>
    <n v="0"/>
    <n v="0"/>
    <n v="0"/>
    <n v="0"/>
    <n v="4"/>
    <n v="0"/>
    <n v="0"/>
    <n v="0"/>
    <n v="4"/>
    <n v="4"/>
    <n v="0"/>
    <n v="1"/>
    <n v="0"/>
    <x v="4"/>
    <s v="NO"/>
    <s v="SI"/>
    <s v="NO"/>
    <s v="NO"/>
  </r>
  <r>
    <x v="130"/>
    <x v="112"/>
    <x v="6"/>
    <x v="3"/>
    <x v="0"/>
    <x v="2"/>
    <n v="0"/>
    <n v="0"/>
    <n v="0"/>
    <n v="0"/>
    <n v="0"/>
    <n v="0"/>
    <n v="0"/>
    <n v="0"/>
    <n v="0"/>
    <n v="0"/>
    <n v="0"/>
    <n v="0"/>
    <n v="0"/>
    <n v="2"/>
    <n v="0"/>
    <s v="No Rota"/>
    <x v="1"/>
    <s v="NO"/>
    <s v="SI"/>
    <s v="NO"/>
    <s v="NO"/>
  </r>
  <r>
    <x v="131"/>
    <x v="113"/>
    <x v="54"/>
    <x v="0"/>
    <x v="0"/>
    <x v="1"/>
    <n v="899"/>
    <n v="570"/>
    <n v="743"/>
    <n v="889"/>
    <n v="1202"/>
    <n v="717"/>
    <n v="706"/>
    <n v="545"/>
    <n v="708"/>
    <n v="2854"/>
    <n v="833"/>
    <n v="5169"/>
    <n v="1319.5833333333333"/>
    <n v="7755"/>
    <n v="4"/>
    <n v="5.8768550678875915"/>
    <x v="0"/>
    <s v="SI"/>
    <s v="NO"/>
    <s v="NO"/>
    <s v="NO"/>
  </r>
  <r>
    <x v="132"/>
    <x v="114"/>
    <x v="0"/>
    <x v="0"/>
    <x v="0"/>
    <x v="0"/>
    <n v="194"/>
    <n v="208"/>
    <n v="534"/>
    <n v="376"/>
    <n v="443"/>
    <n v="238"/>
    <n v="540"/>
    <n v="420"/>
    <n v="203"/>
    <n v="186"/>
    <n v="125"/>
    <n v="1730"/>
    <n v="433.08333333333331"/>
    <n v="6216"/>
    <n v="4"/>
    <n v="14.352895901481626"/>
    <x v="2"/>
    <s v="SI"/>
    <s v="NO"/>
    <s v="NO"/>
    <s v="NO"/>
  </r>
  <r>
    <x v="133"/>
    <x v="115"/>
    <x v="55"/>
    <x v="1"/>
    <x v="14"/>
    <x v="0"/>
    <n v="0"/>
    <n v="0"/>
    <n v="0"/>
    <n v="0"/>
    <n v="0"/>
    <n v="0"/>
    <n v="0"/>
    <n v="0"/>
    <n v="0"/>
    <n v="0"/>
    <n v="0"/>
    <n v="0"/>
    <n v="0"/>
    <n v="0"/>
    <n v="0"/>
    <s v="No Rota"/>
    <x v="1"/>
    <s v="NO"/>
    <s v="NO"/>
    <s v="NO"/>
    <s v="NO"/>
  </r>
  <r>
    <x v="134"/>
    <x v="116"/>
    <x v="56"/>
    <x v="9"/>
    <x v="25"/>
    <x v="0"/>
    <n v="5"/>
    <n v="5"/>
    <n v="9"/>
    <n v="4"/>
    <n v="4"/>
    <n v="5"/>
    <n v="6"/>
    <n v="3"/>
    <n v="3"/>
    <n v="5"/>
    <n v="0"/>
    <n v="20"/>
    <n v="6.2727272727272725"/>
    <n v="0"/>
    <n v="3"/>
    <n v="0"/>
    <x v="4"/>
    <s v="NO"/>
    <s v="NO"/>
    <s v="NO"/>
    <s v="NO"/>
  </r>
  <r>
    <x v="135"/>
    <x v="117"/>
    <x v="57"/>
    <x v="0"/>
    <x v="0"/>
    <x v="0"/>
    <n v="1530"/>
    <n v="1680"/>
    <n v="1711"/>
    <n v="1870"/>
    <n v="1489"/>
    <n v="1666"/>
    <n v="1667"/>
    <n v="1525"/>
    <n v="1495"/>
    <n v="5367"/>
    <n v="1650"/>
    <n v="10952"/>
    <n v="2716.8333333333335"/>
    <n v="9201"/>
    <n v="4"/>
    <n v="3.3866633948837492"/>
    <x v="0"/>
    <s v="SI"/>
    <s v="NO"/>
    <s v="NO"/>
    <s v="NO"/>
  </r>
  <r>
    <x v="136"/>
    <x v="118"/>
    <x v="19"/>
    <x v="1"/>
    <x v="1"/>
    <x v="0"/>
    <n v="0"/>
    <n v="0"/>
    <n v="0"/>
    <n v="3"/>
    <n v="1"/>
    <n v="0"/>
    <n v="2"/>
    <n v="0"/>
    <n v="0"/>
    <n v="0"/>
    <n v="0"/>
    <n v="2"/>
    <n v="2"/>
    <n v="0"/>
    <n v="1"/>
    <n v="0"/>
    <x v="4"/>
    <s v="NO"/>
    <s v="NO"/>
    <s v="NO"/>
    <s v="NO"/>
  </r>
  <r>
    <x v="137"/>
    <x v="119"/>
    <x v="6"/>
    <x v="3"/>
    <x v="26"/>
    <x v="2"/>
    <n v="41"/>
    <n v="10"/>
    <n v="173"/>
    <n v="58"/>
    <n v="0"/>
    <n v="1009"/>
    <n v="100"/>
    <n v="0"/>
    <n v="0"/>
    <n v="30"/>
    <n v="0"/>
    <n v="1109"/>
    <n v="316.25"/>
    <n v="896"/>
    <n v="2"/>
    <n v="2.8332015810276681"/>
    <x v="0"/>
    <s v="NO"/>
    <s v="NO"/>
    <s v="NO"/>
    <s v="NO"/>
  </r>
  <r>
    <x v="138"/>
    <x v="120"/>
    <x v="6"/>
    <x v="3"/>
    <x v="0"/>
    <x v="2"/>
    <n v="19"/>
    <n v="56"/>
    <n v="81"/>
    <n v="126"/>
    <n v="0"/>
    <n v="0"/>
    <n v="0"/>
    <n v="0"/>
    <n v="0"/>
    <n v="331"/>
    <n v="52"/>
    <n v="303"/>
    <n v="138.28571428571428"/>
    <n v="3"/>
    <n v="3"/>
    <n v="2.1694214876033058E-2"/>
    <x v="3"/>
    <s v="NO"/>
    <s v="NO"/>
    <s v="NO"/>
    <s v="NO"/>
  </r>
  <r>
    <x v="139"/>
    <x v="121"/>
    <x v="6"/>
    <x v="3"/>
    <x v="0"/>
    <x v="2"/>
    <n v="100"/>
    <n v="130"/>
    <n v="187"/>
    <n v="40"/>
    <n v="0"/>
    <n v="0"/>
    <n v="0"/>
    <n v="0"/>
    <n v="0"/>
    <n v="0"/>
    <n v="0"/>
    <n v="0"/>
    <n v="114.25"/>
    <n v="0"/>
    <n v="0"/>
    <s v="No Rota"/>
    <x v="1"/>
    <s v="NO"/>
    <s v="NO"/>
    <s v="NO"/>
    <s v="NO"/>
  </r>
  <r>
    <x v="140"/>
    <x v="122"/>
    <x v="6"/>
    <x v="3"/>
    <x v="0"/>
    <x v="2"/>
    <n v="2"/>
    <n v="2"/>
    <n v="3"/>
    <n v="18"/>
    <n v="8"/>
    <n v="3"/>
    <n v="2"/>
    <n v="0"/>
    <n v="0"/>
    <n v="49"/>
    <n v="2"/>
    <n v="19"/>
    <n v="10.8"/>
    <n v="75"/>
    <n v="3"/>
    <n v="6.9444444444444438"/>
    <x v="2"/>
    <s v="NO"/>
    <s v="NO"/>
    <s v="NO"/>
    <s v="NO"/>
  </r>
  <r>
    <x v="141"/>
    <x v="123"/>
    <x v="6"/>
    <x v="3"/>
    <x v="0"/>
    <x v="2"/>
    <n v="5"/>
    <n v="3"/>
    <n v="3"/>
    <n v="2"/>
    <n v="6"/>
    <n v="0"/>
    <n v="0"/>
    <n v="7"/>
    <n v="17"/>
    <n v="23"/>
    <n v="14"/>
    <n v="54"/>
    <n v="13.4"/>
    <n v="54"/>
    <n v="4"/>
    <n v="4.0298507462686564"/>
    <x v="0"/>
    <s v="NO"/>
    <s v="NO"/>
    <s v="NO"/>
    <s v="NO"/>
  </r>
  <r>
    <x v="142"/>
    <x v="124"/>
    <x v="6"/>
    <x v="3"/>
    <x v="0"/>
    <x v="2"/>
    <n v="22"/>
    <n v="12"/>
    <n v="17"/>
    <n v="16"/>
    <n v="21"/>
    <n v="25"/>
    <n v="23"/>
    <n v="0"/>
    <n v="0"/>
    <n v="79"/>
    <n v="30"/>
    <n v="123"/>
    <n v="36.799999999999997"/>
    <n v="171"/>
    <n v="3"/>
    <n v="4.6467391304347831"/>
    <x v="0"/>
    <s v="NO"/>
    <s v="NO"/>
    <s v="NO"/>
    <s v="NO"/>
  </r>
  <r>
    <x v="143"/>
    <x v="125"/>
    <x v="6"/>
    <x v="3"/>
    <x v="0"/>
    <x v="2"/>
    <n v="0"/>
    <n v="0"/>
    <n v="1"/>
    <n v="0"/>
    <n v="0"/>
    <n v="1"/>
    <n v="1"/>
    <n v="0"/>
    <n v="0"/>
    <n v="0"/>
    <n v="0"/>
    <n v="2"/>
    <n v="1.25"/>
    <n v="3"/>
    <n v="1"/>
    <n v="2.4"/>
    <x v="0"/>
    <s v="NO"/>
    <s v="NO"/>
    <s v="NO"/>
    <s v="NO"/>
  </r>
  <r>
    <x v="144"/>
    <x v="126"/>
    <x v="6"/>
    <x v="3"/>
    <x v="0"/>
    <x v="2"/>
    <n v="3"/>
    <n v="12"/>
    <n v="1"/>
    <n v="1"/>
    <n v="4"/>
    <n v="2"/>
    <n v="2"/>
    <n v="3"/>
    <n v="0"/>
    <n v="0"/>
    <n v="0"/>
    <n v="7"/>
    <n v="3.8888888888888888"/>
    <n v="50"/>
    <n v="1"/>
    <n v="12.857142857142858"/>
    <x v="2"/>
    <s v="NO"/>
    <s v="NO"/>
    <s v="NO"/>
    <s v="NO"/>
  </r>
  <r>
    <x v="145"/>
    <x v="127"/>
    <x v="6"/>
    <x v="3"/>
    <x v="0"/>
    <x v="2"/>
    <n v="5"/>
    <n v="2"/>
    <n v="3"/>
    <n v="1"/>
    <n v="2"/>
    <n v="6"/>
    <n v="4"/>
    <n v="9"/>
    <n v="11"/>
    <n v="3"/>
    <n v="2"/>
    <n v="34"/>
    <n v="6.833333333333333"/>
    <n v="48"/>
    <n v="4"/>
    <n v="7.024390243902439"/>
    <x v="2"/>
    <s v="NO"/>
    <s v="NO"/>
    <s v="NO"/>
    <s v="NO"/>
  </r>
  <r>
    <x v="146"/>
    <x v="128"/>
    <x v="6"/>
    <x v="3"/>
    <x v="0"/>
    <x v="2"/>
    <n v="26"/>
    <n v="0"/>
    <n v="295"/>
    <n v="29"/>
    <n v="20"/>
    <n v="14"/>
    <n v="20"/>
    <n v="12"/>
    <n v="5"/>
    <n v="0"/>
    <n v="0"/>
    <n v="51"/>
    <n v="52.444444444444443"/>
    <n v="100"/>
    <n v="2"/>
    <n v="1.9067796610169492"/>
    <x v="3"/>
    <s v="NO"/>
    <s v="SI"/>
    <s v="NO"/>
    <s v="NO"/>
  </r>
  <r>
    <x v="147"/>
    <x v="129"/>
    <x v="6"/>
    <x v="3"/>
    <x v="0"/>
    <x v="2"/>
    <n v="3419"/>
    <n v="3318"/>
    <n v="3115"/>
    <n v="3193"/>
    <n v="3441"/>
    <n v="3289"/>
    <n v="3209"/>
    <n v="3706"/>
    <n v="3651"/>
    <n v="6094"/>
    <n v="3155"/>
    <n v="23544"/>
    <n v="5261.166666666667"/>
    <n v="13770"/>
    <n v="4"/>
    <n v="2.6172902081287419"/>
    <x v="0"/>
    <s v="NO"/>
    <s v="SI"/>
    <s v="NO"/>
    <s v="NO"/>
  </r>
  <r>
    <x v="148"/>
    <x v="130"/>
    <x v="6"/>
    <x v="3"/>
    <x v="0"/>
    <x v="2"/>
    <n v="142"/>
    <n v="101"/>
    <n v="46"/>
    <n v="0"/>
    <n v="0"/>
    <n v="62"/>
    <n v="139"/>
    <n v="340"/>
    <n v="251"/>
    <n v="640"/>
    <n v="19"/>
    <n v="1194"/>
    <n v="293.39999999999998"/>
    <n v="0"/>
    <n v="4"/>
    <n v="0"/>
    <x v="4"/>
    <s v="NO"/>
    <s v="SI"/>
    <s v="NO"/>
    <s v="NO"/>
  </r>
  <r>
    <x v="149"/>
    <x v="131"/>
    <x v="6"/>
    <x v="3"/>
    <x v="0"/>
    <x v="2"/>
    <n v="2738"/>
    <n v="2215"/>
    <n v="2584"/>
    <n v="2160"/>
    <n v="2493"/>
    <n v="2648"/>
    <n v="2349"/>
    <n v="2520"/>
    <n v="2651"/>
    <n v="6048"/>
    <n v="2400"/>
    <n v="17389"/>
    <n v="4016.25"/>
    <n v="5157"/>
    <n v="4"/>
    <n v="1.2840336134453783"/>
    <x v="3"/>
    <s v="NO"/>
    <s v="SI"/>
    <s v="NO"/>
    <s v="NO"/>
  </r>
  <r>
    <x v="150"/>
    <x v="132"/>
    <x v="6"/>
    <x v="3"/>
    <x v="0"/>
    <x v="2"/>
    <n v="212"/>
    <n v="300"/>
    <n v="70"/>
    <n v="41"/>
    <n v="245"/>
    <n v="33"/>
    <n v="122"/>
    <n v="372"/>
    <n v="318"/>
    <n v="688"/>
    <n v="142"/>
    <n v="1585"/>
    <n v="344"/>
    <n v="727"/>
    <n v="4"/>
    <n v="2.1133720930232558"/>
    <x v="0"/>
    <s v="NO"/>
    <s v="SI"/>
    <s v="NO"/>
    <s v="NO"/>
  </r>
  <r>
    <x v="151"/>
    <x v="133"/>
    <x v="6"/>
    <x v="3"/>
    <x v="0"/>
    <x v="2"/>
    <n v="19"/>
    <n v="2"/>
    <n v="3"/>
    <n v="1"/>
    <n v="6"/>
    <n v="8"/>
    <n v="7"/>
    <n v="4"/>
    <n v="7"/>
    <n v="60"/>
    <n v="12"/>
    <n v="48"/>
    <n v="14.75"/>
    <n v="12"/>
    <n v="4"/>
    <n v="0.81355932203389836"/>
    <x v="3"/>
    <s v="NO"/>
    <s v="NO"/>
    <s v="NO"/>
    <s v="NO"/>
  </r>
  <r>
    <x v="152"/>
    <x v="134"/>
    <x v="6"/>
    <x v="3"/>
    <x v="0"/>
    <x v="2"/>
    <n v="12"/>
    <n v="26"/>
    <n v="33"/>
    <n v="36"/>
    <n v="29"/>
    <n v="31"/>
    <n v="29"/>
    <n v="31"/>
    <n v="23"/>
    <n v="65"/>
    <n v="27"/>
    <n v="183"/>
    <n v="43.75"/>
    <n v="32"/>
    <n v="4"/>
    <n v="0.73142857142857143"/>
    <x v="3"/>
    <s v="NO"/>
    <s v="NO"/>
    <s v="NO"/>
    <s v="NO"/>
  </r>
  <r>
    <x v="153"/>
    <x v="135"/>
    <x v="58"/>
    <x v="3"/>
    <x v="0"/>
    <x v="2"/>
    <n v="22"/>
    <n v="9"/>
    <n v="16"/>
    <n v="10"/>
    <n v="19"/>
    <n v="14"/>
    <n v="16"/>
    <n v="12"/>
    <n v="13"/>
    <n v="0"/>
    <n v="0"/>
    <n v="55"/>
    <n v="18.600000000000001"/>
    <n v="0"/>
    <n v="2"/>
    <n v="0"/>
    <x v="4"/>
    <s v="NO"/>
    <s v="NO"/>
    <s v="NO"/>
    <s v="NO"/>
  </r>
  <r>
    <x v="154"/>
    <x v="135"/>
    <x v="59"/>
    <x v="3"/>
    <x v="0"/>
    <x v="2"/>
    <n v="3"/>
    <n v="5"/>
    <n v="5"/>
    <n v="13"/>
    <n v="6"/>
    <n v="15"/>
    <n v="8"/>
    <n v="8"/>
    <n v="10"/>
    <n v="70"/>
    <n v="22"/>
    <n v="106"/>
    <n v="22.583333333333332"/>
    <n v="0"/>
    <n v="4"/>
    <n v="0"/>
    <x v="4"/>
    <s v="NO"/>
    <s v="NO"/>
    <s v="NO"/>
    <s v="NO"/>
  </r>
  <r>
    <x v="155"/>
    <x v="136"/>
    <x v="6"/>
    <x v="3"/>
    <x v="0"/>
    <x v="2"/>
    <n v="0"/>
    <n v="0"/>
    <n v="2"/>
    <n v="2"/>
    <n v="2"/>
    <n v="0"/>
    <n v="0"/>
    <n v="1"/>
    <n v="0"/>
    <n v="0"/>
    <n v="0"/>
    <n v="1"/>
    <n v="1.6"/>
    <n v="0"/>
    <n v="1"/>
    <n v="0"/>
    <x v="4"/>
    <s v="NO"/>
    <s v="SI"/>
    <s v="NO"/>
    <s v="NO"/>
  </r>
  <r>
    <x v="156"/>
    <x v="137"/>
    <x v="6"/>
    <x v="3"/>
    <x v="0"/>
    <x v="2"/>
    <n v="2"/>
    <n v="1"/>
    <n v="0"/>
    <n v="2"/>
    <n v="1"/>
    <n v="2"/>
    <n v="1"/>
    <n v="0"/>
    <n v="1"/>
    <n v="1"/>
    <n v="2"/>
    <n v="10"/>
    <n v="2.2999999999999998"/>
    <n v="2"/>
    <n v="4"/>
    <n v="0.86956521739130443"/>
    <x v="3"/>
    <s v="NO"/>
    <s v="SI"/>
    <s v="NO"/>
    <s v="NO"/>
  </r>
  <r>
    <x v="157"/>
    <x v="138"/>
    <x v="6"/>
    <x v="3"/>
    <x v="0"/>
    <x v="2"/>
    <n v="3"/>
    <n v="3"/>
    <n v="8"/>
    <n v="19"/>
    <n v="8"/>
    <n v="9"/>
    <n v="17"/>
    <n v="7"/>
    <n v="8"/>
    <n v="21"/>
    <n v="1"/>
    <n v="59"/>
    <n v="13.583333333333334"/>
    <n v="0"/>
    <n v="4"/>
    <n v="0"/>
    <x v="4"/>
    <s v="NO"/>
    <s v="SI"/>
    <s v="NO"/>
    <s v="NO"/>
  </r>
  <r>
    <x v="158"/>
    <x v="139"/>
    <x v="6"/>
    <x v="3"/>
    <x v="0"/>
    <x v="2"/>
    <n v="0"/>
    <n v="0"/>
    <n v="0"/>
    <n v="0"/>
    <n v="0"/>
    <n v="1"/>
    <n v="1"/>
    <n v="0"/>
    <n v="0"/>
    <n v="0"/>
    <n v="0"/>
    <n v="2"/>
    <n v="1.3333333333333333"/>
    <n v="31"/>
    <n v="1"/>
    <n v="23.25"/>
    <x v="2"/>
    <s v="NO"/>
    <s v="SI"/>
    <s v="NO"/>
    <s v="NO"/>
  </r>
  <r>
    <x v="159"/>
    <x v="140"/>
    <x v="6"/>
    <x v="3"/>
    <x v="0"/>
    <x v="2"/>
    <n v="0"/>
    <n v="1"/>
    <n v="0"/>
    <n v="1"/>
    <n v="1"/>
    <n v="1"/>
    <n v="0"/>
    <n v="1"/>
    <n v="1"/>
    <n v="0"/>
    <n v="0"/>
    <n v="3"/>
    <n v="1.2857142857142858"/>
    <n v="0"/>
    <n v="2"/>
    <n v="0"/>
    <x v="4"/>
    <s v="NO"/>
    <s v="SI"/>
    <s v="NO"/>
    <s v="NO"/>
  </r>
  <r>
    <x v="160"/>
    <x v="141"/>
    <x v="6"/>
    <x v="3"/>
    <x v="0"/>
    <x v="2"/>
    <n v="0"/>
    <n v="0"/>
    <n v="0"/>
    <n v="0"/>
    <n v="0"/>
    <n v="0"/>
    <n v="0"/>
    <n v="0"/>
    <n v="0"/>
    <n v="0"/>
    <n v="0"/>
    <n v="0"/>
    <n v="0"/>
    <n v="15"/>
    <n v="0"/>
    <s v="No Rota"/>
    <x v="1"/>
    <s v="NO"/>
    <s v="SI"/>
    <s v="NO"/>
    <s v="NO"/>
  </r>
  <r>
    <x v="161"/>
    <x v="142"/>
    <x v="24"/>
    <x v="4"/>
    <x v="19"/>
    <x v="0"/>
    <n v="4"/>
    <n v="1"/>
    <n v="1"/>
    <n v="2"/>
    <n v="0"/>
    <n v="4"/>
    <n v="0"/>
    <n v="5"/>
    <n v="2"/>
    <n v="17"/>
    <n v="3"/>
    <n v="26"/>
    <n v="6.5"/>
    <n v="64"/>
    <n v="4"/>
    <n v="9.8461538461538467"/>
    <x v="2"/>
    <s v="SI"/>
    <s v="NO"/>
    <s v="NO"/>
    <s v="NO"/>
  </r>
  <r>
    <x v="162"/>
    <x v="142"/>
    <x v="25"/>
    <x v="0"/>
    <x v="0"/>
    <x v="0"/>
    <n v="648"/>
    <n v="823"/>
    <n v="864"/>
    <n v="817"/>
    <n v="1899"/>
    <n v="1221"/>
    <n v="1201"/>
    <n v="1119"/>
    <n v="1391"/>
    <n v="2807"/>
    <n v="621"/>
    <n v="6777"/>
    <n v="1682.3333333333333"/>
    <n v="42098"/>
    <n v="4"/>
    <n v="25.023578363384189"/>
    <x v="2"/>
    <s v="SI"/>
    <s v="NO"/>
    <s v="NO"/>
    <s v="NO"/>
  </r>
  <r>
    <x v="163"/>
    <x v="143"/>
    <x v="5"/>
    <x v="1"/>
    <x v="0"/>
    <x v="0"/>
    <n v="3701"/>
    <n v="3615"/>
    <n v="3157"/>
    <n v="3435"/>
    <n v="3670"/>
    <n v="3971"/>
    <n v="3965"/>
    <n v="2985"/>
    <n v="1752"/>
    <n v="6887"/>
    <n v="3242"/>
    <n v="22014"/>
    <n v="5199.5"/>
    <n v="4326"/>
    <n v="4"/>
    <n v="0.83200307721896338"/>
    <x v="3"/>
    <s v="SI"/>
    <s v="NO"/>
    <s v="NO"/>
    <s v="NO"/>
  </r>
  <r>
    <x v="164"/>
    <x v="144"/>
    <x v="25"/>
    <x v="1"/>
    <x v="0"/>
    <x v="1"/>
    <n v="33"/>
    <n v="32"/>
    <n v="30"/>
    <n v="71"/>
    <n v="58"/>
    <n v="60"/>
    <n v="0"/>
    <n v="48"/>
    <n v="2"/>
    <n v="0"/>
    <n v="0"/>
    <n v="110"/>
    <n v="49.333333333333336"/>
    <n v="0"/>
    <n v="2"/>
    <n v="0"/>
    <x v="4"/>
    <s v="SI"/>
    <s v="NO"/>
    <s v="NO"/>
    <s v="NO"/>
  </r>
  <r>
    <x v="165"/>
    <x v="145"/>
    <x v="5"/>
    <x v="1"/>
    <x v="0"/>
    <x v="0"/>
    <n v="89"/>
    <n v="0"/>
    <n v="0"/>
    <n v="0"/>
    <n v="0"/>
    <n v="3"/>
    <n v="44"/>
    <n v="2"/>
    <n v="91"/>
    <n v="137"/>
    <n v="2"/>
    <n v="208"/>
    <n v="72"/>
    <n v="644"/>
    <n v="4"/>
    <n v="8.9444444444444446"/>
    <x v="2"/>
    <s v="SI"/>
    <s v="NO"/>
    <s v="NO"/>
    <s v="NO"/>
  </r>
  <r>
    <x v="166"/>
    <x v="146"/>
    <x v="5"/>
    <x v="1"/>
    <x v="0"/>
    <x v="0"/>
    <n v="22"/>
    <n v="76"/>
    <n v="0"/>
    <n v="25"/>
    <n v="2"/>
    <n v="46"/>
    <n v="33"/>
    <n v="4"/>
    <n v="22"/>
    <n v="0"/>
    <n v="0"/>
    <n v="111"/>
    <n v="37.888888888888886"/>
    <n v="461"/>
    <n v="2"/>
    <n v="12.167155425219942"/>
    <x v="2"/>
    <s v="SI"/>
    <s v="NO"/>
    <s v="NO"/>
    <s v="NO"/>
  </r>
  <r>
    <x v="167"/>
    <x v="147"/>
    <x v="5"/>
    <x v="1"/>
    <x v="0"/>
    <x v="0"/>
    <n v="1875"/>
    <n v="1596"/>
    <n v="1630"/>
    <n v="1717"/>
    <n v="1881"/>
    <n v="1764"/>
    <n v="1665"/>
    <n v="1790"/>
    <n v="2297"/>
    <n v="4649"/>
    <n v="1328"/>
    <n v="12020"/>
    <n v="2851"/>
    <n v="13414"/>
    <n v="4"/>
    <n v="4.7050157839354609"/>
    <x v="0"/>
    <s v="SI"/>
    <s v="NO"/>
    <s v="NO"/>
    <s v="NO"/>
  </r>
  <r>
    <x v="168"/>
    <x v="148"/>
    <x v="25"/>
    <x v="0"/>
    <x v="0"/>
    <x v="1"/>
    <n v="3901"/>
    <n v="3777"/>
    <n v="3354"/>
    <n v="3225"/>
    <n v="3744"/>
    <n v="3602"/>
    <n v="4238"/>
    <n v="3876"/>
    <n v="3034"/>
    <n v="0"/>
    <n v="2951"/>
    <n v="20392"/>
    <n v="5099.454545454545"/>
    <n v="46184"/>
    <n v="3"/>
    <n v="9.0566549007023927"/>
    <x v="2"/>
    <s v="SI"/>
    <s v="NO"/>
    <s v="NO"/>
    <s v="NO"/>
  </r>
  <r>
    <x v="169"/>
    <x v="149"/>
    <x v="6"/>
    <x v="3"/>
    <x v="0"/>
    <x v="2"/>
    <n v="0"/>
    <n v="0"/>
    <n v="0"/>
    <n v="0"/>
    <n v="0"/>
    <n v="0"/>
    <n v="0"/>
    <n v="0"/>
    <n v="0"/>
    <n v="0"/>
    <n v="0"/>
    <n v="0"/>
    <n v="0"/>
    <n v="0"/>
    <n v="0"/>
    <s v="No Rota"/>
    <x v="1"/>
    <s v="NO"/>
    <s v="NO"/>
    <s v="NO"/>
    <s v="NO"/>
  </r>
  <r>
    <x v="170"/>
    <x v="150"/>
    <x v="6"/>
    <x v="3"/>
    <x v="0"/>
    <x v="2"/>
    <n v="800"/>
    <n v="1035"/>
    <n v="0"/>
    <n v="0"/>
    <n v="0"/>
    <n v="0"/>
    <n v="0"/>
    <n v="0"/>
    <n v="0"/>
    <n v="0"/>
    <n v="0"/>
    <n v="0"/>
    <n v="917.5"/>
    <n v="0"/>
    <n v="0"/>
    <s v="No Rota"/>
    <x v="1"/>
    <s v="NO"/>
    <s v="NO"/>
    <s v="NO"/>
    <s v="NO"/>
  </r>
  <r>
    <x v="171"/>
    <x v="151"/>
    <x v="6"/>
    <x v="3"/>
    <x v="0"/>
    <x v="2"/>
    <n v="0"/>
    <n v="0"/>
    <n v="0"/>
    <n v="0"/>
    <n v="0"/>
    <n v="0"/>
    <n v="0"/>
    <n v="0"/>
    <n v="0"/>
    <n v="0"/>
    <n v="0"/>
    <n v="0"/>
    <n v="0"/>
    <n v="0"/>
    <n v="0"/>
    <s v="No Rota"/>
    <x v="1"/>
    <s v="NO"/>
    <s v="NO"/>
    <s v="NO"/>
    <s v="NO"/>
  </r>
  <r>
    <x v="172"/>
    <x v="152"/>
    <x v="6"/>
    <x v="3"/>
    <x v="0"/>
    <x v="2"/>
    <n v="644"/>
    <n v="0"/>
    <n v="200"/>
    <n v="500"/>
    <n v="1900"/>
    <n v="1850"/>
    <n v="200"/>
    <n v="0"/>
    <n v="350"/>
    <n v="400"/>
    <n v="0"/>
    <n v="2400"/>
    <n v="938.22222222222217"/>
    <n v="4892"/>
    <n v="3"/>
    <n v="5.2141165324490766"/>
    <x v="0"/>
    <s v="NO"/>
    <s v="NO"/>
    <s v="NO"/>
    <s v="NO"/>
  </r>
  <r>
    <x v="173"/>
    <x v="153"/>
    <x v="6"/>
    <x v="3"/>
    <x v="0"/>
    <x v="2"/>
    <n v="644"/>
    <n v="76"/>
    <n v="200"/>
    <n v="0"/>
    <n v="1100"/>
    <n v="2050"/>
    <n v="200"/>
    <n v="0"/>
    <n v="1000"/>
    <n v="200"/>
    <n v="0"/>
    <n v="3250"/>
    <n v="968.88888888888891"/>
    <n v="9138"/>
    <n v="3"/>
    <n v="9.4314220183486235"/>
    <x v="2"/>
    <s v="NO"/>
    <s v="NO"/>
    <s v="NO"/>
    <s v="NO"/>
  </r>
  <r>
    <x v="174"/>
    <x v="154"/>
    <x v="6"/>
    <x v="3"/>
    <x v="0"/>
    <x v="2"/>
    <n v="430"/>
    <n v="0"/>
    <n v="50"/>
    <n v="500"/>
    <n v="500"/>
    <n v="600"/>
    <n v="0"/>
    <n v="0"/>
    <n v="150"/>
    <n v="0"/>
    <n v="0"/>
    <n v="750"/>
    <n v="425.71428571428572"/>
    <n v="11855"/>
    <n v="2"/>
    <n v="27.847315436241612"/>
    <x v="2"/>
    <s v="NO"/>
    <s v="NO"/>
    <s v="NO"/>
    <s v="NO"/>
  </r>
  <r>
    <x v="175"/>
    <x v="155"/>
    <x v="60"/>
    <x v="1"/>
    <x v="0"/>
    <x v="0"/>
    <n v="0"/>
    <n v="0"/>
    <n v="0"/>
    <n v="0"/>
    <n v="0"/>
    <n v="0"/>
    <n v="0"/>
    <n v="0"/>
    <n v="0"/>
    <n v="0"/>
    <n v="0"/>
    <n v="0"/>
    <n v="0"/>
    <n v="25"/>
    <n v="0"/>
    <s v="No Rota"/>
    <x v="1"/>
    <s v="SI"/>
    <s v="NO"/>
    <s v="NO"/>
    <s v="NO"/>
  </r>
  <r>
    <x v="176"/>
    <x v="156"/>
    <x v="25"/>
    <x v="0"/>
    <x v="0"/>
    <x v="1"/>
    <n v="698"/>
    <n v="483"/>
    <n v="597"/>
    <n v="535"/>
    <n v="750"/>
    <n v="768"/>
    <n v="603"/>
    <n v="863"/>
    <n v="495"/>
    <n v="1658"/>
    <n v="606"/>
    <n v="4641"/>
    <n v="1058.0833333333333"/>
    <n v="2333"/>
    <n v="4"/>
    <n v="2.2049302984957078"/>
    <x v="0"/>
    <s v="SI"/>
    <s v="NO"/>
    <s v="NO"/>
    <s v="NO"/>
  </r>
  <r>
    <x v="177"/>
    <x v="157"/>
    <x v="61"/>
    <x v="2"/>
    <x v="21"/>
    <x v="0"/>
    <n v="39"/>
    <n v="56"/>
    <n v="38"/>
    <n v="46"/>
    <n v="44"/>
    <n v="65"/>
    <n v="53"/>
    <n v="22"/>
    <n v="41"/>
    <n v="150"/>
    <n v="45"/>
    <n v="871"/>
    <n v="122.5"/>
    <n v="94"/>
    <n v="4"/>
    <n v="0.76734693877551019"/>
    <x v="3"/>
    <s v="SI"/>
    <s v="NO"/>
    <s v="NO"/>
    <s v="NO"/>
  </r>
  <r>
    <x v="178"/>
    <x v="158"/>
    <x v="62"/>
    <x v="1"/>
    <x v="27"/>
    <x v="1"/>
    <n v="10"/>
    <n v="13"/>
    <n v="23"/>
    <n v="21"/>
    <n v="15"/>
    <n v="37"/>
    <n v="39"/>
    <n v="61"/>
    <n v="12"/>
    <n v="23"/>
    <n v="10"/>
    <n v="189"/>
    <n v="37.75"/>
    <n v="70"/>
    <n v="4"/>
    <n v="1.8543046357615893"/>
    <x v="3"/>
    <s v="SI"/>
    <s v="NO"/>
    <s v="NO"/>
    <s v="NO"/>
  </r>
  <r>
    <x v="179"/>
    <x v="159"/>
    <x v="6"/>
    <x v="3"/>
    <x v="0"/>
    <x v="2"/>
    <n v="22"/>
    <n v="5"/>
    <n v="0"/>
    <n v="3"/>
    <n v="1"/>
    <n v="10"/>
    <n v="14"/>
    <n v="33"/>
    <n v="37"/>
    <n v="58"/>
    <n v="28"/>
    <n v="173"/>
    <n v="34.909090909090907"/>
    <n v="273"/>
    <n v="4"/>
    <n v="7.8203125000000009"/>
    <x v="2"/>
    <s v="NO"/>
    <s v="NO"/>
    <s v="NO"/>
    <s v="NO"/>
  </r>
  <r>
    <x v="180"/>
    <x v="160"/>
    <x v="6"/>
    <x v="3"/>
    <x v="0"/>
    <x v="2"/>
    <n v="1393"/>
    <n v="1357"/>
    <n v="1381"/>
    <n v="1189"/>
    <n v="1447"/>
    <n v="1586"/>
    <n v="1512"/>
    <n v="1394"/>
    <n v="1408"/>
    <n v="3002"/>
    <n v="1211"/>
    <n v="9648"/>
    <n v="2210.6666666666665"/>
    <n v="11284"/>
    <n v="4"/>
    <n v="5.1043425814234018"/>
    <x v="0"/>
    <s v="NO"/>
    <s v="SI"/>
    <s v="NO"/>
    <s v="NO"/>
  </r>
  <r>
    <x v="181"/>
    <x v="161"/>
    <x v="25"/>
    <x v="0"/>
    <x v="0"/>
    <x v="0"/>
    <n v="272"/>
    <n v="506"/>
    <n v="10"/>
    <n v="0"/>
    <n v="0"/>
    <n v="0"/>
    <n v="0"/>
    <n v="30"/>
    <n v="70"/>
    <n v="10"/>
    <n v="110"/>
    <n v="270"/>
    <n v="159.75"/>
    <n v="704"/>
    <n v="4"/>
    <n v="4.4068857589984347"/>
    <x v="0"/>
    <s v="SI"/>
    <s v="NO"/>
    <s v="NO"/>
    <s v="NO"/>
  </r>
  <r>
    <x v="182"/>
    <x v="162"/>
    <x v="63"/>
    <x v="0"/>
    <x v="0"/>
    <x v="0"/>
    <n v="1561"/>
    <n v="1499"/>
    <n v="1330"/>
    <n v="1136"/>
    <n v="7244"/>
    <n v="1021"/>
    <n v="1277"/>
    <n v="1611"/>
    <n v="1090"/>
    <n v="2452"/>
    <n v="845"/>
    <n v="7692"/>
    <n v="2396.5"/>
    <n v="12810"/>
    <n v="4"/>
    <n v="5.3452952221990406"/>
    <x v="0"/>
    <s v="SI"/>
    <s v="NO"/>
    <s v="NO"/>
    <s v="NO"/>
  </r>
  <r>
    <x v="183"/>
    <x v="163"/>
    <x v="64"/>
    <x v="1"/>
    <x v="24"/>
    <x v="0"/>
    <n v="1629"/>
    <n v="1090"/>
    <n v="1356"/>
    <n v="2228"/>
    <n v="1866"/>
    <n v="896"/>
    <n v="1218"/>
    <n v="1137"/>
    <n v="1372"/>
    <n v="2253"/>
    <n v="754"/>
    <n v="7424"/>
    <n v="1935.25"/>
    <n v="5921"/>
    <n v="4"/>
    <n v="3.0595530293243769"/>
    <x v="0"/>
    <s v="SI"/>
    <s v="NO"/>
    <s v="NO"/>
    <s v="NO"/>
  </r>
  <r>
    <x v="184"/>
    <x v="164"/>
    <x v="6"/>
    <x v="3"/>
    <x v="0"/>
    <x v="2"/>
    <n v="0"/>
    <n v="5"/>
    <n v="2"/>
    <n v="0"/>
    <n v="1"/>
    <n v="1"/>
    <n v="0"/>
    <n v="2"/>
    <n v="2"/>
    <n v="2"/>
    <n v="0"/>
    <n v="9"/>
    <n v="3"/>
    <n v="26"/>
    <n v="3"/>
    <n v="8.6666666666666661"/>
    <x v="2"/>
    <s v="NO"/>
    <s v="NO"/>
    <s v="NO"/>
    <s v="NO"/>
  </r>
  <r>
    <x v="185"/>
    <x v="165"/>
    <x v="6"/>
    <x v="3"/>
    <x v="0"/>
    <x v="2"/>
    <n v="0"/>
    <n v="5"/>
    <n v="2"/>
    <n v="0"/>
    <n v="2"/>
    <n v="1"/>
    <n v="0"/>
    <n v="2"/>
    <n v="2"/>
    <n v="2"/>
    <n v="0"/>
    <n v="9"/>
    <n v="3.125"/>
    <n v="14"/>
    <n v="3"/>
    <n v="4.4800000000000004"/>
    <x v="0"/>
    <s v="NO"/>
    <s v="NO"/>
    <s v="NO"/>
    <s v="NO"/>
  </r>
  <r>
    <x v="186"/>
    <x v="166"/>
    <x v="44"/>
    <x v="0"/>
    <x v="0"/>
    <x v="0"/>
    <n v="20"/>
    <n v="114"/>
    <n v="50"/>
    <n v="76"/>
    <n v="101"/>
    <n v="38"/>
    <n v="20"/>
    <n v="61"/>
    <n v="20"/>
    <n v="46"/>
    <n v="42"/>
    <n v="235"/>
    <n v="68.583333333333329"/>
    <n v="198"/>
    <n v="4"/>
    <n v="2.8869987849331715"/>
    <x v="0"/>
    <s v="SI"/>
    <s v="NO"/>
    <s v="NO"/>
    <s v="NO"/>
  </r>
  <r>
    <x v="187"/>
    <x v="166"/>
    <x v="14"/>
    <x v="0"/>
    <x v="0"/>
    <x v="0"/>
    <n v="519"/>
    <n v="574"/>
    <n v="329"/>
    <n v="373"/>
    <n v="284"/>
    <n v="445"/>
    <n v="394"/>
    <n v="258"/>
    <n v="325"/>
    <n v="594"/>
    <n v="462"/>
    <n v="2529"/>
    <n v="590.5"/>
    <n v="2206"/>
    <n v="4"/>
    <n v="3.7358171041490262"/>
    <x v="0"/>
    <s v="SI"/>
    <s v="NO"/>
    <s v="NO"/>
    <s v="NO"/>
  </r>
  <r>
    <x v="188"/>
    <x v="167"/>
    <x v="47"/>
    <x v="1"/>
    <x v="14"/>
    <x v="0"/>
    <n v="106"/>
    <n v="125"/>
    <n v="72"/>
    <n v="135"/>
    <n v="189"/>
    <n v="300"/>
    <n v="198"/>
    <n v="161"/>
    <n v="107"/>
    <n v="374"/>
    <n v="194"/>
    <n v="1354"/>
    <n v="276.25"/>
    <n v="698"/>
    <n v="4"/>
    <n v="2.5266968325791854"/>
    <x v="0"/>
    <s v="SI"/>
    <s v="NO"/>
    <s v="NO"/>
    <s v="NO"/>
  </r>
  <r>
    <x v="189"/>
    <x v="167"/>
    <x v="65"/>
    <x v="10"/>
    <x v="18"/>
    <x v="0"/>
    <n v="26"/>
    <n v="12"/>
    <n v="29"/>
    <n v="14"/>
    <n v="34"/>
    <n v="32"/>
    <n v="11"/>
    <n v="17"/>
    <n v="36"/>
    <n v="72"/>
    <n v="27"/>
    <n v="186"/>
    <n v="41.333333333333336"/>
    <n v="331"/>
    <n v="4"/>
    <n v="8.008064516129032"/>
    <x v="2"/>
    <s v="SI"/>
    <s v="NO"/>
    <s v="NO"/>
    <s v="NO"/>
  </r>
  <r>
    <x v="190"/>
    <x v="167"/>
    <x v="48"/>
    <x v="0"/>
    <x v="0"/>
    <x v="0"/>
    <n v="873"/>
    <n v="858"/>
    <n v="1128"/>
    <n v="1022"/>
    <n v="1379"/>
    <n v="3228"/>
    <n v="1386"/>
    <n v="1217"/>
    <n v="1014"/>
    <n v="1887"/>
    <n v="1184"/>
    <n v="11235"/>
    <n v="2200.9166666666665"/>
    <n v="1722"/>
    <n v="4"/>
    <n v="0.78240127219719058"/>
    <x v="3"/>
    <s v="SI"/>
    <s v="NO"/>
    <s v="NO"/>
    <s v="NO"/>
  </r>
  <r>
    <x v="191"/>
    <x v="168"/>
    <x v="66"/>
    <x v="2"/>
    <x v="18"/>
    <x v="0"/>
    <n v="687"/>
    <n v="669"/>
    <n v="672"/>
    <n v="587"/>
    <n v="653"/>
    <n v="633"/>
    <n v="693"/>
    <n v="681"/>
    <n v="712"/>
    <n v="1301"/>
    <n v="570"/>
    <n v="4538"/>
    <n v="1033"/>
    <n v="2908"/>
    <n v="4"/>
    <n v="2.8151016456921587"/>
    <x v="0"/>
    <s v="SI"/>
    <s v="NO"/>
    <s v="NO"/>
    <s v="NO"/>
  </r>
  <r>
    <x v="192"/>
    <x v="169"/>
    <x v="67"/>
    <x v="2"/>
    <x v="27"/>
    <x v="0"/>
    <n v="70"/>
    <n v="74"/>
    <n v="67"/>
    <n v="58"/>
    <n v="13"/>
    <n v="38"/>
    <n v="53"/>
    <n v="60"/>
    <n v="81"/>
    <n v="185"/>
    <n v="56"/>
    <n v="436"/>
    <n v="99.25"/>
    <n v="197"/>
    <n v="4"/>
    <n v="1.9848866498740554"/>
    <x v="3"/>
    <s v="NO"/>
    <s v="NO"/>
    <s v="NO"/>
    <s v="NO"/>
  </r>
  <r>
    <x v="193"/>
    <x v="170"/>
    <x v="19"/>
    <x v="1"/>
    <x v="1"/>
    <x v="0"/>
    <n v="23"/>
    <n v="18"/>
    <n v="19"/>
    <n v="38"/>
    <n v="23"/>
    <n v="28"/>
    <n v="28"/>
    <n v="28"/>
    <n v="15"/>
    <n v="20"/>
    <n v="8"/>
    <n v="108"/>
    <n v="29.666666666666668"/>
    <n v="491"/>
    <n v="4"/>
    <n v="16.55056179775281"/>
    <x v="2"/>
    <s v="SI"/>
    <s v="NO"/>
    <s v="NO"/>
    <s v="NO"/>
  </r>
  <r>
    <x v="194"/>
    <x v="171"/>
    <x v="68"/>
    <x v="7"/>
    <x v="23"/>
    <x v="0"/>
    <n v="277"/>
    <n v="224"/>
    <n v="253"/>
    <n v="253"/>
    <n v="282"/>
    <n v="298"/>
    <n v="196"/>
    <n v="270"/>
    <n v="303"/>
    <n v="472"/>
    <n v="209"/>
    <n v="1516"/>
    <n v="379.41666666666669"/>
    <n v="10138"/>
    <n v="4"/>
    <n v="26.719964858335164"/>
    <x v="2"/>
    <s v="SI"/>
    <s v="NO"/>
    <s v="NO"/>
    <s v="NO"/>
  </r>
  <r>
    <x v="195"/>
    <x v="171"/>
    <x v="69"/>
    <x v="2"/>
    <x v="5"/>
    <x v="0"/>
    <n v="10"/>
    <n v="17"/>
    <n v="5"/>
    <n v="14"/>
    <n v="14"/>
    <n v="10"/>
    <n v="10"/>
    <n v="23"/>
    <n v="13"/>
    <n v="41"/>
    <n v="8"/>
    <n v="101"/>
    <n v="22.166666666666668"/>
    <n v="142"/>
    <n v="4"/>
    <n v="6.4060150375939848"/>
    <x v="2"/>
    <s v="SI"/>
    <s v="NO"/>
    <s v="NO"/>
    <s v="NO"/>
  </r>
  <r>
    <x v="196"/>
    <x v="171"/>
    <x v="25"/>
    <x v="11"/>
    <x v="0"/>
    <x v="0"/>
    <n v="258"/>
    <n v="104"/>
    <n v="0"/>
    <n v="0"/>
    <n v="128"/>
    <n v="58"/>
    <n v="14"/>
    <n v="0"/>
    <n v="0"/>
    <n v="291"/>
    <n v="142"/>
    <n v="537"/>
    <n v="191.5"/>
    <n v="1732"/>
    <n v="3"/>
    <n v="9.0443864229765012"/>
    <x v="2"/>
    <s v="SI"/>
    <s v="NO"/>
    <s v="NO"/>
    <s v="NO"/>
  </r>
  <r>
    <x v="197"/>
    <x v="172"/>
    <x v="70"/>
    <x v="1"/>
    <x v="3"/>
    <x v="0"/>
    <n v="0"/>
    <n v="0"/>
    <n v="1"/>
    <n v="0"/>
    <n v="0"/>
    <n v="0"/>
    <n v="0"/>
    <n v="0"/>
    <n v="0"/>
    <n v="0"/>
    <n v="0"/>
    <n v="0"/>
    <n v="1"/>
    <n v="50"/>
    <n v="0"/>
    <s v="No Rota"/>
    <x v="1"/>
    <s v="SI"/>
    <s v="NO"/>
    <s v="NO"/>
    <s v="NO"/>
  </r>
  <r>
    <x v="198"/>
    <x v="173"/>
    <x v="6"/>
    <x v="3"/>
    <x v="0"/>
    <x v="2"/>
    <n v="0"/>
    <n v="5"/>
    <n v="6"/>
    <n v="7"/>
    <n v="6"/>
    <n v="5"/>
    <n v="7"/>
    <n v="3"/>
    <n v="2"/>
    <n v="5"/>
    <n v="0"/>
    <n v="27"/>
    <n v="7.3"/>
    <n v="223"/>
    <n v="3"/>
    <n v="30.547945205479454"/>
    <x v="2"/>
    <s v="NO"/>
    <s v="SI"/>
    <s v="NO"/>
    <s v="NO"/>
  </r>
  <r>
    <x v="199"/>
    <x v="174"/>
    <x v="71"/>
    <x v="1"/>
    <x v="0"/>
    <x v="0"/>
    <n v="10"/>
    <n v="16"/>
    <n v="40"/>
    <n v="44"/>
    <n v="44"/>
    <n v="18"/>
    <n v="7"/>
    <n v="1"/>
    <n v="0"/>
    <n v="0"/>
    <n v="0"/>
    <n v="26"/>
    <n v="22.888888888888889"/>
    <n v="81"/>
    <n v="1"/>
    <n v="3.5388349514563107"/>
    <x v="0"/>
    <s v="SI"/>
    <s v="NO"/>
    <s v="NO"/>
    <s v="NO"/>
  </r>
  <r>
    <x v="200"/>
    <x v="175"/>
    <x v="72"/>
    <x v="1"/>
    <x v="0"/>
    <x v="0"/>
    <n v="0"/>
    <n v="0"/>
    <n v="0"/>
    <n v="0"/>
    <n v="0"/>
    <n v="0"/>
    <n v="17"/>
    <n v="64"/>
    <n v="0"/>
    <n v="15"/>
    <n v="0"/>
    <n v="96"/>
    <n v="48"/>
    <n v="713"/>
    <n v="2"/>
    <n v="14.854166666666666"/>
    <x v="2"/>
    <s v="SI"/>
    <s v="NO"/>
    <s v="NO"/>
    <s v="NO"/>
  </r>
  <r>
    <x v="201"/>
    <x v="176"/>
    <x v="6"/>
    <x v="3"/>
    <x v="0"/>
    <x v="2"/>
    <n v="963"/>
    <n v="911"/>
    <n v="889"/>
    <n v="873"/>
    <n v="904"/>
    <n v="879"/>
    <n v="1033"/>
    <n v="1103"/>
    <n v="1037"/>
    <n v="1930"/>
    <n v="848"/>
    <n v="6886"/>
    <n v="1521.3333333333333"/>
    <n v="2856"/>
    <n v="4"/>
    <n v="1.8773006134969326"/>
    <x v="3"/>
    <s v="NO"/>
    <s v="SI"/>
    <s v="NO"/>
    <s v="NO"/>
  </r>
  <r>
    <x v="202"/>
    <x v="177"/>
    <x v="6"/>
    <x v="3"/>
    <x v="0"/>
    <x v="2"/>
    <n v="16"/>
    <n v="36"/>
    <n v="86"/>
    <n v="101"/>
    <n v="30"/>
    <n v="0"/>
    <n v="0"/>
    <n v="0"/>
    <n v="45"/>
    <n v="181"/>
    <n v="54"/>
    <n v="207"/>
    <n v="84"/>
    <n v="739"/>
    <n v="4"/>
    <n v="8.7976190476190474"/>
    <x v="2"/>
    <s v="NO"/>
    <s v="SI"/>
    <s v="NO"/>
    <s v="NO"/>
  </r>
  <r>
    <x v="203"/>
    <x v="178"/>
    <x v="6"/>
    <x v="3"/>
    <x v="0"/>
    <x v="2"/>
    <n v="0"/>
    <n v="0"/>
    <n v="0"/>
    <n v="0"/>
    <n v="0"/>
    <n v="0"/>
    <n v="0"/>
    <n v="0"/>
    <n v="0"/>
    <n v="0"/>
    <n v="0"/>
    <n v="0"/>
    <n v="0"/>
    <n v="0"/>
    <n v="0"/>
    <s v="No Rota"/>
    <x v="1"/>
    <s v="NO"/>
    <s v="SI"/>
    <s v="NO"/>
    <s v="NO"/>
  </r>
  <r>
    <x v="204"/>
    <x v="179"/>
    <x v="6"/>
    <x v="3"/>
    <x v="0"/>
    <x v="2"/>
    <n v="0"/>
    <n v="0"/>
    <n v="0"/>
    <n v="0"/>
    <n v="0"/>
    <n v="2"/>
    <n v="0"/>
    <n v="0"/>
    <n v="0"/>
    <n v="0"/>
    <n v="0"/>
    <n v="2"/>
    <n v="2"/>
    <n v="30"/>
    <n v="1"/>
    <n v="15"/>
    <x v="2"/>
    <s v="NO"/>
    <s v="SI"/>
    <s v="NO"/>
    <s v="NO"/>
  </r>
  <r>
    <x v="205"/>
    <x v="180"/>
    <x v="0"/>
    <x v="0"/>
    <x v="0"/>
    <x v="0"/>
    <n v="0"/>
    <n v="0"/>
    <n v="0"/>
    <n v="0"/>
    <n v="0"/>
    <n v="0"/>
    <n v="0"/>
    <n v="0"/>
    <n v="0"/>
    <n v="0"/>
    <n v="0"/>
    <n v="0"/>
    <n v="0"/>
    <n v="300"/>
    <n v="0"/>
    <s v="No Rota"/>
    <x v="1"/>
    <s v="SI"/>
    <s v="NO"/>
    <s v="NO"/>
    <s v="NO"/>
  </r>
  <r>
    <x v="206"/>
    <x v="181"/>
    <x v="3"/>
    <x v="0"/>
    <x v="0"/>
    <x v="0"/>
    <n v="72"/>
    <n v="185"/>
    <n v="120"/>
    <n v="103"/>
    <n v="149"/>
    <n v="322"/>
    <n v="230"/>
    <n v="211"/>
    <n v="315"/>
    <n v="196"/>
    <n v="104"/>
    <n v="1468"/>
    <n v="289.58333333333331"/>
    <n v="43"/>
    <n v="4"/>
    <n v="0.14848920863309353"/>
    <x v="3"/>
    <s v="SI"/>
    <s v="NO"/>
    <s v="NO"/>
    <s v="NO"/>
  </r>
  <r>
    <x v="207"/>
    <x v="182"/>
    <x v="73"/>
    <x v="1"/>
    <x v="3"/>
    <x v="0"/>
    <n v="1786"/>
    <n v="1780"/>
    <n v="1724"/>
    <n v="1751"/>
    <n v="2242"/>
    <n v="2337"/>
    <n v="1995"/>
    <n v="2015"/>
    <n v="1832"/>
    <n v="3103"/>
    <n v="1747"/>
    <n v="13640"/>
    <n v="2996"/>
    <n v="5520"/>
    <n v="4"/>
    <n v="1.8424566088117491"/>
    <x v="3"/>
    <s v="SI"/>
    <s v="NO"/>
    <s v="NO"/>
    <s v="NO"/>
  </r>
  <r>
    <x v="208"/>
    <x v="183"/>
    <x v="21"/>
    <x v="1"/>
    <x v="3"/>
    <x v="0"/>
    <n v="0"/>
    <n v="0"/>
    <n v="0"/>
    <n v="0"/>
    <n v="0"/>
    <n v="0"/>
    <n v="83"/>
    <n v="104"/>
    <n v="128"/>
    <n v="49"/>
    <n v="63"/>
    <n v="471"/>
    <n v="149.66666666666666"/>
    <n v="422"/>
    <n v="4"/>
    <n v="2.8195991091314032"/>
    <x v="0"/>
    <s v="NO"/>
    <s v="NO"/>
    <s v="NO"/>
    <s v="NO"/>
  </r>
  <r>
    <x v="209"/>
    <x v="184"/>
    <x v="55"/>
    <x v="1"/>
    <x v="3"/>
    <x v="0"/>
    <n v="0"/>
    <n v="10"/>
    <n v="0"/>
    <n v="0"/>
    <n v="0"/>
    <n v="0"/>
    <n v="0"/>
    <n v="0"/>
    <n v="0"/>
    <n v="0"/>
    <n v="0"/>
    <n v="0"/>
    <n v="10"/>
    <n v="0"/>
    <n v="0"/>
    <s v="No Rota"/>
    <x v="1"/>
    <s v="NO"/>
    <s v="NO"/>
    <s v="NO"/>
    <s v="NO"/>
  </r>
  <r>
    <x v="210"/>
    <x v="185"/>
    <x v="74"/>
    <x v="10"/>
    <x v="18"/>
    <x v="0"/>
    <n v="57"/>
    <n v="35"/>
    <n v="27"/>
    <n v="56"/>
    <n v="49"/>
    <n v="187"/>
    <n v="3"/>
    <n v="0"/>
    <n v="0"/>
    <n v="0"/>
    <n v="37"/>
    <n v="321"/>
    <n v="85.777777777777771"/>
    <n v="570"/>
    <n v="2"/>
    <n v="6.6450777202072544"/>
    <x v="2"/>
    <s v="SI"/>
    <s v="NO"/>
    <s v="NO"/>
    <s v="NO"/>
  </r>
  <r>
    <x v="211"/>
    <x v="186"/>
    <x v="75"/>
    <x v="1"/>
    <x v="4"/>
    <x v="0"/>
    <n v="364"/>
    <n v="310"/>
    <n v="325"/>
    <n v="352"/>
    <n v="335"/>
    <n v="375"/>
    <n v="292"/>
    <n v="278"/>
    <n v="344"/>
    <n v="830"/>
    <n v="263"/>
    <n v="2214"/>
    <n v="523.5"/>
    <n v="797"/>
    <n v="4"/>
    <n v="1.5224450811843362"/>
    <x v="3"/>
    <s v="SI"/>
    <s v="NO"/>
    <s v="NO"/>
    <s v="NO"/>
  </r>
  <r>
    <x v="212"/>
    <x v="186"/>
    <x v="76"/>
    <x v="1"/>
    <x v="5"/>
    <x v="0"/>
    <n v="594"/>
    <n v="372"/>
    <n v="410"/>
    <n v="437"/>
    <n v="557"/>
    <n v="453"/>
    <n v="23"/>
    <n v="504"/>
    <n v="408"/>
    <n v="969"/>
    <n v="366"/>
    <n v="2634"/>
    <n v="643.91666666666663"/>
    <n v="238"/>
    <n v="4"/>
    <n v="0.3696130451663"/>
    <x v="3"/>
    <s v="SI"/>
    <s v="NO"/>
    <s v="NO"/>
    <s v="NO"/>
  </r>
  <r>
    <x v="213"/>
    <x v="186"/>
    <x v="77"/>
    <x v="1"/>
    <x v="4"/>
    <x v="1"/>
    <n v="889"/>
    <n v="679"/>
    <n v="799"/>
    <n v="871"/>
    <n v="819"/>
    <n v="813"/>
    <n v="816"/>
    <n v="825"/>
    <n v="872"/>
    <n v="1343"/>
    <n v="622"/>
    <n v="5404"/>
    <n v="1229.3333333333333"/>
    <n v="4722"/>
    <n v="4"/>
    <n v="3.8411062906724514"/>
    <x v="0"/>
    <s v="SI"/>
    <s v="NO"/>
    <s v="NO"/>
    <s v="NO"/>
  </r>
  <r>
    <x v="214"/>
    <x v="186"/>
    <x v="77"/>
    <x v="1"/>
    <x v="27"/>
    <x v="0"/>
    <n v="41"/>
    <n v="5"/>
    <n v="26"/>
    <n v="18"/>
    <n v="48"/>
    <n v="37"/>
    <n v="22"/>
    <n v="13"/>
    <n v="13"/>
    <n v="20"/>
    <n v="13"/>
    <n v="147"/>
    <n v="33.583333333333336"/>
    <n v="1164"/>
    <n v="4"/>
    <n v="34.660049627791558"/>
    <x v="2"/>
    <s v="SI"/>
    <s v="NO"/>
    <s v="NO"/>
    <s v="NO"/>
  </r>
  <r>
    <x v="215"/>
    <x v="186"/>
    <x v="78"/>
    <x v="1"/>
    <x v="4"/>
    <x v="0"/>
    <n v="52"/>
    <n v="39"/>
    <n v="50"/>
    <n v="47"/>
    <n v="52"/>
    <n v="46"/>
    <n v="43"/>
    <n v="53"/>
    <n v="43"/>
    <n v="106"/>
    <n v="58"/>
    <n v="346"/>
    <n v="77.916666666666671"/>
    <n v="94"/>
    <n v="4"/>
    <n v="1.2064171122994651"/>
    <x v="3"/>
    <s v="SI"/>
    <s v="NO"/>
    <s v="NO"/>
    <s v="NO"/>
  </r>
  <r>
    <x v="216"/>
    <x v="187"/>
    <x v="22"/>
    <x v="0"/>
    <x v="0"/>
    <x v="0"/>
    <n v="75"/>
    <n v="1687"/>
    <n v="0"/>
    <n v="0"/>
    <n v="0"/>
    <n v="0"/>
    <n v="24"/>
    <n v="72"/>
    <n v="53"/>
    <n v="270"/>
    <n v="17"/>
    <n v="440"/>
    <n v="329.75"/>
    <n v="935"/>
    <n v="4"/>
    <n v="2.8354814253222136"/>
    <x v="0"/>
    <s v="SI"/>
    <s v="NO"/>
    <s v="NO"/>
    <s v="NO"/>
  </r>
  <r>
    <x v="217"/>
    <x v="187"/>
    <x v="79"/>
    <x v="1"/>
    <x v="3"/>
    <x v="0"/>
    <n v="35"/>
    <n v="7"/>
    <n v="10"/>
    <n v="5"/>
    <n v="3"/>
    <n v="18"/>
    <n v="8"/>
    <n v="11"/>
    <n v="3"/>
    <n v="27"/>
    <n v="20"/>
    <n v="91"/>
    <n v="19.833333333333332"/>
    <n v="46"/>
    <n v="4"/>
    <n v="2.3193277310924372"/>
    <x v="0"/>
    <s v="SI"/>
    <s v="NO"/>
    <s v="NO"/>
    <s v="NO"/>
  </r>
  <r>
    <x v="218"/>
    <x v="188"/>
    <x v="21"/>
    <x v="1"/>
    <x v="17"/>
    <x v="0"/>
    <n v="770"/>
    <n v="795"/>
    <n v="831"/>
    <n v="795"/>
    <n v="931"/>
    <n v="784"/>
    <n v="888"/>
    <n v="766"/>
    <n v="864"/>
    <n v="2026"/>
    <n v="864"/>
    <n v="5735"/>
    <n v="1337.4166666666667"/>
    <n v="5087"/>
    <n v="4"/>
    <n v="3.8036014704966039"/>
    <x v="0"/>
    <s v="SI"/>
    <s v="NO"/>
    <s v="NO"/>
    <s v="NO"/>
  </r>
  <r>
    <x v="219"/>
    <x v="189"/>
    <x v="24"/>
    <x v="4"/>
    <x v="19"/>
    <x v="0"/>
    <n v="1"/>
    <n v="0"/>
    <n v="1"/>
    <n v="6"/>
    <n v="0"/>
    <n v="0"/>
    <n v="0"/>
    <n v="0"/>
    <n v="2"/>
    <n v="1"/>
    <n v="0"/>
    <n v="4"/>
    <n v="2.5"/>
    <n v="59"/>
    <n v="3"/>
    <n v="23.6"/>
    <x v="2"/>
    <s v="SI"/>
    <s v="NO"/>
    <s v="NO"/>
    <s v="NO"/>
  </r>
  <r>
    <x v="220"/>
    <x v="189"/>
    <x v="25"/>
    <x v="0"/>
    <x v="0"/>
    <x v="0"/>
    <n v="1400"/>
    <n v="1005"/>
    <n v="970"/>
    <n v="1194"/>
    <n v="400"/>
    <n v="40"/>
    <n v="441"/>
    <n v="1215"/>
    <n v="943"/>
    <n v="3058"/>
    <n v="909"/>
    <n v="5660"/>
    <n v="1436.25"/>
    <n v="12954"/>
    <n v="4"/>
    <n v="9.0193211488250657"/>
    <x v="2"/>
    <s v="SI"/>
    <s v="NO"/>
    <s v="NO"/>
    <s v="NO"/>
  </r>
  <r>
    <x v="221"/>
    <x v="190"/>
    <x v="80"/>
    <x v="0"/>
    <x v="0"/>
    <x v="0"/>
    <n v="2"/>
    <n v="811"/>
    <n v="0"/>
    <n v="0"/>
    <n v="0"/>
    <n v="0"/>
    <n v="0"/>
    <n v="0"/>
    <n v="0"/>
    <n v="0"/>
    <n v="0"/>
    <n v="0"/>
    <n v="406.5"/>
    <n v="60"/>
    <n v="0"/>
    <s v="No Rota"/>
    <x v="1"/>
    <s v="SI"/>
    <s v="NO"/>
    <s v="NO"/>
    <s v="NO"/>
  </r>
  <r>
    <x v="222"/>
    <x v="191"/>
    <x v="17"/>
    <x v="1"/>
    <x v="21"/>
    <x v="0"/>
    <n v="1085"/>
    <n v="1116"/>
    <n v="1216"/>
    <n v="1233"/>
    <n v="1348"/>
    <n v="1341"/>
    <n v="1347"/>
    <n v="1458"/>
    <n v="1593"/>
    <n v="2811"/>
    <n v="941"/>
    <n v="8986"/>
    <n v="2039.5833333333333"/>
    <n v="5644"/>
    <n v="4"/>
    <n v="2.7672318692543412"/>
    <x v="0"/>
    <s v="SI"/>
    <s v="NO"/>
    <s v="NO"/>
    <s v="NO"/>
  </r>
  <r>
    <x v="223"/>
    <x v="191"/>
    <x v="17"/>
    <x v="0"/>
    <x v="0"/>
    <x v="0"/>
    <n v="693"/>
    <n v="820"/>
    <n v="831"/>
    <n v="1037"/>
    <n v="947"/>
    <n v="643"/>
    <n v="732"/>
    <n v="753"/>
    <n v="854"/>
    <n v="1513"/>
    <n v="578"/>
    <n v="4964"/>
    <n v="1197.0833333333333"/>
    <n v="1206"/>
    <n v="4"/>
    <n v="1.0074486599373478"/>
    <x v="3"/>
    <s v="SI"/>
    <s v="NO"/>
    <s v="NO"/>
    <s v="NO"/>
  </r>
  <r>
    <x v="224"/>
    <x v="192"/>
    <x v="23"/>
    <x v="0"/>
    <x v="0"/>
    <x v="0"/>
    <n v="50"/>
    <n v="224"/>
    <n v="0"/>
    <n v="0"/>
    <n v="40"/>
    <n v="0"/>
    <n v="0"/>
    <n v="0"/>
    <n v="0"/>
    <n v="0"/>
    <n v="0"/>
    <n v="50"/>
    <n v="91"/>
    <n v="110"/>
    <n v="1"/>
    <n v="1.2087912087912087"/>
    <x v="3"/>
    <s v="SI"/>
    <s v="NO"/>
    <s v="NO"/>
    <s v="NO"/>
  </r>
  <r>
    <x v="225"/>
    <x v="193"/>
    <x v="6"/>
    <x v="12"/>
    <x v="0"/>
    <x v="0"/>
    <n v="3"/>
    <n v="1"/>
    <n v="0"/>
    <n v="2"/>
    <n v="2"/>
    <n v="0"/>
    <n v="1"/>
    <n v="4"/>
    <n v="0"/>
    <n v="2"/>
    <n v="1"/>
    <n v="10"/>
    <n v="2.8888888888888888"/>
    <n v="35"/>
    <n v="3"/>
    <n v="12.115384615384615"/>
    <x v="2"/>
    <s v="NO"/>
    <s v="NO"/>
    <s v="NO"/>
    <s v="NO"/>
  </r>
  <r>
    <x v="226"/>
    <x v="194"/>
    <x v="6"/>
    <x v="3"/>
    <x v="0"/>
    <x v="2"/>
    <n v="4"/>
    <n v="13"/>
    <n v="18"/>
    <n v="23"/>
    <n v="7"/>
    <n v="7"/>
    <n v="10"/>
    <n v="7"/>
    <n v="10"/>
    <n v="9"/>
    <n v="5"/>
    <n v="58"/>
    <n v="14.25"/>
    <n v="240"/>
    <n v="4"/>
    <n v="16.842105263157894"/>
    <x v="2"/>
    <s v="NO"/>
    <s v="NO"/>
    <s v="NO"/>
    <s v="SI"/>
  </r>
  <r>
    <x v="227"/>
    <x v="195"/>
    <x v="81"/>
    <x v="1"/>
    <x v="5"/>
    <x v="0"/>
    <n v="63"/>
    <n v="38"/>
    <n v="52"/>
    <n v="60"/>
    <n v="63"/>
    <n v="99"/>
    <n v="48"/>
    <n v="59"/>
    <n v="16"/>
    <n v="84"/>
    <n v="60"/>
    <n v="385"/>
    <n v="85.583333333333329"/>
    <n v="884"/>
    <n v="4"/>
    <n v="10.329113924050633"/>
    <x v="2"/>
    <s v="SI"/>
    <s v="NO"/>
    <s v="NO"/>
    <s v="NO"/>
  </r>
  <r>
    <x v="228"/>
    <x v="196"/>
    <x v="82"/>
    <x v="0"/>
    <x v="0"/>
    <x v="0"/>
    <n v="0"/>
    <n v="0"/>
    <n v="0"/>
    <n v="0"/>
    <n v="0"/>
    <n v="0"/>
    <n v="0"/>
    <n v="90"/>
    <n v="480"/>
    <n v="2520"/>
    <n v="1500"/>
    <n v="4710"/>
    <n v="1860"/>
    <n v="3570"/>
    <n v="4"/>
    <n v="1.9193548387096775"/>
    <x v="3"/>
    <s v="NO"/>
    <s v="NO"/>
    <s v="SI"/>
    <s v="NO"/>
  </r>
  <r>
    <x v="229"/>
    <x v="197"/>
    <x v="83"/>
    <x v="1"/>
    <x v="21"/>
    <x v="0"/>
    <n v="57"/>
    <n v="48"/>
    <n v="35"/>
    <n v="39"/>
    <n v="51"/>
    <n v="65"/>
    <n v="37"/>
    <n v="29"/>
    <n v="31"/>
    <n v="106"/>
    <n v="54"/>
    <n v="311"/>
    <n v="71.916666666666671"/>
    <n v="443"/>
    <n v="4"/>
    <n v="6.1599073001158748"/>
    <x v="2"/>
    <s v="SI"/>
    <s v="NO"/>
    <s v="NO"/>
    <s v="NO"/>
  </r>
  <r>
    <x v="230"/>
    <x v="198"/>
    <x v="2"/>
    <x v="0"/>
    <x v="0"/>
    <x v="0"/>
    <n v="2431"/>
    <n v="205"/>
    <n v="2193"/>
    <n v="2237"/>
    <n v="2502"/>
    <n v="2558"/>
    <n v="2136"/>
    <n v="2311"/>
    <n v="2313"/>
    <n v="3755"/>
    <n v="2019"/>
    <n v="15559"/>
    <n v="3351.5833333333335"/>
    <n v="31365"/>
    <n v="4"/>
    <n v="9.3582635072975453"/>
    <x v="2"/>
    <s v="SI"/>
    <s v="NO"/>
    <s v="NO"/>
    <s v="NO"/>
  </r>
  <r>
    <x v="231"/>
    <x v="199"/>
    <x v="64"/>
    <x v="0"/>
    <x v="0"/>
    <x v="0"/>
    <n v="0"/>
    <n v="0"/>
    <n v="0"/>
    <n v="0"/>
    <n v="0"/>
    <n v="60"/>
    <n v="180"/>
    <n v="0"/>
    <n v="0"/>
    <n v="0"/>
    <n v="0"/>
    <n v="240"/>
    <n v="160"/>
    <n v="0"/>
    <n v="1"/>
    <n v="0"/>
    <x v="4"/>
    <s v="NO"/>
    <s v="NO"/>
    <s v="SI"/>
    <s v="NO"/>
  </r>
  <r>
    <x v="232"/>
    <x v="200"/>
    <x v="84"/>
    <x v="0"/>
    <x v="0"/>
    <x v="0"/>
    <n v="870"/>
    <n v="1800"/>
    <n v="840"/>
    <n v="1140"/>
    <n v="1320"/>
    <n v="660"/>
    <n v="660"/>
    <n v="1410"/>
    <n v="480"/>
    <n v="0"/>
    <n v="0"/>
    <n v="3210"/>
    <n v="1239"/>
    <n v="450"/>
    <n v="2"/>
    <n v="0.36319612590799033"/>
    <x v="3"/>
    <s v="NO"/>
    <s v="NO"/>
    <s v="SI"/>
    <s v="NO"/>
  </r>
  <r>
    <x v="233"/>
    <x v="201"/>
    <x v="6"/>
    <x v="3"/>
    <x v="0"/>
    <x v="2"/>
    <n v="2356"/>
    <n v="2335"/>
    <n v="2533"/>
    <n v="2537"/>
    <n v="2641"/>
    <n v="2364"/>
    <n v="2563"/>
    <n v="2775"/>
    <n v="2540"/>
    <n v="4940"/>
    <n v="1876"/>
    <n v="16991"/>
    <n v="3870.9166666666665"/>
    <n v="8134"/>
    <n v="4"/>
    <n v="2.1013110589653614"/>
    <x v="0"/>
    <s v="NO"/>
    <s v="SI"/>
    <s v="NO"/>
    <s v="NO"/>
  </r>
  <r>
    <x v="234"/>
    <x v="202"/>
    <x v="6"/>
    <x v="3"/>
    <x v="0"/>
    <x v="2"/>
    <n v="27"/>
    <n v="30"/>
    <n v="51"/>
    <n v="51"/>
    <n v="69"/>
    <n v="36"/>
    <n v="18"/>
    <n v="0"/>
    <n v="0"/>
    <n v="0"/>
    <n v="0"/>
    <n v="54"/>
    <n v="42"/>
    <n v="0"/>
    <n v="1"/>
    <n v="0"/>
    <x v="4"/>
    <s v="NO"/>
    <s v="SI"/>
    <s v="NO"/>
    <s v="NO"/>
  </r>
  <r>
    <x v="235"/>
    <x v="203"/>
    <x v="85"/>
    <x v="0"/>
    <x v="0"/>
    <x v="0"/>
    <n v="150"/>
    <n v="150"/>
    <n v="210"/>
    <n v="300"/>
    <n v="180"/>
    <n v="510"/>
    <n v="420"/>
    <n v="390"/>
    <n v="240"/>
    <n v="30"/>
    <n v="0"/>
    <n v="1650"/>
    <n v="384.54545454545456"/>
    <n v="1350"/>
    <n v="3"/>
    <n v="3.5106382978723403"/>
    <x v="0"/>
    <s v="NO"/>
    <s v="NO"/>
    <s v="SI"/>
    <s v="NO"/>
  </r>
  <r>
    <x v="236"/>
    <x v="204"/>
    <x v="22"/>
    <x v="0"/>
    <x v="0"/>
    <x v="0"/>
    <n v="0"/>
    <n v="0"/>
    <n v="0"/>
    <n v="0"/>
    <n v="762"/>
    <n v="904"/>
    <n v="736"/>
    <n v="1025"/>
    <n v="360"/>
    <n v="1833"/>
    <n v="1371"/>
    <n v="6162"/>
    <n v="1644.125"/>
    <n v="550"/>
    <n v="4"/>
    <n v="0.33452444309283053"/>
    <x v="3"/>
    <s v="SI"/>
    <s v="NO"/>
    <s v="NO"/>
    <s v="NO"/>
  </r>
  <r>
    <x v="237"/>
    <x v="204"/>
    <x v="30"/>
    <x v="0"/>
    <x v="0"/>
    <x v="0"/>
    <n v="1098"/>
    <n v="568"/>
    <n v="928"/>
    <n v="1106"/>
    <n v="473"/>
    <n v="356"/>
    <n v="5"/>
    <n v="0"/>
    <n v="265"/>
    <n v="449"/>
    <n v="414"/>
    <n v="1654"/>
    <n v="665.09090909090912"/>
    <n v="2743"/>
    <n v="4"/>
    <n v="4.1242482230727173"/>
    <x v="0"/>
    <s v="SI"/>
    <s v="NO"/>
    <s v="NO"/>
    <s v="NO"/>
  </r>
  <r>
    <x v="238"/>
    <x v="205"/>
    <x v="86"/>
    <x v="1"/>
    <x v="28"/>
    <x v="1"/>
    <n v="61"/>
    <n v="63"/>
    <n v="37"/>
    <n v="88"/>
    <n v="78"/>
    <n v="48"/>
    <n v="53"/>
    <n v="97"/>
    <n v="35"/>
    <n v="253"/>
    <n v="16"/>
    <n v="271"/>
    <n v="91.666666666666671"/>
    <n v="8838"/>
    <n v="4"/>
    <n v="96.414545454545447"/>
    <x v="2"/>
    <s v="SI"/>
    <s v="NO"/>
    <s v="NO"/>
    <s v="NO"/>
  </r>
  <r>
    <x v="239"/>
    <x v="205"/>
    <x v="87"/>
    <x v="1"/>
    <x v="29"/>
    <x v="0"/>
    <n v="19"/>
    <n v="26"/>
    <n v="13"/>
    <n v="1"/>
    <n v="10"/>
    <n v="44"/>
    <n v="45"/>
    <n v="13"/>
    <n v="86"/>
    <n v="235"/>
    <n v="3"/>
    <n v="335"/>
    <n v="69.166666666666671"/>
    <n v="2426"/>
    <n v="4"/>
    <n v="35.074698795180723"/>
    <x v="2"/>
    <s v="SI"/>
    <s v="NO"/>
    <s v="NO"/>
    <s v="NO"/>
  </r>
  <r>
    <x v="240"/>
    <x v="206"/>
    <x v="6"/>
    <x v="3"/>
    <x v="0"/>
    <x v="2"/>
    <n v="500"/>
    <n v="500"/>
    <n v="0"/>
    <n v="500"/>
    <n v="500"/>
    <n v="500"/>
    <n v="0"/>
    <n v="500"/>
    <n v="500"/>
    <n v="0"/>
    <n v="0"/>
    <n v="1500"/>
    <n v="625"/>
    <n v="1300"/>
    <n v="2"/>
    <n v="2.08"/>
    <x v="0"/>
    <s v="NO"/>
    <s v="NO"/>
    <s v="NO"/>
    <s v="NO"/>
  </r>
  <r>
    <x v="241"/>
    <x v="207"/>
    <x v="32"/>
    <x v="1"/>
    <x v="14"/>
    <x v="0"/>
    <n v="59"/>
    <n v="50"/>
    <n v="78"/>
    <n v="80"/>
    <n v="59"/>
    <n v="170"/>
    <n v="18"/>
    <n v="50"/>
    <n v="87"/>
    <n v="213"/>
    <n v="90"/>
    <n v="610"/>
    <n v="130.33333333333334"/>
    <n v="1017"/>
    <n v="4"/>
    <n v="7.8030690537084393"/>
    <x v="2"/>
    <s v="SI"/>
    <s v="NO"/>
    <s v="NO"/>
    <s v="NO"/>
  </r>
  <r>
    <x v="242"/>
    <x v="208"/>
    <x v="88"/>
    <x v="1"/>
    <x v="14"/>
    <x v="0"/>
    <n v="0"/>
    <n v="1"/>
    <n v="0"/>
    <n v="0"/>
    <n v="0"/>
    <n v="3"/>
    <n v="0"/>
    <n v="1"/>
    <n v="0"/>
    <n v="7"/>
    <n v="1"/>
    <n v="7"/>
    <n v="3.3333333333333335"/>
    <n v="3"/>
    <n v="3"/>
    <n v="0.89999999999999991"/>
    <x v="3"/>
    <s v="SI"/>
    <s v="NO"/>
    <s v="NO"/>
    <s v="NO"/>
  </r>
  <r>
    <x v="243"/>
    <x v="209"/>
    <x v="6"/>
    <x v="3"/>
    <x v="0"/>
    <x v="2"/>
    <n v="273"/>
    <n v="251"/>
    <n v="281"/>
    <n v="329"/>
    <n v="244"/>
    <n v="289"/>
    <n v="307"/>
    <n v="271"/>
    <n v="318"/>
    <n v="888"/>
    <n v="297"/>
    <n v="2046"/>
    <n v="482.83333333333331"/>
    <n v="4994"/>
    <n v="4"/>
    <n v="10.343113565757681"/>
    <x v="2"/>
    <s v="NO"/>
    <s v="SI"/>
    <s v="NO"/>
    <s v="NO"/>
  </r>
  <r>
    <x v="244"/>
    <x v="210"/>
    <x v="6"/>
    <x v="3"/>
    <x v="0"/>
    <x v="2"/>
    <n v="156"/>
    <n v="134"/>
    <n v="126"/>
    <n v="132"/>
    <n v="115"/>
    <n v="166"/>
    <n v="143"/>
    <n v="142"/>
    <n v="152"/>
    <n v="236"/>
    <n v="186"/>
    <n v="1080"/>
    <n v="230.66666666666666"/>
    <n v="918"/>
    <n v="4"/>
    <n v="3.9797687861271678"/>
    <x v="0"/>
    <s v="NO"/>
    <s v="SI"/>
    <s v="NO"/>
    <s v="NO"/>
  </r>
  <r>
    <x v="245"/>
    <x v="211"/>
    <x v="6"/>
    <x v="3"/>
    <x v="0"/>
    <x v="2"/>
    <n v="3141"/>
    <n v="3098"/>
    <n v="3058"/>
    <n v="2994"/>
    <n v="3349"/>
    <n v="3366"/>
    <n v="3309"/>
    <n v="3867"/>
    <n v="3619"/>
    <n v="7729"/>
    <n v="3331"/>
    <n v="24265"/>
    <n v="5427.166666666667"/>
    <n v="27855"/>
    <n v="4"/>
    <n v="5.1325123606547303"/>
    <x v="0"/>
    <s v="NO"/>
    <s v="SI"/>
    <s v="NO"/>
    <s v="NO"/>
  </r>
  <r>
    <x v="246"/>
    <x v="212"/>
    <x v="6"/>
    <x v="3"/>
    <x v="0"/>
    <x v="2"/>
    <n v="953"/>
    <n v="874"/>
    <n v="820"/>
    <n v="937"/>
    <n v="1048"/>
    <n v="894"/>
    <n v="996"/>
    <n v="902"/>
    <n v="800"/>
    <n v="1768"/>
    <n v="658"/>
    <n v="5962"/>
    <n v="1384.3333333333333"/>
    <n v="3266"/>
    <n v="4"/>
    <n v="2.3592583674452205"/>
    <x v="0"/>
    <s v="NO"/>
    <s v="SI"/>
    <s v="NO"/>
    <s v="NO"/>
  </r>
  <r>
    <x v="247"/>
    <x v="213"/>
    <x v="6"/>
    <x v="3"/>
    <x v="0"/>
    <x v="2"/>
    <n v="528"/>
    <n v="460"/>
    <n v="518"/>
    <n v="616"/>
    <n v="624"/>
    <n v="706"/>
    <n v="498"/>
    <n v="614"/>
    <n v="531"/>
    <n v="1264"/>
    <n v="647"/>
    <n v="4137"/>
    <n v="928.58333333333337"/>
    <n v="5755"/>
    <n v="4"/>
    <n v="6.1976128511172934"/>
    <x v="2"/>
    <s v="NO"/>
    <s v="SI"/>
    <s v="NO"/>
    <s v="NO"/>
  </r>
  <r>
    <x v="248"/>
    <x v="214"/>
    <x v="6"/>
    <x v="3"/>
    <x v="0"/>
    <x v="2"/>
    <n v="772"/>
    <n v="609"/>
    <n v="564"/>
    <n v="513"/>
    <n v="588"/>
    <n v="503"/>
    <n v="549"/>
    <n v="588"/>
    <n v="465"/>
    <n v="166"/>
    <n v="0"/>
    <n v="2209"/>
    <n v="684.18181818181813"/>
    <n v="0"/>
    <n v="3"/>
    <n v="0"/>
    <x v="4"/>
    <s v="NO"/>
    <s v="SI"/>
    <s v="NO"/>
    <s v="NO"/>
  </r>
  <r>
    <x v="249"/>
    <x v="215"/>
    <x v="89"/>
    <x v="1"/>
    <x v="14"/>
    <x v="0"/>
    <n v="803"/>
    <n v="706"/>
    <n v="754"/>
    <n v="693"/>
    <n v="813"/>
    <n v="887"/>
    <n v="971"/>
    <n v="998"/>
    <n v="889"/>
    <n v="1746"/>
    <n v="650"/>
    <n v="5463"/>
    <n v="1281.0833333333333"/>
    <n v="0"/>
    <n v="4"/>
    <n v="0"/>
    <x v="4"/>
    <s v="SI"/>
    <s v="NO"/>
    <s v="NO"/>
    <s v="NO"/>
  </r>
  <r>
    <x v="250"/>
    <x v="216"/>
    <x v="24"/>
    <x v="4"/>
    <x v="19"/>
    <x v="0"/>
    <n v="0"/>
    <n v="0"/>
    <n v="1"/>
    <n v="0"/>
    <n v="0"/>
    <n v="1"/>
    <n v="1"/>
    <n v="0"/>
    <n v="0"/>
    <n v="5"/>
    <n v="0"/>
    <n v="2"/>
    <n v="2"/>
    <n v="10"/>
    <n v="2"/>
    <n v="5"/>
    <x v="0"/>
    <s v="SI"/>
    <s v="NO"/>
    <s v="NO"/>
    <s v="NO"/>
  </r>
  <r>
    <x v="251"/>
    <x v="216"/>
    <x v="25"/>
    <x v="0"/>
    <x v="0"/>
    <x v="1"/>
    <n v="21"/>
    <n v="0"/>
    <n v="69"/>
    <n v="20"/>
    <n v="63"/>
    <n v="64"/>
    <n v="40"/>
    <n v="60"/>
    <n v="62"/>
    <n v="122"/>
    <n v="0"/>
    <n v="291"/>
    <n v="81.2"/>
    <n v="100"/>
    <n v="3"/>
    <n v="1.2315270935960592"/>
    <x v="3"/>
    <s v="SI"/>
    <s v="NO"/>
    <s v="NO"/>
    <s v="NO"/>
  </r>
  <r>
    <x v="252"/>
    <x v="217"/>
    <x v="24"/>
    <x v="4"/>
    <x v="18"/>
    <x v="0"/>
    <n v="0"/>
    <n v="0"/>
    <n v="0"/>
    <n v="0"/>
    <n v="0"/>
    <n v="0"/>
    <n v="0"/>
    <n v="0"/>
    <n v="0"/>
    <n v="0"/>
    <n v="0"/>
    <n v="0"/>
    <n v="0"/>
    <n v="0"/>
    <n v="0"/>
    <s v="No Rota"/>
    <x v="1"/>
    <s v="SI"/>
    <s v="NO"/>
    <s v="NO"/>
    <s v="NO"/>
  </r>
  <r>
    <x v="253"/>
    <x v="218"/>
    <x v="22"/>
    <x v="0"/>
    <x v="0"/>
    <x v="0"/>
    <n v="418"/>
    <n v="552"/>
    <n v="568"/>
    <n v="80"/>
    <n v="9"/>
    <n v="0"/>
    <n v="15"/>
    <n v="250"/>
    <n v="265"/>
    <n v="630"/>
    <n v="347"/>
    <n v="1427"/>
    <n v="414.63636363636363"/>
    <n v="2830"/>
    <n v="4"/>
    <n v="6.8252576189432146"/>
    <x v="2"/>
    <s v="SI"/>
    <s v="NO"/>
    <s v="NO"/>
    <s v="NO"/>
  </r>
  <r>
    <x v="254"/>
    <x v="218"/>
    <x v="52"/>
    <x v="1"/>
    <x v="14"/>
    <x v="0"/>
    <n v="420"/>
    <n v="329"/>
    <n v="343"/>
    <n v="249"/>
    <n v="355"/>
    <n v="378"/>
    <n v="390"/>
    <n v="349"/>
    <n v="39"/>
    <n v="787"/>
    <n v="314"/>
    <n v="2074"/>
    <n v="502.25"/>
    <n v="977"/>
    <n v="4"/>
    <n v="1.9452463912394227"/>
    <x v="3"/>
    <s v="SI"/>
    <s v="NO"/>
    <s v="NO"/>
    <s v="NO"/>
  </r>
  <r>
    <x v="255"/>
    <x v="219"/>
    <x v="6"/>
    <x v="3"/>
    <x v="0"/>
    <x v="2"/>
    <n v="622"/>
    <n v="546"/>
    <n v="5"/>
    <n v="0"/>
    <n v="4"/>
    <n v="58"/>
    <n v="36"/>
    <n v="50"/>
    <n v="52"/>
    <n v="276"/>
    <n v="74"/>
    <n v="452"/>
    <n v="197.72727272727272"/>
    <n v="2175"/>
    <n v="4"/>
    <n v="11"/>
    <x v="2"/>
    <s v="NO"/>
    <s v="SI"/>
    <s v="NO"/>
    <s v="NO"/>
  </r>
  <r>
    <x v="256"/>
    <x v="220"/>
    <x v="6"/>
    <x v="3"/>
    <x v="0"/>
    <x v="2"/>
    <n v="0"/>
    <n v="0"/>
    <n v="0"/>
    <n v="0"/>
    <n v="269"/>
    <n v="434"/>
    <n v="460"/>
    <n v="622"/>
    <n v="572"/>
    <n v="1178"/>
    <n v="600"/>
    <n v="3902"/>
    <n v="1004.625"/>
    <n v="113"/>
    <n v="4"/>
    <n v="0.11247978101281572"/>
    <x v="3"/>
    <s v="NO"/>
    <s v="SI"/>
    <s v="NO"/>
    <s v="NO"/>
  </r>
  <r>
    <x v="257"/>
    <x v="221"/>
    <x v="6"/>
    <x v="3"/>
    <x v="0"/>
    <x v="2"/>
    <n v="0"/>
    <n v="0"/>
    <n v="0"/>
    <n v="0"/>
    <n v="0"/>
    <n v="0"/>
    <n v="0"/>
    <n v="0"/>
    <n v="0"/>
    <n v="10"/>
    <n v="0"/>
    <n v="1"/>
    <n v="5.5"/>
    <n v="588"/>
    <n v="2"/>
    <n v="106.90909090909091"/>
    <x v="2"/>
    <s v="NO"/>
    <s v="SI"/>
    <s v="NO"/>
    <s v="NO"/>
  </r>
  <r>
    <x v="258"/>
    <x v="222"/>
    <x v="6"/>
    <x v="3"/>
    <x v="0"/>
    <x v="2"/>
    <n v="0"/>
    <n v="0"/>
    <n v="0"/>
    <n v="0"/>
    <n v="0"/>
    <n v="0"/>
    <n v="0"/>
    <n v="0"/>
    <n v="0"/>
    <n v="0"/>
    <n v="0"/>
    <n v="0"/>
    <n v="0"/>
    <n v="0"/>
    <n v="0"/>
    <s v="No Rota"/>
    <x v="1"/>
    <s v="NO"/>
    <s v="SI"/>
    <s v="NO"/>
    <s v="NO"/>
  </r>
  <r>
    <x v="259"/>
    <x v="223"/>
    <x v="54"/>
    <x v="0"/>
    <x v="0"/>
    <x v="0"/>
    <n v="503"/>
    <n v="141"/>
    <n v="327"/>
    <n v="437"/>
    <n v="172"/>
    <n v="62"/>
    <n v="91"/>
    <n v="51"/>
    <n v="5"/>
    <n v="623"/>
    <n v="96"/>
    <n v="585"/>
    <n v="257.75"/>
    <n v="763"/>
    <n v="4"/>
    <n v="2.9602327837051408"/>
    <x v="0"/>
    <s v="SI"/>
    <s v="NO"/>
    <s v="NO"/>
    <s v="NO"/>
  </r>
  <r>
    <x v="260"/>
    <x v="224"/>
    <x v="6"/>
    <x v="3"/>
    <x v="0"/>
    <x v="2"/>
    <n v="39"/>
    <n v="31"/>
    <n v="38"/>
    <n v="11"/>
    <n v="22"/>
    <n v="40"/>
    <n v="51"/>
    <n v="59"/>
    <n v="42"/>
    <n v="142"/>
    <n v="40"/>
    <n v="342"/>
    <n v="71.416666666666671"/>
    <n v="251"/>
    <n v="4"/>
    <n v="3.5145857642940488"/>
    <x v="0"/>
    <s v="NO"/>
    <s v="SI"/>
    <s v="NO"/>
    <s v="NO"/>
  </r>
  <r>
    <x v="261"/>
    <x v="225"/>
    <x v="90"/>
    <x v="1"/>
    <x v="30"/>
    <x v="0"/>
    <n v="118"/>
    <n v="69"/>
    <n v="92"/>
    <n v="94"/>
    <n v="100"/>
    <n v="110"/>
    <n v="118"/>
    <n v="137"/>
    <n v="114"/>
    <n v="205"/>
    <n v="117"/>
    <n v="842"/>
    <n v="176.33333333333334"/>
    <n v="371"/>
    <n v="4"/>
    <n v="2.103969754253308"/>
    <x v="0"/>
    <s v="NO"/>
    <s v="NO"/>
    <s v="NO"/>
    <s v="NO"/>
  </r>
  <r>
    <x v="262"/>
    <x v="226"/>
    <x v="91"/>
    <x v="7"/>
    <x v="31"/>
    <x v="0"/>
    <n v="46"/>
    <n v="47"/>
    <n v="57"/>
    <n v="54"/>
    <n v="30"/>
    <n v="60"/>
    <n v="41"/>
    <n v="61"/>
    <n v="43"/>
    <n v="1"/>
    <n v="0"/>
    <n v="206"/>
    <n v="58.727272727272727"/>
    <n v="266"/>
    <n v="3"/>
    <n v="4.5294117647058822"/>
    <x v="0"/>
    <s v="SI"/>
    <s v="NO"/>
    <s v="NO"/>
    <s v="NO"/>
  </r>
  <r>
    <x v="263"/>
    <x v="227"/>
    <x v="92"/>
    <x v="0"/>
    <x v="0"/>
    <x v="0"/>
    <n v="0"/>
    <n v="0"/>
    <n v="0"/>
    <n v="0"/>
    <n v="0"/>
    <n v="0"/>
    <n v="0"/>
    <n v="51"/>
    <n v="12"/>
    <n v="0"/>
    <n v="0"/>
    <n v="63"/>
    <n v="42"/>
    <n v="248"/>
    <n v="2"/>
    <n v="5.9047619047619051"/>
    <x v="0"/>
    <s v="NO"/>
    <s v="NO"/>
    <s v="SI"/>
    <s v="NO"/>
  </r>
  <r>
    <x v="264"/>
    <x v="228"/>
    <x v="47"/>
    <x v="1"/>
    <x v="14"/>
    <x v="0"/>
    <n v="477"/>
    <n v="455"/>
    <n v="459"/>
    <n v="402"/>
    <n v="391"/>
    <n v="451"/>
    <n v="448"/>
    <n v="484"/>
    <n v="472"/>
    <n v="836"/>
    <n v="402"/>
    <n v="3092"/>
    <n v="697.41666666666663"/>
    <n v="656"/>
    <n v="4"/>
    <n v="0.9406141713466365"/>
    <x v="3"/>
    <s v="SI"/>
    <s v="NO"/>
    <s v="NO"/>
    <s v="NO"/>
  </r>
  <r>
    <x v="265"/>
    <x v="229"/>
    <x v="93"/>
    <x v="0"/>
    <x v="32"/>
    <x v="0"/>
    <n v="7"/>
    <n v="171"/>
    <n v="109"/>
    <n v="47"/>
    <n v="40"/>
    <n v="100"/>
    <n v="38"/>
    <n v="89"/>
    <n v="89"/>
    <n v="182"/>
    <n v="76"/>
    <n v="526"/>
    <n v="122.83333333333333"/>
    <n v="0"/>
    <n v="4"/>
    <n v="0"/>
    <x v="4"/>
    <s v="NO"/>
    <s v="NO"/>
    <s v="SI"/>
    <s v="NO"/>
  </r>
  <r>
    <x v="266"/>
    <x v="230"/>
    <x v="94"/>
    <x v="3"/>
    <x v="0"/>
    <x v="0"/>
    <n v="371"/>
    <n v="366"/>
    <n v="333"/>
    <n v="327"/>
    <n v="349"/>
    <n v="279"/>
    <n v="327"/>
    <n v="397"/>
    <n v="345"/>
    <n v="476"/>
    <n v="101"/>
    <n v="2063"/>
    <n v="477.83333333333331"/>
    <n v="1417"/>
    <n v="4"/>
    <n v="2.965469131496338"/>
    <x v="0"/>
    <s v="NO"/>
    <s v="NO"/>
    <s v="SI"/>
    <s v="NO"/>
  </r>
  <r>
    <x v="267"/>
    <x v="231"/>
    <x v="6"/>
    <x v="3"/>
    <x v="0"/>
    <x v="2"/>
    <n v="158"/>
    <n v="160"/>
    <n v="216"/>
    <n v="175"/>
    <n v="209"/>
    <n v="262"/>
    <n v="205"/>
    <n v="222"/>
    <n v="235"/>
    <n v="560"/>
    <n v="325"/>
    <n v="1818"/>
    <n v="378.75"/>
    <n v="51"/>
    <n v="4"/>
    <n v="0.13465346534653466"/>
    <x v="3"/>
    <s v="NO"/>
    <s v="SI"/>
    <s v="NO"/>
    <s v="NO"/>
  </r>
  <r>
    <x v="268"/>
    <x v="232"/>
    <x v="6"/>
    <x v="3"/>
    <x v="33"/>
    <x v="3"/>
    <n v="0"/>
    <n v="0"/>
    <n v="0"/>
    <n v="1"/>
    <n v="0"/>
    <n v="0"/>
    <n v="0"/>
    <n v="0"/>
    <n v="0"/>
    <n v="0"/>
    <n v="0"/>
    <n v="0"/>
    <n v="1"/>
    <n v="2"/>
    <n v="0"/>
    <s v="No Rota"/>
    <x v="1"/>
    <s v="NO"/>
    <s v="NO"/>
    <s v="NO"/>
    <s v="NO"/>
  </r>
  <r>
    <x v="269"/>
    <x v="232"/>
    <x v="6"/>
    <x v="3"/>
    <x v="34"/>
    <x v="3"/>
    <n v="1"/>
    <n v="0"/>
    <n v="0"/>
    <n v="0"/>
    <n v="0"/>
    <n v="0"/>
    <n v="0"/>
    <n v="0"/>
    <n v="0"/>
    <n v="0"/>
    <n v="0"/>
    <n v="0"/>
    <n v="1"/>
    <n v="0"/>
    <n v="0"/>
    <s v="No Rota"/>
    <x v="1"/>
    <s v="NO"/>
    <s v="NO"/>
    <s v="NO"/>
    <s v="NO"/>
  </r>
  <r>
    <x v="270"/>
    <x v="232"/>
    <x v="6"/>
    <x v="3"/>
    <x v="35"/>
    <x v="3"/>
    <n v="0"/>
    <n v="0"/>
    <n v="0"/>
    <n v="0"/>
    <n v="0"/>
    <n v="1"/>
    <n v="1"/>
    <n v="0"/>
    <n v="0"/>
    <n v="0"/>
    <n v="0"/>
    <n v="2"/>
    <n v="1.3333333333333333"/>
    <n v="1"/>
    <n v="1"/>
    <n v="0.75"/>
    <x v="3"/>
    <s v="NO"/>
    <s v="NO"/>
    <s v="NO"/>
    <s v="NO"/>
  </r>
  <r>
    <x v="271"/>
    <x v="233"/>
    <x v="21"/>
    <x v="2"/>
    <x v="36"/>
    <x v="0"/>
    <n v="25"/>
    <n v="20"/>
    <n v="0"/>
    <n v="0"/>
    <n v="0"/>
    <n v="0"/>
    <n v="0"/>
    <n v="5"/>
    <n v="5"/>
    <n v="13"/>
    <n v="7"/>
    <n v="20"/>
    <n v="13.571428571428571"/>
    <n v="0"/>
    <n v="4"/>
    <n v="0"/>
    <x v="4"/>
    <s v="SI"/>
    <s v="NO"/>
    <s v="NO"/>
    <s v="NO"/>
  </r>
  <r>
    <x v="272"/>
    <x v="234"/>
    <x v="2"/>
    <x v="0"/>
    <x v="0"/>
    <x v="0"/>
    <n v="161"/>
    <n v="41"/>
    <n v="0"/>
    <n v="23"/>
    <n v="100"/>
    <n v="31"/>
    <n v="60"/>
    <n v="40"/>
    <n v="136"/>
    <n v="50"/>
    <n v="69"/>
    <n v="386"/>
    <n v="99.727272727272734"/>
    <n v="45"/>
    <n v="4"/>
    <n v="0.45123062898814947"/>
    <x v="3"/>
    <s v="SI"/>
    <s v="NO"/>
    <s v="NO"/>
    <s v="NO"/>
  </r>
  <r>
    <x v="273"/>
    <x v="234"/>
    <x v="95"/>
    <x v="4"/>
    <x v="18"/>
    <x v="0"/>
    <n v="0"/>
    <n v="0"/>
    <n v="0"/>
    <n v="0"/>
    <n v="0"/>
    <n v="0"/>
    <n v="1"/>
    <n v="0"/>
    <n v="0"/>
    <n v="0"/>
    <n v="0"/>
    <n v="1"/>
    <n v="1"/>
    <n v="8"/>
    <n v="1"/>
    <n v="8"/>
    <x v="2"/>
    <s v="SI"/>
    <s v="NO"/>
    <s v="NO"/>
    <s v="NO"/>
  </r>
  <r>
    <x v="274"/>
    <x v="234"/>
    <x v="96"/>
    <x v="1"/>
    <x v="3"/>
    <x v="0"/>
    <n v="1"/>
    <n v="10"/>
    <n v="6"/>
    <n v="29"/>
    <n v="12"/>
    <n v="90"/>
    <n v="36"/>
    <n v="48"/>
    <n v="16"/>
    <n v="175"/>
    <n v="40"/>
    <n v="264"/>
    <n v="60.583333333333336"/>
    <n v="108"/>
    <n v="4"/>
    <n v="1.7826685006877578"/>
    <x v="3"/>
    <s v="SI"/>
    <s v="NO"/>
    <s v="NO"/>
    <s v="NO"/>
  </r>
  <r>
    <x v="275"/>
    <x v="235"/>
    <x v="2"/>
    <x v="0"/>
    <x v="0"/>
    <x v="0"/>
    <n v="0"/>
    <n v="0"/>
    <n v="0"/>
    <n v="0"/>
    <n v="0"/>
    <n v="0"/>
    <n v="0"/>
    <n v="0"/>
    <n v="0"/>
    <n v="0"/>
    <n v="3"/>
    <n v="3"/>
    <n v="3"/>
    <n v="73"/>
    <n v="2"/>
    <n v="24.333333333333332"/>
    <x v="2"/>
    <s v="SI"/>
    <s v="NO"/>
    <s v="NO"/>
    <s v="NO"/>
  </r>
  <r>
    <x v="276"/>
    <x v="236"/>
    <x v="97"/>
    <x v="1"/>
    <x v="3"/>
    <x v="0"/>
    <n v="3"/>
    <n v="9"/>
    <n v="3"/>
    <n v="5"/>
    <n v="3"/>
    <n v="12"/>
    <n v="1"/>
    <n v="19"/>
    <n v="1"/>
    <n v="4"/>
    <n v="6"/>
    <n v="64"/>
    <n v="10.833333333333334"/>
    <n v="49"/>
    <n v="4"/>
    <n v="4.523076923076923"/>
    <x v="0"/>
    <s v="SI"/>
    <s v="NO"/>
    <s v="NO"/>
    <s v="NO"/>
  </r>
  <r>
    <x v="277"/>
    <x v="237"/>
    <x v="98"/>
    <x v="1"/>
    <x v="1"/>
    <x v="0"/>
    <n v="528"/>
    <n v="580"/>
    <n v="457"/>
    <n v="762"/>
    <n v="627"/>
    <n v="710"/>
    <n v="725"/>
    <n v="559"/>
    <n v="529"/>
    <n v="1485"/>
    <n v="476"/>
    <n v="4231"/>
    <n v="972.41666666666663"/>
    <n v="7924"/>
    <n v="4"/>
    <n v="8.1487702459508107"/>
    <x v="2"/>
    <s v="SI"/>
    <s v="NO"/>
    <s v="NO"/>
    <s v="NO"/>
  </r>
  <r>
    <x v="278"/>
    <x v="238"/>
    <x v="99"/>
    <x v="10"/>
    <x v="37"/>
    <x v="0"/>
    <n v="4"/>
    <n v="1"/>
    <n v="3"/>
    <n v="3"/>
    <n v="0"/>
    <n v="1"/>
    <n v="2"/>
    <n v="17"/>
    <n v="5"/>
    <n v="1"/>
    <n v="1"/>
    <n v="34"/>
    <n v="6.5454545454545459"/>
    <n v="3"/>
    <n v="4"/>
    <n v="0.45833333333333331"/>
    <x v="3"/>
    <s v="SI"/>
    <s v="NO"/>
    <s v="NO"/>
    <s v="NO"/>
  </r>
  <r>
    <x v="279"/>
    <x v="239"/>
    <x v="6"/>
    <x v="3"/>
    <x v="0"/>
    <x v="2"/>
    <n v="34"/>
    <n v="37"/>
    <n v="54"/>
    <n v="85"/>
    <n v="34"/>
    <n v="34"/>
    <n v="61"/>
    <n v="46"/>
    <n v="47"/>
    <n v="123"/>
    <n v="47"/>
    <n v="341"/>
    <n v="78.583333333333329"/>
    <n v="542"/>
    <n v="4"/>
    <n v="6.8971367974549311"/>
    <x v="2"/>
    <s v="NO"/>
    <s v="SI"/>
    <s v="NO"/>
    <s v="NO"/>
  </r>
  <r>
    <x v="280"/>
    <x v="240"/>
    <x v="6"/>
    <x v="3"/>
    <x v="0"/>
    <x v="3"/>
    <n v="0"/>
    <n v="0"/>
    <n v="0"/>
    <n v="21"/>
    <n v="9"/>
    <n v="10"/>
    <n v="17"/>
    <n v="11"/>
    <n v="2"/>
    <n v="10"/>
    <n v="1"/>
    <n v="51"/>
    <n v="14.666666666666666"/>
    <n v="271"/>
    <n v="4"/>
    <n v="18.477272727272727"/>
    <x v="2"/>
    <s v="NO"/>
    <s v="SI"/>
    <s v="NO"/>
    <s v="NO"/>
  </r>
  <r>
    <x v="281"/>
    <x v="241"/>
    <x v="6"/>
    <x v="3"/>
    <x v="0"/>
    <x v="2"/>
    <n v="0"/>
    <n v="24"/>
    <n v="41"/>
    <n v="54"/>
    <n v="1"/>
    <n v="3"/>
    <n v="13"/>
    <n v="22"/>
    <n v="6"/>
    <n v="55"/>
    <n v="1"/>
    <n v="75"/>
    <n v="26.818181818181817"/>
    <n v="90"/>
    <n v="4"/>
    <n v="3.3559322033898309"/>
    <x v="0"/>
    <s v="NO"/>
    <s v="SI"/>
    <s v="NO"/>
    <s v="NO"/>
  </r>
  <r>
    <x v="282"/>
    <x v="242"/>
    <x v="47"/>
    <x v="1"/>
    <x v="14"/>
    <x v="0"/>
    <n v="1229"/>
    <n v="1051"/>
    <n v="1172"/>
    <n v="987"/>
    <n v="1169"/>
    <n v="1265"/>
    <n v="1313"/>
    <n v="1362"/>
    <n v="1317"/>
    <n v="2351"/>
    <n v="1021"/>
    <n v="8527"/>
    <n v="1897"/>
    <n v="14458"/>
    <n v="4"/>
    <n v="7.621507643647865"/>
    <x v="2"/>
    <s v="SI"/>
    <s v="NO"/>
    <s v="NO"/>
    <s v="NO"/>
  </r>
  <r>
    <x v="283"/>
    <x v="243"/>
    <x v="100"/>
    <x v="0"/>
    <x v="0"/>
    <x v="0"/>
    <n v="312"/>
    <n v="375"/>
    <n v="451"/>
    <n v="292"/>
    <n v="416"/>
    <n v="237"/>
    <n v="463"/>
    <n v="431"/>
    <n v="466"/>
    <n v="827"/>
    <n v="424"/>
    <n v="2813"/>
    <n v="625.58333333333337"/>
    <n v="644"/>
    <n v="4"/>
    <n v="1.0294391900892499"/>
    <x v="3"/>
    <s v="SI"/>
    <s v="NO"/>
    <s v="NO"/>
    <s v="NO"/>
  </r>
  <r>
    <x v="284"/>
    <x v="243"/>
    <x v="101"/>
    <x v="1"/>
    <x v="27"/>
    <x v="0"/>
    <n v="0"/>
    <n v="0"/>
    <n v="0"/>
    <n v="0"/>
    <n v="0"/>
    <n v="0"/>
    <n v="0"/>
    <n v="0"/>
    <n v="0"/>
    <n v="0"/>
    <n v="0"/>
    <n v="0"/>
    <n v="0"/>
    <n v="0"/>
    <n v="0"/>
    <s v="No Rota"/>
    <x v="1"/>
    <s v="SI"/>
    <s v="NO"/>
    <s v="NO"/>
    <s v="NO"/>
  </r>
  <r>
    <x v="285"/>
    <x v="243"/>
    <x v="101"/>
    <x v="1"/>
    <x v="6"/>
    <x v="0"/>
    <n v="26"/>
    <n v="53"/>
    <n v="33"/>
    <n v="39"/>
    <n v="36"/>
    <n v="29"/>
    <n v="5"/>
    <n v="15"/>
    <n v="5"/>
    <n v="0"/>
    <n v="0"/>
    <n v="54"/>
    <n v="29.5"/>
    <n v="0"/>
    <n v="2"/>
    <n v="0"/>
    <x v="4"/>
    <s v="SI"/>
    <s v="NO"/>
    <s v="NO"/>
    <s v="NO"/>
  </r>
  <r>
    <x v="286"/>
    <x v="244"/>
    <x v="102"/>
    <x v="1"/>
    <x v="21"/>
    <x v="0"/>
    <n v="0"/>
    <n v="0"/>
    <n v="0"/>
    <n v="0"/>
    <n v="0"/>
    <n v="0"/>
    <n v="0"/>
    <n v="0"/>
    <n v="0"/>
    <n v="6"/>
    <n v="0"/>
    <n v="0"/>
    <n v="6"/>
    <n v="53"/>
    <n v="1"/>
    <n v="8.8333333333333339"/>
    <x v="2"/>
    <s v="SI"/>
    <s v="NO"/>
    <s v="NO"/>
    <s v="NO"/>
  </r>
  <r>
    <x v="287"/>
    <x v="245"/>
    <x v="30"/>
    <x v="0"/>
    <x v="0"/>
    <x v="0"/>
    <n v="92"/>
    <n v="236"/>
    <n v="45"/>
    <n v="216"/>
    <n v="70"/>
    <n v="363"/>
    <n v="488"/>
    <n v="308"/>
    <n v="332"/>
    <n v="814"/>
    <n v="270"/>
    <n v="2196"/>
    <n v="452.5"/>
    <n v="2094"/>
    <n v="4"/>
    <n v="4.6276243093922655"/>
    <x v="0"/>
    <s v="SI"/>
    <s v="NO"/>
    <s v="NO"/>
    <s v="NO"/>
  </r>
  <r>
    <x v="288"/>
    <x v="246"/>
    <x v="6"/>
    <x v="3"/>
    <x v="38"/>
    <x v="0"/>
    <n v="0"/>
    <n v="10"/>
    <n v="10"/>
    <n v="9"/>
    <n v="8"/>
    <n v="3"/>
    <n v="15"/>
    <n v="8"/>
    <n v="10"/>
    <n v="181"/>
    <n v="37"/>
    <n v="136"/>
    <n v="38.81818181818182"/>
    <n v="171"/>
    <n v="4"/>
    <n v="4.4051522248243558"/>
    <x v="0"/>
    <s v="NO"/>
    <s v="NO"/>
    <s v="NO"/>
    <s v="NO"/>
  </r>
  <r>
    <x v="289"/>
    <x v="247"/>
    <x v="6"/>
    <x v="13"/>
    <x v="39"/>
    <x v="0"/>
    <n v="62"/>
    <n v="67"/>
    <n v="32"/>
    <n v="48"/>
    <n v="41"/>
    <n v="32"/>
    <n v="52"/>
    <n v="66"/>
    <n v="50"/>
    <n v="87"/>
    <n v="39"/>
    <n v="345"/>
    <n v="76.75"/>
    <n v="1316"/>
    <n v="4"/>
    <n v="17.146579804560261"/>
    <x v="2"/>
    <s v="NO"/>
    <s v="NO"/>
    <s v="NO"/>
    <s v="NO"/>
  </r>
  <r>
    <x v="290"/>
    <x v="248"/>
    <x v="6"/>
    <x v="13"/>
    <x v="39"/>
    <x v="0"/>
    <n v="4"/>
    <n v="4"/>
    <n v="0"/>
    <n v="5"/>
    <n v="6"/>
    <n v="10"/>
    <n v="0"/>
    <n v="9"/>
    <n v="7"/>
    <n v="0"/>
    <n v="8"/>
    <n v="34"/>
    <n v="9.6666666666666661"/>
    <n v="0"/>
    <n v="3"/>
    <n v="0"/>
    <x v="4"/>
    <s v="NO"/>
    <s v="NO"/>
    <s v="NO"/>
    <s v="NO"/>
  </r>
  <r>
    <x v="291"/>
    <x v="249"/>
    <x v="6"/>
    <x v="3"/>
    <x v="40"/>
    <x v="1"/>
    <n v="0"/>
    <n v="0"/>
    <n v="0"/>
    <n v="0"/>
    <n v="127"/>
    <n v="0"/>
    <n v="0"/>
    <n v="5"/>
    <n v="0"/>
    <n v="0"/>
    <n v="0"/>
    <n v="5"/>
    <n v="45.666666666666664"/>
    <n v="0"/>
    <n v="1"/>
    <n v="0"/>
    <x v="4"/>
    <s v="NO"/>
    <s v="NO"/>
    <s v="NO"/>
    <s v="NO"/>
  </r>
  <r>
    <x v="292"/>
    <x v="250"/>
    <x v="6"/>
    <x v="13"/>
    <x v="41"/>
    <x v="0"/>
    <n v="15"/>
    <n v="7"/>
    <n v="0"/>
    <n v="0"/>
    <n v="0"/>
    <n v="0"/>
    <n v="0"/>
    <n v="0"/>
    <n v="0"/>
    <n v="0"/>
    <n v="0"/>
    <n v="0"/>
    <n v="11"/>
    <n v="0"/>
    <n v="0"/>
    <s v="No Rota"/>
    <x v="1"/>
    <s v="NO"/>
    <s v="NO"/>
    <s v="NO"/>
    <s v="NO"/>
  </r>
  <r>
    <x v="293"/>
    <x v="251"/>
    <x v="6"/>
    <x v="2"/>
    <x v="4"/>
    <x v="0"/>
    <n v="0"/>
    <n v="1"/>
    <n v="2"/>
    <n v="0"/>
    <n v="0"/>
    <n v="2"/>
    <n v="0"/>
    <n v="2"/>
    <n v="2"/>
    <n v="2"/>
    <n v="7"/>
    <n v="17"/>
    <n v="4.375"/>
    <n v="23"/>
    <n v="4"/>
    <n v="5.2571428571428571"/>
    <x v="0"/>
    <s v="NO"/>
    <s v="NO"/>
    <s v="NO"/>
    <s v="NO"/>
  </r>
  <r>
    <x v="294"/>
    <x v="252"/>
    <x v="6"/>
    <x v="3"/>
    <x v="42"/>
    <x v="0"/>
    <n v="1592"/>
    <n v="891"/>
    <n v="1031"/>
    <n v="1444"/>
    <n v="442"/>
    <n v="0"/>
    <n v="199"/>
    <n v="1617"/>
    <n v="992"/>
    <n v="3500"/>
    <n v="1008"/>
    <n v="5416"/>
    <n v="1648.3636363636363"/>
    <n v="1124"/>
    <n v="4"/>
    <n v="0.68188837414515779"/>
    <x v="3"/>
    <s v="NO"/>
    <s v="NO"/>
    <s v="NO"/>
    <s v="NO"/>
  </r>
  <r>
    <x v="295"/>
    <x v="253"/>
    <x v="6"/>
    <x v="3"/>
    <x v="0"/>
    <x v="2"/>
    <n v="2056"/>
    <n v="1905"/>
    <n v="1619"/>
    <n v="1685"/>
    <n v="1963"/>
    <n v="1984"/>
    <n v="1934"/>
    <n v="2122"/>
    <n v="2160"/>
    <n v="4512"/>
    <n v="2036"/>
    <n v="14350"/>
    <n v="3193.8333333333335"/>
    <n v="153"/>
    <n v="4"/>
    <n v="4.7904816573605381E-2"/>
    <x v="3"/>
    <s v="NO"/>
    <s v="SI"/>
    <s v="NO"/>
    <s v="NO"/>
  </r>
  <r>
    <x v="296"/>
    <x v="254"/>
    <x v="2"/>
    <x v="0"/>
    <x v="0"/>
    <x v="0"/>
    <n v="25"/>
    <n v="0"/>
    <n v="0"/>
    <n v="0"/>
    <n v="0"/>
    <n v="0"/>
    <n v="0"/>
    <n v="293"/>
    <n v="0"/>
    <n v="0"/>
    <n v="0"/>
    <n v="293"/>
    <n v="203.66666666666666"/>
    <n v="0"/>
    <n v="1"/>
    <n v="0"/>
    <x v="4"/>
    <s v="SI"/>
    <s v="NO"/>
    <s v="NO"/>
    <s v="NO"/>
  </r>
  <r>
    <x v="297"/>
    <x v="254"/>
    <x v="103"/>
    <x v="4"/>
    <x v="18"/>
    <x v="0"/>
    <n v="1"/>
    <n v="0"/>
    <n v="1"/>
    <n v="0"/>
    <n v="1"/>
    <n v="1"/>
    <n v="0"/>
    <n v="1"/>
    <n v="3"/>
    <n v="2"/>
    <n v="1"/>
    <n v="8"/>
    <n v="2.1111111111111112"/>
    <n v="3"/>
    <n v="4"/>
    <n v="1.4210526315789473"/>
    <x v="3"/>
    <s v="SI"/>
    <s v="NO"/>
    <s v="NO"/>
    <s v="NO"/>
  </r>
  <r>
    <x v="298"/>
    <x v="255"/>
    <x v="47"/>
    <x v="1"/>
    <x v="3"/>
    <x v="0"/>
    <n v="196"/>
    <n v="124"/>
    <n v="171"/>
    <n v="293"/>
    <n v="308"/>
    <n v="528"/>
    <n v="237"/>
    <n v="262"/>
    <n v="195"/>
    <n v="1177"/>
    <n v="177"/>
    <n v="2069"/>
    <n v="478.08333333333331"/>
    <n v="3487"/>
    <n v="4"/>
    <n v="7.2937075126372672"/>
    <x v="2"/>
    <s v="SI"/>
    <s v="NO"/>
    <s v="NO"/>
    <s v="NO"/>
  </r>
  <r>
    <x v="299"/>
    <x v="255"/>
    <x v="31"/>
    <x v="0"/>
    <x v="0"/>
    <x v="0"/>
    <n v="138"/>
    <n v="394"/>
    <n v="0"/>
    <n v="0"/>
    <n v="135"/>
    <n v="165"/>
    <n v="259"/>
    <n v="204"/>
    <n v="165"/>
    <n v="261"/>
    <n v="213"/>
    <n v="1232"/>
    <n v="316.60000000000002"/>
    <n v="2523"/>
    <n v="4"/>
    <n v="7.9690461149715723"/>
    <x v="2"/>
    <s v="SI"/>
    <s v="NO"/>
    <s v="NO"/>
    <s v="NO"/>
  </r>
  <r>
    <x v="300"/>
    <x v="256"/>
    <x v="63"/>
    <x v="0"/>
    <x v="0"/>
    <x v="0"/>
    <n v="320"/>
    <n v="531"/>
    <n v="347"/>
    <n v="456"/>
    <n v="610"/>
    <n v="359"/>
    <n v="661"/>
    <n v="315"/>
    <n v="330"/>
    <n v="1265"/>
    <n v="397"/>
    <n v="2767"/>
    <n v="696.5"/>
    <n v="2472"/>
    <n v="4"/>
    <n v="3.5491744436468053"/>
    <x v="0"/>
    <s v="SI"/>
    <s v="NO"/>
    <s v="NO"/>
    <s v="NO"/>
  </r>
  <r>
    <x v="301"/>
    <x v="257"/>
    <x v="25"/>
    <x v="1"/>
    <x v="0"/>
    <x v="0"/>
    <n v="0"/>
    <n v="0"/>
    <n v="0"/>
    <n v="0"/>
    <n v="0"/>
    <n v="1"/>
    <n v="0"/>
    <n v="0"/>
    <n v="1"/>
    <n v="0"/>
    <n v="0"/>
    <n v="2"/>
    <n v="1.3333333333333333"/>
    <n v="0"/>
    <n v="2"/>
    <n v="0"/>
    <x v="4"/>
    <s v="NO"/>
    <s v="NO"/>
    <s v="NO"/>
    <s v="NO"/>
  </r>
  <r>
    <x v="302"/>
    <x v="258"/>
    <x v="6"/>
    <x v="3"/>
    <x v="0"/>
    <x v="2"/>
    <n v="0"/>
    <n v="0"/>
    <n v="0"/>
    <n v="195"/>
    <n v="242"/>
    <n v="320"/>
    <n v="500"/>
    <n v="687"/>
    <n v="724"/>
    <n v="575"/>
    <n v="309"/>
    <n v="2902"/>
    <n v="717.11111111111109"/>
    <n v="0"/>
    <n v="4"/>
    <n v="0"/>
    <x v="4"/>
    <s v="NO"/>
    <s v="SI"/>
    <s v="NO"/>
    <s v="NO"/>
  </r>
  <r>
    <x v="303"/>
    <x v="259"/>
    <x v="6"/>
    <x v="3"/>
    <x v="0"/>
    <x v="2"/>
    <n v="1735"/>
    <n v="1737"/>
    <n v="1734"/>
    <n v="1534"/>
    <n v="1665"/>
    <n v="1678"/>
    <n v="1814"/>
    <n v="1919"/>
    <n v="1845"/>
    <n v="3367"/>
    <n v="1478"/>
    <n v="12020"/>
    <n v="2710.5"/>
    <n v="7295"/>
    <n v="4"/>
    <n v="2.6913853532558569"/>
    <x v="0"/>
    <s v="NO"/>
    <s v="SI"/>
    <s v="NO"/>
    <s v="NO"/>
  </r>
  <r>
    <x v="304"/>
    <x v="260"/>
    <x v="6"/>
    <x v="3"/>
    <x v="43"/>
    <x v="2"/>
    <n v="0"/>
    <n v="0"/>
    <n v="0"/>
    <n v="0"/>
    <n v="0"/>
    <n v="0"/>
    <n v="0"/>
    <n v="0"/>
    <n v="0"/>
    <n v="0"/>
    <n v="0"/>
    <n v="0"/>
    <n v="0"/>
    <n v="0"/>
    <n v="0"/>
    <s v="No Rota"/>
    <x v="1"/>
    <s v="NO"/>
    <s v="NO"/>
    <s v="NO"/>
    <s v="NO"/>
  </r>
  <r>
    <x v="305"/>
    <x v="261"/>
    <x v="66"/>
    <x v="1"/>
    <x v="13"/>
    <x v="0"/>
    <n v="74"/>
    <n v="62"/>
    <n v="32"/>
    <n v="77"/>
    <n v="96"/>
    <n v="103"/>
    <n v="106"/>
    <n v="146"/>
    <n v="167"/>
    <n v="375"/>
    <n v="124"/>
    <n v="896"/>
    <n v="188.16666666666666"/>
    <n v="1088"/>
    <n v="4"/>
    <n v="5.7821080602302928"/>
    <x v="0"/>
    <s v="SI"/>
    <s v="NO"/>
    <s v="NO"/>
    <s v="NO"/>
  </r>
  <r>
    <x v="306"/>
    <x v="262"/>
    <x v="64"/>
    <x v="0"/>
    <x v="0"/>
    <x v="0"/>
    <n v="160"/>
    <n v="310"/>
    <n v="280"/>
    <n v="290"/>
    <n v="170"/>
    <n v="230"/>
    <n v="360"/>
    <n v="460"/>
    <n v="415"/>
    <n v="1040"/>
    <n v="261"/>
    <n v="2363"/>
    <n v="528.25"/>
    <n v="4021"/>
    <n v="4"/>
    <n v="7.6119261713203974"/>
    <x v="2"/>
    <s v="SI"/>
    <s v="NO"/>
    <s v="NO"/>
    <s v="NO"/>
  </r>
  <r>
    <x v="307"/>
    <x v="263"/>
    <x v="83"/>
    <x v="1"/>
    <x v="3"/>
    <x v="0"/>
    <n v="266"/>
    <n v="220"/>
    <n v="176"/>
    <n v="182"/>
    <n v="222"/>
    <n v="253"/>
    <n v="212"/>
    <n v="299"/>
    <n v="338"/>
    <n v="606"/>
    <n v="182"/>
    <n v="1769"/>
    <n v="393.75"/>
    <n v="2255"/>
    <n v="4"/>
    <n v="5.7269841269841271"/>
    <x v="0"/>
    <s v="SI"/>
    <s v="NO"/>
    <s v="NO"/>
    <s v="NO"/>
  </r>
  <r>
    <x v="308"/>
    <x v="263"/>
    <x v="104"/>
    <x v="1"/>
    <x v="3"/>
    <x v="0"/>
    <n v="146"/>
    <n v="97"/>
    <n v="82"/>
    <n v="83"/>
    <n v="115"/>
    <n v="141"/>
    <n v="115"/>
    <n v="112"/>
    <n v="65"/>
    <n v="77"/>
    <n v="58"/>
    <n v="575"/>
    <n v="138.83333333333334"/>
    <n v="2256"/>
    <n v="4"/>
    <n v="16.249699879951979"/>
    <x v="2"/>
    <s v="SI"/>
    <s v="NO"/>
    <s v="NO"/>
    <s v="NO"/>
  </r>
  <r>
    <x v="309"/>
    <x v="264"/>
    <x v="23"/>
    <x v="0"/>
    <x v="0"/>
    <x v="0"/>
    <n v="130"/>
    <n v="380"/>
    <n v="240"/>
    <n v="481"/>
    <n v="330"/>
    <n v="330"/>
    <n v="505"/>
    <n v="250"/>
    <n v="560"/>
    <n v="400"/>
    <n v="380"/>
    <n v="2647"/>
    <n v="552.75"/>
    <n v="2362"/>
    <n v="4"/>
    <n v="4.2731795567616464"/>
    <x v="0"/>
    <s v="SI"/>
    <s v="NO"/>
    <s v="NO"/>
    <s v="NO"/>
  </r>
  <r>
    <x v="310"/>
    <x v="265"/>
    <x v="6"/>
    <x v="3"/>
    <x v="0"/>
    <x v="2"/>
    <n v="8700"/>
    <n v="23100"/>
    <n v="19710"/>
    <n v="20800"/>
    <n v="16100"/>
    <n v="17150"/>
    <n v="11700"/>
    <n v="11750"/>
    <n v="18450"/>
    <n v="15700"/>
    <n v="0"/>
    <n v="59050"/>
    <n v="20200.909090909092"/>
    <n v="2329"/>
    <n v="3"/>
    <n v="0.11529184105125781"/>
    <x v="3"/>
    <s v="NO"/>
    <s v="SI"/>
    <s v="NO"/>
    <s v="NO"/>
  </r>
  <r>
    <x v="311"/>
    <x v="266"/>
    <x v="6"/>
    <x v="3"/>
    <x v="0"/>
    <x v="2"/>
    <n v="0"/>
    <n v="0"/>
    <n v="0"/>
    <n v="0"/>
    <n v="0"/>
    <n v="0"/>
    <n v="3050"/>
    <n v="46950"/>
    <n v="1500"/>
    <n v="49500"/>
    <n v="0"/>
    <n v="51500"/>
    <n v="30500"/>
    <n v="471290"/>
    <n v="3"/>
    <n v="15.452131147540983"/>
    <x v="2"/>
    <s v="NO"/>
    <s v="SI"/>
    <s v="NO"/>
    <s v="NO"/>
  </r>
  <r>
    <x v="312"/>
    <x v="267"/>
    <x v="6"/>
    <x v="3"/>
    <x v="0"/>
    <x v="2"/>
    <n v="0"/>
    <n v="0"/>
    <n v="0"/>
    <n v="0"/>
    <n v="360"/>
    <n v="105"/>
    <n v="75"/>
    <n v="80"/>
    <n v="0"/>
    <n v="0"/>
    <n v="0"/>
    <n v="260"/>
    <n v="176"/>
    <n v="30"/>
    <n v="1"/>
    <n v="0.17045454545454544"/>
    <x v="3"/>
    <s v="NO"/>
    <s v="SI"/>
    <s v="NO"/>
    <s v="NO"/>
  </r>
  <r>
    <x v="313"/>
    <x v="268"/>
    <x v="6"/>
    <x v="3"/>
    <x v="44"/>
    <x v="3"/>
    <n v="20"/>
    <n v="0"/>
    <n v="0"/>
    <n v="0"/>
    <n v="360"/>
    <n v="105"/>
    <n v="70"/>
    <n v="10"/>
    <n v="0"/>
    <n v="0"/>
    <n v="0"/>
    <n v="185"/>
    <n v="125"/>
    <n v="105"/>
    <n v="1"/>
    <n v="0.84"/>
    <x v="3"/>
    <s v="NO"/>
    <s v="SI"/>
    <s v="NO"/>
    <s v="NO"/>
  </r>
  <r>
    <x v="314"/>
    <x v="269"/>
    <x v="6"/>
    <x v="3"/>
    <x v="0"/>
    <x v="2"/>
    <n v="0"/>
    <n v="0"/>
    <n v="0"/>
    <n v="0"/>
    <n v="0"/>
    <n v="0"/>
    <n v="1060"/>
    <n v="41340"/>
    <n v="1000"/>
    <n v="32000"/>
    <n v="0"/>
    <n v="43400"/>
    <n v="23760"/>
    <n v="38100"/>
    <n v="3"/>
    <n v="1.6035353535353536"/>
    <x v="3"/>
    <s v="NO"/>
    <s v="SI"/>
    <s v="NO"/>
    <s v="NO"/>
  </r>
  <r>
    <x v="315"/>
    <x v="270"/>
    <x v="6"/>
    <x v="3"/>
    <x v="45"/>
    <x v="2"/>
    <n v="0"/>
    <n v="0"/>
    <n v="0"/>
    <n v="0"/>
    <n v="97"/>
    <n v="31"/>
    <n v="42"/>
    <n v="15"/>
    <n v="0"/>
    <n v="0"/>
    <n v="0"/>
    <n v="88"/>
    <n v="54.6"/>
    <n v="0"/>
    <n v="1"/>
    <n v="0"/>
    <x v="4"/>
    <s v="NO"/>
    <s v="SI"/>
    <s v="NO"/>
    <s v="NO"/>
  </r>
  <r>
    <x v="316"/>
    <x v="271"/>
    <x v="6"/>
    <x v="3"/>
    <x v="0"/>
    <x v="3"/>
    <n v="0"/>
    <n v="0"/>
    <n v="0"/>
    <n v="0"/>
    <n v="0"/>
    <n v="0"/>
    <n v="0"/>
    <n v="0"/>
    <n v="0"/>
    <n v="4000"/>
    <n v="0"/>
    <n v="0"/>
    <n v="4000"/>
    <n v="1050"/>
    <n v="1"/>
    <n v="0.26250000000000001"/>
    <x v="3"/>
    <s v="NO"/>
    <s v="SI"/>
    <s v="NO"/>
    <s v="NO"/>
  </r>
  <r>
    <x v="317"/>
    <x v="272"/>
    <x v="6"/>
    <x v="3"/>
    <x v="0"/>
    <x v="2"/>
    <n v="0"/>
    <n v="0"/>
    <n v="0"/>
    <n v="0"/>
    <n v="212"/>
    <n v="34"/>
    <n v="67"/>
    <n v="21"/>
    <n v="0"/>
    <n v="12500"/>
    <n v="0"/>
    <n v="122"/>
    <n v="2159.3333333333335"/>
    <n v="0"/>
    <n v="2"/>
    <n v="0"/>
    <x v="4"/>
    <s v="NO"/>
    <s v="SI"/>
    <s v="NO"/>
    <s v="NO"/>
  </r>
  <r>
    <x v="318"/>
    <x v="273"/>
    <x v="6"/>
    <x v="3"/>
    <x v="0"/>
    <x v="2"/>
    <n v="84000"/>
    <n v="10000"/>
    <n v="79000"/>
    <n v="175500"/>
    <n v="37500"/>
    <n v="46000"/>
    <n v="86500"/>
    <n v="224500"/>
    <n v="79500"/>
    <n v="71000"/>
    <n v="0"/>
    <n v="436500"/>
    <n v="120909.09090909091"/>
    <n v="332000"/>
    <n v="3"/>
    <n v="2.7458646616541351"/>
    <x v="0"/>
    <s v="NO"/>
    <s v="SI"/>
    <s v="NO"/>
    <s v="NO"/>
  </r>
  <r>
    <x v="319"/>
    <x v="274"/>
    <x v="6"/>
    <x v="3"/>
    <x v="0"/>
    <x v="2"/>
    <n v="189500"/>
    <n v="201700"/>
    <n v="73000"/>
    <n v="209800"/>
    <n v="51000"/>
    <n v="210000"/>
    <n v="121697"/>
    <n v="173000"/>
    <n v="120000"/>
    <n v="141000"/>
    <n v="0"/>
    <n v="624697"/>
    <n v="192308.54545454544"/>
    <n v="733900"/>
    <n v="3"/>
    <n v="3.816263069669291"/>
    <x v="0"/>
    <s v="NO"/>
    <s v="SI"/>
    <s v="NO"/>
    <s v="NO"/>
  </r>
  <r>
    <x v="320"/>
    <x v="275"/>
    <x v="6"/>
    <x v="3"/>
    <x v="0"/>
    <x v="2"/>
    <n v="140000"/>
    <n v="149000"/>
    <n v="49000"/>
    <n v="234000"/>
    <n v="65000"/>
    <n v="185000"/>
    <n v="76000"/>
    <n v="152000"/>
    <n v="117000"/>
    <n v="265000"/>
    <n v="0"/>
    <n v="530000"/>
    <n v="178363.63636363635"/>
    <n v="461700"/>
    <n v="3"/>
    <n v="2.5885321100917431"/>
    <x v="0"/>
    <s v="NO"/>
    <s v="SI"/>
    <s v="NO"/>
    <s v="NO"/>
  </r>
  <r>
    <x v="321"/>
    <x v="276"/>
    <x v="6"/>
    <x v="8"/>
    <x v="0"/>
    <x v="2"/>
    <n v="14972"/>
    <n v="14096"/>
    <n v="13704"/>
    <n v="12923"/>
    <n v="14374"/>
    <n v="14055"/>
    <n v="14337"/>
    <n v="14434"/>
    <n v="14118"/>
    <n v="29410"/>
    <n v="13321"/>
    <n v="98680"/>
    <n v="22368.666666666668"/>
    <n v="11125"/>
    <n v="4"/>
    <n v="0.49734748010610075"/>
    <x v="3"/>
    <s v="NO"/>
    <s v="SI"/>
    <s v="NO"/>
    <s v="NO"/>
  </r>
  <r>
    <x v="322"/>
    <x v="277"/>
    <x v="6"/>
    <x v="8"/>
    <x v="0"/>
    <x v="2"/>
    <n v="18301"/>
    <n v="18632"/>
    <n v="19584"/>
    <n v="18283"/>
    <n v="19528"/>
    <n v="20272"/>
    <n v="20615"/>
    <n v="20754"/>
    <n v="19970"/>
    <n v="35584"/>
    <n v="18839"/>
    <n v="138131"/>
    <n v="30707.75"/>
    <n v="22136"/>
    <n v="4"/>
    <n v="0.72086036912505802"/>
    <x v="3"/>
    <s v="NO"/>
    <s v="SI"/>
    <s v="NO"/>
    <s v="NO"/>
  </r>
  <r>
    <x v="323"/>
    <x v="278"/>
    <x v="6"/>
    <x v="8"/>
    <x v="0"/>
    <x v="2"/>
    <n v="14557"/>
    <n v="10525"/>
    <n v="13026"/>
    <n v="10996"/>
    <n v="12339"/>
    <n v="14430"/>
    <n v="13267"/>
    <n v="13280"/>
    <n v="10868"/>
    <n v="25877"/>
    <n v="10299"/>
    <n v="84494"/>
    <n v="19496.5"/>
    <n v="24327"/>
    <n v="4"/>
    <n v="1.2477624188956993"/>
    <x v="3"/>
    <s v="NO"/>
    <s v="SI"/>
    <s v="NO"/>
    <s v="NO"/>
  </r>
  <r>
    <x v="324"/>
    <x v="279"/>
    <x v="6"/>
    <x v="8"/>
    <x v="0"/>
    <x v="2"/>
    <n v="2"/>
    <n v="15"/>
    <n v="60"/>
    <n v="72"/>
    <n v="42"/>
    <n v="69"/>
    <n v="95"/>
    <n v="46"/>
    <n v="66"/>
    <n v="117"/>
    <n v="44"/>
    <n v="429"/>
    <n v="88.083333333333329"/>
    <n v="636"/>
    <n v="4"/>
    <n v="7.2204351939451277"/>
    <x v="2"/>
    <s v="NO"/>
    <s v="SI"/>
    <s v="NO"/>
    <s v="NO"/>
  </r>
  <r>
    <x v="325"/>
    <x v="280"/>
    <x v="105"/>
    <x v="3"/>
    <x v="46"/>
    <x v="2"/>
    <n v="0"/>
    <n v="0"/>
    <n v="0"/>
    <n v="0"/>
    <n v="0"/>
    <n v="0"/>
    <n v="0"/>
    <n v="0"/>
    <n v="0"/>
    <n v="0"/>
    <n v="0"/>
    <n v="1"/>
    <n v="1"/>
    <n v="29"/>
    <n v="1"/>
    <n v="29"/>
    <x v="2"/>
    <s v="NO"/>
    <s v="NO"/>
    <s v="NO"/>
    <s v="NO"/>
  </r>
  <r>
    <x v="326"/>
    <x v="281"/>
    <x v="22"/>
    <x v="0"/>
    <x v="0"/>
    <x v="0"/>
    <n v="0"/>
    <n v="50"/>
    <n v="0"/>
    <n v="0"/>
    <n v="3"/>
    <n v="0"/>
    <n v="5"/>
    <n v="4"/>
    <n v="60"/>
    <n v="11"/>
    <n v="0"/>
    <n v="72"/>
    <n v="29.285714285714285"/>
    <n v="271"/>
    <n v="3"/>
    <n v="9.2536585365853661"/>
    <x v="2"/>
    <s v="SI"/>
    <s v="NO"/>
    <s v="NO"/>
    <s v="NO"/>
  </r>
  <r>
    <x v="327"/>
    <x v="281"/>
    <x v="101"/>
    <x v="2"/>
    <x v="5"/>
    <x v="0"/>
    <n v="11"/>
    <n v="7"/>
    <n v="3"/>
    <n v="6"/>
    <n v="14"/>
    <n v="13"/>
    <n v="8"/>
    <n v="21"/>
    <n v="3"/>
    <n v="26"/>
    <n v="3"/>
    <n v="72"/>
    <n v="15.583333333333334"/>
    <n v="141"/>
    <n v="4"/>
    <n v="9.0481283422459882"/>
    <x v="2"/>
    <s v="SI"/>
    <s v="NO"/>
    <s v="NO"/>
    <s v="NO"/>
  </r>
  <r>
    <x v="328"/>
    <x v="281"/>
    <x v="23"/>
    <x v="0"/>
    <x v="0"/>
    <x v="0"/>
    <n v="0"/>
    <n v="0"/>
    <n v="0"/>
    <n v="0"/>
    <n v="0"/>
    <n v="0"/>
    <n v="0"/>
    <n v="0"/>
    <n v="0"/>
    <n v="0"/>
    <n v="0"/>
    <n v="0"/>
    <n v="0"/>
    <n v="200"/>
    <n v="0"/>
    <s v="No Rota"/>
    <x v="1"/>
    <s v="SI"/>
    <s v="NO"/>
    <s v="NO"/>
    <s v="NO"/>
  </r>
  <r>
    <x v="329"/>
    <x v="281"/>
    <x v="79"/>
    <x v="1"/>
    <x v="14"/>
    <x v="0"/>
    <n v="12"/>
    <n v="61"/>
    <n v="53"/>
    <n v="35"/>
    <n v="62"/>
    <n v="61"/>
    <n v="126"/>
    <n v="61"/>
    <n v="40"/>
    <n v="108"/>
    <n v="8"/>
    <n v="371"/>
    <n v="83.166666666666671"/>
    <n v="856"/>
    <n v="4"/>
    <n v="10.292585170340681"/>
    <x v="2"/>
    <s v="SI"/>
    <s v="NO"/>
    <s v="NO"/>
    <s v="NO"/>
  </r>
  <r>
    <x v="330"/>
    <x v="282"/>
    <x v="106"/>
    <x v="1"/>
    <x v="21"/>
    <x v="0"/>
    <n v="15"/>
    <n v="5"/>
    <n v="42"/>
    <n v="24"/>
    <n v="12"/>
    <n v="11"/>
    <n v="17"/>
    <n v="40"/>
    <n v="15"/>
    <n v="90"/>
    <n v="47"/>
    <n v="214"/>
    <n v="44.333333333333336"/>
    <n v="389"/>
    <n v="4"/>
    <n v="8.7744360902255636"/>
    <x v="2"/>
    <s v="NO"/>
    <s v="NO"/>
    <s v="NO"/>
    <s v="NO"/>
  </r>
  <r>
    <x v="331"/>
    <x v="283"/>
    <x v="54"/>
    <x v="0"/>
    <x v="0"/>
    <x v="0"/>
    <n v="480"/>
    <n v="884"/>
    <n v="523"/>
    <n v="483"/>
    <n v="750"/>
    <n v="560"/>
    <n v="873"/>
    <n v="224"/>
    <n v="4"/>
    <n v="1469"/>
    <n v="177"/>
    <n v="2457"/>
    <n v="740.33333333333337"/>
    <n v="0"/>
    <n v="4"/>
    <n v="0"/>
    <x v="4"/>
    <s v="NO"/>
    <s v="NO"/>
    <s v="NO"/>
    <s v="NO"/>
  </r>
  <r>
    <x v="332"/>
    <x v="284"/>
    <x v="68"/>
    <x v="7"/>
    <x v="23"/>
    <x v="0"/>
    <n v="2"/>
    <n v="4"/>
    <n v="1"/>
    <n v="3"/>
    <n v="1"/>
    <n v="5"/>
    <n v="4"/>
    <n v="9"/>
    <n v="3"/>
    <n v="8"/>
    <n v="4"/>
    <n v="38"/>
    <n v="6.833333333333333"/>
    <n v="37"/>
    <n v="4"/>
    <n v="5.4146341463414638"/>
    <x v="0"/>
    <s v="SI"/>
    <s v="NO"/>
    <s v="NO"/>
    <s v="NO"/>
  </r>
  <r>
    <x v="333"/>
    <x v="285"/>
    <x v="2"/>
    <x v="1"/>
    <x v="0"/>
    <x v="0"/>
    <n v="136"/>
    <n v="103"/>
    <n v="146"/>
    <n v="128"/>
    <n v="136"/>
    <n v="143"/>
    <n v="171"/>
    <n v="186"/>
    <n v="95"/>
    <n v="215"/>
    <n v="103"/>
    <n v="917"/>
    <n v="206.58333333333334"/>
    <n v="1025"/>
    <n v="4"/>
    <n v="4.9616780960064544"/>
    <x v="0"/>
    <s v="SI"/>
    <s v="NO"/>
    <s v="NO"/>
    <s v="NO"/>
  </r>
  <r>
    <x v="334"/>
    <x v="286"/>
    <x v="32"/>
    <x v="1"/>
    <x v="14"/>
    <x v="1"/>
    <n v="90"/>
    <n v="22"/>
    <n v="56"/>
    <n v="88"/>
    <n v="148"/>
    <n v="43"/>
    <n v="121"/>
    <n v="29"/>
    <n v="52"/>
    <n v="253"/>
    <n v="50"/>
    <n v="407"/>
    <n v="113.25"/>
    <n v="815"/>
    <n v="4"/>
    <n v="7.1964679911699783"/>
    <x v="2"/>
    <s v="SI"/>
    <s v="NO"/>
    <s v="NO"/>
    <s v="NO"/>
  </r>
  <r>
    <x v="335"/>
    <x v="287"/>
    <x v="107"/>
    <x v="1"/>
    <x v="21"/>
    <x v="0"/>
    <n v="690"/>
    <n v="736"/>
    <n v="742"/>
    <n v="729"/>
    <n v="633"/>
    <n v="864"/>
    <n v="889"/>
    <n v="1010"/>
    <n v="1077"/>
    <n v="958"/>
    <n v="502"/>
    <n v="5587"/>
    <n v="1201.4166666666667"/>
    <n v="237"/>
    <n v="4"/>
    <n v="0.19726711521120899"/>
    <x v="3"/>
    <s v="SI"/>
    <s v="NO"/>
    <s v="NO"/>
    <s v="NO"/>
  </r>
  <r>
    <x v="336"/>
    <x v="288"/>
    <x v="19"/>
    <x v="2"/>
    <x v="5"/>
    <x v="0"/>
    <n v="107"/>
    <n v="151"/>
    <n v="134"/>
    <n v="153"/>
    <n v="96"/>
    <n v="110"/>
    <n v="6"/>
    <n v="0"/>
    <n v="0"/>
    <n v="0"/>
    <n v="0"/>
    <n v="116"/>
    <n v="109.125"/>
    <n v="0"/>
    <n v="1"/>
    <n v="0"/>
    <x v="4"/>
    <s v="NO"/>
    <s v="NO"/>
    <s v="SI"/>
    <s v="NO"/>
  </r>
  <r>
    <x v="337"/>
    <x v="289"/>
    <x v="108"/>
    <x v="2"/>
    <x v="36"/>
    <x v="0"/>
    <n v="0"/>
    <n v="0"/>
    <n v="0"/>
    <n v="0"/>
    <n v="0"/>
    <n v="2"/>
    <n v="2"/>
    <n v="0"/>
    <n v="0"/>
    <n v="0"/>
    <n v="0"/>
    <n v="4"/>
    <n v="2.6666666666666665"/>
    <n v="0"/>
    <n v="1"/>
    <n v="0"/>
    <x v="4"/>
    <s v="SI"/>
    <s v="NO"/>
    <s v="NO"/>
    <s v="NO"/>
  </r>
  <r>
    <x v="338"/>
    <x v="290"/>
    <x v="6"/>
    <x v="3"/>
    <x v="0"/>
    <x v="2"/>
    <n v="180"/>
    <n v="118"/>
    <n v="166"/>
    <n v="153"/>
    <n v="124"/>
    <n v="137"/>
    <n v="163"/>
    <n v="171"/>
    <n v="184"/>
    <n v="176"/>
    <n v="167"/>
    <n v="1086"/>
    <n v="235.41666666666666"/>
    <n v="1540"/>
    <n v="4"/>
    <n v="6.5415929203539829"/>
    <x v="2"/>
    <s v="NO"/>
    <s v="SI"/>
    <s v="NO"/>
    <s v="NO"/>
  </r>
  <r>
    <x v="339"/>
    <x v="291"/>
    <x v="6"/>
    <x v="3"/>
    <x v="0"/>
    <x v="2"/>
    <n v="972"/>
    <n v="906"/>
    <n v="917"/>
    <n v="835"/>
    <n v="859"/>
    <n v="1237"/>
    <n v="959"/>
    <n v="1017"/>
    <n v="968"/>
    <n v="1745"/>
    <n v="822"/>
    <n v="6811"/>
    <n v="1504"/>
    <n v="20254"/>
    <n v="4"/>
    <n v="13.466755319148936"/>
    <x v="2"/>
    <s v="NO"/>
    <s v="SI"/>
    <s v="NO"/>
    <s v="NO"/>
  </r>
  <r>
    <x v="340"/>
    <x v="292"/>
    <x v="8"/>
    <x v="4"/>
    <x v="19"/>
    <x v="0"/>
    <n v="18"/>
    <n v="10"/>
    <n v="8"/>
    <n v="9"/>
    <n v="24"/>
    <n v="30"/>
    <n v="9"/>
    <n v="10"/>
    <n v="14"/>
    <n v="48"/>
    <n v="15"/>
    <n v="117"/>
    <n v="26"/>
    <n v="184"/>
    <n v="4"/>
    <n v="7.0769230769230766"/>
    <x v="2"/>
    <s v="NO"/>
    <s v="NO"/>
    <s v="NO"/>
    <s v="NO"/>
  </r>
  <r>
    <x v="341"/>
    <x v="292"/>
    <x v="92"/>
    <x v="0"/>
    <x v="0"/>
    <x v="0"/>
    <n v="6938"/>
    <n v="13763"/>
    <n v="11673"/>
    <n v="6749"/>
    <n v="6391"/>
    <n v="2922"/>
    <n v="4438"/>
    <n v="5327"/>
    <n v="5998"/>
    <n v="7718"/>
    <n v="2560"/>
    <n v="29850"/>
    <n v="8693.9166666666661"/>
    <n v="9753"/>
    <n v="4"/>
    <n v="1.1218188963547309"/>
    <x v="3"/>
    <s v="SI"/>
    <s v="NO"/>
    <s v="NO"/>
    <s v="NO"/>
  </r>
  <r>
    <x v="342"/>
    <x v="292"/>
    <x v="79"/>
    <x v="1"/>
    <x v="3"/>
    <x v="0"/>
    <n v="49"/>
    <n v="15"/>
    <n v="44"/>
    <n v="19"/>
    <n v="8"/>
    <n v="11"/>
    <n v="21"/>
    <n v="21"/>
    <n v="28"/>
    <n v="39"/>
    <n v="26"/>
    <n v="186"/>
    <n v="38.916666666666664"/>
    <n v="0"/>
    <n v="4"/>
    <n v="0"/>
    <x v="4"/>
    <s v="SI"/>
    <s v="NO"/>
    <s v="NO"/>
    <s v="NO"/>
  </r>
  <r>
    <x v="343"/>
    <x v="293"/>
    <x v="109"/>
    <x v="1"/>
    <x v="3"/>
    <x v="0"/>
    <n v="5"/>
    <n v="17"/>
    <n v="13"/>
    <n v="10"/>
    <n v="8"/>
    <n v="7"/>
    <n v="14"/>
    <n v="13"/>
    <n v="11"/>
    <n v="17"/>
    <n v="11"/>
    <n v="71"/>
    <n v="16.416666666666668"/>
    <n v="101"/>
    <n v="4"/>
    <n v="6.1522842639593902"/>
    <x v="2"/>
    <s v="SI"/>
    <s v="NO"/>
    <s v="NO"/>
    <s v="NO"/>
  </r>
  <r>
    <x v="344"/>
    <x v="294"/>
    <x v="110"/>
    <x v="1"/>
    <x v="14"/>
    <x v="1"/>
    <n v="2"/>
    <n v="0"/>
    <n v="1"/>
    <n v="3"/>
    <n v="2"/>
    <n v="0"/>
    <n v="1"/>
    <n v="1"/>
    <n v="4"/>
    <n v="9"/>
    <n v="2"/>
    <n v="15"/>
    <n v="4"/>
    <n v="18"/>
    <n v="4"/>
    <n v="4.5"/>
    <x v="0"/>
    <s v="NO"/>
    <s v="NO"/>
    <s v="SI"/>
    <s v="NO"/>
  </r>
  <r>
    <x v="345"/>
    <x v="295"/>
    <x v="6"/>
    <x v="3"/>
    <x v="0"/>
    <x v="2"/>
    <n v="2"/>
    <n v="4"/>
    <n v="10"/>
    <n v="7"/>
    <n v="8"/>
    <n v="4"/>
    <n v="4"/>
    <n v="18"/>
    <n v="6"/>
    <n v="12"/>
    <n v="4"/>
    <n v="49"/>
    <n v="10.666666666666666"/>
    <n v="0"/>
    <n v="4"/>
    <n v="0"/>
    <x v="4"/>
    <s v="NO"/>
    <s v="NO"/>
    <s v="NO"/>
    <s v="NO"/>
  </r>
  <r>
    <x v="346"/>
    <x v="296"/>
    <x v="111"/>
    <x v="1"/>
    <x v="17"/>
    <x v="0"/>
    <n v="25"/>
    <n v="32"/>
    <n v="33"/>
    <n v="26"/>
    <n v="38"/>
    <n v="12"/>
    <n v="17"/>
    <n v="0"/>
    <n v="0"/>
    <n v="0"/>
    <n v="0"/>
    <n v="29"/>
    <n v="26.5"/>
    <n v="0"/>
    <n v="1"/>
    <n v="0"/>
    <x v="4"/>
    <s v="NO"/>
    <s v="NO"/>
    <s v="NO"/>
    <s v="NO"/>
  </r>
  <r>
    <x v="347"/>
    <x v="297"/>
    <x v="112"/>
    <x v="1"/>
    <x v="1"/>
    <x v="0"/>
    <n v="22"/>
    <n v="7"/>
    <n v="31"/>
    <n v="13"/>
    <n v="25"/>
    <n v="26"/>
    <n v="30"/>
    <n v="23"/>
    <n v="28"/>
    <n v="57"/>
    <n v="32"/>
    <n v="197"/>
    <n v="40.916666666666664"/>
    <n v="117"/>
    <n v="4"/>
    <n v="2.859470468431772"/>
    <x v="0"/>
    <s v="SI"/>
    <s v="NO"/>
    <s v="NO"/>
    <s v="NO"/>
  </r>
  <r>
    <x v="348"/>
    <x v="298"/>
    <x v="113"/>
    <x v="1"/>
    <x v="1"/>
    <x v="0"/>
    <n v="16"/>
    <n v="10"/>
    <n v="4"/>
    <n v="12"/>
    <n v="10"/>
    <n v="11"/>
    <n v="12"/>
    <n v="17"/>
    <n v="0"/>
    <n v="0"/>
    <n v="11"/>
    <n v="75"/>
    <n v="17.8"/>
    <n v="55"/>
    <n v="2"/>
    <n v="3.089887640449438"/>
    <x v="0"/>
    <s v="SI"/>
    <s v="NO"/>
    <s v="NO"/>
    <s v="NO"/>
  </r>
  <r>
    <x v="349"/>
    <x v="299"/>
    <x v="114"/>
    <x v="1"/>
    <x v="6"/>
    <x v="0"/>
    <n v="8"/>
    <n v="31"/>
    <n v="40"/>
    <n v="33"/>
    <n v="37"/>
    <n v="46"/>
    <n v="34"/>
    <n v="38"/>
    <n v="29"/>
    <n v="89"/>
    <n v="47"/>
    <n v="280"/>
    <n v="59.333333333333336"/>
    <n v="5"/>
    <n v="4"/>
    <n v="8.4269662921348312E-2"/>
    <x v="3"/>
    <s v="SI"/>
    <s v="NO"/>
    <s v="NO"/>
    <s v="NO"/>
  </r>
  <r>
    <x v="350"/>
    <x v="300"/>
    <x v="2"/>
    <x v="0"/>
    <x v="0"/>
    <x v="0"/>
    <n v="0"/>
    <n v="0"/>
    <n v="0"/>
    <n v="0"/>
    <n v="0"/>
    <n v="5"/>
    <n v="3"/>
    <n v="51"/>
    <n v="12"/>
    <n v="0"/>
    <n v="0"/>
    <n v="71"/>
    <n v="28.4"/>
    <n v="437"/>
    <n v="2"/>
    <n v="15.387323943661972"/>
    <x v="2"/>
    <s v="NO"/>
    <s v="NO"/>
    <s v="SI"/>
    <s v="NO"/>
  </r>
  <r>
    <x v="351"/>
    <x v="301"/>
    <x v="2"/>
    <x v="0"/>
    <x v="0"/>
    <x v="0"/>
    <n v="0"/>
    <n v="50"/>
    <n v="62"/>
    <n v="74"/>
    <n v="212"/>
    <n v="60"/>
    <n v="100"/>
    <n v="32"/>
    <n v="40"/>
    <n v="136"/>
    <n v="48"/>
    <n v="462"/>
    <n v="116"/>
    <n v="466"/>
    <n v="4"/>
    <n v="4.0172413793103452"/>
    <x v="0"/>
    <s v="NO"/>
    <s v="NO"/>
    <s v="SI"/>
    <s v="NO"/>
  </r>
  <r>
    <x v="352"/>
    <x v="302"/>
    <x v="115"/>
    <x v="2"/>
    <x v="21"/>
    <x v="0"/>
    <n v="0"/>
    <n v="1"/>
    <n v="0"/>
    <n v="0"/>
    <n v="1"/>
    <n v="2"/>
    <n v="0"/>
    <n v="1"/>
    <n v="0"/>
    <n v="0"/>
    <n v="1"/>
    <n v="4"/>
    <n v="1.6666666666666667"/>
    <n v="524"/>
    <n v="2"/>
    <n v="314.39999999999998"/>
    <x v="2"/>
    <s v="SI"/>
    <s v="NO"/>
    <s v="NO"/>
    <s v="NO"/>
  </r>
  <r>
    <x v="353"/>
    <x v="303"/>
    <x v="6"/>
    <x v="3"/>
    <x v="0"/>
    <x v="2"/>
    <n v="11199"/>
    <n v="10611"/>
    <n v="10582"/>
    <n v="11642"/>
    <n v="9005"/>
    <n v="5801"/>
    <n v="8646"/>
    <n v="10714"/>
    <n v="10978"/>
    <n v="23117"/>
    <n v="10956"/>
    <n v="69177"/>
    <n v="16035.666666666666"/>
    <n v="82493"/>
    <n v="4"/>
    <n v="5.1443448978319166"/>
    <x v="0"/>
    <s v="NO"/>
    <s v="SI"/>
    <s v="NO"/>
    <s v="NO"/>
  </r>
  <r>
    <x v="354"/>
    <x v="304"/>
    <x v="6"/>
    <x v="3"/>
    <x v="0"/>
    <x v="2"/>
    <n v="18202"/>
    <n v="14866"/>
    <n v="19277"/>
    <n v="15424"/>
    <n v="15594"/>
    <n v="19678"/>
    <n v="17286"/>
    <n v="17591"/>
    <n v="17223"/>
    <n v="33923"/>
    <n v="13483"/>
    <n v="111692"/>
    <n v="26186.583333333332"/>
    <n v="165692"/>
    <n v="4"/>
    <n v="6.3273622943046535"/>
    <x v="2"/>
    <s v="NO"/>
    <s v="SI"/>
    <s v="NO"/>
    <s v="NO"/>
  </r>
  <r>
    <x v="355"/>
    <x v="305"/>
    <x v="6"/>
    <x v="3"/>
    <x v="0"/>
    <x v="2"/>
    <n v="77"/>
    <n v="59"/>
    <n v="57"/>
    <n v="72"/>
    <n v="119"/>
    <n v="29"/>
    <n v="79"/>
    <n v="54"/>
    <n v="1"/>
    <n v="14"/>
    <n v="0"/>
    <n v="170"/>
    <n v="66.454545454545453"/>
    <n v="0"/>
    <n v="3"/>
    <n v="0"/>
    <x v="4"/>
    <s v="NO"/>
    <s v="SI"/>
    <s v="NO"/>
    <s v="NO"/>
  </r>
  <r>
    <x v="356"/>
    <x v="306"/>
    <x v="6"/>
    <x v="3"/>
    <x v="0"/>
    <x v="2"/>
    <n v="19151"/>
    <n v="28055"/>
    <n v="21216"/>
    <n v="30198"/>
    <n v="33375"/>
    <n v="12995"/>
    <n v="30391"/>
    <n v="32001"/>
    <n v="24031"/>
    <n v="66905"/>
    <n v="27154"/>
    <n v="186878"/>
    <n v="42695.833333333336"/>
    <n v="78391"/>
    <n v="4"/>
    <n v="1.8360339611593637"/>
    <x v="3"/>
    <s v="NO"/>
    <s v="SI"/>
    <s v="NO"/>
    <s v="NO"/>
  </r>
  <r>
    <x v="357"/>
    <x v="307"/>
    <x v="6"/>
    <x v="3"/>
    <x v="0"/>
    <x v="2"/>
    <n v="9781"/>
    <n v="8271"/>
    <n v="1388"/>
    <n v="6931"/>
    <n v="8092"/>
    <n v="8700"/>
    <n v="7936"/>
    <n v="8721"/>
    <n v="8787"/>
    <n v="20490"/>
    <n v="9679"/>
    <n v="61842"/>
    <n v="13384.833333333334"/>
    <n v="91429"/>
    <n v="4"/>
    <n v="6.8307910694940785"/>
    <x v="2"/>
    <s v="NO"/>
    <s v="SI"/>
    <s v="NO"/>
    <s v="NO"/>
  </r>
  <r>
    <x v="358"/>
    <x v="308"/>
    <x v="6"/>
    <x v="3"/>
    <x v="0"/>
    <x v="2"/>
    <n v="167"/>
    <n v="166"/>
    <n v="350"/>
    <n v="445"/>
    <n v="246"/>
    <n v="236"/>
    <n v="293"/>
    <n v="477"/>
    <n v="491"/>
    <n v="220"/>
    <n v="0"/>
    <n v="1598"/>
    <n v="426.27272727272725"/>
    <n v="1211"/>
    <n v="3"/>
    <n v="2.8409042439752614"/>
    <x v="0"/>
    <s v="NO"/>
    <s v="SI"/>
    <s v="NO"/>
    <s v="NO"/>
  </r>
  <r>
    <x v="359"/>
    <x v="309"/>
    <x v="6"/>
    <x v="3"/>
    <x v="0"/>
    <x v="2"/>
    <n v="8594"/>
    <n v="7468"/>
    <n v="11002"/>
    <n v="11736"/>
    <n v="9902"/>
    <n v="9732"/>
    <n v="8827"/>
    <n v="9372"/>
    <n v="8575"/>
    <n v="23646"/>
    <n v="8596"/>
    <n v="64008"/>
    <n v="15121.5"/>
    <n v="185897"/>
    <n v="4"/>
    <n v="12.293555533511887"/>
    <x v="2"/>
    <s v="NO"/>
    <s v="SI"/>
    <s v="NO"/>
    <s v="NO"/>
  </r>
  <r>
    <x v="360"/>
    <x v="310"/>
    <x v="6"/>
    <x v="3"/>
    <x v="0"/>
    <x v="2"/>
    <n v="153"/>
    <n v="266"/>
    <n v="68"/>
    <n v="23"/>
    <n v="215"/>
    <n v="58"/>
    <n v="124"/>
    <n v="135"/>
    <n v="299"/>
    <n v="596"/>
    <n v="179"/>
    <n v="1321"/>
    <n v="286.41666666666669"/>
    <n v="535"/>
    <n v="4"/>
    <n v="1.8679080593540878"/>
    <x v="3"/>
    <s v="NO"/>
    <s v="SI"/>
    <s v="NO"/>
    <s v="NO"/>
  </r>
  <r>
    <x v="361"/>
    <x v="311"/>
    <x v="6"/>
    <x v="3"/>
    <x v="0"/>
    <x v="2"/>
    <n v="53"/>
    <n v="42"/>
    <n v="24"/>
    <n v="8"/>
    <n v="142"/>
    <n v="50"/>
    <n v="25"/>
    <n v="48"/>
    <n v="2"/>
    <n v="7"/>
    <n v="0"/>
    <n v="130"/>
    <n v="48.272727272727273"/>
    <n v="0"/>
    <n v="3"/>
    <n v="0"/>
    <x v="4"/>
    <s v="NO"/>
    <s v="SI"/>
    <s v="NO"/>
    <s v="NO"/>
  </r>
  <r>
    <x v="362"/>
    <x v="312"/>
    <x v="6"/>
    <x v="3"/>
    <x v="0"/>
    <x v="2"/>
    <n v="0"/>
    <n v="0"/>
    <n v="0"/>
    <n v="0"/>
    <n v="603"/>
    <n v="5041"/>
    <n v="1872"/>
    <n v="127"/>
    <n v="318"/>
    <n v="39"/>
    <n v="0"/>
    <n v="7397"/>
    <n v="2199.5714285714284"/>
    <n v="0"/>
    <n v="3"/>
    <n v="0"/>
    <x v="4"/>
    <s v="NO"/>
    <s v="SI"/>
    <s v="NO"/>
    <s v="NO"/>
  </r>
  <r>
    <x v="363"/>
    <x v="313"/>
    <x v="6"/>
    <x v="3"/>
    <x v="0"/>
    <x v="2"/>
    <n v="46"/>
    <n v="45"/>
    <n v="50"/>
    <n v="71"/>
    <n v="41"/>
    <n v="27"/>
    <n v="60"/>
    <n v="60"/>
    <n v="52"/>
    <n v="102"/>
    <n v="31"/>
    <n v="299"/>
    <n v="73.666666666666671"/>
    <n v="70"/>
    <n v="4"/>
    <n v="0.95022624434389136"/>
    <x v="3"/>
    <s v="NO"/>
    <s v="SI"/>
    <s v="NO"/>
    <s v="NO"/>
  </r>
  <r>
    <x v="364"/>
    <x v="314"/>
    <x v="6"/>
    <x v="3"/>
    <x v="0"/>
    <x v="2"/>
    <n v="60"/>
    <n v="65"/>
    <n v="65"/>
    <n v="56"/>
    <n v="71"/>
    <n v="75"/>
    <n v="66"/>
    <n v="74"/>
    <n v="75"/>
    <n v="170"/>
    <n v="88"/>
    <n v="556"/>
    <n v="118.41666666666667"/>
    <n v="16"/>
    <n v="4"/>
    <n v="0.13511611541168192"/>
    <x v="3"/>
    <s v="NO"/>
    <s v="SI"/>
    <s v="NO"/>
    <s v="NO"/>
  </r>
  <r>
    <x v="365"/>
    <x v="315"/>
    <x v="6"/>
    <x v="3"/>
    <x v="0"/>
    <x v="2"/>
    <n v="30"/>
    <n v="5"/>
    <n v="25"/>
    <n v="20"/>
    <n v="19"/>
    <n v="23"/>
    <n v="12"/>
    <n v="18"/>
    <n v="29"/>
    <n v="36"/>
    <n v="16"/>
    <n v="136"/>
    <n v="30.75"/>
    <n v="23"/>
    <n v="4"/>
    <n v="0.74796747967479671"/>
    <x v="3"/>
    <s v="NO"/>
    <s v="SI"/>
    <s v="NO"/>
    <s v="NO"/>
  </r>
  <r>
    <x v="366"/>
    <x v="316"/>
    <x v="6"/>
    <x v="3"/>
    <x v="47"/>
    <x v="3"/>
    <n v="0"/>
    <n v="0"/>
    <n v="0"/>
    <n v="0"/>
    <n v="0"/>
    <n v="1"/>
    <n v="0"/>
    <n v="0"/>
    <n v="0"/>
    <n v="0"/>
    <n v="1"/>
    <n v="4"/>
    <n v="2"/>
    <n v="5"/>
    <n v="2"/>
    <n v="2.5"/>
    <x v="0"/>
    <s v="NO"/>
    <s v="NO"/>
    <s v="NO"/>
    <s v="NO"/>
  </r>
  <r>
    <x v="367"/>
    <x v="317"/>
    <x v="19"/>
    <x v="1"/>
    <x v="1"/>
    <x v="0"/>
    <n v="105"/>
    <n v="69"/>
    <n v="56"/>
    <n v="71"/>
    <n v="63"/>
    <n v="73"/>
    <n v="110"/>
    <n v="100"/>
    <n v="125"/>
    <n v="270"/>
    <n v="166"/>
    <n v="835"/>
    <n v="170.25"/>
    <n v="1134"/>
    <n v="4"/>
    <n v="6.6607929515418505"/>
    <x v="2"/>
    <s v="SI"/>
    <s v="NO"/>
    <s v="NO"/>
    <s v="NO"/>
  </r>
  <r>
    <x v="368"/>
    <x v="318"/>
    <x v="6"/>
    <x v="3"/>
    <x v="0"/>
    <x v="2"/>
    <n v="0"/>
    <n v="3"/>
    <n v="4"/>
    <n v="7"/>
    <n v="0"/>
    <n v="6"/>
    <n v="4"/>
    <n v="4"/>
    <n v="2"/>
    <n v="21"/>
    <n v="0"/>
    <n v="28"/>
    <n v="8.7777777777777786"/>
    <n v="34"/>
    <n v="3"/>
    <n v="3.8734177215189871"/>
    <x v="0"/>
    <s v="NO"/>
    <s v="SI"/>
    <s v="NO"/>
    <s v="NO"/>
  </r>
  <r>
    <x v="369"/>
    <x v="319"/>
    <x v="6"/>
    <x v="3"/>
    <x v="0"/>
    <x v="2"/>
    <n v="3"/>
    <n v="35"/>
    <n v="25"/>
    <n v="23"/>
    <n v="22"/>
    <n v="16"/>
    <n v="14"/>
    <n v="37"/>
    <n v="7"/>
    <n v="78"/>
    <n v="24"/>
    <n v="155"/>
    <n v="36.583333333333336"/>
    <n v="0"/>
    <n v="4"/>
    <n v="0"/>
    <x v="4"/>
    <s v="NO"/>
    <s v="SI"/>
    <s v="NO"/>
    <s v="NO"/>
  </r>
  <r>
    <x v="370"/>
    <x v="320"/>
    <x v="6"/>
    <x v="3"/>
    <x v="0"/>
    <x v="2"/>
    <n v="0"/>
    <n v="0"/>
    <n v="0"/>
    <n v="1"/>
    <n v="15"/>
    <n v="10"/>
    <n v="9"/>
    <n v="39"/>
    <n v="15"/>
    <n v="25"/>
    <n v="12"/>
    <n v="103"/>
    <n v="25.444444444444443"/>
    <n v="0"/>
    <n v="4"/>
    <n v="0"/>
    <x v="4"/>
    <s v="NO"/>
    <s v="SI"/>
    <s v="NO"/>
    <s v="NO"/>
  </r>
  <r>
    <x v="371"/>
    <x v="321"/>
    <x v="6"/>
    <x v="3"/>
    <x v="0"/>
    <x v="2"/>
    <n v="79"/>
    <n v="35"/>
    <n v="45"/>
    <n v="67"/>
    <n v="52"/>
    <n v="60"/>
    <n v="38"/>
    <n v="26"/>
    <n v="71"/>
    <n v="89"/>
    <n v="49"/>
    <n v="341"/>
    <n v="79.333333333333329"/>
    <n v="0"/>
    <n v="4"/>
    <n v="0"/>
    <x v="4"/>
    <s v="NO"/>
    <s v="SI"/>
    <s v="NO"/>
    <s v="NO"/>
  </r>
  <r>
    <x v="372"/>
    <x v="322"/>
    <x v="6"/>
    <x v="3"/>
    <x v="0"/>
    <x v="2"/>
    <n v="1"/>
    <n v="0"/>
    <n v="8"/>
    <n v="25"/>
    <n v="26"/>
    <n v="40"/>
    <n v="22"/>
    <n v="0"/>
    <n v="0"/>
    <n v="0"/>
    <n v="0"/>
    <n v="62"/>
    <n v="26.285714285714285"/>
    <n v="0"/>
    <n v="1"/>
    <n v="0"/>
    <x v="4"/>
    <s v="NO"/>
    <s v="SI"/>
    <s v="NO"/>
    <s v="NO"/>
  </r>
  <r>
    <x v="373"/>
    <x v="323"/>
    <x v="116"/>
    <x v="1"/>
    <x v="5"/>
    <x v="0"/>
    <n v="6"/>
    <n v="2"/>
    <n v="9"/>
    <n v="3"/>
    <n v="1"/>
    <n v="0"/>
    <n v="0"/>
    <n v="0"/>
    <n v="0"/>
    <n v="0"/>
    <n v="0"/>
    <n v="1"/>
    <n v="3.6666666666666665"/>
    <n v="57"/>
    <n v="1"/>
    <n v="15.545454545454547"/>
    <x v="2"/>
    <s v="SI"/>
    <s v="NO"/>
    <s v="NO"/>
    <s v="NO"/>
  </r>
  <r>
    <x v="374"/>
    <x v="324"/>
    <x v="117"/>
    <x v="2"/>
    <x v="37"/>
    <x v="0"/>
    <n v="144"/>
    <n v="141"/>
    <n v="155"/>
    <n v="153"/>
    <n v="194"/>
    <n v="132"/>
    <n v="121"/>
    <n v="163"/>
    <n v="137"/>
    <n v="387"/>
    <n v="172"/>
    <n v="1029"/>
    <n v="244"/>
    <n v="637"/>
    <n v="4"/>
    <n v="2.610655737704918"/>
    <x v="0"/>
    <s v="SI"/>
    <s v="NO"/>
    <s v="NO"/>
    <s v="NO"/>
  </r>
  <r>
    <x v="375"/>
    <x v="325"/>
    <x v="118"/>
    <x v="2"/>
    <x v="48"/>
    <x v="0"/>
    <n v="2"/>
    <n v="1"/>
    <n v="4"/>
    <n v="0"/>
    <n v="1"/>
    <n v="5"/>
    <n v="2"/>
    <n v="1"/>
    <n v="0"/>
    <n v="1"/>
    <n v="0"/>
    <n v="12"/>
    <n v="3.2222222222222223"/>
    <n v="5"/>
    <n v="2"/>
    <n v="1.5517241379310345"/>
    <x v="3"/>
    <s v="NO"/>
    <s v="NO"/>
    <s v="SI"/>
    <s v="NO"/>
  </r>
  <r>
    <x v="376"/>
    <x v="325"/>
    <x v="100"/>
    <x v="0"/>
    <x v="0"/>
    <x v="0"/>
    <n v="183"/>
    <n v="0"/>
    <n v="6"/>
    <n v="2"/>
    <n v="4"/>
    <n v="0"/>
    <n v="0"/>
    <n v="0"/>
    <n v="0"/>
    <n v="0"/>
    <n v="0"/>
    <n v="0"/>
    <n v="48.75"/>
    <n v="0"/>
    <n v="0"/>
    <s v="No Rota"/>
    <x v="1"/>
    <s v="NO"/>
    <s v="NO"/>
    <s v="SI"/>
    <s v="NO"/>
  </r>
  <r>
    <x v="377"/>
    <x v="325"/>
    <x v="103"/>
    <x v="2"/>
    <x v="48"/>
    <x v="0"/>
    <n v="0"/>
    <n v="0"/>
    <n v="0"/>
    <n v="0"/>
    <n v="0"/>
    <n v="0"/>
    <n v="0"/>
    <n v="0"/>
    <n v="0"/>
    <n v="0"/>
    <n v="1"/>
    <n v="1"/>
    <n v="1"/>
    <n v="13"/>
    <n v="2"/>
    <n v="13"/>
    <x v="2"/>
    <s v="NO"/>
    <s v="NO"/>
    <s v="SI"/>
    <s v="NO"/>
  </r>
  <r>
    <x v="378"/>
    <x v="326"/>
    <x v="119"/>
    <x v="1"/>
    <x v="3"/>
    <x v="0"/>
    <n v="0"/>
    <n v="0"/>
    <n v="1"/>
    <n v="5"/>
    <n v="11"/>
    <n v="0"/>
    <n v="0"/>
    <n v="1"/>
    <n v="0"/>
    <n v="0"/>
    <n v="0"/>
    <n v="1"/>
    <n v="3.8"/>
    <n v="45"/>
    <n v="1"/>
    <n v="11.842105263157896"/>
    <x v="2"/>
    <s v="SI"/>
    <s v="NO"/>
    <s v="NO"/>
    <s v="NO"/>
  </r>
  <r>
    <x v="379"/>
    <x v="327"/>
    <x v="6"/>
    <x v="3"/>
    <x v="0"/>
    <x v="3"/>
    <n v="750"/>
    <n v="0"/>
    <n v="0"/>
    <n v="0"/>
    <n v="0"/>
    <n v="0"/>
    <n v="0"/>
    <n v="0"/>
    <n v="0"/>
    <n v="0"/>
    <n v="0"/>
    <n v="0"/>
    <n v="750"/>
    <n v="0"/>
    <n v="0"/>
    <s v="No Rota"/>
    <x v="1"/>
    <s v="NO"/>
    <s v="SI"/>
    <s v="NO"/>
    <s v="NO"/>
  </r>
  <r>
    <x v="380"/>
    <x v="328"/>
    <x v="6"/>
    <x v="3"/>
    <x v="0"/>
    <x v="3"/>
    <n v="0"/>
    <n v="0"/>
    <n v="1000"/>
    <n v="0"/>
    <n v="1500"/>
    <n v="0"/>
    <n v="0"/>
    <n v="0"/>
    <n v="0"/>
    <n v="0"/>
    <n v="0"/>
    <n v="0"/>
    <n v="1250"/>
    <n v="11530"/>
    <n v="0"/>
    <s v="No Rota"/>
    <x v="1"/>
    <s v="NO"/>
    <s v="SI"/>
    <s v="NO"/>
    <s v="NO"/>
  </r>
  <r>
    <x v="381"/>
    <x v="329"/>
    <x v="6"/>
    <x v="3"/>
    <x v="0"/>
    <x v="2"/>
    <n v="627"/>
    <n v="605"/>
    <n v="620"/>
    <n v="526"/>
    <n v="597"/>
    <n v="588"/>
    <n v="633"/>
    <n v="706"/>
    <n v="662"/>
    <n v="2164"/>
    <n v="506"/>
    <n v="4274"/>
    <n v="1042.3333333333333"/>
    <n v="957"/>
    <n v="4"/>
    <n v="0.91813239526702917"/>
    <x v="3"/>
    <s v="NO"/>
    <s v="SI"/>
    <s v="NO"/>
    <s v="NO"/>
  </r>
  <r>
    <x v="382"/>
    <x v="330"/>
    <x v="6"/>
    <x v="3"/>
    <x v="0"/>
    <x v="2"/>
    <n v="0"/>
    <n v="10"/>
    <n v="132"/>
    <n v="0"/>
    <n v="200"/>
    <n v="674"/>
    <n v="100"/>
    <n v="0"/>
    <n v="0"/>
    <n v="78"/>
    <n v="0"/>
    <n v="774"/>
    <n v="281.14285714285717"/>
    <n v="1782"/>
    <n v="2"/>
    <n v="6.338414634146341"/>
    <x v="2"/>
    <s v="NO"/>
    <s v="NO"/>
    <s v="NO"/>
    <s v="NO"/>
  </r>
  <r>
    <x v="383"/>
    <x v="331"/>
    <x v="120"/>
    <x v="1"/>
    <x v="0"/>
    <x v="0"/>
    <n v="17"/>
    <n v="4"/>
    <n v="11"/>
    <n v="11"/>
    <n v="7"/>
    <n v="15"/>
    <n v="17"/>
    <n v="16"/>
    <n v="19"/>
    <n v="65"/>
    <n v="16"/>
    <n v="104"/>
    <n v="25.166666666666668"/>
    <n v="109"/>
    <n v="4"/>
    <n v="4.331125827814569"/>
    <x v="0"/>
    <s v="SI"/>
    <s v="NO"/>
    <s v="NO"/>
    <s v="NO"/>
  </r>
  <r>
    <x v="384"/>
    <x v="332"/>
    <x v="97"/>
    <x v="2"/>
    <x v="49"/>
    <x v="0"/>
    <n v="0"/>
    <n v="0"/>
    <n v="0"/>
    <n v="1"/>
    <n v="0"/>
    <n v="8"/>
    <n v="3"/>
    <n v="8"/>
    <n v="2"/>
    <n v="1"/>
    <n v="3"/>
    <n v="32"/>
    <n v="7.25"/>
    <n v="47"/>
    <n v="4"/>
    <n v="6.4827586206896548"/>
    <x v="2"/>
    <s v="SI"/>
    <s v="NO"/>
    <s v="NO"/>
    <s v="NO"/>
  </r>
  <r>
    <x v="385"/>
    <x v="332"/>
    <x v="25"/>
    <x v="0"/>
    <x v="0"/>
    <x v="0"/>
    <n v="128"/>
    <n v="210"/>
    <n v="120"/>
    <n v="142"/>
    <n v="205"/>
    <n v="248"/>
    <n v="155"/>
    <n v="67"/>
    <n v="115"/>
    <n v="458"/>
    <n v="219"/>
    <n v="1295"/>
    <n v="280.16666666666669"/>
    <n v="736"/>
    <n v="4"/>
    <n v="2.6270077334919688"/>
    <x v="0"/>
    <s v="SI"/>
    <s v="NO"/>
    <s v="NO"/>
    <s v="NO"/>
  </r>
  <r>
    <x v="386"/>
    <x v="333"/>
    <x v="25"/>
    <x v="0"/>
    <x v="0"/>
    <x v="0"/>
    <n v="129"/>
    <n v="104"/>
    <n v="195"/>
    <n v="113"/>
    <n v="202"/>
    <n v="243"/>
    <n v="104"/>
    <n v="158"/>
    <n v="226"/>
    <n v="1344"/>
    <n v="172"/>
    <n v="1310"/>
    <n v="358.33333333333331"/>
    <n v="13090"/>
    <n v="4"/>
    <n v="36.530232558139538"/>
    <x v="2"/>
    <s v="SI"/>
    <s v="NO"/>
    <s v="NO"/>
    <s v="NO"/>
  </r>
  <r>
    <x v="387"/>
    <x v="334"/>
    <x v="121"/>
    <x v="0"/>
    <x v="50"/>
    <x v="0"/>
    <n v="0"/>
    <n v="0"/>
    <n v="1"/>
    <n v="0"/>
    <n v="0"/>
    <n v="0"/>
    <n v="0"/>
    <n v="0"/>
    <n v="0"/>
    <n v="1"/>
    <n v="0"/>
    <n v="0"/>
    <n v="1"/>
    <n v="58"/>
    <n v="1"/>
    <n v="58"/>
    <x v="2"/>
    <s v="NO"/>
    <s v="NO"/>
    <s v="SI"/>
    <s v="NO"/>
  </r>
  <r>
    <x v="388"/>
    <x v="335"/>
    <x v="122"/>
    <x v="0"/>
    <x v="0"/>
    <x v="0"/>
    <n v="2079"/>
    <n v="3752"/>
    <n v="2229"/>
    <n v="2171"/>
    <n v="2332"/>
    <n v="2118"/>
    <n v="1879"/>
    <n v="2957"/>
    <n v="2700"/>
    <n v="4966"/>
    <n v="1980"/>
    <n v="16118"/>
    <n v="3773.4166666666665"/>
    <n v="1899"/>
    <n v="4"/>
    <n v="0.50325743689406155"/>
    <x v="3"/>
    <s v="SI"/>
    <s v="NO"/>
    <s v="NO"/>
    <s v="NO"/>
  </r>
  <r>
    <x v="389"/>
    <x v="336"/>
    <x v="123"/>
    <x v="9"/>
    <x v="51"/>
    <x v="0"/>
    <n v="25"/>
    <n v="43"/>
    <n v="70"/>
    <n v="68"/>
    <n v="85"/>
    <n v="50"/>
    <n v="86"/>
    <n v="81"/>
    <n v="21"/>
    <n v="7"/>
    <n v="0"/>
    <n v="244"/>
    <n v="70.909090909090907"/>
    <n v="0"/>
    <n v="3"/>
    <n v="0"/>
    <x v="4"/>
    <s v="SI"/>
    <s v="NO"/>
    <s v="NO"/>
    <s v="NO"/>
  </r>
  <r>
    <x v="390"/>
    <x v="337"/>
    <x v="124"/>
    <x v="1"/>
    <x v="52"/>
    <x v="0"/>
    <n v="39"/>
    <n v="55"/>
    <n v="47"/>
    <n v="27"/>
    <n v="49"/>
    <n v="34"/>
    <n v="42"/>
    <n v="52"/>
    <n v="53"/>
    <n v="40"/>
    <n v="0"/>
    <n v="217"/>
    <n v="59.545454545454547"/>
    <n v="0"/>
    <n v="3"/>
    <n v="0"/>
    <x v="4"/>
    <s v="SI"/>
    <s v="NO"/>
    <s v="NO"/>
    <s v="NO"/>
  </r>
  <r>
    <x v="391"/>
    <x v="338"/>
    <x v="125"/>
    <x v="1"/>
    <x v="5"/>
    <x v="0"/>
    <n v="139"/>
    <n v="133"/>
    <n v="113"/>
    <n v="137"/>
    <n v="141"/>
    <n v="115"/>
    <n v="153"/>
    <n v="167"/>
    <n v="120"/>
    <n v="241"/>
    <n v="105"/>
    <n v="888"/>
    <n v="204.33333333333334"/>
    <n v="20"/>
    <n v="4"/>
    <n v="9.7879282218597055E-2"/>
    <x v="3"/>
    <s v="SI"/>
    <s v="NO"/>
    <s v="NO"/>
    <s v="NO"/>
  </r>
  <r>
    <x v="392"/>
    <x v="339"/>
    <x v="126"/>
    <x v="1"/>
    <x v="5"/>
    <x v="1"/>
    <n v="1073"/>
    <n v="1066"/>
    <n v="982"/>
    <n v="997"/>
    <n v="1091"/>
    <n v="1150"/>
    <n v="1142"/>
    <n v="1256"/>
    <n v="1145"/>
    <n v="2350"/>
    <n v="914"/>
    <n v="7676"/>
    <n v="1736.8333333333333"/>
    <n v="474"/>
    <n v="4"/>
    <n v="0.27291046924479417"/>
    <x v="3"/>
    <s v="SI"/>
    <s v="NO"/>
    <s v="NO"/>
    <s v="NO"/>
  </r>
  <r>
    <x v="393"/>
    <x v="340"/>
    <x v="6"/>
    <x v="3"/>
    <x v="0"/>
    <x v="2"/>
    <n v="731"/>
    <n v="678"/>
    <n v="792"/>
    <n v="954"/>
    <n v="1066"/>
    <n v="1246"/>
    <n v="1153"/>
    <n v="1242"/>
    <n v="1220"/>
    <n v="2798"/>
    <n v="1246"/>
    <n v="8621"/>
    <n v="1812.25"/>
    <n v="1418"/>
    <n v="4"/>
    <n v="0.78245275210373844"/>
    <x v="3"/>
    <s v="NO"/>
    <s v="SI"/>
    <s v="NO"/>
    <s v="NO"/>
  </r>
  <r>
    <x v="394"/>
    <x v="341"/>
    <x v="6"/>
    <x v="3"/>
    <x v="0"/>
    <x v="2"/>
    <n v="0"/>
    <n v="13"/>
    <n v="20"/>
    <n v="30"/>
    <n v="28"/>
    <n v="18"/>
    <n v="40"/>
    <n v="54"/>
    <n v="7"/>
    <n v="55"/>
    <n v="3"/>
    <n v="176"/>
    <n v="40.363636363636367"/>
    <n v="331"/>
    <n v="4"/>
    <n v="8.2004504504504503"/>
    <x v="2"/>
    <s v="NO"/>
    <s v="SI"/>
    <s v="NO"/>
    <s v="NO"/>
  </r>
  <r>
    <x v="395"/>
    <x v="342"/>
    <x v="101"/>
    <x v="1"/>
    <x v="49"/>
    <x v="1"/>
    <n v="13"/>
    <n v="0"/>
    <n v="30"/>
    <n v="14"/>
    <n v="47"/>
    <n v="10"/>
    <n v="8"/>
    <n v="22"/>
    <n v="6"/>
    <n v="113"/>
    <n v="24"/>
    <n v="102"/>
    <n v="35.363636363636367"/>
    <n v="298"/>
    <n v="4"/>
    <n v="8.4267352185089965"/>
    <x v="2"/>
    <s v="NO"/>
    <s v="NO"/>
    <s v="NO"/>
    <s v="NO"/>
  </r>
  <r>
    <x v="396"/>
    <x v="343"/>
    <x v="9"/>
    <x v="1"/>
    <x v="13"/>
    <x v="0"/>
    <n v="51"/>
    <n v="29"/>
    <n v="39"/>
    <n v="48"/>
    <n v="68"/>
    <n v="81"/>
    <n v="66"/>
    <n v="73"/>
    <n v="40"/>
    <n v="121"/>
    <n v="76"/>
    <n v="436"/>
    <n v="94"/>
    <n v="246"/>
    <n v="4"/>
    <n v="2.6170212765957448"/>
    <x v="0"/>
    <s v="NO"/>
    <s v="NO"/>
    <s v="NO"/>
    <s v="NO"/>
  </r>
  <r>
    <x v="397"/>
    <x v="344"/>
    <x v="6"/>
    <x v="3"/>
    <x v="0"/>
    <x v="2"/>
    <n v="1169"/>
    <n v="1027"/>
    <n v="965"/>
    <n v="949"/>
    <n v="987"/>
    <n v="1112"/>
    <n v="982"/>
    <n v="1207"/>
    <n v="1543"/>
    <n v="1035"/>
    <n v="829"/>
    <n v="7321"/>
    <n v="1593.8333333333333"/>
    <n v="12912"/>
    <n v="4"/>
    <n v="8.1012234654397162"/>
    <x v="2"/>
    <s v="NO"/>
    <s v="SI"/>
    <s v="NO"/>
    <s v="NO"/>
  </r>
  <r>
    <x v="398"/>
    <x v="345"/>
    <x v="6"/>
    <x v="3"/>
    <x v="0"/>
    <x v="2"/>
    <n v="2968"/>
    <n v="2889"/>
    <n v="2870"/>
    <n v="2627"/>
    <n v="2939"/>
    <n v="2922"/>
    <n v="2828"/>
    <n v="2748"/>
    <n v="1949"/>
    <n v="3373"/>
    <n v="1979"/>
    <n v="17350"/>
    <n v="3953.5"/>
    <n v="23004"/>
    <n v="4"/>
    <n v="5.8186417098773235"/>
    <x v="0"/>
    <s v="NO"/>
    <s v="SI"/>
    <s v="NO"/>
    <s v="NO"/>
  </r>
  <r>
    <x v="399"/>
    <x v="346"/>
    <x v="6"/>
    <x v="3"/>
    <x v="0"/>
    <x v="2"/>
    <n v="306"/>
    <n v="334"/>
    <n v="376"/>
    <n v="405"/>
    <n v="242"/>
    <n v="423"/>
    <n v="488"/>
    <n v="483"/>
    <n v="960"/>
    <n v="2120"/>
    <n v="953"/>
    <n v="4467"/>
    <n v="963.08333333333337"/>
    <n v="5020"/>
    <n v="4"/>
    <n v="5.2124253699056844"/>
    <x v="0"/>
    <s v="NO"/>
    <s v="SI"/>
    <s v="NO"/>
    <s v="NO"/>
  </r>
  <r>
    <x v="400"/>
    <x v="347"/>
    <x v="127"/>
    <x v="0"/>
    <x v="0"/>
    <x v="0"/>
    <n v="0"/>
    <n v="0"/>
    <n v="120"/>
    <n v="0"/>
    <n v="0"/>
    <n v="120"/>
    <n v="0"/>
    <n v="120"/>
    <n v="0"/>
    <n v="120"/>
    <n v="0"/>
    <n v="240"/>
    <n v="144"/>
    <n v="360"/>
    <n v="2"/>
    <n v="2.5"/>
    <x v="0"/>
    <s v="NO"/>
    <s v="NO"/>
    <s v="SI"/>
    <s v="NO"/>
  </r>
  <r>
    <x v="401"/>
    <x v="348"/>
    <x v="22"/>
    <x v="0"/>
    <x v="0"/>
    <x v="0"/>
    <n v="1644"/>
    <n v="1407"/>
    <n v="1532"/>
    <n v="1578"/>
    <n v="1459"/>
    <n v="1452"/>
    <n v="50"/>
    <n v="52"/>
    <n v="1019"/>
    <n v="2512"/>
    <n v="1208"/>
    <n v="5395"/>
    <n v="1609"/>
    <n v="11075"/>
    <n v="4"/>
    <n v="6.8831572405220633"/>
    <x v="2"/>
    <s v="SI"/>
    <s v="NO"/>
    <s v="NO"/>
    <s v="NO"/>
  </r>
  <r>
    <x v="402"/>
    <x v="348"/>
    <x v="128"/>
    <x v="10"/>
    <x v="19"/>
    <x v="0"/>
    <n v="0"/>
    <n v="0"/>
    <n v="2"/>
    <n v="2"/>
    <n v="0"/>
    <n v="0"/>
    <n v="0"/>
    <n v="0"/>
    <n v="0"/>
    <n v="0"/>
    <n v="0"/>
    <n v="2"/>
    <n v="2"/>
    <n v="13"/>
    <n v="1"/>
    <n v="6.5"/>
    <x v="2"/>
    <s v="SI"/>
    <s v="NO"/>
    <s v="NO"/>
    <s v="NO"/>
  </r>
  <r>
    <x v="403"/>
    <x v="349"/>
    <x v="17"/>
    <x v="0"/>
    <x v="0"/>
    <x v="1"/>
    <n v="7684"/>
    <n v="8758"/>
    <n v="7247"/>
    <n v="8620"/>
    <n v="8391"/>
    <n v="8547"/>
    <n v="7822"/>
    <n v="10110"/>
    <n v="8722"/>
    <n v="10194"/>
    <n v="1445"/>
    <n v="43463"/>
    <n v="10916.916666666666"/>
    <n v="0"/>
    <n v="4"/>
    <n v="0"/>
    <x v="4"/>
    <s v="SI"/>
    <s v="NO"/>
    <s v="NO"/>
    <s v="NO"/>
  </r>
  <r>
    <x v="404"/>
    <x v="350"/>
    <x v="129"/>
    <x v="1"/>
    <x v="1"/>
    <x v="0"/>
    <n v="1713"/>
    <n v="1259"/>
    <n v="1614"/>
    <n v="1714"/>
    <n v="1314"/>
    <n v="1510"/>
    <n v="1205"/>
    <n v="1367"/>
    <n v="1728"/>
    <n v="3609"/>
    <n v="1486"/>
    <n v="10195"/>
    <n v="2392.8333333333335"/>
    <n v="6000"/>
    <n v="4"/>
    <n v="2.5074876366929022"/>
    <x v="0"/>
    <s v="SI"/>
    <s v="NO"/>
    <s v="NO"/>
    <s v="NO"/>
  </r>
  <r>
    <x v="405"/>
    <x v="351"/>
    <x v="6"/>
    <x v="3"/>
    <x v="0"/>
    <x v="2"/>
    <n v="150"/>
    <n v="15"/>
    <n v="0"/>
    <n v="500"/>
    <n v="0"/>
    <n v="1400"/>
    <n v="0"/>
    <n v="0"/>
    <n v="0"/>
    <n v="0"/>
    <n v="0"/>
    <n v="1400"/>
    <n v="693"/>
    <n v="1283"/>
    <n v="1"/>
    <n v="1.8513708513708513"/>
    <x v="3"/>
    <s v="NO"/>
    <s v="NO"/>
    <s v="NO"/>
    <s v="NO"/>
  </r>
  <r>
    <x v="406"/>
    <x v="352"/>
    <x v="6"/>
    <x v="3"/>
    <x v="0"/>
    <x v="2"/>
    <n v="150"/>
    <n v="15"/>
    <n v="0"/>
    <n v="500"/>
    <n v="0"/>
    <n v="940"/>
    <n v="0"/>
    <n v="0"/>
    <n v="0"/>
    <n v="0"/>
    <n v="0"/>
    <n v="940"/>
    <n v="509"/>
    <n v="7450"/>
    <n v="1"/>
    <n v="14.636542239685658"/>
    <x v="2"/>
    <s v="NO"/>
    <s v="NO"/>
    <s v="NO"/>
    <s v="NO"/>
  </r>
  <r>
    <x v="407"/>
    <x v="353"/>
    <x v="6"/>
    <x v="3"/>
    <x v="33"/>
    <x v="2"/>
    <n v="0"/>
    <n v="0"/>
    <n v="0"/>
    <n v="0"/>
    <n v="0"/>
    <n v="0"/>
    <n v="190"/>
    <n v="1025"/>
    <n v="105"/>
    <n v="0"/>
    <n v="0"/>
    <n v="1320"/>
    <n v="660"/>
    <n v="428"/>
    <n v="2"/>
    <n v="0.64848484848484844"/>
    <x v="3"/>
    <s v="NO"/>
    <s v="NO"/>
    <s v="NO"/>
    <s v="NO"/>
  </r>
  <r>
    <x v="408"/>
    <x v="353"/>
    <x v="6"/>
    <x v="3"/>
    <x v="34"/>
    <x v="2"/>
    <n v="0"/>
    <n v="0"/>
    <n v="0"/>
    <n v="0"/>
    <n v="0"/>
    <n v="0"/>
    <n v="160"/>
    <n v="2505"/>
    <n v="150"/>
    <n v="0"/>
    <n v="0"/>
    <n v="2815"/>
    <n v="1407.5"/>
    <n v="0"/>
    <n v="2"/>
    <n v="0"/>
    <x v="4"/>
    <s v="NO"/>
    <s v="NO"/>
    <s v="NO"/>
    <s v="NO"/>
  </r>
  <r>
    <x v="409"/>
    <x v="353"/>
    <x v="6"/>
    <x v="3"/>
    <x v="35"/>
    <x v="2"/>
    <n v="0"/>
    <n v="0"/>
    <n v="0"/>
    <n v="0"/>
    <n v="0"/>
    <n v="0"/>
    <n v="0"/>
    <n v="0"/>
    <n v="0"/>
    <n v="350"/>
    <n v="0"/>
    <n v="0"/>
    <n v="350"/>
    <n v="1018"/>
    <n v="1"/>
    <n v="2.9085714285714284"/>
    <x v="0"/>
    <s v="NO"/>
    <s v="NO"/>
    <s v="NO"/>
    <s v="NO"/>
  </r>
  <r>
    <x v="410"/>
    <x v="354"/>
    <x v="6"/>
    <x v="3"/>
    <x v="53"/>
    <x v="2"/>
    <n v="7000"/>
    <n v="3678"/>
    <n v="3572"/>
    <n v="5922"/>
    <n v="2400"/>
    <n v="2245"/>
    <n v="637"/>
    <n v="2105"/>
    <n v="2170"/>
    <n v="2200"/>
    <n v="0"/>
    <n v="7157"/>
    <n v="3553.2727272727275"/>
    <n v="8212"/>
    <n v="3"/>
    <n v="2.3111088369237067"/>
    <x v="0"/>
    <s v="NO"/>
    <s v="NO"/>
    <s v="NO"/>
    <s v="NO"/>
  </r>
  <r>
    <x v="411"/>
    <x v="354"/>
    <x v="6"/>
    <x v="3"/>
    <x v="54"/>
    <x v="2"/>
    <n v="50"/>
    <n v="0"/>
    <n v="100"/>
    <n v="278"/>
    <n v="0"/>
    <n v="400"/>
    <n v="0"/>
    <n v="400"/>
    <n v="200"/>
    <n v="550"/>
    <n v="0"/>
    <n v="1000"/>
    <n v="372.25"/>
    <n v="61"/>
    <n v="3"/>
    <n v="0.16386836803223639"/>
    <x v="3"/>
    <s v="NO"/>
    <s v="NO"/>
    <s v="NO"/>
    <s v="NO"/>
  </r>
  <r>
    <x v="412"/>
    <x v="355"/>
    <x v="6"/>
    <x v="3"/>
    <x v="55"/>
    <x v="2"/>
    <n v="4500"/>
    <n v="3010"/>
    <n v="5330"/>
    <n v="5345"/>
    <n v="7470"/>
    <n v="9864"/>
    <n v="4650"/>
    <n v="2570"/>
    <n v="6550"/>
    <n v="5868"/>
    <n v="0"/>
    <n v="23634"/>
    <n v="7162.818181818182"/>
    <n v="6000"/>
    <n v="3"/>
    <n v="0.83765912350395344"/>
    <x v="3"/>
    <s v="NO"/>
    <s v="NO"/>
    <s v="NO"/>
    <s v="NO"/>
  </r>
  <r>
    <x v="413"/>
    <x v="356"/>
    <x v="6"/>
    <x v="3"/>
    <x v="0"/>
    <x v="2"/>
    <n v="0"/>
    <n v="0"/>
    <n v="0"/>
    <n v="0"/>
    <n v="0"/>
    <n v="0"/>
    <n v="0"/>
    <n v="0"/>
    <n v="0"/>
    <n v="0"/>
    <n v="0"/>
    <n v="0"/>
    <n v="0"/>
    <n v="0"/>
    <n v="0"/>
    <s v="No Rota"/>
    <x v="1"/>
    <s v="NO"/>
    <s v="NO"/>
    <s v="NO"/>
    <s v="NO"/>
  </r>
  <r>
    <x v="414"/>
    <x v="357"/>
    <x v="6"/>
    <x v="3"/>
    <x v="0"/>
    <x v="3"/>
    <n v="0"/>
    <n v="0"/>
    <n v="0"/>
    <n v="0"/>
    <n v="0"/>
    <n v="0"/>
    <n v="0"/>
    <n v="0"/>
    <n v="0"/>
    <n v="0"/>
    <n v="0"/>
    <n v="18"/>
    <n v="18"/>
    <n v="324"/>
    <n v="1"/>
    <n v="18"/>
    <x v="2"/>
    <s v="NO"/>
    <s v="NO"/>
    <s v="NO"/>
    <s v="NO"/>
  </r>
  <r>
    <x v="415"/>
    <x v="358"/>
    <x v="6"/>
    <x v="3"/>
    <x v="0"/>
    <x v="2"/>
    <n v="25"/>
    <n v="16"/>
    <n v="30"/>
    <n v="30"/>
    <n v="16"/>
    <n v="15"/>
    <n v="28"/>
    <n v="26"/>
    <n v="21"/>
    <n v="41"/>
    <n v="26"/>
    <n v="141"/>
    <n v="34.583333333333336"/>
    <n v="5"/>
    <n v="4"/>
    <n v="0.14457831325301204"/>
    <x v="3"/>
    <s v="NO"/>
    <s v="NO"/>
    <s v="NO"/>
    <s v="NO"/>
  </r>
  <r>
    <x v="416"/>
    <x v="359"/>
    <x v="130"/>
    <x v="1"/>
    <x v="4"/>
    <x v="0"/>
    <n v="1"/>
    <n v="5"/>
    <n v="0"/>
    <n v="2"/>
    <n v="0"/>
    <n v="1"/>
    <n v="6"/>
    <n v="0"/>
    <n v="1"/>
    <n v="5"/>
    <n v="0"/>
    <n v="15"/>
    <n v="4.5"/>
    <n v="70"/>
    <n v="3"/>
    <n v="15.555555555555555"/>
    <x v="2"/>
    <s v="SI"/>
    <s v="NO"/>
    <s v="NO"/>
    <s v="NO"/>
  </r>
  <r>
    <x v="417"/>
    <x v="360"/>
    <x v="6"/>
    <x v="3"/>
    <x v="0"/>
    <x v="2"/>
    <n v="1"/>
    <n v="0"/>
    <n v="0"/>
    <n v="0"/>
    <n v="0"/>
    <n v="5"/>
    <n v="0"/>
    <n v="1"/>
    <n v="0"/>
    <n v="5"/>
    <n v="1"/>
    <n v="8"/>
    <n v="3.5"/>
    <n v="5"/>
    <n v="3"/>
    <n v="1.4285714285714286"/>
    <x v="3"/>
    <s v="NO"/>
    <s v="SI"/>
    <s v="NO"/>
    <s v="NO"/>
  </r>
  <r>
    <x v="418"/>
    <x v="361"/>
    <x v="6"/>
    <x v="3"/>
    <x v="0"/>
    <x v="2"/>
    <n v="0"/>
    <n v="0"/>
    <n v="0"/>
    <n v="0"/>
    <n v="0"/>
    <n v="0"/>
    <n v="0"/>
    <n v="1"/>
    <n v="0"/>
    <n v="0"/>
    <n v="0"/>
    <n v="1"/>
    <n v="1"/>
    <n v="14"/>
    <n v="1"/>
    <n v="14"/>
    <x v="2"/>
    <s v="NO"/>
    <s v="SI"/>
    <s v="NO"/>
    <s v="NO"/>
  </r>
  <r>
    <x v="419"/>
    <x v="362"/>
    <x v="6"/>
    <x v="3"/>
    <x v="0"/>
    <x v="2"/>
    <n v="0"/>
    <n v="0"/>
    <n v="0"/>
    <n v="0"/>
    <n v="0"/>
    <n v="0"/>
    <n v="0"/>
    <n v="0"/>
    <n v="0"/>
    <n v="0"/>
    <n v="0"/>
    <n v="0"/>
    <n v="0"/>
    <n v="0"/>
    <n v="0"/>
    <s v="No Rota"/>
    <x v="1"/>
    <s v="NO"/>
    <s v="SI"/>
    <s v="NO"/>
    <s v="NO"/>
  </r>
  <r>
    <x v="420"/>
    <x v="363"/>
    <x v="6"/>
    <x v="3"/>
    <x v="0"/>
    <x v="2"/>
    <n v="5"/>
    <n v="4"/>
    <n v="5"/>
    <n v="6"/>
    <n v="6"/>
    <n v="3"/>
    <n v="6"/>
    <n v="3"/>
    <n v="6"/>
    <n v="26"/>
    <n v="1"/>
    <n v="34"/>
    <n v="8.75"/>
    <n v="173"/>
    <n v="4"/>
    <n v="19.771428571428572"/>
    <x v="2"/>
    <s v="NO"/>
    <s v="SI"/>
    <s v="NO"/>
    <s v="NO"/>
  </r>
  <r>
    <x v="421"/>
    <x v="364"/>
    <x v="6"/>
    <x v="3"/>
    <x v="0"/>
    <x v="2"/>
    <n v="24"/>
    <n v="17"/>
    <n v="21"/>
    <n v="18"/>
    <n v="21"/>
    <n v="22"/>
    <n v="13"/>
    <n v="17"/>
    <n v="29"/>
    <n v="40"/>
    <n v="16"/>
    <n v="136"/>
    <n v="31.166666666666668"/>
    <n v="78"/>
    <n v="4"/>
    <n v="2.5026737967914436"/>
    <x v="0"/>
    <s v="NO"/>
    <s v="SI"/>
    <s v="NO"/>
    <s v="NO"/>
  </r>
  <r>
    <x v="422"/>
    <x v="365"/>
    <x v="6"/>
    <x v="3"/>
    <x v="0"/>
    <x v="2"/>
    <n v="67"/>
    <n v="65"/>
    <n v="85"/>
    <n v="99"/>
    <n v="62"/>
    <n v="59"/>
    <n v="100"/>
    <n v="100"/>
    <n v="79"/>
    <n v="2"/>
    <n v="0"/>
    <n v="366"/>
    <n v="98.545454545454547"/>
    <n v="2456"/>
    <n v="3"/>
    <n v="24.922509225092252"/>
    <x v="2"/>
    <s v="NO"/>
    <s v="SI"/>
    <s v="NO"/>
    <s v="NO"/>
  </r>
  <r>
    <x v="423"/>
    <x v="366"/>
    <x v="6"/>
    <x v="3"/>
    <x v="0"/>
    <x v="2"/>
    <n v="1"/>
    <n v="0"/>
    <n v="6"/>
    <n v="2"/>
    <n v="5"/>
    <n v="10"/>
    <n v="4"/>
    <n v="2"/>
    <n v="4"/>
    <n v="2"/>
    <n v="2"/>
    <n v="26"/>
    <n v="5.8181818181818183"/>
    <n v="259"/>
    <n v="4"/>
    <n v="44.515625"/>
    <x v="2"/>
    <s v="NO"/>
    <s v="SI"/>
    <s v="NO"/>
    <s v="NO"/>
  </r>
  <r>
    <x v="424"/>
    <x v="367"/>
    <x v="6"/>
    <x v="3"/>
    <x v="0"/>
    <x v="2"/>
    <n v="4"/>
    <n v="6"/>
    <n v="5"/>
    <n v="12"/>
    <n v="8"/>
    <n v="5"/>
    <n v="1"/>
    <n v="7"/>
    <n v="6"/>
    <n v="25"/>
    <n v="13"/>
    <n v="49"/>
    <n v="11.75"/>
    <n v="614"/>
    <n v="4"/>
    <n v="52.255319148936174"/>
    <x v="2"/>
    <s v="NO"/>
    <s v="SI"/>
    <s v="NO"/>
    <s v="NO"/>
  </r>
  <r>
    <x v="425"/>
    <x v="368"/>
    <x v="6"/>
    <x v="3"/>
    <x v="0"/>
    <x v="2"/>
    <n v="4"/>
    <n v="8"/>
    <n v="6"/>
    <n v="12"/>
    <n v="5"/>
    <n v="9"/>
    <n v="4"/>
    <n v="15"/>
    <n v="11"/>
    <n v="17"/>
    <n v="4"/>
    <n v="62"/>
    <n v="13.083333333333334"/>
    <n v="278"/>
    <n v="4"/>
    <n v="21.248407643312103"/>
    <x v="2"/>
    <s v="NO"/>
    <s v="SI"/>
    <s v="NO"/>
    <s v="NO"/>
  </r>
  <r>
    <x v="426"/>
    <x v="369"/>
    <x v="6"/>
    <x v="3"/>
    <x v="0"/>
    <x v="2"/>
    <n v="0"/>
    <n v="0"/>
    <n v="0"/>
    <n v="0"/>
    <n v="0"/>
    <n v="0"/>
    <n v="0"/>
    <n v="0"/>
    <n v="0"/>
    <n v="0"/>
    <n v="0"/>
    <n v="0"/>
    <n v="0"/>
    <n v="0"/>
    <n v="0"/>
    <s v="No Rota"/>
    <x v="1"/>
    <s v="NO"/>
    <s v="NO"/>
    <s v="NO"/>
    <s v="NO"/>
  </r>
  <r>
    <x v="427"/>
    <x v="370"/>
    <x v="6"/>
    <x v="3"/>
    <x v="0"/>
    <x v="2"/>
    <n v="53900"/>
    <n v="40500"/>
    <n v="51400"/>
    <n v="49950"/>
    <n v="58800"/>
    <n v="49200"/>
    <n v="44100"/>
    <n v="8550"/>
    <n v="0"/>
    <n v="23650"/>
    <n v="0"/>
    <n v="101850"/>
    <n v="48190"/>
    <n v="181250"/>
    <n v="2"/>
    <n v="3.7611537663415646"/>
    <x v="0"/>
    <s v="NO"/>
    <s v="SI"/>
    <s v="NO"/>
    <s v="NO"/>
  </r>
  <r>
    <x v="428"/>
    <x v="371"/>
    <x v="6"/>
    <x v="3"/>
    <x v="0"/>
    <x v="2"/>
    <n v="6410"/>
    <n v="5888"/>
    <n v="7108"/>
    <n v="5940"/>
    <n v="6912"/>
    <n v="7134"/>
    <n v="6764"/>
    <n v="2361"/>
    <n v="324"/>
    <n v="132"/>
    <n v="0"/>
    <n v="16583"/>
    <n v="5959.636363636364"/>
    <n v="19"/>
    <n v="3"/>
    <n v="3.1881139788882784E-3"/>
    <x v="3"/>
    <s v="NO"/>
    <s v="NO"/>
    <s v="NO"/>
    <s v="NO"/>
  </r>
  <r>
    <x v="429"/>
    <x v="372"/>
    <x v="2"/>
    <x v="0"/>
    <x v="0"/>
    <x v="0"/>
    <n v="0"/>
    <n v="0"/>
    <n v="0"/>
    <n v="0"/>
    <n v="0"/>
    <n v="0"/>
    <n v="0"/>
    <n v="0"/>
    <n v="10"/>
    <n v="40"/>
    <n v="50"/>
    <n v="100"/>
    <n v="50"/>
    <n v="70"/>
    <n v="4"/>
    <n v="1.4"/>
    <x v="3"/>
    <s v="SI"/>
    <s v="NO"/>
    <s v="NO"/>
    <s v="NO"/>
  </r>
  <r>
    <x v="430"/>
    <x v="372"/>
    <x v="8"/>
    <x v="4"/>
    <x v="56"/>
    <x v="0"/>
    <n v="4"/>
    <n v="16"/>
    <n v="6"/>
    <n v="9"/>
    <n v="2"/>
    <n v="4"/>
    <n v="8"/>
    <n v="7"/>
    <n v="7"/>
    <n v="12"/>
    <n v="21"/>
    <n v="51"/>
    <n v="12.25"/>
    <n v="17"/>
    <n v="4"/>
    <n v="1.3877551020408163"/>
    <x v="3"/>
    <s v="SI"/>
    <s v="NO"/>
    <s v="NO"/>
    <s v="NO"/>
  </r>
  <r>
    <x v="431"/>
    <x v="373"/>
    <x v="6"/>
    <x v="8"/>
    <x v="0"/>
    <x v="2"/>
    <n v="26"/>
    <n v="27"/>
    <n v="34"/>
    <n v="34"/>
    <n v="19"/>
    <n v="36"/>
    <n v="38"/>
    <n v="34"/>
    <n v="47"/>
    <n v="68"/>
    <n v="35"/>
    <n v="261"/>
    <n v="54.916666666666664"/>
    <n v="42"/>
    <n v="4"/>
    <n v="0.76479514415781491"/>
    <x v="3"/>
    <s v="NO"/>
    <s v="SI"/>
    <s v="NO"/>
    <s v="NO"/>
  </r>
  <r>
    <x v="432"/>
    <x v="374"/>
    <x v="6"/>
    <x v="8"/>
    <x v="0"/>
    <x v="2"/>
    <n v="15"/>
    <n v="15"/>
    <n v="18"/>
    <n v="32"/>
    <n v="23"/>
    <n v="25"/>
    <n v="24"/>
    <n v="36"/>
    <n v="20"/>
    <n v="39"/>
    <n v="10"/>
    <n v="140"/>
    <n v="33.083333333333336"/>
    <n v="19"/>
    <n v="4"/>
    <n v="0.5743073047858942"/>
    <x v="3"/>
    <s v="NO"/>
    <s v="SI"/>
    <s v="NO"/>
    <s v="NO"/>
  </r>
  <r>
    <x v="433"/>
    <x v="375"/>
    <x v="6"/>
    <x v="3"/>
    <x v="0"/>
    <x v="2"/>
    <n v="4"/>
    <n v="0"/>
    <n v="0"/>
    <n v="0"/>
    <n v="0"/>
    <n v="0"/>
    <n v="3"/>
    <n v="0"/>
    <n v="0"/>
    <n v="0"/>
    <n v="0"/>
    <n v="6"/>
    <n v="4.333333333333333"/>
    <n v="87"/>
    <n v="1"/>
    <n v="20.076923076923077"/>
    <x v="2"/>
    <s v="NO"/>
    <s v="SI"/>
    <s v="NO"/>
    <s v="NO"/>
  </r>
  <r>
    <x v="434"/>
    <x v="376"/>
    <x v="131"/>
    <x v="1"/>
    <x v="14"/>
    <x v="0"/>
    <n v="472"/>
    <n v="457"/>
    <n v="367"/>
    <n v="340"/>
    <n v="407"/>
    <n v="487"/>
    <n v="438"/>
    <n v="444"/>
    <n v="436"/>
    <n v="721"/>
    <n v="486"/>
    <n v="3051"/>
    <n v="675.5"/>
    <n v="892"/>
    <n v="4"/>
    <n v="1.3205033308660252"/>
    <x v="3"/>
    <s v="NO"/>
    <s v="NO"/>
    <s v="SI"/>
    <s v="NO"/>
  </r>
  <r>
    <x v="435"/>
    <x v="376"/>
    <x v="23"/>
    <x v="0"/>
    <x v="0"/>
    <x v="0"/>
    <n v="64"/>
    <n v="14"/>
    <n v="14"/>
    <n v="78"/>
    <n v="44"/>
    <n v="68"/>
    <n v="246"/>
    <n v="50"/>
    <n v="158"/>
    <n v="44"/>
    <n v="274"/>
    <n v="860"/>
    <n v="159.5"/>
    <n v="1418"/>
    <n v="4"/>
    <n v="8.8902821316614418"/>
    <x v="2"/>
    <s v="SI"/>
    <s v="NO"/>
    <s v="NO"/>
    <s v="NO"/>
  </r>
  <r>
    <x v="436"/>
    <x v="377"/>
    <x v="13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s v="No Rota"/>
    <x v="1"/>
    <s v="SI"/>
    <s v="NO"/>
    <s v="NO"/>
    <s v="NO"/>
  </r>
  <r>
    <x v="437"/>
    <x v="378"/>
    <x v="25"/>
    <x v="1"/>
    <x v="0"/>
    <x v="0"/>
    <n v="703"/>
    <n v="568"/>
    <n v="599"/>
    <n v="515"/>
    <n v="439"/>
    <n v="575"/>
    <n v="1037"/>
    <n v="993"/>
    <n v="1006"/>
    <n v="1547"/>
    <n v="661"/>
    <n v="5479"/>
    <n v="1176.8333333333333"/>
    <n v="7314"/>
    <n v="4"/>
    <n v="6.214983713355049"/>
    <x v="2"/>
    <s v="SI"/>
    <s v="NO"/>
    <s v="NO"/>
    <s v="NO"/>
  </r>
  <r>
    <x v="438"/>
    <x v="379"/>
    <x v="5"/>
    <x v="1"/>
    <x v="3"/>
    <x v="1"/>
    <n v="7745"/>
    <n v="8290"/>
    <n v="7307"/>
    <n v="5920"/>
    <n v="7474"/>
    <n v="7845"/>
    <n v="7675"/>
    <n v="8307"/>
    <n v="8153"/>
    <n v="11316"/>
    <n v="6993"/>
    <n v="51897"/>
    <n v="11576.833333333334"/>
    <n v="32089"/>
    <n v="4"/>
    <n v="2.7718287960150301"/>
    <x v="0"/>
    <s v="SI"/>
    <s v="NO"/>
    <s v="NO"/>
    <s v="NO"/>
  </r>
  <r>
    <x v="439"/>
    <x v="380"/>
    <x v="133"/>
    <x v="0"/>
    <x v="0"/>
    <x v="0"/>
    <n v="6738"/>
    <n v="3849"/>
    <n v="3467"/>
    <n v="5328"/>
    <n v="5670"/>
    <n v="5755"/>
    <n v="5496"/>
    <n v="4472"/>
    <n v="1070"/>
    <n v="2462"/>
    <n v="1740"/>
    <n v="22653"/>
    <n v="5725"/>
    <n v="118279"/>
    <n v="4"/>
    <n v="20.660087336244541"/>
    <x v="2"/>
    <s v="SI"/>
    <s v="NO"/>
    <s v="NO"/>
    <s v="NO"/>
  </r>
  <r>
    <x v="440"/>
    <x v="381"/>
    <x v="1"/>
    <x v="0"/>
    <x v="0"/>
    <x v="0"/>
    <n v="3530"/>
    <n v="4138"/>
    <n v="4636"/>
    <n v="4396"/>
    <n v="4305"/>
    <n v="4258"/>
    <n v="2993"/>
    <n v="3615"/>
    <n v="3224"/>
    <n v="10064"/>
    <n v="3787"/>
    <n v="25806"/>
    <n v="6229.333333333333"/>
    <n v="18143"/>
    <n v="4"/>
    <n v="2.9125107020547945"/>
    <x v="0"/>
    <s v="SI"/>
    <s v="NO"/>
    <s v="NO"/>
    <s v="NO"/>
  </r>
  <r>
    <x v="441"/>
    <x v="382"/>
    <x v="25"/>
    <x v="1"/>
    <x v="57"/>
    <x v="0"/>
    <n v="0"/>
    <n v="0"/>
    <n v="1"/>
    <n v="0"/>
    <n v="9"/>
    <n v="0"/>
    <n v="0"/>
    <n v="2"/>
    <n v="0"/>
    <n v="27"/>
    <n v="0"/>
    <n v="3"/>
    <n v="8.4"/>
    <n v="39"/>
    <n v="2"/>
    <n v="4.6428571428571423"/>
    <x v="0"/>
    <s v="SI"/>
    <s v="NO"/>
    <s v="NO"/>
    <s v="NO"/>
  </r>
  <r>
    <x v="442"/>
    <x v="383"/>
    <x v="25"/>
    <x v="1"/>
    <x v="24"/>
    <x v="0"/>
    <n v="0"/>
    <n v="1"/>
    <n v="0"/>
    <n v="0"/>
    <n v="11"/>
    <n v="0"/>
    <n v="0"/>
    <n v="5"/>
    <n v="1"/>
    <n v="4"/>
    <n v="0"/>
    <n v="8"/>
    <n v="5"/>
    <n v="132"/>
    <n v="3"/>
    <n v="26.4"/>
    <x v="2"/>
    <s v="SI"/>
    <s v="NO"/>
    <s v="NO"/>
    <s v="NO"/>
  </r>
  <r>
    <x v="443"/>
    <x v="384"/>
    <x v="22"/>
    <x v="0"/>
    <x v="0"/>
    <x v="0"/>
    <n v="314"/>
    <n v="220"/>
    <n v="325"/>
    <n v="349"/>
    <n v="326"/>
    <n v="132"/>
    <n v="376"/>
    <n v="335"/>
    <n v="307"/>
    <n v="474"/>
    <n v="189"/>
    <n v="1693"/>
    <n v="420"/>
    <n v="100"/>
    <n v="4"/>
    <n v="0.23809523809523808"/>
    <x v="3"/>
    <s v="SI"/>
    <s v="NO"/>
    <s v="NO"/>
    <s v="NO"/>
  </r>
  <r>
    <x v="444"/>
    <x v="384"/>
    <x v="79"/>
    <x v="1"/>
    <x v="3"/>
    <x v="0"/>
    <n v="1417"/>
    <n v="1401"/>
    <n v="1547"/>
    <n v="1726"/>
    <n v="1676"/>
    <n v="1280"/>
    <n v="1330"/>
    <n v="1471"/>
    <n v="1651"/>
    <n v="2242"/>
    <n v="905"/>
    <n v="9208"/>
    <n v="2154.5"/>
    <n v="2281"/>
    <n v="4"/>
    <n v="1.0587143188674866"/>
    <x v="3"/>
    <s v="SI"/>
    <s v="NO"/>
    <s v="NO"/>
    <s v="NO"/>
  </r>
  <r>
    <x v="445"/>
    <x v="385"/>
    <x v="17"/>
    <x v="1"/>
    <x v="3"/>
    <x v="0"/>
    <n v="0"/>
    <n v="4"/>
    <n v="10"/>
    <n v="6"/>
    <n v="8"/>
    <n v="14"/>
    <n v="8"/>
    <n v="0"/>
    <n v="0"/>
    <n v="0"/>
    <n v="0"/>
    <n v="22"/>
    <n v="10.285714285714286"/>
    <n v="60"/>
    <n v="1"/>
    <n v="5.833333333333333"/>
    <x v="0"/>
    <s v="SI"/>
    <s v="NO"/>
    <s v="NO"/>
    <s v="NO"/>
  </r>
  <r>
    <x v="446"/>
    <x v="386"/>
    <x v="24"/>
    <x v="4"/>
    <x v="18"/>
    <x v="0"/>
    <n v="2"/>
    <n v="6"/>
    <n v="3"/>
    <n v="2"/>
    <n v="0"/>
    <n v="2"/>
    <n v="2"/>
    <n v="3"/>
    <n v="3"/>
    <n v="12"/>
    <n v="8"/>
    <n v="28"/>
    <n v="6.4545454545454541"/>
    <n v="20"/>
    <n v="4"/>
    <n v="3.098591549295775"/>
    <x v="0"/>
    <s v="SI"/>
    <s v="NO"/>
    <s v="NO"/>
    <s v="NO"/>
  </r>
  <r>
    <x v="447"/>
    <x v="386"/>
    <x v="25"/>
    <x v="1"/>
    <x v="27"/>
    <x v="0"/>
    <n v="70"/>
    <n v="24"/>
    <n v="30"/>
    <n v="69"/>
    <n v="29"/>
    <n v="42"/>
    <n v="96"/>
    <n v="0"/>
    <n v="0"/>
    <n v="0"/>
    <n v="0"/>
    <n v="141"/>
    <n v="62.625"/>
    <n v="697"/>
    <n v="1"/>
    <n v="11.129740518962075"/>
    <x v="2"/>
    <s v="SI"/>
    <s v="NO"/>
    <s v="NO"/>
    <s v="NO"/>
  </r>
  <r>
    <x v="448"/>
    <x v="386"/>
    <x v="25"/>
    <x v="0"/>
    <x v="0"/>
    <x v="0"/>
    <n v="418"/>
    <n v="354"/>
    <n v="350"/>
    <n v="421"/>
    <n v="669"/>
    <n v="477"/>
    <n v="554"/>
    <n v="657"/>
    <n v="697"/>
    <n v="1979"/>
    <n v="649"/>
    <n v="4442"/>
    <n v="972.25"/>
    <n v="5537"/>
    <n v="4"/>
    <n v="5.6950372846490103"/>
    <x v="0"/>
    <s v="SI"/>
    <s v="NO"/>
    <s v="NO"/>
    <s v="NO"/>
  </r>
  <r>
    <x v="449"/>
    <x v="387"/>
    <x v="134"/>
    <x v="11"/>
    <x v="0"/>
    <x v="0"/>
    <n v="0"/>
    <n v="0"/>
    <n v="0"/>
    <n v="0"/>
    <n v="0"/>
    <n v="16"/>
    <n v="52"/>
    <n v="100"/>
    <n v="139"/>
    <n v="437"/>
    <n v="159"/>
    <n v="932"/>
    <n v="262.14285714285717"/>
    <n v="2529"/>
    <n v="4"/>
    <n v="9.6474114441416887"/>
    <x v="2"/>
    <s v="NO"/>
    <s v="NO"/>
    <s v="NO"/>
    <s v="NO"/>
  </r>
  <r>
    <x v="450"/>
    <x v="388"/>
    <x v="6"/>
    <x v="3"/>
    <x v="0"/>
    <x v="2"/>
    <n v="278"/>
    <n v="289"/>
    <n v="287"/>
    <n v="293"/>
    <n v="264"/>
    <n v="288"/>
    <n v="107"/>
    <n v="0"/>
    <n v="0"/>
    <n v="0"/>
    <n v="0"/>
    <n v="591"/>
    <n v="299.625"/>
    <n v="1562"/>
    <n v="1"/>
    <n v="5.2131831455986646"/>
    <x v="0"/>
    <s v="NO"/>
    <s v="SI"/>
    <s v="NO"/>
    <s v="NO"/>
  </r>
  <r>
    <x v="451"/>
    <x v="389"/>
    <x v="23"/>
    <x v="1"/>
    <x v="21"/>
    <x v="0"/>
    <n v="212"/>
    <n v="212"/>
    <n v="166"/>
    <n v="203"/>
    <n v="172"/>
    <n v="195"/>
    <n v="212"/>
    <n v="231"/>
    <n v="145"/>
    <n v="431"/>
    <n v="172"/>
    <n v="1356"/>
    <n v="308.91666666666669"/>
    <n v="2914"/>
    <n v="4"/>
    <n v="9.4329646614513081"/>
    <x v="2"/>
    <s v="SI"/>
    <s v="NO"/>
    <s v="NO"/>
    <s v="NO"/>
  </r>
  <r>
    <x v="452"/>
    <x v="389"/>
    <x v="17"/>
    <x v="1"/>
    <x v="1"/>
    <x v="0"/>
    <n v="12"/>
    <n v="89"/>
    <n v="126"/>
    <n v="209"/>
    <n v="83"/>
    <n v="72"/>
    <n v="172"/>
    <n v="63"/>
    <n v="31"/>
    <n v="491"/>
    <n v="22"/>
    <n v="648"/>
    <n v="168.16666666666666"/>
    <n v="3114"/>
    <n v="4"/>
    <n v="18.517343904856293"/>
    <x v="2"/>
    <s v="SI"/>
    <s v="NO"/>
    <s v="NO"/>
    <s v="NO"/>
  </r>
  <r>
    <x v="453"/>
    <x v="390"/>
    <x v="135"/>
    <x v="1"/>
    <x v="1"/>
    <x v="0"/>
    <n v="0"/>
    <n v="0"/>
    <n v="0"/>
    <n v="0"/>
    <n v="2"/>
    <n v="0"/>
    <n v="0"/>
    <n v="0"/>
    <n v="0"/>
    <n v="0"/>
    <n v="0"/>
    <n v="0"/>
    <n v="2"/>
    <n v="0"/>
    <n v="0"/>
    <s v="No Rota"/>
    <x v="1"/>
    <s v="NO"/>
    <s v="NO"/>
    <s v="NO"/>
    <s v="NO"/>
  </r>
  <r>
    <x v="454"/>
    <x v="391"/>
    <x v="6"/>
    <x v="3"/>
    <x v="0"/>
    <x v="2"/>
    <n v="0"/>
    <n v="0"/>
    <n v="0"/>
    <n v="0"/>
    <n v="0"/>
    <n v="36"/>
    <n v="65"/>
    <n v="196"/>
    <n v="259"/>
    <n v="505"/>
    <n v="200"/>
    <n v="1229"/>
    <n v="355.71428571428572"/>
    <n v="433"/>
    <n v="4"/>
    <n v="1.217269076305221"/>
    <x v="3"/>
    <s v="NO"/>
    <s v="NO"/>
    <s v="NO"/>
    <s v="NO"/>
  </r>
  <r>
    <x v="455"/>
    <x v="392"/>
    <x v="136"/>
    <x v="0"/>
    <x v="0"/>
    <x v="0"/>
    <n v="0"/>
    <n v="0"/>
    <n v="0"/>
    <n v="0"/>
    <n v="0"/>
    <n v="0"/>
    <n v="0"/>
    <n v="0"/>
    <n v="0"/>
    <n v="0"/>
    <n v="0"/>
    <n v="0"/>
    <n v="0"/>
    <n v="200"/>
    <n v="0"/>
    <s v="No Rota"/>
    <x v="1"/>
    <s v="SI"/>
    <s v="NO"/>
    <s v="NO"/>
    <s v="NO"/>
  </r>
  <r>
    <x v="456"/>
    <x v="393"/>
    <x v="137"/>
    <x v="0"/>
    <x v="0"/>
    <x v="0"/>
    <n v="1785"/>
    <n v="1827"/>
    <n v="1723"/>
    <n v="1534"/>
    <n v="1726"/>
    <n v="1723"/>
    <n v="1900"/>
    <n v="2075"/>
    <n v="2000"/>
    <n v="5150"/>
    <n v="1795"/>
    <n v="12962"/>
    <n v="3016.6666666666665"/>
    <n v="19097"/>
    <n v="4"/>
    <n v="6.3304972375690607"/>
    <x v="2"/>
    <s v="SI"/>
    <s v="NO"/>
    <s v="NO"/>
    <s v="NO"/>
  </r>
  <r>
    <x v="457"/>
    <x v="394"/>
    <x v="22"/>
    <x v="1"/>
    <x v="14"/>
    <x v="0"/>
    <n v="338"/>
    <n v="297"/>
    <n v="307"/>
    <n v="343"/>
    <n v="445"/>
    <n v="409"/>
    <n v="381"/>
    <n v="367"/>
    <n v="353"/>
    <n v="1041"/>
    <n v="342"/>
    <n v="2547"/>
    <n v="597.5"/>
    <n v="1674"/>
    <n v="4"/>
    <n v="2.8016736401673641"/>
    <x v="0"/>
    <s v="SI"/>
    <s v="NO"/>
    <s v="NO"/>
    <s v="NO"/>
  </r>
  <r>
    <x v="458"/>
    <x v="395"/>
    <x v="6"/>
    <x v="1"/>
    <x v="21"/>
    <x v="0"/>
    <n v="133"/>
    <n v="288"/>
    <n v="301"/>
    <n v="287"/>
    <n v="272"/>
    <n v="438"/>
    <n v="360"/>
    <n v="361"/>
    <n v="279"/>
    <n v="679"/>
    <n v="372"/>
    <n v="2505"/>
    <n v="522.91666666666663"/>
    <n v="646"/>
    <n v="4"/>
    <n v="1.235378486055777"/>
    <x v="3"/>
    <s v="NO"/>
    <s v="NO"/>
    <s v="NO"/>
    <s v="NO"/>
  </r>
  <r>
    <x v="459"/>
    <x v="396"/>
    <x v="138"/>
    <x v="7"/>
    <x v="31"/>
    <x v="0"/>
    <n v="22"/>
    <n v="14"/>
    <n v="1"/>
    <n v="0"/>
    <n v="14"/>
    <n v="21"/>
    <n v="21"/>
    <n v="30"/>
    <n v="26"/>
    <n v="57"/>
    <n v="9"/>
    <n v="138"/>
    <n v="32.090909090909093"/>
    <n v="0"/>
    <n v="4"/>
    <n v="0"/>
    <x v="4"/>
    <s v="SI"/>
    <s v="NO"/>
    <s v="NO"/>
    <s v="NO"/>
  </r>
  <r>
    <x v="460"/>
    <x v="397"/>
    <x v="25"/>
    <x v="0"/>
    <x v="0"/>
    <x v="0"/>
    <n v="1900"/>
    <n v="1789"/>
    <n v="2061"/>
    <n v="2368"/>
    <n v="1856"/>
    <n v="3768"/>
    <n v="1802"/>
    <n v="1552"/>
    <n v="1749"/>
    <n v="4415"/>
    <n v="2593"/>
    <n v="16087"/>
    <n v="3495"/>
    <n v="16275"/>
    <n v="4"/>
    <n v="4.6566523605150216"/>
    <x v="0"/>
    <s v="SI"/>
    <s v="NO"/>
    <s v="NO"/>
    <s v="NO"/>
  </r>
  <r>
    <x v="461"/>
    <x v="398"/>
    <x v="15"/>
    <x v="1"/>
    <x v="14"/>
    <x v="0"/>
    <n v="11"/>
    <n v="24"/>
    <n v="27"/>
    <n v="82"/>
    <n v="80"/>
    <n v="39"/>
    <n v="63"/>
    <n v="84"/>
    <n v="31"/>
    <n v="74"/>
    <n v="12"/>
    <n v="275"/>
    <n v="66.833333333333329"/>
    <n v="172"/>
    <n v="4"/>
    <n v="2.57356608478803"/>
    <x v="0"/>
    <s v="SI"/>
    <s v="NO"/>
    <s v="NO"/>
    <s v="NO"/>
  </r>
  <r>
    <x v="462"/>
    <x v="399"/>
    <x v="103"/>
    <x v="4"/>
    <x v="27"/>
    <x v="1"/>
    <n v="4"/>
    <n v="0"/>
    <n v="4"/>
    <n v="1"/>
    <n v="0"/>
    <n v="0"/>
    <n v="0"/>
    <n v="0"/>
    <n v="0"/>
    <n v="0"/>
    <n v="0"/>
    <n v="2"/>
    <n v="2.75"/>
    <n v="5"/>
    <n v="1"/>
    <n v="1.8181818181818181"/>
    <x v="3"/>
    <s v="NO"/>
    <s v="NO"/>
    <s v="SI"/>
    <s v="NO"/>
  </r>
  <r>
    <x v="463"/>
    <x v="400"/>
    <x v="22"/>
    <x v="0"/>
    <x v="0"/>
    <x v="0"/>
    <n v="3021"/>
    <n v="2892"/>
    <n v="2238"/>
    <n v="5882"/>
    <n v="4571"/>
    <n v="2769"/>
    <n v="2225"/>
    <n v="2501"/>
    <n v="2731"/>
    <n v="2352"/>
    <n v="1502"/>
    <n v="15421"/>
    <n v="4008.75"/>
    <n v="6064"/>
    <n v="4"/>
    <n v="1.5126909884627378"/>
    <x v="3"/>
    <s v="SI"/>
    <s v="NO"/>
    <s v="NO"/>
    <s v="NO"/>
  </r>
  <r>
    <x v="464"/>
    <x v="401"/>
    <x v="136"/>
    <x v="0"/>
    <x v="0"/>
    <x v="0"/>
    <n v="371"/>
    <n v="140"/>
    <n v="89"/>
    <n v="168"/>
    <n v="231"/>
    <n v="402"/>
    <n v="381"/>
    <n v="249"/>
    <n v="264"/>
    <n v="1395"/>
    <n v="492"/>
    <n v="2761"/>
    <n v="578.58333333333337"/>
    <n v="948"/>
    <n v="4"/>
    <n v="1.6384848048394065"/>
    <x v="3"/>
    <s v="SI"/>
    <s v="NO"/>
    <s v="NO"/>
    <s v="NO"/>
  </r>
  <r>
    <x v="465"/>
    <x v="402"/>
    <x v="139"/>
    <x v="4"/>
    <x v="58"/>
    <x v="0"/>
    <n v="0"/>
    <n v="0"/>
    <n v="0"/>
    <n v="0"/>
    <n v="0"/>
    <n v="0"/>
    <n v="0"/>
    <n v="3"/>
    <n v="0"/>
    <n v="18"/>
    <n v="0"/>
    <n v="13"/>
    <n v="11.333333333333334"/>
    <n v="56"/>
    <n v="2"/>
    <n v="4.9411764705882346"/>
    <x v="0"/>
    <s v="SI"/>
    <s v="NO"/>
    <s v="NO"/>
    <s v="NO"/>
  </r>
  <r>
    <x v="466"/>
    <x v="403"/>
    <x v="2"/>
    <x v="0"/>
    <x v="0"/>
    <x v="0"/>
    <n v="259"/>
    <n v="194"/>
    <n v="204"/>
    <n v="183"/>
    <n v="489"/>
    <n v="373"/>
    <n v="292"/>
    <n v="244"/>
    <n v="348"/>
    <n v="1216"/>
    <n v="326"/>
    <n v="2261"/>
    <n v="532.41666666666663"/>
    <n v="692"/>
    <n v="4"/>
    <n v="1.2997339176709972"/>
    <x v="3"/>
    <s v="SI"/>
    <s v="NO"/>
    <s v="NO"/>
    <s v="NO"/>
  </r>
  <r>
    <x v="467"/>
    <x v="404"/>
    <x v="79"/>
    <x v="1"/>
    <x v="21"/>
    <x v="1"/>
    <n v="10"/>
    <n v="2"/>
    <n v="7"/>
    <n v="12"/>
    <n v="0"/>
    <n v="1"/>
    <n v="3"/>
    <n v="4"/>
    <n v="0"/>
    <n v="14"/>
    <n v="0"/>
    <n v="19"/>
    <n v="8"/>
    <n v="0"/>
    <n v="2"/>
    <n v="0"/>
    <x v="4"/>
    <s v="SI"/>
    <s v="NO"/>
    <s v="NO"/>
    <s v="NO"/>
  </r>
  <r>
    <x v="468"/>
    <x v="405"/>
    <x v="32"/>
    <x v="1"/>
    <x v="24"/>
    <x v="0"/>
    <n v="26"/>
    <n v="32"/>
    <n v="39"/>
    <n v="112"/>
    <n v="38"/>
    <n v="89"/>
    <n v="87"/>
    <n v="42"/>
    <n v="29"/>
    <n v="80"/>
    <n v="29"/>
    <n v="371"/>
    <n v="81.166666666666671"/>
    <n v="1162"/>
    <n v="4"/>
    <n v="14.316221765913756"/>
    <x v="2"/>
    <s v="SI"/>
    <s v="NO"/>
    <s v="NO"/>
    <s v="NO"/>
  </r>
  <r>
    <x v="469"/>
    <x v="406"/>
    <x v="6"/>
    <x v="13"/>
    <x v="59"/>
    <x v="0"/>
    <n v="0"/>
    <n v="0"/>
    <n v="0"/>
    <n v="0"/>
    <n v="0"/>
    <n v="0"/>
    <n v="0"/>
    <n v="0"/>
    <n v="0"/>
    <n v="0"/>
    <n v="0"/>
    <n v="0"/>
    <n v="0"/>
    <n v="0"/>
    <n v="0"/>
    <s v="No Rota"/>
    <x v="1"/>
    <s v="NO"/>
    <s v="NO"/>
    <s v="NO"/>
    <s v="NO"/>
  </r>
  <r>
    <x v="470"/>
    <x v="407"/>
    <x v="140"/>
    <x v="1"/>
    <x v="0"/>
    <x v="0"/>
    <n v="0"/>
    <n v="5"/>
    <n v="0"/>
    <n v="0"/>
    <n v="0"/>
    <n v="0"/>
    <n v="0"/>
    <n v="0"/>
    <n v="0"/>
    <n v="0"/>
    <n v="0"/>
    <n v="0"/>
    <n v="5"/>
    <n v="0"/>
    <n v="0"/>
    <s v="No Rota"/>
    <x v="1"/>
    <s v="NO"/>
    <s v="NO"/>
    <s v="NO"/>
    <s v="NO"/>
  </r>
  <r>
    <x v="471"/>
    <x v="408"/>
    <x v="6"/>
    <x v="1"/>
    <x v="1"/>
    <x v="0"/>
    <n v="67"/>
    <n v="62"/>
    <n v="0"/>
    <n v="0"/>
    <n v="0"/>
    <n v="0"/>
    <n v="0"/>
    <n v="0"/>
    <n v="0"/>
    <n v="0"/>
    <n v="0"/>
    <n v="0"/>
    <n v="64.5"/>
    <n v="0"/>
    <n v="0"/>
    <s v="No Rota"/>
    <x v="1"/>
    <s v="NO"/>
    <s v="NO"/>
    <s v="NO"/>
    <s v="NO"/>
  </r>
  <r>
    <x v="472"/>
    <x v="409"/>
    <x v="6"/>
    <x v="1"/>
    <x v="1"/>
    <x v="0"/>
    <n v="0"/>
    <n v="0"/>
    <n v="0"/>
    <n v="0"/>
    <n v="94"/>
    <n v="130"/>
    <n v="86"/>
    <n v="116"/>
    <n v="98"/>
    <n v="311"/>
    <n v="118"/>
    <n v="798"/>
    <n v="218.875"/>
    <n v="550"/>
    <n v="4"/>
    <n v="2.5128498001142203"/>
    <x v="0"/>
    <s v="NO"/>
    <s v="NO"/>
    <s v="NO"/>
    <s v="NO"/>
  </r>
  <r>
    <x v="473"/>
    <x v="410"/>
    <x v="31"/>
    <x v="1"/>
    <x v="0"/>
    <x v="0"/>
    <n v="0"/>
    <n v="52"/>
    <n v="181"/>
    <n v="143"/>
    <n v="78"/>
    <n v="129"/>
    <n v="183"/>
    <n v="113"/>
    <n v="164"/>
    <n v="495"/>
    <n v="115"/>
    <n v="1036"/>
    <n v="244.45454545454547"/>
    <n v="696"/>
    <n v="4"/>
    <n v="2.8471550762365192"/>
    <x v="0"/>
    <s v="SI"/>
    <s v="NO"/>
    <s v="NO"/>
    <s v="NO"/>
  </r>
  <r>
    <x v="474"/>
    <x v="411"/>
    <x v="30"/>
    <x v="0"/>
    <x v="0"/>
    <x v="0"/>
    <n v="2039"/>
    <n v="2384"/>
    <n v="2084"/>
    <n v="2008"/>
    <n v="1589"/>
    <n v="1974"/>
    <n v="2027"/>
    <n v="2396"/>
    <n v="1823"/>
    <n v="4197"/>
    <n v="1800"/>
    <n v="12609"/>
    <n v="3077.5"/>
    <n v="29299"/>
    <n v="4"/>
    <n v="9.5203899268887078"/>
    <x v="2"/>
    <s v="SI"/>
    <s v="NO"/>
    <s v="NO"/>
    <s v="NO"/>
  </r>
  <r>
    <x v="475"/>
    <x v="412"/>
    <x v="101"/>
    <x v="1"/>
    <x v="24"/>
    <x v="0"/>
    <n v="441"/>
    <n v="494"/>
    <n v="53"/>
    <n v="0"/>
    <n v="0"/>
    <n v="0"/>
    <n v="0"/>
    <n v="0"/>
    <n v="0"/>
    <n v="630"/>
    <n v="342"/>
    <n v="1021"/>
    <n v="496.83333333333331"/>
    <n v="1871"/>
    <n v="3"/>
    <n v="3.7658503857765853"/>
    <x v="0"/>
    <s v="SI"/>
    <s v="NO"/>
    <s v="NO"/>
    <s v="NO"/>
  </r>
  <r>
    <x v="476"/>
    <x v="413"/>
    <x v="2"/>
    <x v="0"/>
    <x v="0"/>
    <x v="1"/>
    <n v="466"/>
    <n v="518"/>
    <n v="657"/>
    <n v="406"/>
    <n v="395"/>
    <n v="292"/>
    <n v="238"/>
    <n v="500"/>
    <n v="287"/>
    <n v="1369"/>
    <n v="258"/>
    <n v="2317"/>
    <n v="641.91666666666663"/>
    <n v="0"/>
    <n v="4"/>
    <n v="0"/>
    <x v="4"/>
    <s v="SI"/>
    <s v="NO"/>
    <s v="NO"/>
    <s v="NO"/>
  </r>
  <r>
    <x v="477"/>
    <x v="413"/>
    <x v="70"/>
    <x v="1"/>
    <x v="3"/>
    <x v="0"/>
    <n v="105"/>
    <n v="146"/>
    <n v="168"/>
    <n v="144"/>
    <n v="180"/>
    <n v="159"/>
    <n v="114"/>
    <n v="135"/>
    <n v="77"/>
    <n v="52"/>
    <n v="8"/>
    <n v="521"/>
    <n v="150.75"/>
    <n v="4941"/>
    <n v="4"/>
    <n v="32.776119402985074"/>
    <x v="2"/>
    <s v="SI"/>
    <s v="NO"/>
    <s v="NO"/>
    <s v="NO"/>
  </r>
  <r>
    <x v="478"/>
    <x v="414"/>
    <x v="141"/>
    <x v="0"/>
    <x v="0"/>
    <x v="0"/>
    <n v="0"/>
    <n v="0"/>
    <n v="0"/>
    <n v="10"/>
    <n v="1"/>
    <n v="11"/>
    <n v="8"/>
    <n v="0"/>
    <n v="0"/>
    <n v="0"/>
    <n v="0"/>
    <n v="19"/>
    <n v="9.8000000000000007"/>
    <n v="0"/>
    <n v="1"/>
    <n v="0"/>
    <x v="4"/>
    <s v="NO"/>
    <s v="NO"/>
    <s v="SI"/>
    <s v="NO"/>
  </r>
  <r>
    <x v="479"/>
    <x v="415"/>
    <x v="5"/>
    <x v="1"/>
    <x v="0"/>
    <x v="0"/>
    <n v="573"/>
    <n v="269"/>
    <n v="468"/>
    <n v="436"/>
    <n v="152"/>
    <n v="99"/>
    <n v="312"/>
    <n v="287"/>
    <n v="427"/>
    <n v="1067"/>
    <n v="210"/>
    <n v="2051"/>
    <n v="529.25"/>
    <n v="1494"/>
    <n v="4"/>
    <n v="2.8228625413320736"/>
    <x v="0"/>
    <s v="SI"/>
    <s v="NO"/>
    <s v="NO"/>
    <s v="NO"/>
  </r>
  <r>
    <x v="480"/>
    <x v="415"/>
    <x v="25"/>
    <x v="1"/>
    <x v="0"/>
    <x v="0"/>
    <n v="70"/>
    <n v="24"/>
    <n v="34"/>
    <n v="14"/>
    <n v="4"/>
    <n v="3"/>
    <n v="5"/>
    <n v="100"/>
    <n v="12"/>
    <n v="10"/>
    <n v="14"/>
    <n v="159"/>
    <n v="37.416666666666664"/>
    <n v="206"/>
    <n v="4"/>
    <n v="5.505567928730513"/>
    <x v="0"/>
    <s v="SI"/>
    <s v="NO"/>
    <s v="NO"/>
    <s v="NO"/>
  </r>
  <r>
    <x v="481"/>
    <x v="416"/>
    <x v="142"/>
    <x v="14"/>
    <x v="60"/>
    <x v="0"/>
    <n v="122"/>
    <n v="99"/>
    <n v="36"/>
    <n v="361"/>
    <n v="66"/>
    <n v="81"/>
    <n v="50"/>
    <n v="57"/>
    <n v="2"/>
    <n v="73841"/>
    <n v="2264"/>
    <n v="244554"/>
    <n v="26794.416666666668"/>
    <n v="0"/>
    <n v="4"/>
    <n v="0"/>
    <x v="4"/>
    <s v="SI"/>
    <s v="NO"/>
    <s v="NO"/>
    <s v="NO"/>
  </r>
  <r>
    <x v="482"/>
    <x v="417"/>
    <x v="142"/>
    <x v="15"/>
    <x v="60"/>
    <x v="0"/>
    <n v="7775"/>
    <n v="7069"/>
    <n v="7230"/>
    <n v="8557"/>
    <n v="9237"/>
    <n v="9504"/>
    <n v="7062"/>
    <n v="6429"/>
    <n v="9488"/>
    <n v="15620568"/>
    <n v="8144863"/>
    <n v="25861167"/>
    <n v="4141579.0833333335"/>
    <n v="0"/>
    <n v="4"/>
    <n v="0"/>
    <x v="4"/>
    <s v="SI"/>
    <s v="NO"/>
    <s v="NO"/>
    <s v="NO"/>
  </r>
  <r>
    <x v="483"/>
    <x v="418"/>
    <x v="143"/>
    <x v="1"/>
    <x v="14"/>
    <x v="0"/>
    <n v="9205"/>
    <n v="8910"/>
    <n v="8585"/>
    <n v="7460"/>
    <n v="8846"/>
    <n v="9697"/>
    <n v="9715"/>
    <n v="10602"/>
    <n v="10099"/>
    <n v="19441"/>
    <n v="8215"/>
    <n v="66077"/>
    <n v="14737.666666666666"/>
    <n v="2364"/>
    <n v="4"/>
    <n v="0.16040531065523717"/>
    <x v="3"/>
    <s v="SI"/>
    <s v="NO"/>
    <s v="NO"/>
    <s v="NO"/>
  </r>
  <r>
    <x v="484"/>
    <x v="419"/>
    <x v="6"/>
    <x v="3"/>
    <x v="0"/>
    <x v="2"/>
    <n v="0"/>
    <n v="0"/>
    <n v="0"/>
    <n v="0"/>
    <n v="0"/>
    <n v="0"/>
    <n v="0"/>
    <n v="0"/>
    <n v="0"/>
    <n v="0"/>
    <n v="0"/>
    <n v="0"/>
    <n v="0"/>
    <n v="0"/>
    <n v="0"/>
    <s v="No Rota"/>
    <x v="1"/>
    <s v="NO"/>
    <s v="NO"/>
    <s v="NO"/>
    <s v="NO"/>
  </r>
  <r>
    <x v="485"/>
    <x v="420"/>
    <x v="6"/>
    <x v="3"/>
    <x v="0"/>
    <x v="2"/>
    <n v="0"/>
    <n v="170"/>
    <n v="180"/>
    <n v="0"/>
    <n v="50"/>
    <n v="1185"/>
    <n v="1660"/>
    <n v="2368"/>
    <n v="2711"/>
    <n v="6508"/>
    <n v="2662"/>
    <n v="16068"/>
    <n v="3356.2"/>
    <n v="1686"/>
    <n v="4"/>
    <n v="0.50235385257136045"/>
    <x v="3"/>
    <s v="NO"/>
    <s v="NO"/>
    <s v="NO"/>
    <s v="NO"/>
  </r>
  <r>
    <x v="486"/>
    <x v="421"/>
    <x v="6"/>
    <x v="3"/>
    <x v="0"/>
    <x v="2"/>
    <n v="139"/>
    <n v="11"/>
    <n v="0"/>
    <n v="0"/>
    <n v="0"/>
    <n v="0"/>
    <n v="0"/>
    <n v="0"/>
    <n v="0"/>
    <n v="0"/>
    <n v="0"/>
    <n v="0"/>
    <n v="75"/>
    <n v="0"/>
    <n v="0"/>
    <s v="No Rota"/>
    <x v="1"/>
    <s v="NO"/>
    <s v="NO"/>
    <s v="NO"/>
    <s v="NO"/>
  </r>
  <r>
    <x v="487"/>
    <x v="422"/>
    <x v="6"/>
    <x v="3"/>
    <x v="0"/>
    <x v="2"/>
    <n v="215"/>
    <n v="0"/>
    <n v="0"/>
    <n v="0"/>
    <n v="0"/>
    <n v="0"/>
    <n v="0"/>
    <n v="0"/>
    <n v="0"/>
    <n v="0"/>
    <n v="0"/>
    <n v="0"/>
    <n v="215"/>
    <n v="0"/>
    <n v="0"/>
    <s v="No Rota"/>
    <x v="1"/>
    <s v="NO"/>
    <s v="NO"/>
    <s v="NO"/>
    <s v="NO"/>
  </r>
  <r>
    <x v="488"/>
    <x v="423"/>
    <x v="6"/>
    <x v="3"/>
    <x v="0"/>
    <x v="2"/>
    <n v="0"/>
    <n v="0"/>
    <n v="1804"/>
    <n v="179"/>
    <n v="128"/>
    <n v="8"/>
    <n v="19"/>
    <n v="82"/>
    <n v="38"/>
    <n v="48"/>
    <n v="67"/>
    <n v="378"/>
    <n v="275.10000000000002"/>
    <n v="2763"/>
    <n v="4"/>
    <n v="10.043620501635768"/>
    <x v="2"/>
    <s v="NO"/>
    <s v="NO"/>
    <s v="NO"/>
    <s v="NO"/>
  </r>
  <r>
    <x v="489"/>
    <x v="424"/>
    <x v="6"/>
    <x v="3"/>
    <x v="0"/>
    <x v="2"/>
    <n v="0"/>
    <n v="0"/>
    <n v="0"/>
    <n v="0"/>
    <n v="0"/>
    <n v="0"/>
    <n v="0"/>
    <n v="0"/>
    <n v="0"/>
    <n v="0"/>
    <n v="0"/>
    <n v="0"/>
    <n v="0"/>
    <n v="0"/>
    <n v="0"/>
    <s v="No Rota"/>
    <x v="1"/>
    <s v="NO"/>
    <s v="NO"/>
    <s v="NO"/>
    <s v="NO"/>
  </r>
  <r>
    <x v="490"/>
    <x v="425"/>
    <x v="6"/>
    <x v="3"/>
    <x v="0"/>
    <x v="2"/>
    <n v="0"/>
    <n v="0"/>
    <n v="0"/>
    <n v="0"/>
    <n v="0"/>
    <n v="192"/>
    <n v="1188"/>
    <n v="1520"/>
    <n v="4753"/>
    <n v="5866"/>
    <n v="2808"/>
    <n v="16307"/>
    <n v="4662"/>
    <n v="67538"/>
    <n v="4"/>
    <n v="14.486915486915487"/>
    <x v="2"/>
    <s v="NO"/>
    <s v="NO"/>
    <s v="NO"/>
    <s v="NO"/>
  </r>
  <r>
    <x v="491"/>
    <x v="426"/>
    <x v="6"/>
    <x v="3"/>
    <x v="0"/>
    <x v="2"/>
    <n v="52"/>
    <n v="50"/>
    <n v="66"/>
    <n v="65"/>
    <n v="56"/>
    <n v="57"/>
    <n v="95"/>
    <n v="52"/>
    <n v="0"/>
    <n v="0"/>
    <n v="0"/>
    <n v="204"/>
    <n v="77.444444444444443"/>
    <n v="0"/>
    <n v="1"/>
    <n v="0"/>
    <x v="4"/>
    <s v="NO"/>
    <s v="NO"/>
    <s v="NO"/>
    <s v="NO"/>
  </r>
  <r>
    <x v="492"/>
    <x v="427"/>
    <x v="6"/>
    <x v="3"/>
    <x v="0"/>
    <x v="2"/>
    <n v="0"/>
    <n v="0"/>
    <n v="0"/>
    <n v="0"/>
    <n v="0"/>
    <n v="0"/>
    <n v="0"/>
    <n v="0"/>
    <n v="0"/>
    <n v="0"/>
    <n v="0"/>
    <n v="0"/>
    <n v="0"/>
    <n v="0"/>
    <n v="0"/>
    <s v="No Rota"/>
    <x v="1"/>
    <s v="NO"/>
    <s v="NO"/>
    <s v="NO"/>
    <s v="NO"/>
  </r>
  <r>
    <x v="493"/>
    <x v="428"/>
    <x v="47"/>
    <x v="1"/>
    <x v="27"/>
    <x v="0"/>
    <n v="298"/>
    <n v="199"/>
    <n v="135"/>
    <n v="294"/>
    <n v="476"/>
    <n v="123"/>
    <n v="0"/>
    <n v="72"/>
    <n v="262"/>
    <n v="991"/>
    <n v="468"/>
    <n v="1778"/>
    <n v="463.27272727272725"/>
    <n v="1171"/>
    <n v="4"/>
    <n v="2.527668759811617"/>
    <x v="0"/>
    <s v="NO"/>
    <s v="NO"/>
    <s v="NO"/>
    <s v="NO"/>
  </r>
  <r>
    <x v="494"/>
    <x v="428"/>
    <x v="97"/>
    <x v="2"/>
    <x v="1"/>
    <x v="0"/>
    <n v="36"/>
    <n v="35"/>
    <n v="41"/>
    <n v="41"/>
    <n v="25"/>
    <n v="56"/>
    <n v="43"/>
    <n v="44"/>
    <n v="51"/>
    <n v="104"/>
    <n v="90"/>
    <n v="347"/>
    <n v="76.083333333333329"/>
    <n v="5"/>
    <n v="4"/>
    <n v="6.5717415115005479E-2"/>
    <x v="3"/>
    <s v="SI"/>
    <s v="NO"/>
    <s v="NO"/>
    <s v="NO"/>
  </r>
  <r>
    <x v="495"/>
    <x v="428"/>
    <x v="144"/>
    <x v="10"/>
    <x v="19"/>
    <x v="0"/>
    <n v="31"/>
    <n v="20"/>
    <n v="34"/>
    <n v="32"/>
    <n v="36"/>
    <n v="86"/>
    <n v="28"/>
    <n v="35"/>
    <n v="48"/>
    <n v="101"/>
    <n v="14"/>
    <n v="290"/>
    <n v="62.916666666666664"/>
    <n v="342"/>
    <n v="4"/>
    <n v="5.4357615894039739"/>
    <x v="0"/>
    <s v="SI"/>
    <s v="NO"/>
    <s v="NO"/>
    <s v="NO"/>
  </r>
  <r>
    <x v="496"/>
    <x v="428"/>
    <x v="25"/>
    <x v="0"/>
    <x v="0"/>
    <x v="0"/>
    <n v="14927"/>
    <n v="1511"/>
    <n v="14414"/>
    <n v="15783"/>
    <n v="18161"/>
    <n v="32785"/>
    <n v="19654"/>
    <n v="19759"/>
    <n v="19138"/>
    <n v="35705"/>
    <n v="18329"/>
    <n v="149144"/>
    <n v="29942.5"/>
    <n v="18653"/>
    <n v="4"/>
    <n v="0.62296067462636717"/>
    <x v="3"/>
    <s v="SI"/>
    <s v="NO"/>
    <s v="NO"/>
    <s v="NO"/>
  </r>
  <r>
    <x v="497"/>
    <x v="429"/>
    <x v="145"/>
    <x v="9"/>
    <x v="61"/>
    <x v="0"/>
    <n v="0"/>
    <n v="0"/>
    <n v="0"/>
    <n v="0"/>
    <n v="1"/>
    <n v="7"/>
    <n v="0"/>
    <n v="0"/>
    <n v="0"/>
    <n v="7"/>
    <n v="4"/>
    <n v="15"/>
    <n v="6.8"/>
    <n v="33"/>
    <n v="3"/>
    <n v="4.8529411764705888"/>
    <x v="0"/>
    <s v="NO"/>
    <s v="NO"/>
    <s v="NO"/>
    <s v="NO"/>
  </r>
  <r>
    <x v="498"/>
    <x v="430"/>
    <x v="146"/>
    <x v="2"/>
    <x v="4"/>
    <x v="0"/>
    <n v="4"/>
    <n v="21"/>
    <n v="0"/>
    <n v="0"/>
    <n v="21"/>
    <n v="0"/>
    <n v="0"/>
    <n v="4"/>
    <n v="14"/>
    <n v="0"/>
    <n v="0"/>
    <n v="18"/>
    <n v="13.666666666666666"/>
    <n v="172"/>
    <n v="2"/>
    <n v="12.585365853658537"/>
    <x v="2"/>
    <s v="NO"/>
    <s v="NO"/>
    <s v="NO"/>
    <s v="NO"/>
  </r>
  <r>
    <x v="499"/>
    <x v="431"/>
    <x v="19"/>
    <x v="1"/>
    <x v="3"/>
    <x v="0"/>
    <n v="325"/>
    <n v="339"/>
    <n v="286"/>
    <n v="275"/>
    <n v="320"/>
    <n v="299"/>
    <n v="304"/>
    <n v="304"/>
    <n v="507"/>
    <n v="434"/>
    <n v="166"/>
    <n v="2003"/>
    <n v="463.5"/>
    <n v="2516"/>
    <n v="4"/>
    <n v="5.4282632146709817"/>
    <x v="0"/>
    <s v="SI"/>
    <s v="NO"/>
    <s v="NO"/>
    <s v="NO"/>
  </r>
  <r>
    <x v="500"/>
    <x v="432"/>
    <x v="147"/>
    <x v="1"/>
    <x v="0"/>
    <x v="0"/>
    <n v="0"/>
    <n v="60"/>
    <n v="20"/>
    <n v="58"/>
    <n v="21"/>
    <n v="63"/>
    <n v="80"/>
    <n v="107"/>
    <n v="94"/>
    <n v="43"/>
    <n v="74"/>
    <n v="559"/>
    <n v="107.18181818181819"/>
    <n v="413"/>
    <n v="4"/>
    <n v="3.8532654792196777"/>
    <x v="0"/>
    <s v="SI"/>
    <s v="NO"/>
    <s v="NO"/>
    <s v="NO"/>
  </r>
  <r>
    <x v="501"/>
    <x v="433"/>
    <x v="25"/>
    <x v="0"/>
    <x v="0"/>
    <x v="0"/>
    <n v="0"/>
    <n v="0"/>
    <n v="0"/>
    <n v="0"/>
    <n v="0"/>
    <n v="0"/>
    <n v="0"/>
    <n v="51"/>
    <n v="145"/>
    <n v="191"/>
    <n v="0"/>
    <n v="196"/>
    <n v="145.75"/>
    <n v="91"/>
    <n v="3"/>
    <n v="0.62435677530017153"/>
    <x v="3"/>
    <s v="NO"/>
    <s v="NO"/>
    <s v="SI"/>
    <s v="NO"/>
  </r>
  <r>
    <x v="502"/>
    <x v="434"/>
    <x v="17"/>
    <x v="0"/>
    <x v="0"/>
    <x v="1"/>
    <n v="160"/>
    <n v="397"/>
    <n v="0"/>
    <n v="0"/>
    <n v="0"/>
    <n v="0"/>
    <n v="0"/>
    <n v="101"/>
    <n v="61"/>
    <n v="30"/>
    <n v="20"/>
    <n v="212"/>
    <n v="140.14285714285714"/>
    <n v="1757"/>
    <n v="4"/>
    <n v="12.537206931702345"/>
    <x v="2"/>
    <s v="SI"/>
    <s v="NO"/>
    <s v="NO"/>
    <s v="NO"/>
  </r>
  <r>
    <x v="503"/>
    <x v="435"/>
    <x v="6"/>
    <x v="3"/>
    <x v="0"/>
    <x v="2"/>
    <n v="605"/>
    <n v="590"/>
    <n v="599"/>
    <n v="519"/>
    <n v="584"/>
    <n v="571"/>
    <n v="632"/>
    <n v="660"/>
    <n v="635"/>
    <n v="1157"/>
    <n v="504"/>
    <n v="4143"/>
    <n v="933.25"/>
    <n v="1786"/>
    <n v="4"/>
    <n v="1.9137422984195018"/>
    <x v="3"/>
    <s v="NO"/>
    <s v="SI"/>
    <s v="NO"/>
    <s v="NO"/>
  </r>
  <r>
    <x v="504"/>
    <x v="436"/>
    <x v="6"/>
    <x v="3"/>
    <x v="0"/>
    <x v="2"/>
    <n v="19"/>
    <n v="14"/>
    <n v="20"/>
    <n v="11"/>
    <n v="20"/>
    <n v="20"/>
    <n v="11"/>
    <n v="16"/>
    <n v="29"/>
    <n v="43"/>
    <n v="13"/>
    <n v="127"/>
    <n v="28.583333333333332"/>
    <n v="298"/>
    <n v="4"/>
    <n v="10.425655976676385"/>
    <x v="2"/>
    <s v="NO"/>
    <s v="SI"/>
    <s v="NO"/>
    <s v="NO"/>
  </r>
  <r>
    <x v="505"/>
    <x v="437"/>
    <x v="148"/>
    <x v="1"/>
    <x v="13"/>
    <x v="0"/>
    <n v="109"/>
    <n v="99"/>
    <n v="159"/>
    <n v="142"/>
    <n v="62"/>
    <n v="94"/>
    <n v="108"/>
    <n v="97"/>
    <n v="83"/>
    <n v="93"/>
    <n v="11"/>
    <n v="547"/>
    <n v="133.66666666666666"/>
    <n v="140"/>
    <n v="4"/>
    <n v="1.0473815461346634"/>
    <x v="3"/>
    <s v="SI"/>
    <s v="NO"/>
    <s v="NO"/>
    <s v="NO"/>
  </r>
  <r>
    <x v="506"/>
    <x v="438"/>
    <x v="6"/>
    <x v="3"/>
    <x v="0"/>
    <x v="2"/>
    <n v="0"/>
    <n v="0"/>
    <n v="0"/>
    <n v="0"/>
    <n v="1"/>
    <n v="0"/>
    <n v="1"/>
    <n v="1"/>
    <n v="0"/>
    <n v="1"/>
    <n v="0"/>
    <n v="3"/>
    <n v="1.4"/>
    <n v="32"/>
    <n v="2"/>
    <n v="22.857142857142858"/>
    <x v="2"/>
    <s v="NO"/>
    <s v="NO"/>
    <s v="NO"/>
    <s v="NO"/>
  </r>
  <r>
    <x v="507"/>
    <x v="439"/>
    <x v="149"/>
    <x v="1"/>
    <x v="1"/>
    <x v="0"/>
    <n v="928"/>
    <n v="719"/>
    <n v="584"/>
    <n v="1049"/>
    <n v="954"/>
    <n v="790"/>
    <n v="664"/>
    <n v="918"/>
    <n v="820"/>
    <n v="2257"/>
    <n v="726"/>
    <n v="5481"/>
    <n v="1324.1666666666667"/>
    <n v="3079"/>
    <n v="4"/>
    <n v="2.3252359974826935"/>
    <x v="0"/>
    <s v="SI"/>
    <s v="NO"/>
    <s v="NO"/>
    <s v="NO"/>
  </r>
  <r>
    <x v="508"/>
    <x v="440"/>
    <x v="150"/>
    <x v="1"/>
    <x v="5"/>
    <x v="0"/>
    <n v="78"/>
    <n v="69"/>
    <n v="68"/>
    <n v="74"/>
    <n v="71"/>
    <n v="90"/>
    <n v="71"/>
    <n v="90"/>
    <n v="77"/>
    <n v="216"/>
    <n v="96"/>
    <n v="605"/>
    <n v="133.75"/>
    <n v="0"/>
    <n v="4"/>
    <n v="0"/>
    <x v="4"/>
    <s v="NO"/>
    <s v="NO"/>
    <s v="NO"/>
    <s v="NO"/>
  </r>
  <r>
    <x v="509"/>
    <x v="441"/>
    <x v="30"/>
    <x v="0"/>
    <x v="0"/>
    <x v="0"/>
    <n v="199"/>
    <n v="1044"/>
    <n v="351"/>
    <n v="407"/>
    <n v="354"/>
    <n v="943"/>
    <n v="381"/>
    <n v="195"/>
    <n v="330"/>
    <n v="557"/>
    <n v="501"/>
    <n v="3377"/>
    <n v="719.91666666666663"/>
    <n v="5291"/>
    <n v="4"/>
    <n v="7.3494617432573222"/>
    <x v="2"/>
    <s v="SI"/>
    <s v="NO"/>
    <s v="NO"/>
    <s v="NO"/>
  </r>
  <r>
    <x v="510"/>
    <x v="441"/>
    <x v="23"/>
    <x v="0"/>
    <x v="0"/>
    <x v="0"/>
    <n v="258"/>
    <n v="315"/>
    <n v="60"/>
    <n v="249"/>
    <n v="179"/>
    <n v="165"/>
    <n v="59"/>
    <n v="188"/>
    <n v="48"/>
    <n v="410"/>
    <n v="200"/>
    <n v="936"/>
    <n v="255.58333333333334"/>
    <n v="1321"/>
    <n v="4"/>
    <n v="5.1685686338441474"/>
    <x v="0"/>
    <s v="SI"/>
    <s v="NO"/>
    <s v="NO"/>
    <s v="NO"/>
  </r>
  <r>
    <x v="511"/>
    <x v="441"/>
    <x v="128"/>
    <x v="10"/>
    <x v="18"/>
    <x v="0"/>
    <n v="3"/>
    <n v="4"/>
    <n v="6"/>
    <n v="3"/>
    <n v="4"/>
    <n v="3"/>
    <n v="1"/>
    <n v="6"/>
    <n v="8"/>
    <n v="28"/>
    <n v="5"/>
    <n v="42"/>
    <n v="9.4166666666666661"/>
    <n v="18"/>
    <n v="4"/>
    <n v="1.9115044247787611"/>
    <x v="3"/>
    <s v="SI"/>
    <s v="NO"/>
    <s v="NO"/>
    <s v="NO"/>
  </r>
  <r>
    <x v="512"/>
    <x v="441"/>
    <x v="17"/>
    <x v="0"/>
    <x v="0"/>
    <x v="0"/>
    <n v="31"/>
    <n v="12"/>
    <n v="33"/>
    <n v="65"/>
    <n v="49"/>
    <n v="60"/>
    <n v="57"/>
    <n v="52"/>
    <n v="50"/>
    <n v="1"/>
    <n v="85"/>
    <n v="335"/>
    <n v="69.166666666666671"/>
    <n v="516"/>
    <n v="4"/>
    <n v="7.460240963855421"/>
    <x v="2"/>
    <s v="SI"/>
    <s v="NO"/>
    <s v="NO"/>
    <s v="NO"/>
  </r>
  <r>
    <x v="513"/>
    <x v="442"/>
    <x v="6"/>
    <x v="3"/>
    <x v="0"/>
    <x v="2"/>
    <n v="10615"/>
    <n v="8126"/>
    <n v="5120"/>
    <n v="4287"/>
    <n v="4740"/>
    <n v="5508"/>
    <n v="4293"/>
    <n v="4843"/>
    <n v="4506"/>
    <n v="7874"/>
    <n v="4633"/>
    <n v="32669"/>
    <n v="8101.166666666667"/>
    <n v="38139"/>
    <n v="4"/>
    <n v="4.707840434505318"/>
    <x v="0"/>
    <s v="NO"/>
    <s v="NO"/>
    <s v="NO"/>
    <s v="NO"/>
  </r>
  <r>
    <x v="514"/>
    <x v="443"/>
    <x v="0"/>
    <x v="0"/>
    <x v="0"/>
    <x v="0"/>
    <n v="0"/>
    <n v="0"/>
    <n v="0"/>
    <n v="40"/>
    <n v="329"/>
    <n v="647"/>
    <n v="493"/>
    <n v="749"/>
    <n v="0"/>
    <n v="0"/>
    <n v="0"/>
    <n v="1983"/>
    <n v="706.83333333333337"/>
    <n v="14458"/>
    <n v="1"/>
    <n v="20.454609761848619"/>
    <x v="2"/>
    <s v="NO"/>
    <s v="NO"/>
    <s v="NO"/>
    <s v="NO"/>
  </r>
  <r>
    <x v="515"/>
    <x v="444"/>
    <x v="34"/>
    <x v="1"/>
    <x v="5"/>
    <x v="0"/>
    <n v="165"/>
    <n v="146"/>
    <n v="178"/>
    <n v="370"/>
    <n v="229"/>
    <n v="152"/>
    <n v="254"/>
    <n v="243"/>
    <n v="247"/>
    <n v="504"/>
    <n v="251"/>
    <n v="1636"/>
    <n v="364.58333333333331"/>
    <n v="3076"/>
    <n v="4"/>
    <n v="8.4370285714285718"/>
    <x v="2"/>
    <s v="SI"/>
    <s v="NO"/>
    <s v="NO"/>
    <s v="NO"/>
  </r>
  <r>
    <x v="516"/>
    <x v="445"/>
    <x v="31"/>
    <x v="0"/>
    <x v="0"/>
    <x v="0"/>
    <n v="0"/>
    <n v="0"/>
    <n v="10"/>
    <n v="88"/>
    <n v="0"/>
    <n v="42"/>
    <n v="289"/>
    <n v="130"/>
    <n v="109"/>
    <n v="174"/>
    <n v="80"/>
    <n v="857"/>
    <n v="197.66666666666666"/>
    <n v="1399"/>
    <n v="4"/>
    <n v="7.0775716694772344"/>
    <x v="2"/>
    <s v="SI"/>
    <s v="NO"/>
    <s v="NO"/>
    <s v="NO"/>
  </r>
  <r>
    <x v="517"/>
    <x v="446"/>
    <x v="6"/>
    <x v="5"/>
    <x v="62"/>
    <x v="2"/>
    <n v="68"/>
    <n v="58"/>
    <n v="89"/>
    <n v="72"/>
    <n v="87"/>
    <n v="70"/>
    <n v="3"/>
    <n v="10"/>
    <n v="73"/>
    <n v="93"/>
    <n v="77"/>
    <n v="375"/>
    <n v="89.583333333333329"/>
    <n v="3"/>
    <n v="4"/>
    <n v="3.3488372093023258E-2"/>
    <x v="3"/>
    <s v="NO"/>
    <s v="NO"/>
    <s v="NO"/>
    <s v="NO"/>
  </r>
  <r>
    <x v="518"/>
    <x v="447"/>
    <x v="6"/>
    <x v="3"/>
    <x v="0"/>
    <x v="2"/>
    <n v="20"/>
    <n v="108"/>
    <n v="22"/>
    <n v="41"/>
    <n v="66"/>
    <n v="69"/>
    <n v="444"/>
    <n v="699"/>
    <n v="459"/>
    <n v="439"/>
    <n v="209"/>
    <n v="2310"/>
    <n v="407.16666666666669"/>
    <n v="1662"/>
    <n v="4"/>
    <n v="4.0818665575112565"/>
    <x v="0"/>
    <s v="NO"/>
    <s v="NO"/>
    <s v="NO"/>
    <s v="NO"/>
  </r>
  <r>
    <x v="519"/>
    <x v="448"/>
    <x v="6"/>
    <x v="3"/>
    <x v="0"/>
    <x v="2"/>
    <n v="0"/>
    <n v="0"/>
    <n v="0"/>
    <n v="0"/>
    <n v="0"/>
    <n v="0"/>
    <n v="0"/>
    <n v="0"/>
    <n v="0"/>
    <n v="0"/>
    <n v="0"/>
    <n v="0"/>
    <n v="0"/>
    <n v="0"/>
    <n v="0"/>
    <s v="No Rota"/>
    <x v="1"/>
    <s v="NO"/>
    <s v="NO"/>
    <s v="NO"/>
    <s v="NO"/>
  </r>
  <r>
    <x v="520"/>
    <x v="449"/>
    <x v="6"/>
    <x v="3"/>
    <x v="0"/>
    <x v="2"/>
    <n v="41"/>
    <n v="59"/>
    <n v="45"/>
    <n v="28"/>
    <n v="34"/>
    <n v="19"/>
    <n v="0"/>
    <n v="0"/>
    <n v="0"/>
    <n v="56"/>
    <n v="18"/>
    <n v="77"/>
    <n v="41.888888888888886"/>
    <n v="176"/>
    <n v="3"/>
    <n v="4.2015915119363401"/>
    <x v="0"/>
    <s v="NO"/>
    <s v="SI"/>
    <s v="NO"/>
    <s v="NO"/>
  </r>
  <r>
    <x v="521"/>
    <x v="450"/>
    <x v="6"/>
    <x v="3"/>
    <x v="0"/>
    <x v="3"/>
    <n v="48"/>
    <n v="41"/>
    <n v="66"/>
    <n v="64"/>
    <n v="54"/>
    <n v="68"/>
    <n v="85"/>
    <n v="98"/>
    <n v="44"/>
    <n v="102"/>
    <n v="49"/>
    <n v="419"/>
    <n v="94.833333333333329"/>
    <n v="716"/>
    <n v="4"/>
    <n v="7.550087873462215"/>
    <x v="2"/>
    <s v="NO"/>
    <s v="SI"/>
    <s v="NO"/>
    <s v="NO"/>
  </r>
  <r>
    <x v="522"/>
    <x v="451"/>
    <x v="6"/>
    <x v="3"/>
    <x v="0"/>
    <x v="3"/>
    <n v="21"/>
    <n v="18"/>
    <n v="31"/>
    <n v="41"/>
    <n v="67"/>
    <n v="46"/>
    <n v="69"/>
    <n v="89"/>
    <n v="116"/>
    <n v="237"/>
    <n v="75"/>
    <n v="564"/>
    <n v="114.5"/>
    <n v="426"/>
    <n v="4"/>
    <n v="3.7205240174672487"/>
    <x v="0"/>
    <s v="NO"/>
    <s v="SI"/>
    <s v="NO"/>
    <s v="NO"/>
  </r>
  <r>
    <x v="523"/>
    <x v="452"/>
    <x v="6"/>
    <x v="16"/>
    <x v="63"/>
    <x v="2"/>
    <n v="1620"/>
    <n v="0"/>
    <n v="0"/>
    <n v="0"/>
    <n v="0"/>
    <n v="0"/>
    <n v="0"/>
    <n v="0"/>
    <n v="0"/>
    <n v="0"/>
    <n v="0"/>
    <n v="0"/>
    <n v="1620"/>
    <n v="0"/>
    <n v="0"/>
    <s v="No Rota"/>
    <x v="1"/>
    <s v="NO"/>
    <s v="NO"/>
    <s v="NO"/>
    <s v="NO"/>
  </r>
  <r>
    <x v="524"/>
    <x v="453"/>
    <x v="6"/>
    <x v="3"/>
    <x v="64"/>
    <x v="2"/>
    <n v="0"/>
    <n v="1000"/>
    <n v="2000"/>
    <n v="1000"/>
    <n v="2000"/>
    <n v="3000"/>
    <n v="2000"/>
    <n v="2000"/>
    <n v="0"/>
    <n v="2000"/>
    <n v="0"/>
    <n v="7000"/>
    <n v="2444.4444444444443"/>
    <n v="8000"/>
    <n v="2"/>
    <n v="3.2727272727272729"/>
    <x v="0"/>
    <s v="NO"/>
    <s v="NO"/>
    <s v="NO"/>
    <s v="NO"/>
  </r>
  <r>
    <x v="525"/>
    <x v="454"/>
    <x v="6"/>
    <x v="16"/>
    <x v="65"/>
    <x v="3"/>
    <n v="1500"/>
    <n v="3000"/>
    <n v="1500"/>
    <n v="0"/>
    <n v="0"/>
    <n v="0"/>
    <n v="450"/>
    <n v="2220"/>
    <n v="0"/>
    <n v="1200"/>
    <n v="0"/>
    <n v="2670"/>
    <n v="1791.4285714285713"/>
    <n v="1170"/>
    <n v="2"/>
    <n v="0.65311004784688997"/>
    <x v="3"/>
    <s v="NO"/>
    <s v="NO"/>
    <s v="NO"/>
    <s v="NO"/>
  </r>
  <r>
    <x v="526"/>
    <x v="454"/>
    <x v="6"/>
    <x v="16"/>
    <x v="66"/>
    <x v="2"/>
    <n v="0"/>
    <n v="0"/>
    <n v="0"/>
    <n v="0"/>
    <n v="0"/>
    <n v="0"/>
    <n v="0"/>
    <n v="0"/>
    <n v="0"/>
    <n v="0"/>
    <n v="0"/>
    <n v="0"/>
    <n v="0"/>
    <n v="11"/>
    <n v="0"/>
    <s v="No Rota"/>
    <x v="1"/>
    <s v="NO"/>
    <s v="NO"/>
    <s v="NO"/>
    <s v="NO"/>
  </r>
  <r>
    <x v="527"/>
    <x v="455"/>
    <x v="6"/>
    <x v="16"/>
    <x v="67"/>
    <x v="2"/>
    <n v="0"/>
    <n v="100"/>
    <n v="60"/>
    <n v="40"/>
    <n v="116"/>
    <n v="60"/>
    <n v="80"/>
    <n v="0"/>
    <n v="0"/>
    <n v="70"/>
    <n v="0"/>
    <n v="140"/>
    <n v="83.25"/>
    <n v="74"/>
    <n v="2"/>
    <n v="0.88888888888888884"/>
    <x v="3"/>
    <s v="NO"/>
    <s v="NO"/>
    <s v="NO"/>
    <s v="NO"/>
  </r>
  <r>
    <x v="528"/>
    <x v="456"/>
    <x v="6"/>
    <x v="3"/>
    <x v="0"/>
    <x v="2"/>
    <n v="380"/>
    <n v="369"/>
    <n v="453"/>
    <n v="495"/>
    <n v="400"/>
    <n v="456"/>
    <n v="500"/>
    <n v="521"/>
    <n v="559"/>
    <n v="1351"/>
    <n v="470"/>
    <n v="3357"/>
    <n v="775.91666666666663"/>
    <n v="216"/>
    <n v="4"/>
    <n v="0.27838041026742566"/>
    <x v="3"/>
    <s v="NO"/>
    <s v="NO"/>
    <s v="NO"/>
    <s v="NO"/>
  </r>
  <r>
    <x v="529"/>
    <x v="457"/>
    <x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s v="No Rota"/>
    <x v="1"/>
    <s v="NO"/>
    <s v="NO"/>
    <s v="NO"/>
    <s v="NO"/>
  </r>
  <r>
    <x v="530"/>
    <x v="457"/>
    <x v="0"/>
    <x v="0"/>
    <x v="0"/>
    <x v="0"/>
    <n v="0"/>
    <n v="0"/>
    <n v="138"/>
    <n v="88"/>
    <n v="340"/>
    <n v="294"/>
    <n v="211"/>
    <n v="267"/>
    <n v="105"/>
    <n v="216"/>
    <n v="114"/>
    <n v="1277"/>
    <n v="305"/>
    <n v="783"/>
    <n v="4"/>
    <n v="2.5672131147540984"/>
    <x v="0"/>
    <s v="NO"/>
    <s v="NO"/>
    <s v="NO"/>
    <s v="NO"/>
  </r>
  <r>
    <x v="531"/>
    <x v="458"/>
    <x v="92"/>
    <x v="0"/>
    <x v="0"/>
    <x v="0"/>
    <n v="360"/>
    <n v="300"/>
    <n v="300"/>
    <n v="600"/>
    <n v="360"/>
    <n v="900"/>
    <n v="480"/>
    <n v="600"/>
    <n v="420"/>
    <n v="0"/>
    <n v="0"/>
    <n v="2580"/>
    <n v="690"/>
    <n v="2100"/>
    <n v="2"/>
    <n v="3.0434782608695654"/>
    <x v="0"/>
    <s v="NO"/>
    <s v="NO"/>
    <s v="SI"/>
    <s v="NO"/>
  </r>
  <r>
    <x v="532"/>
    <x v="459"/>
    <x v="100"/>
    <x v="0"/>
    <x v="0"/>
    <x v="0"/>
    <n v="0"/>
    <n v="0"/>
    <n v="0"/>
    <n v="545"/>
    <n v="455"/>
    <n v="0"/>
    <n v="0"/>
    <n v="0"/>
    <n v="163"/>
    <n v="175"/>
    <n v="0"/>
    <n v="298"/>
    <n v="327.2"/>
    <n v="0"/>
    <n v="3"/>
    <n v="0"/>
    <x v="4"/>
    <s v="SI"/>
    <s v="NO"/>
    <s v="NO"/>
    <s v="NO"/>
  </r>
  <r>
    <x v="533"/>
    <x v="459"/>
    <x v="21"/>
    <x v="1"/>
    <x v="3"/>
    <x v="0"/>
    <n v="1537"/>
    <n v="1496"/>
    <n v="1515"/>
    <n v="1599"/>
    <n v="1799"/>
    <n v="1404"/>
    <n v="2433"/>
    <n v="1593"/>
    <n v="1623"/>
    <n v="5054"/>
    <n v="1148"/>
    <n v="10903"/>
    <n v="2675.3333333333335"/>
    <n v="17811"/>
    <n v="4"/>
    <n v="6.6574881634687264"/>
    <x v="2"/>
    <s v="SI"/>
    <s v="NO"/>
    <s v="NO"/>
    <s v="NO"/>
  </r>
  <r>
    <x v="534"/>
    <x v="459"/>
    <x v="63"/>
    <x v="0"/>
    <x v="0"/>
    <x v="0"/>
    <n v="1391"/>
    <n v="1493"/>
    <n v="1245"/>
    <n v="835"/>
    <n v="45"/>
    <n v="0"/>
    <n v="0"/>
    <n v="0"/>
    <n v="0"/>
    <n v="0"/>
    <n v="0"/>
    <n v="10"/>
    <n v="836.5"/>
    <n v="0"/>
    <n v="1"/>
    <n v="0"/>
    <x v="4"/>
    <s v="SI"/>
    <s v="NO"/>
    <s v="NO"/>
    <s v="NO"/>
  </r>
  <r>
    <x v="535"/>
    <x v="460"/>
    <x v="44"/>
    <x v="1"/>
    <x v="0"/>
    <x v="0"/>
    <n v="55"/>
    <n v="73"/>
    <n v="171"/>
    <n v="0"/>
    <n v="0"/>
    <n v="3"/>
    <n v="18"/>
    <n v="51"/>
    <n v="6"/>
    <n v="0"/>
    <n v="22"/>
    <n v="130"/>
    <n v="58.777777777777779"/>
    <n v="180"/>
    <n v="3"/>
    <n v="3.0623818525519848"/>
    <x v="0"/>
    <s v="NO"/>
    <s v="NO"/>
    <s v="NO"/>
    <s v="NO"/>
  </r>
  <r>
    <x v="536"/>
    <x v="461"/>
    <x v="6"/>
    <x v="3"/>
    <x v="0"/>
    <x v="2"/>
    <n v="742"/>
    <n v="1808"/>
    <n v="56"/>
    <n v="716"/>
    <n v="556"/>
    <n v="370"/>
    <n v="84"/>
    <n v="928"/>
    <n v="5828"/>
    <n v="7035"/>
    <n v="0"/>
    <n v="7210"/>
    <n v="2303"/>
    <n v="605"/>
    <n v="3"/>
    <n v="0.2627008250108554"/>
    <x v="3"/>
    <s v="NO"/>
    <s v="NO"/>
    <s v="NO"/>
    <s v="NO"/>
  </r>
  <r>
    <x v="537"/>
    <x v="462"/>
    <x v="6"/>
    <x v="3"/>
    <x v="0"/>
    <x v="2"/>
    <n v="0"/>
    <n v="0"/>
    <n v="0"/>
    <n v="0"/>
    <n v="0"/>
    <n v="0"/>
    <n v="0"/>
    <n v="0"/>
    <n v="0"/>
    <n v="0"/>
    <n v="0"/>
    <n v="0"/>
    <n v="0"/>
    <n v="5"/>
    <n v="0"/>
    <s v="No Rota"/>
    <x v="1"/>
    <s v="NO"/>
    <s v="NO"/>
    <s v="NO"/>
    <s v="NO"/>
  </r>
  <r>
    <x v="538"/>
    <x v="463"/>
    <x v="63"/>
    <x v="0"/>
    <x v="0"/>
    <x v="0"/>
    <n v="0"/>
    <n v="0"/>
    <n v="2"/>
    <n v="0"/>
    <n v="100"/>
    <n v="100"/>
    <n v="0"/>
    <n v="10"/>
    <n v="32"/>
    <n v="56"/>
    <n v="84"/>
    <n v="410"/>
    <n v="99.25"/>
    <n v="0"/>
    <n v="4"/>
    <n v="0"/>
    <x v="4"/>
    <s v="NO"/>
    <s v="NO"/>
    <s v="SI"/>
    <s v="NO"/>
  </r>
  <r>
    <x v="539"/>
    <x v="464"/>
    <x v="44"/>
    <x v="0"/>
    <x v="0"/>
    <x v="0"/>
    <n v="138"/>
    <n v="157"/>
    <n v="213"/>
    <n v="155"/>
    <n v="148"/>
    <n v="42"/>
    <n v="270"/>
    <n v="186"/>
    <n v="134"/>
    <n v="55"/>
    <n v="1"/>
    <n v="1051"/>
    <n v="212.5"/>
    <n v="632"/>
    <n v="4"/>
    <n v="2.9741176470588235"/>
    <x v="0"/>
    <s v="SI"/>
    <s v="NO"/>
    <s v="NO"/>
    <s v="NO"/>
  </r>
  <r>
    <x v="540"/>
    <x v="465"/>
    <x v="151"/>
    <x v="5"/>
    <x v="22"/>
    <x v="0"/>
    <n v="64"/>
    <n v="40"/>
    <n v="32"/>
    <n v="53"/>
    <n v="41"/>
    <n v="38"/>
    <n v="51"/>
    <n v="43"/>
    <n v="56"/>
    <n v="85"/>
    <n v="60"/>
    <n v="347"/>
    <n v="75.833333333333329"/>
    <n v="287"/>
    <n v="4"/>
    <n v="3.7846153846153849"/>
    <x v="0"/>
    <s v="SI"/>
    <s v="NO"/>
    <s v="NO"/>
    <s v="NO"/>
  </r>
  <r>
    <x v="541"/>
    <x v="465"/>
    <x v="79"/>
    <x v="2"/>
    <x v="1"/>
    <x v="0"/>
    <n v="0"/>
    <n v="0"/>
    <n v="0"/>
    <n v="0"/>
    <n v="0"/>
    <n v="3"/>
    <n v="1"/>
    <n v="1"/>
    <n v="2"/>
    <n v="4"/>
    <n v="3"/>
    <n v="16"/>
    <n v="4.2857142857142856"/>
    <n v="83"/>
    <n v="4"/>
    <n v="19.366666666666667"/>
    <x v="2"/>
    <s v="SI"/>
    <s v="NO"/>
    <s v="NO"/>
    <s v="NO"/>
  </r>
  <r>
    <x v="542"/>
    <x v="466"/>
    <x v="6"/>
    <x v="13"/>
    <x v="68"/>
    <x v="0"/>
    <n v="7"/>
    <n v="10"/>
    <n v="4"/>
    <n v="9"/>
    <n v="4"/>
    <n v="0"/>
    <n v="19"/>
    <n v="7"/>
    <n v="10"/>
    <n v="25"/>
    <n v="14"/>
    <n v="63"/>
    <n v="15.636363636363637"/>
    <n v="65"/>
    <n v="4"/>
    <n v="4.1569767441860463"/>
    <x v="0"/>
    <s v="SI"/>
    <s v="NO"/>
    <s v="NO"/>
    <s v="NO"/>
  </r>
  <r>
    <x v="543"/>
    <x v="467"/>
    <x v="6"/>
    <x v="3"/>
    <x v="0"/>
    <x v="2"/>
    <n v="0"/>
    <n v="0"/>
    <n v="0"/>
    <n v="0"/>
    <n v="0"/>
    <n v="7"/>
    <n v="24"/>
    <n v="27"/>
    <n v="10"/>
    <n v="19"/>
    <n v="23"/>
    <n v="126"/>
    <n v="33.714285714285715"/>
    <n v="153"/>
    <n v="4"/>
    <n v="4.5381355932203391"/>
    <x v="0"/>
    <s v="NO"/>
    <s v="NO"/>
    <s v="NO"/>
    <s v="NO"/>
  </r>
  <r>
    <x v="544"/>
    <x v="468"/>
    <x v="17"/>
    <x v="0"/>
    <x v="0"/>
    <x v="0"/>
    <n v="340"/>
    <n v="596"/>
    <n v="417"/>
    <n v="267"/>
    <n v="761"/>
    <n v="134"/>
    <n v="215"/>
    <n v="796"/>
    <n v="564"/>
    <n v="930"/>
    <n v="749"/>
    <n v="3566"/>
    <n v="777.91666666666663"/>
    <n v="13950"/>
    <n v="4"/>
    <n v="17.932512051419391"/>
    <x v="2"/>
    <s v="SI"/>
    <s v="NO"/>
    <s v="NO"/>
    <s v="NO"/>
  </r>
  <r>
    <x v="545"/>
    <x v="469"/>
    <x v="6"/>
    <x v="17"/>
    <x v="0"/>
    <x v="2"/>
    <n v="109"/>
    <n v="0"/>
    <n v="228"/>
    <n v="279"/>
    <n v="100"/>
    <n v="174"/>
    <n v="177"/>
    <n v="0"/>
    <n v="0"/>
    <n v="0"/>
    <n v="75"/>
    <n v="426"/>
    <n v="196"/>
    <n v="0"/>
    <n v="2"/>
    <n v="0"/>
    <x v="4"/>
    <s v="NO"/>
    <s v="NO"/>
    <s v="NO"/>
    <s v="NO"/>
  </r>
  <r>
    <x v="546"/>
    <x v="470"/>
    <x v="6"/>
    <x v="17"/>
    <x v="0"/>
    <x v="3"/>
    <n v="19"/>
    <n v="11"/>
    <n v="12"/>
    <n v="7"/>
    <n v="14"/>
    <n v="16"/>
    <n v="8"/>
    <n v="16"/>
    <n v="15"/>
    <n v="72"/>
    <n v="16"/>
    <n v="115"/>
    <n v="26.75"/>
    <n v="181"/>
    <n v="4"/>
    <n v="6.7663551401869162"/>
    <x v="2"/>
    <s v="NO"/>
    <s v="SI"/>
    <s v="NO"/>
    <s v="NO"/>
  </r>
  <r>
    <x v="547"/>
    <x v="471"/>
    <x v="6"/>
    <x v="3"/>
    <x v="0"/>
    <x v="2"/>
    <n v="0"/>
    <n v="4"/>
    <n v="1"/>
    <n v="5"/>
    <n v="1"/>
    <n v="2"/>
    <n v="2"/>
    <n v="3"/>
    <n v="0"/>
    <n v="5"/>
    <n v="1"/>
    <n v="14"/>
    <n v="3.8"/>
    <n v="45"/>
    <n v="3"/>
    <n v="11.842105263157896"/>
    <x v="2"/>
    <s v="NO"/>
    <s v="SI"/>
    <s v="NO"/>
    <s v="NO"/>
  </r>
  <r>
    <x v="548"/>
    <x v="472"/>
    <x v="6"/>
    <x v="17"/>
    <x v="0"/>
    <x v="2"/>
    <n v="6"/>
    <n v="4"/>
    <n v="0"/>
    <n v="1"/>
    <n v="0"/>
    <n v="3"/>
    <n v="2"/>
    <n v="3"/>
    <n v="2"/>
    <n v="2"/>
    <n v="3"/>
    <n v="18"/>
    <n v="4.4000000000000004"/>
    <n v="254"/>
    <n v="4"/>
    <n v="57.72727272727272"/>
    <x v="2"/>
    <s v="NO"/>
    <s v="SI"/>
    <s v="NO"/>
    <s v="NO"/>
  </r>
  <r>
    <x v="549"/>
    <x v="473"/>
    <x v="6"/>
    <x v="17"/>
    <x v="0"/>
    <x v="2"/>
    <n v="1302"/>
    <n v="857"/>
    <n v="69"/>
    <n v="0"/>
    <n v="472"/>
    <n v="470"/>
    <n v="318"/>
    <n v="320"/>
    <n v="353"/>
    <n v="689"/>
    <n v="1398"/>
    <n v="3888"/>
    <n v="921.4545454545455"/>
    <n v="1520"/>
    <n v="4"/>
    <n v="1.64956590370955"/>
    <x v="3"/>
    <s v="NO"/>
    <s v="SI"/>
    <s v="NO"/>
    <s v="NO"/>
  </r>
  <r>
    <x v="550"/>
    <x v="474"/>
    <x v="6"/>
    <x v="3"/>
    <x v="0"/>
    <x v="2"/>
    <n v="278"/>
    <n v="682"/>
    <n v="1382"/>
    <n v="1524"/>
    <n v="175"/>
    <n v="953"/>
    <n v="888"/>
    <n v="939"/>
    <n v="932"/>
    <n v="1472"/>
    <n v="1"/>
    <n v="5342"/>
    <n v="1214"/>
    <n v="1285"/>
    <n v="4"/>
    <n v="1.0584843492586491"/>
    <x v="3"/>
    <s v="NO"/>
    <s v="SI"/>
    <s v="NO"/>
    <s v="NO"/>
  </r>
  <r>
    <x v="551"/>
    <x v="475"/>
    <x v="6"/>
    <x v="3"/>
    <x v="0"/>
    <x v="2"/>
    <n v="0"/>
    <n v="0"/>
    <n v="0"/>
    <n v="4"/>
    <n v="57"/>
    <n v="33"/>
    <n v="33"/>
    <n v="0"/>
    <n v="0"/>
    <n v="0"/>
    <n v="7"/>
    <n v="90"/>
    <n v="37.333333333333336"/>
    <n v="219"/>
    <n v="2"/>
    <n v="5.8660714285714279"/>
    <x v="0"/>
    <s v="NO"/>
    <s v="SI"/>
    <s v="NO"/>
    <s v="NO"/>
  </r>
  <r>
    <x v="552"/>
    <x v="476"/>
    <x v="6"/>
    <x v="3"/>
    <x v="0"/>
    <x v="2"/>
    <n v="0"/>
    <n v="0"/>
    <n v="0"/>
    <n v="1"/>
    <n v="0"/>
    <n v="0"/>
    <n v="0"/>
    <n v="0"/>
    <n v="0"/>
    <n v="0"/>
    <n v="0"/>
    <n v="0"/>
    <n v="1"/>
    <n v="10"/>
    <n v="0"/>
    <s v="No Rota"/>
    <x v="1"/>
    <s v="NO"/>
    <s v="SI"/>
    <s v="NO"/>
    <s v="NO"/>
  </r>
  <r>
    <x v="553"/>
    <x v="477"/>
    <x v="6"/>
    <x v="3"/>
    <x v="0"/>
    <x v="2"/>
    <n v="0"/>
    <n v="0"/>
    <n v="0"/>
    <n v="0"/>
    <n v="0"/>
    <n v="1"/>
    <n v="0"/>
    <n v="0"/>
    <n v="0"/>
    <n v="0"/>
    <n v="0"/>
    <n v="1"/>
    <n v="1"/>
    <n v="3"/>
    <n v="1"/>
    <n v="3"/>
    <x v="0"/>
    <s v="NO"/>
    <s v="SI"/>
    <s v="NO"/>
    <s v="NO"/>
  </r>
  <r>
    <x v="554"/>
    <x v="478"/>
    <x v="152"/>
    <x v="2"/>
    <x v="16"/>
    <x v="0"/>
    <n v="17"/>
    <n v="9"/>
    <n v="13"/>
    <n v="19"/>
    <n v="11"/>
    <n v="10"/>
    <n v="15"/>
    <n v="13"/>
    <n v="19"/>
    <n v="7970"/>
    <n v="2635"/>
    <n v="10557"/>
    <n v="1774"/>
    <n v="141"/>
    <n v="4"/>
    <n v="7.9481397970687706E-2"/>
    <x v="3"/>
    <s v="SI"/>
    <s v="NO"/>
    <s v="NO"/>
    <s v="NO"/>
  </r>
  <r>
    <x v="555"/>
    <x v="479"/>
    <x v="104"/>
    <x v="4"/>
    <x v="36"/>
    <x v="0"/>
    <n v="135"/>
    <n v="84"/>
    <n v="139"/>
    <n v="181"/>
    <n v="109"/>
    <n v="117"/>
    <n v="0"/>
    <n v="8"/>
    <n v="36"/>
    <n v="676"/>
    <n v="209"/>
    <n v="891"/>
    <n v="235"/>
    <n v="21"/>
    <n v="4"/>
    <n v="8.9361702127659579E-2"/>
    <x v="3"/>
    <s v="SI"/>
    <s v="NO"/>
    <s v="NO"/>
    <s v="NO"/>
  </r>
  <r>
    <x v="556"/>
    <x v="480"/>
    <x v="30"/>
    <x v="0"/>
    <x v="0"/>
    <x v="0"/>
    <n v="150"/>
    <n v="429"/>
    <n v="480"/>
    <n v="320"/>
    <n v="80"/>
    <n v="0"/>
    <n v="0"/>
    <n v="60"/>
    <n v="50"/>
    <n v="10"/>
    <n v="0"/>
    <n v="150"/>
    <n v="192.11111111111111"/>
    <n v="530"/>
    <n v="3"/>
    <n v="2.7588201272411799"/>
    <x v="0"/>
    <s v="SI"/>
    <s v="NO"/>
    <s v="NO"/>
    <s v="NO"/>
  </r>
  <r>
    <x v="557"/>
    <x v="481"/>
    <x v="6"/>
    <x v="3"/>
    <x v="0"/>
    <x v="2"/>
    <n v="1"/>
    <n v="1"/>
    <n v="0"/>
    <n v="0"/>
    <n v="0"/>
    <n v="0"/>
    <n v="0"/>
    <n v="0"/>
    <n v="0"/>
    <n v="0"/>
    <n v="0"/>
    <n v="0"/>
    <n v="1"/>
    <n v="7"/>
    <n v="0"/>
    <s v="No Rota"/>
    <x v="1"/>
    <s v="NO"/>
    <s v="NO"/>
    <s v="NO"/>
    <s v="NO"/>
  </r>
  <r>
    <x v="558"/>
    <x v="482"/>
    <x v="6"/>
    <x v="3"/>
    <x v="0"/>
    <x v="2"/>
    <n v="11"/>
    <n v="1"/>
    <n v="3"/>
    <n v="3"/>
    <n v="3"/>
    <n v="4"/>
    <n v="4"/>
    <n v="2"/>
    <n v="2"/>
    <n v="5"/>
    <n v="3"/>
    <n v="21"/>
    <n v="5.166666666666667"/>
    <n v="26"/>
    <n v="4"/>
    <n v="5.032258064516129"/>
    <x v="0"/>
    <s v="NO"/>
    <s v="NO"/>
    <s v="NO"/>
    <s v="NO"/>
  </r>
  <r>
    <x v="559"/>
    <x v="483"/>
    <x v="6"/>
    <x v="3"/>
    <x v="0"/>
    <x v="2"/>
    <n v="6"/>
    <n v="9"/>
    <n v="6"/>
    <n v="1"/>
    <n v="5"/>
    <n v="8"/>
    <n v="5"/>
    <n v="8"/>
    <n v="6"/>
    <n v="11"/>
    <n v="5"/>
    <n v="40"/>
    <n v="9.1666666666666661"/>
    <n v="0"/>
    <n v="4"/>
    <n v="0"/>
    <x v="4"/>
    <s v="NO"/>
    <s v="NO"/>
    <s v="NO"/>
    <s v="NO"/>
  </r>
  <r>
    <x v="560"/>
    <x v="484"/>
    <x v="6"/>
    <x v="3"/>
    <x v="0"/>
    <x v="2"/>
    <n v="0"/>
    <n v="1"/>
    <n v="1"/>
    <n v="0"/>
    <n v="1"/>
    <n v="0"/>
    <n v="0"/>
    <n v="0"/>
    <n v="0"/>
    <n v="0"/>
    <n v="0"/>
    <n v="0"/>
    <n v="1"/>
    <n v="0"/>
    <n v="0"/>
    <s v="No Rota"/>
    <x v="1"/>
    <s v="NO"/>
    <s v="NO"/>
    <s v="NO"/>
    <s v="NO"/>
  </r>
  <r>
    <x v="561"/>
    <x v="485"/>
    <x v="153"/>
    <x v="1"/>
    <x v="5"/>
    <x v="0"/>
    <n v="147"/>
    <n v="193"/>
    <n v="195"/>
    <n v="238"/>
    <n v="204"/>
    <n v="244"/>
    <n v="244"/>
    <n v="285"/>
    <n v="363"/>
    <n v="628"/>
    <n v="187"/>
    <n v="1791"/>
    <n v="393.25"/>
    <n v="296"/>
    <n v="4"/>
    <n v="0.75270184361093451"/>
    <x v="3"/>
    <s v="SI"/>
    <s v="NO"/>
    <s v="NO"/>
    <s v="NO"/>
  </r>
  <r>
    <x v="562"/>
    <x v="486"/>
    <x v="130"/>
    <x v="1"/>
    <x v="5"/>
    <x v="0"/>
    <n v="1210"/>
    <n v="957"/>
    <n v="1340"/>
    <n v="1385"/>
    <n v="1290"/>
    <n v="936"/>
    <n v="1072"/>
    <n v="1159"/>
    <n v="1158"/>
    <n v="898"/>
    <n v="595"/>
    <n v="6575"/>
    <n v="1547.9166666666667"/>
    <n v="6986"/>
    <n v="4"/>
    <n v="4.5131628532974428"/>
    <x v="0"/>
    <s v="SI"/>
    <s v="NO"/>
    <s v="NO"/>
    <s v="NO"/>
  </r>
  <r>
    <x v="563"/>
    <x v="486"/>
    <x v="154"/>
    <x v="1"/>
    <x v="4"/>
    <x v="0"/>
    <n v="8225"/>
    <n v="7603"/>
    <n v="7848"/>
    <n v="7355"/>
    <n v="7786"/>
    <n v="7836"/>
    <n v="8131"/>
    <n v="8638"/>
    <n v="7973"/>
    <n v="16069"/>
    <n v="6935"/>
    <n v="54165"/>
    <n v="12380.333333333334"/>
    <n v="11302"/>
    <n v="4"/>
    <n v="0.91289949112840252"/>
    <x v="3"/>
    <s v="SI"/>
    <s v="NO"/>
    <s v="NO"/>
    <s v="NO"/>
  </r>
  <r>
    <x v="564"/>
    <x v="486"/>
    <x v="154"/>
    <x v="1"/>
    <x v="27"/>
    <x v="0"/>
    <n v="5757"/>
    <n v="5892"/>
    <n v="6291"/>
    <n v="6516"/>
    <n v="7044"/>
    <n v="7904"/>
    <n v="7576"/>
    <n v="8559"/>
    <n v="8963"/>
    <n v="16485"/>
    <n v="8274"/>
    <n v="58915"/>
    <n v="12348"/>
    <n v="10383"/>
    <n v="4"/>
    <n v="0.8408649173955296"/>
    <x v="3"/>
    <s v="SI"/>
    <s v="NO"/>
    <s v="NO"/>
    <s v="NO"/>
  </r>
  <r>
    <x v="565"/>
    <x v="486"/>
    <x v="154"/>
    <x v="1"/>
    <x v="16"/>
    <x v="0"/>
    <n v="707"/>
    <n v="650"/>
    <n v="670"/>
    <n v="740"/>
    <n v="726"/>
    <n v="800"/>
    <n v="910"/>
    <n v="962"/>
    <n v="807"/>
    <n v="2584"/>
    <n v="1014"/>
    <n v="6382"/>
    <n v="1412.6666666666667"/>
    <n v="1481"/>
    <n v="4"/>
    <n v="1.0483718735252476"/>
    <x v="3"/>
    <s v="SI"/>
    <s v="NO"/>
    <s v="NO"/>
    <s v="NO"/>
  </r>
  <r>
    <x v="566"/>
    <x v="486"/>
    <x v="154"/>
    <x v="1"/>
    <x v="13"/>
    <x v="0"/>
    <n v="172"/>
    <n v="528"/>
    <n v="294"/>
    <n v="318"/>
    <n v="202"/>
    <n v="158"/>
    <n v="165"/>
    <n v="22"/>
    <n v="872"/>
    <n v="721"/>
    <n v="223"/>
    <n v="1734"/>
    <n v="450.75"/>
    <n v="5814"/>
    <n v="4"/>
    <n v="12.898502495840265"/>
    <x v="2"/>
    <s v="SI"/>
    <s v="NO"/>
    <s v="NO"/>
    <s v="NO"/>
  </r>
  <r>
    <x v="567"/>
    <x v="487"/>
    <x v="155"/>
    <x v="2"/>
    <x v="69"/>
    <x v="0"/>
    <n v="40"/>
    <n v="30"/>
    <n v="24"/>
    <n v="39"/>
    <n v="37"/>
    <n v="34"/>
    <n v="11"/>
    <n v="58"/>
    <n v="35"/>
    <n v="93"/>
    <n v="37"/>
    <n v="233"/>
    <n v="55.916666666666664"/>
    <n v="0"/>
    <n v="4"/>
    <n v="0"/>
    <x v="4"/>
    <s v="SI"/>
    <s v="NO"/>
    <s v="NO"/>
    <s v="NO"/>
  </r>
  <r>
    <x v="568"/>
    <x v="488"/>
    <x v="6"/>
    <x v="1"/>
    <x v="4"/>
    <x v="0"/>
    <n v="0"/>
    <n v="0"/>
    <n v="0"/>
    <n v="0"/>
    <n v="0"/>
    <n v="15"/>
    <n v="115"/>
    <n v="110"/>
    <n v="87"/>
    <n v="184"/>
    <n v="119"/>
    <n v="648"/>
    <n v="182.57142857142858"/>
    <n v="305"/>
    <n v="4"/>
    <n v="1.6705790297339591"/>
    <x v="3"/>
    <s v="NO"/>
    <s v="NO"/>
    <s v="NO"/>
    <s v="NO"/>
  </r>
  <r>
    <x v="569"/>
    <x v="489"/>
    <x v="6"/>
    <x v="2"/>
    <x v="4"/>
    <x v="0"/>
    <n v="0"/>
    <n v="0"/>
    <n v="2"/>
    <n v="4"/>
    <n v="0"/>
    <n v="10"/>
    <n v="7"/>
    <n v="2"/>
    <n v="0"/>
    <n v="39"/>
    <n v="4"/>
    <n v="34"/>
    <n v="12.75"/>
    <n v="44"/>
    <n v="3"/>
    <n v="3.4509803921568629"/>
    <x v="0"/>
    <s v="SI"/>
    <s v="NO"/>
    <s v="NO"/>
    <s v="NO"/>
  </r>
  <r>
    <x v="570"/>
    <x v="490"/>
    <x v="6"/>
    <x v="1"/>
    <x v="0"/>
    <x v="0"/>
    <n v="2"/>
    <n v="24"/>
    <n v="42"/>
    <n v="4"/>
    <n v="0"/>
    <n v="0"/>
    <n v="0"/>
    <n v="0"/>
    <n v="0"/>
    <n v="0"/>
    <n v="0"/>
    <n v="0"/>
    <n v="18"/>
    <n v="0"/>
    <n v="0"/>
    <s v="No Rota"/>
    <x v="1"/>
    <s v="NO"/>
    <s v="NO"/>
    <s v="NO"/>
    <s v="NO"/>
  </r>
  <r>
    <x v="571"/>
    <x v="491"/>
    <x v="6"/>
    <x v="1"/>
    <x v="4"/>
    <x v="0"/>
    <n v="0"/>
    <n v="0"/>
    <n v="0"/>
    <n v="0"/>
    <n v="3"/>
    <n v="12"/>
    <n v="0"/>
    <n v="0"/>
    <n v="0"/>
    <n v="20"/>
    <n v="0"/>
    <n v="12"/>
    <n v="11.75"/>
    <n v="120"/>
    <n v="2"/>
    <n v="10.212765957446809"/>
    <x v="2"/>
    <s v="NO"/>
    <s v="SI"/>
    <s v="NO"/>
    <s v="NO"/>
  </r>
  <r>
    <x v="572"/>
    <x v="492"/>
    <x v="6"/>
    <x v="3"/>
    <x v="0"/>
    <x v="2"/>
    <n v="260"/>
    <n v="258"/>
    <n v="293"/>
    <n v="616"/>
    <n v="501"/>
    <n v="486"/>
    <n v="400"/>
    <n v="313"/>
    <n v="220"/>
    <n v="436"/>
    <n v="266"/>
    <n v="2603"/>
    <n v="554.33333333333337"/>
    <n v="5829"/>
    <n v="4"/>
    <n v="10.515333734215274"/>
    <x v="2"/>
    <s v="NO"/>
    <s v="SI"/>
    <s v="NO"/>
    <s v="NO"/>
  </r>
  <r>
    <x v="573"/>
    <x v="493"/>
    <x v="6"/>
    <x v="3"/>
    <x v="0"/>
    <x v="2"/>
    <n v="79"/>
    <n v="73"/>
    <n v="84"/>
    <n v="37"/>
    <n v="79"/>
    <n v="54"/>
    <n v="67"/>
    <n v="62"/>
    <n v="60"/>
    <n v="150"/>
    <n v="44"/>
    <n v="385"/>
    <n v="97.833333333333329"/>
    <n v="1324"/>
    <n v="4"/>
    <n v="13.533219761499149"/>
    <x v="2"/>
    <s v="NO"/>
    <s v="SI"/>
    <s v="NO"/>
    <s v="NO"/>
  </r>
  <r>
    <x v="574"/>
    <x v="494"/>
    <x v="6"/>
    <x v="3"/>
    <x v="0"/>
    <x v="2"/>
    <n v="59"/>
    <n v="21"/>
    <n v="34"/>
    <n v="42"/>
    <n v="30"/>
    <n v="72"/>
    <n v="224"/>
    <n v="59"/>
    <n v="68"/>
    <n v="173"/>
    <n v="89"/>
    <n v="612"/>
    <n v="123.58333333333333"/>
    <n v="692"/>
    <n v="4"/>
    <n v="5.5994605529332437"/>
    <x v="0"/>
    <s v="NO"/>
    <s v="SI"/>
    <s v="NO"/>
    <s v="NO"/>
  </r>
  <r>
    <x v="575"/>
    <x v="495"/>
    <x v="6"/>
    <x v="3"/>
    <x v="0"/>
    <x v="2"/>
    <n v="989"/>
    <n v="1102"/>
    <n v="1127"/>
    <n v="1468"/>
    <n v="1651"/>
    <n v="718"/>
    <n v="561"/>
    <n v="1040"/>
    <n v="1006"/>
    <n v="293"/>
    <n v="479"/>
    <n v="4985"/>
    <n v="1284.9166666666667"/>
    <n v="3863"/>
    <n v="4"/>
    <n v="3.0064206498475903"/>
    <x v="0"/>
    <s v="NO"/>
    <s v="SI"/>
    <s v="NO"/>
    <s v="NO"/>
  </r>
  <r>
    <x v="576"/>
    <x v="496"/>
    <x v="6"/>
    <x v="3"/>
    <x v="0"/>
    <x v="2"/>
    <n v="1021"/>
    <n v="228"/>
    <n v="403"/>
    <n v="24"/>
    <n v="19"/>
    <n v="14"/>
    <n v="462"/>
    <n v="1029"/>
    <n v="942"/>
    <n v="1074"/>
    <n v="389"/>
    <n v="4035"/>
    <n v="803.33333333333337"/>
    <n v="1610"/>
    <n v="4"/>
    <n v="2.004149377593361"/>
    <x v="0"/>
    <s v="NO"/>
    <s v="SI"/>
    <s v="NO"/>
    <s v="NO"/>
  </r>
  <r>
    <x v="577"/>
    <x v="497"/>
    <x v="6"/>
    <x v="3"/>
    <x v="0"/>
    <x v="2"/>
    <n v="53"/>
    <n v="83"/>
    <n v="85"/>
    <n v="79"/>
    <n v="28"/>
    <n v="19"/>
    <n v="128"/>
    <n v="65"/>
    <n v="103"/>
    <n v="249"/>
    <n v="54"/>
    <n v="573"/>
    <n v="126.58333333333333"/>
    <n v="0"/>
    <n v="4"/>
    <n v="0"/>
    <x v="4"/>
    <s v="NO"/>
    <s v="SI"/>
    <s v="NO"/>
    <s v="NO"/>
  </r>
  <r>
    <x v="578"/>
    <x v="498"/>
    <x v="6"/>
    <x v="3"/>
    <x v="0"/>
    <x v="2"/>
    <n v="63"/>
    <n v="76"/>
    <n v="75"/>
    <n v="77"/>
    <n v="96"/>
    <n v="71"/>
    <n v="24"/>
    <n v="104"/>
    <n v="79"/>
    <n v="7"/>
    <n v="24"/>
    <n v="355"/>
    <n v="87.583333333333329"/>
    <n v="261"/>
    <n v="4"/>
    <n v="2.9800190294957187"/>
    <x v="0"/>
    <s v="NO"/>
    <s v="SI"/>
    <s v="NO"/>
    <s v="NO"/>
  </r>
  <r>
    <x v="579"/>
    <x v="499"/>
    <x v="6"/>
    <x v="3"/>
    <x v="0"/>
    <x v="2"/>
    <n v="0"/>
    <n v="11"/>
    <n v="22"/>
    <n v="20"/>
    <n v="14"/>
    <n v="27"/>
    <n v="42"/>
    <n v="27"/>
    <n v="12"/>
    <n v="86"/>
    <n v="2"/>
    <n v="168"/>
    <n v="39.18181818181818"/>
    <n v="63"/>
    <n v="4"/>
    <n v="1.6078886310904874"/>
    <x v="3"/>
    <s v="NO"/>
    <s v="SI"/>
    <s v="NO"/>
    <s v="NO"/>
  </r>
  <r>
    <x v="580"/>
    <x v="500"/>
    <x v="6"/>
    <x v="3"/>
    <x v="0"/>
    <x v="2"/>
    <n v="70"/>
    <n v="5"/>
    <n v="3"/>
    <n v="8"/>
    <n v="33"/>
    <n v="87"/>
    <n v="12"/>
    <n v="4"/>
    <n v="4"/>
    <n v="103"/>
    <n v="83"/>
    <n v="255"/>
    <n v="55.583333333333336"/>
    <n v="268"/>
    <n v="4"/>
    <n v="4.8215892053973013"/>
    <x v="0"/>
    <s v="NO"/>
    <s v="SI"/>
    <s v="NO"/>
    <s v="NO"/>
  </r>
  <r>
    <x v="581"/>
    <x v="501"/>
    <x v="6"/>
    <x v="3"/>
    <x v="0"/>
    <x v="2"/>
    <n v="1082"/>
    <n v="604"/>
    <n v="813"/>
    <n v="1281"/>
    <n v="842"/>
    <n v="1056"/>
    <n v="735"/>
    <n v="515"/>
    <n v="931"/>
    <n v="1695"/>
    <n v="880"/>
    <n v="6696"/>
    <n v="1427.5"/>
    <n v="27916"/>
    <n v="4"/>
    <n v="19.555866900175133"/>
    <x v="2"/>
    <s v="NO"/>
    <s v="SI"/>
    <s v="NO"/>
    <s v="NO"/>
  </r>
  <r>
    <x v="582"/>
    <x v="502"/>
    <x v="6"/>
    <x v="3"/>
    <x v="0"/>
    <x v="2"/>
    <n v="1588"/>
    <n v="1313"/>
    <n v="1395"/>
    <n v="790"/>
    <n v="1554"/>
    <n v="1743"/>
    <n v="1466"/>
    <n v="2135"/>
    <n v="1453"/>
    <n v="2581"/>
    <n v="1155"/>
    <n v="9359"/>
    <n v="2211"/>
    <n v="5143"/>
    <n v="4"/>
    <n v="2.3260967887833561"/>
    <x v="0"/>
    <s v="NO"/>
    <s v="SI"/>
    <s v="NO"/>
    <s v="NO"/>
  </r>
  <r>
    <x v="583"/>
    <x v="503"/>
    <x v="6"/>
    <x v="3"/>
    <x v="0"/>
    <x v="2"/>
    <n v="133"/>
    <n v="231"/>
    <n v="373"/>
    <n v="393"/>
    <n v="300"/>
    <n v="382"/>
    <n v="370"/>
    <n v="331"/>
    <n v="144"/>
    <n v="1109"/>
    <n v="88"/>
    <n v="1998"/>
    <n v="487.66666666666669"/>
    <n v="7487"/>
    <n v="4"/>
    <n v="15.352699931647299"/>
    <x v="2"/>
    <s v="NO"/>
    <s v="SI"/>
    <s v="NO"/>
    <s v="NO"/>
  </r>
  <r>
    <x v="584"/>
    <x v="504"/>
    <x v="6"/>
    <x v="3"/>
    <x v="0"/>
    <x v="2"/>
    <n v="1300"/>
    <n v="1650"/>
    <n v="1762"/>
    <n v="563"/>
    <n v="1617"/>
    <n v="2068"/>
    <n v="1450"/>
    <n v="404"/>
    <n v="2510"/>
    <n v="4320"/>
    <n v="1611"/>
    <n v="12114"/>
    <n v="2614.0833333333335"/>
    <n v="14540"/>
    <n v="4"/>
    <n v="5.5621792215244348"/>
    <x v="0"/>
    <s v="NO"/>
    <s v="SI"/>
    <s v="NO"/>
    <s v="NO"/>
  </r>
  <r>
    <x v="585"/>
    <x v="505"/>
    <x v="6"/>
    <x v="3"/>
    <x v="0"/>
    <x v="2"/>
    <n v="1"/>
    <n v="0"/>
    <n v="1"/>
    <n v="1"/>
    <n v="5"/>
    <n v="4"/>
    <n v="1"/>
    <n v="6"/>
    <n v="3"/>
    <n v="4"/>
    <n v="3"/>
    <n v="22"/>
    <n v="4.6363636363636367"/>
    <n v="14"/>
    <n v="4"/>
    <n v="3.0196078431372548"/>
    <x v="0"/>
    <s v="NO"/>
    <s v="SI"/>
    <s v="NO"/>
    <s v="NO"/>
  </r>
  <r>
    <x v="586"/>
    <x v="506"/>
    <x v="6"/>
    <x v="3"/>
    <x v="0"/>
    <x v="2"/>
    <n v="3"/>
    <n v="8"/>
    <n v="3"/>
    <n v="2"/>
    <n v="3"/>
    <n v="6"/>
    <n v="5"/>
    <n v="10"/>
    <n v="7"/>
    <n v="262"/>
    <n v="5"/>
    <n v="49"/>
    <n v="30.25"/>
    <n v="205"/>
    <n v="4"/>
    <n v="6.776859504132231"/>
    <x v="2"/>
    <s v="NO"/>
    <s v="SI"/>
    <s v="NO"/>
    <s v="NO"/>
  </r>
  <r>
    <x v="587"/>
    <x v="507"/>
    <x v="6"/>
    <x v="3"/>
    <x v="0"/>
    <x v="2"/>
    <n v="0"/>
    <n v="0"/>
    <n v="1"/>
    <n v="11"/>
    <n v="8"/>
    <n v="2"/>
    <n v="2"/>
    <n v="1"/>
    <n v="1"/>
    <n v="0"/>
    <n v="0"/>
    <n v="6"/>
    <n v="4"/>
    <n v="320"/>
    <n v="2"/>
    <n v="80"/>
    <x v="2"/>
    <s v="NO"/>
    <s v="SI"/>
    <s v="NO"/>
    <s v="NO"/>
  </r>
  <r>
    <x v="588"/>
    <x v="508"/>
    <x v="156"/>
    <x v="3"/>
    <x v="70"/>
    <x v="2"/>
    <n v="4"/>
    <n v="4"/>
    <n v="7"/>
    <n v="3"/>
    <n v="2"/>
    <n v="3"/>
    <n v="2"/>
    <n v="2"/>
    <n v="2"/>
    <n v="7"/>
    <n v="6"/>
    <n v="25"/>
    <n v="5.583333333333333"/>
    <n v="15"/>
    <n v="4"/>
    <n v="2.6865671641791047"/>
    <x v="0"/>
    <s v="NO"/>
    <s v="SI"/>
    <s v="NO"/>
    <s v="NO"/>
  </r>
  <r>
    <x v="589"/>
    <x v="508"/>
    <x v="157"/>
    <x v="3"/>
    <x v="70"/>
    <x v="2"/>
    <n v="0"/>
    <n v="2"/>
    <n v="2"/>
    <n v="3"/>
    <n v="0"/>
    <n v="4"/>
    <n v="4"/>
    <n v="4"/>
    <n v="1"/>
    <n v="2"/>
    <n v="0"/>
    <n v="13"/>
    <n v="3.8888888888888888"/>
    <n v="120"/>
    <n v="3"/>
    <n v="30.857142857142858"/>
    <x v="2"/>
    <s v="NO"/>
    <s v="SI"/>
    <s v="NO"/>
    <s v="NO"/>
  </r>
  <r>
    <x v="590"/>
    <x v="508"/>
    <x v="157"/>
    <x v="3"/>
    <x v="71"/>
    <x v="2"/>
    <n v="0"/>
    <n v="0"/>
    <n v="0"/>
    <n v="0"/>
    <n v="0"/>
    <n v="0"/>
    <n v="0"/>
    <n v="0"/>
    <n v="0"/>
    <n v="0"/>
    <n v="0"/>
    <n v="0"/>
    <n v="0"/>
    <n v="200"/>
    <n v="0"/>
    <s v="No Rota"/>
    <x v="1"/>
    <s v="NO"/>
    <s v="SI"/>
    <s v="NO"/>
    <s v="NO"/>
  </r>
  <r>
    <x v="591"/>
    <x v="509"/>
    <x v="156"/>
    <x v="3"/>
    <x v="72"/>
    <x v="2"/>
    <n v="752"/>
    <n v="725"/>
    <n v="747"/>
    <n v="662"/>
    <n v="709"/>
    <n v="697"/>
    <n v="772"/>
    <n v="793"/>
    <n v="798"/>
    <n v="1343"/>
    <n v="602"/>
    <n v="4998"/>
    <n v="1133.1666666666667"/>
    <n v="2413"/>
    <n v="4"/>
    <n v="2.1294307986468595"/>
    <x v="0"/>
    <s v="NO"/>
    <s v="SI"/>
    <s v="NO"/>
    <s v="NO"/>
  </r>
  <r>
    <x v="592"/>
    <x v="509"/>
    <x v="158"/>
    <x v="3"/>
    <x v="73"/>
    <x v="2"/>
    <n v="1"/>
    <n v="0"/>
    <n v="3"/>
    <n v="3"/>
    <n v="1"/>
    <n v="5"/>
    <n v="3"/>
    <n v="0"/>
    <n v="1"/>
    <n v="1"/>
    <n v="0"/>
    <n v="10"/>
    <n v="3.1111111111111112"/>
    <n v="52"/>
    <n v="3"/>
    <n v="16.714285714285715"/>
    <x v="2"/>
    <s v="NO"/>
    <s v="SI"/>
    <s v="NO"/>
    <s v="NO"/>
  </r>
  <r>
    <x v="593"/>
    <x v="510"/>
    <x v="6"/>
    <x v="3"/>
    <x v="74"/>
    <x v="2"/>
    <n v="304"/>
    <n v="376"/>
    <n v="296"/>
    <n v="112"/>
    <n v="244"/>
    <n v="311"/>
    <n v="288"/>
    <n v="261"/>
    <n v="270"/>
    <n v="662"/>
    <n v="266"/>
    <n v="1850"/>
    <n v="436.66666666666669"/>
    <n v="5"/>
    <n v="4"/>
    <n v="1.1450381679389313E-2"/>
    <x v="3"/>
    <s v="NO"/>
    <s v="SI"/>
    <s v="NO"/>
    <s v="NO"/>
  </r>
  <r>
    <x v="594"/>
    <x v="510"/>
    <x v="6"/>
    <x v="3"/>
    <x v="75"/>
    <x v="2"/>
    <n v="118"/>
    <n v="144"/>
    <n v="72"/>
    <n v="220"/>
    <n v="202"/>
    <n v="164"/>
    <n v="148"/>
    <n v="265"/>
    <n v="199"/>
    <n v="377"/>
    <n v="171"/>
    <n v="1398"/>
    <n v="289.83333333333331"/>
    <n v="9867"/>
    <n v="4"/>
    <n v="34.043703277745834"/>
    <x v="2"/>
    <s v="NO"/>
    <s v="SI"/>
    <s v="NO"/>
    <s v="NO"/>
  </r>
  <r>
    <x v="595"/>
    <x v="511"/>
    <x v="6"/>
    <x v="13"/>
    <x v="39"/>
    <x v="3"/>
    <n v="102"/>
    <n v="230"/>
    <n v="131"/>
    <n v="114"/>
    <n v="107"/>
    <n v="120"/>
    <n v="95"/>
    <n v="108"/>
    <n v="113"/>
    <n v="194"/>
    <n v="126"/>
    <n v="882"/>
    <n v="193.5"/>
    <n v="490"/>
    <n v="4"/>
    <n v="2.5322997416020674"/>
    <x v="0"/>
    <s v="NO"/>
    <s v="NO"/>
    <s v="NO"/>
    <s v="NO"/>
  </r>
  <r>
    <x v="596"/>
    <x v="512"/>
    <x v="6"/>
    <x v="2"/>
    <x v="76"/>
    <x v="3"/>
    <n v="347"/>
    <n v="534"/>
    <n v="422"/>
    <n v="312"/>
    <n v="652"/>
    <n v="414"/>
    <n v="419"/>
    <n v="2"/>
    <n v="0"/>
    <n v="14182"/>
    <n v="18542"/>
    <n v="57501"/>
    <n v="8484.2727272727279"/>
    <n v="163"/>
    <n v="3"/>
    <n v="1.9212017958361458E-2"/>
    <x v="3"/>
    <s v="NO"/>
    <s v="NO"/>
    <s v="NO"/>
    <s v="NO"/>
  </r>
  <r>
    <x v="597"/>
    <x v="513"/>
    <x v="6"/>
    <x v="13"/>
    <x v="39"/>
    <x v="3"/>
    <n v="0"/>
    <n v="0"/>
    <n v="0"/>
    <n v="0"/>
    <n v="0"/>
    <n v="0"/>
    <n v="0"/>
    <n v="0"/>
    <n v="0"/>
    <n v="0"/>
    <n v="0"/>
    <n v="0"/>
    <n v="0"/>
    <n v="0"/>
    <n v="0"/>
    <s v="No Rota"/>
    <x v="1"/>
    <s v="NO"/>
    <s v="NO"/>
    <s v="NO"/>
    <s v="NO"/>
  </r>
  <r>
    <x v="598"/>
    <x v="514"/>
    <x v="6"/>
    <x v="2"/>
    <x v="76"/>
    <x v="0"/>
    <n v="771"/>
    <n v="1241"/>
    <n v="652"/>
    <n v="894"/>
    <n v="978"/>
    <n v="888"/>
    <n v="244"/>
    <n v="0"/>
    <n v="6"/>
    <n v="61905"/>
    <n v="39918"/>
    <n v="149200"/>
    <n v="23336.090909090908"/>
    <n v="284"/>
    <n v="4"/>
    <n v="1.216999029984768E-2"/>
    <x v="3"/>
    <s v="NO"/>
    <s v="NO"/>
    <s v="NO"/>
    <s v="NO"/>
  </r>
  <r>
    <x v="599"/>
    <x v="515"/>
    <x v="97"/>
    <x v="1"/>
    <x v="3"/>
    <x v="0"/>
    <n v="15"/>
    <n v="14"/>
    <n v="18"/>
    <n v="8"/>
    <n v="0"/>
    <n v="4"/>
    <n v="6"/>
    <n v="0"/>
    <n v="5"/>
    <n v="49"/>
    <n v="13"/>
    <n v="62"/>
    <n v="19.399999999999999"/>
    <n v="4"/>
    <n v="4"/>
    <n v="0.2061855670103093"/>
    <x v="3"/>
    <s v="NO"/>
    <s v="NO"/>
    <s v="NO"/>
    <s v="NO"/>
  </r>
  <r>
    <x v="600"/>
    <x v="516"/>
    <x v="6"/>
    <x v="3"/>
    <x v="0"/>
    <x v="2"/>
    <n v="1"/>
    <n v="7"/>
    <n v="4"/>
    <n v="12"/>
    <n v="22"/>
    <n v="0"/>
    <n v="0"/>
    <n v="0"/>
    <n v="3"/>
    <n v="10"/>
    <n v="7"/>
    <n v="26"/>
    <n v="10.222222222222221"/>
    <n v="371"/>
    <n v="4"/>
    <n v="36.29347826086957"/>
    <x v="2"/>
    <s v="NO"/>
    <s v="NO"/>
    <s v="NO"/>
    <s v="NO"/>
  </r>
  <r>
    <x v="601"/>
    <x v="517"/>
    <x v="6"/>
    <x v="3"/>
    <x v="0"/>
    <x v="2"/>
    <n v="0"/>
    <n v="0"/>
    <n v="0"/>
    <n v="0"/>
    <n v="0"/>
    <n v="11"/>
    <n v="19"/>
    <n v="8"/>
    <n v="2"/>
    <n v="0"/>
    <n v="0"/>
    <n v="40"/>
    <n v="16"/>
    <n v="0"/>
    <n v="2"/>
    <n v="0"/>
    <x v="4"/>
    <s v="NO"/>
    <s v="NO"/>
    <s v="NO"/>
    <s v="NO"/>
  </r>
  <r>
    <x v="602"/>
    <x v="518"/>
    <x v="159"/>
    <x v="7"/>
    <x v="11"/>
    <x v="0"/>
    <n v="47"/>
    <n v="44"/>
    <n v="33"/>
    <n v="14"/>
    <n v="30"/>
    <n v="75"/>
    <n v="33"/>
    <n v="32"/>
    <n v="22"/>
    <n v="35"/>
    <n v="23"/>
    <n v="227"/>
    <n v="51.25"/>
    <n v="129"/>
    <n v="4"/>
    <n v="2.5170731707317073"/>
    <x v="0"/>
    <s v="SI"/>
    <s v="NO"/>
    <s v="NO"/>
    <s v="NO"/>
  </r>
  <r>
    <x v="603"/>
    <x v="519"/>
    <x v="160"/>
    <x v="4"/>
    <x v="19"/>
    <x v="0"/>
    <n v="0"/>
    <n v="0"/>
    <n v="0"/>
    <n v="3"/>
    <n v="3"/>
    <n v="1"/>
    <n v="3"/>
    <n v="8"/>
    <n v="2"/>
    <n v="26"/>
    <n v="7"/>
    <n v="26"/>
    <n v="8.7777777777777786"/>
    <n v="10"/>
    <n v="4"/>
    <n v="1.1392405063291138"/>
    <x v="3"/>
    <s v="SI"/>
    <s v="NO"/>
    <s v="NO"/>
    <s v="NO"/>
  </r>
  <r>
    <x v="604"/>
    <x v="519"/>
    <x v="161"/>
    <x v="1"/>
    <x v="21"/>
    <x v="0"/>
    <n v="0"/>
    <n v="0"/>
    <n v="0"/>
    <n v="0"/>
    <n v="0"/>
    <n v="0"/>
    <n v="0"/>
    <n v="0"/>
    <n v="0"/>
    <n v="0"/>
    <n v="0"/>
    <n v="0"/>
    <n v="0"/>
    <n v="52"/>
    <n v="0"/>
    <s v="No Rota"/>
    <x v="1"/>
    <s v="SI"/>
    <s v="NO"/>
    <s v="NO"/>
    <s v="NO"/>
  </r>
  <r>
    <x v="605"/>
    <x v="519"/>
    <x v="162"/>
    <x v="0"/>
    <x v="0"/>
    <x v="1"/>
    <n v="397"/>
    <n v="153"/>
    <n v="266"/>
    <n v="269"/>
    <n v="250"/>
    <n v="380"/>
    <n v="336"/>
    <n v="343"/>
    <n v="218"/>
    <n v="762"/>
    <n v="175"/>
    <n v="1938"/>
    <n v="457.25"/>
    <n v="2071"/>
    <n v="4"/>
    <n v="4.5292509568069983"/>
    <x v="0"/>
    <s v="SI"/>
    <s v="NO"/>
    <s v="NO"/>
    <s v="NO"/>
  </r>
  <r>
    <x v="606"/>
    <x v="520"/>
    <x v="163"/>
    <x v="0"/>
    <x v="0"/>
    <x v="0"/>
    <n v="0"/>
    <n v="0"/>
    <n v="0"/>
    <n v="0"/>
    <n v="0"/>
    <n v="0"/>
    <n v="0"/>
    <n v="0"/>
    <n v="0"/>
    <n v="0"/>
    <n v="0"/>
    <n v="0"/>
    <n v="0"/>
    <n v="338"/>
    <n v="0"/>
    <s v="No Rota"/>
    <x v="1"/>
    <s v="SI"/>
    <s v="NO"/>
    <s v="NO"/>
    <s v="NO"/>
  </r>
  <r>
    <x v="607"/>
    <x v="521"/>
    <x v="164"/>
    <x v="0"/>
    <x v="0"/>
    <x v="0"/>
    <n v="11795"/>
    <n v="15767"/>
    <n v="12712"/>
    <n v="15426"/>
    <n v="14939"/>
    <n v="18286"/>
    <n v="19460"/>
    <n v="24103"/>
    <n v="21469"/>
    <n v="36567"/>
    <n v="21525"/>
    <n v="147727"/>
    <n v="29981.333333333332"/>
    <n v="185165"/>
    <n v="4"/>
    <n v="6.1760095170328206"/>
    <x v="2"/>
    <s v="SI"/>
    <s v="NO"/>
    <s v="NO"/>
    <s v="NO"/>
  </r>
  <r>
    <x v="608"/>
    <x v="522"/>
    <x v="6"/>
    <x v="3"/>
    <x v="12"/>
    <x v="2"/>
    <n v="5"/>
    <n v="5"/>
    <n v="5"/>
    <n v="5"/>
    <n v="5"/>
    <n v="5"/>
    <n v="5"/>
    <n v="5"/>
    <n v="5"/>
    <n v="17"/>
    <n v="5"/>
    <n v="35"/>
    <n v="8.5"/>
    <n v="31"/>
    <n v="4"/>
    <n v="3.6470588235294117"/>
    <x v="0"/>
    <s v="NO"/>
    <s v="NO"/>
    <s v="NO"/>
    <s v="NO"/>
  </r>
  <r>
    <x v="609"/>
    <x v="523"/>
    <x v="21"/>
    <x v="1"/>
    <x v="57"/>
    <x v="0"/>
    <n v="47"/>
    <n v="20"/>
    <n v="21"/>
    <n v="24"/>
    <n v="50"/>
    <n v="29"/>
    <n v="20"/>
    <n v="22"/>
    <n v="4"/>
    <n v="42"/>
    <n v="22"/>
    <n v="151"/>
    <n v="37.666666666666664"/>
    <n v="217"/>
    <n v="4"/>
    <n v="5.7610619469026556"/>
    <x v="0"/>
    <s v="SI"/>
    <s v="NO"/>
    <s v="NO"/>
    <s v="NO"/>
  </r>
  <r>
    <x v="610"/>
    <x v="523"/>
    <x v="104"/>
    <x v="1"/>
    <x v="17"/>
    <x v="0"/>
    <n v="24"/>
    <n v="24"/>
    <n v="41"/>
    <n v="6"/>
    <n v="9"/>
    <n v="22"/>
    <n v="14"/>
    <n v="23"/>
    <n v="57"/>
    <n v="82"/>
    <n v="22"/>
    <n v="189"/>
    <n v="42.75"/>
    <n v="10"/>
    <n v="4"/>
    <n v="0.23391812865497075"/>
    <x v="3"/>
    <s v="SI"/>
    <s v="NO"/>
    <s v="NO"/>
    <s v="NO"/>
  </r>
  <r>
    <x v="611"/>
    <x v="524"/>
    <x v="6"/>
    <x v="3"/>
    <x v="0"/>
    <x v="2"/>
    <n v="0"/>
    <n v="12"/>
    <n v="54"/>
    <n v="25"/>
    <n v="56"/>
    <n v="64"/>
    <n v="27"/>
    <n v="7"/>
    <n v="0"/>
    <n v="0"/>
    <n v="0"/>
    <n v="98"/>
    <n v="42.875"/>
    <n v="222"/>
    <n v="1"/>
    <n v="5.1778425655976674"/>
    <x v="0"/>
    <s v="NO"/>
    <s v="SI"/>
    <s v="NO"/>
    <s v="NO"/>
  </r>
  <r>
    <x v="612"/>
    <x v="525"/>
    <x v="6"/>
    <x v="3"/>
    <x v="0"/>
    <x v="2"/>
    <n v="0"/>
    <n v="12"/>
    <n v="34"/>
    <n v="33"/>
    <n v="43"/>
    <n v="57"/>
    <n v="35"/>
    <n v="43"/>
    <n v="75"/>
    <n v="122"/>
    <n v="34"/>
    <n v="325"/>
    <n v="73.909090909090907"/>
    <n v="331"/>
    <n v="4"/>
    <n v="4.4784747847478474"/>
    <x v="0"/>
    <s v="NO"/>
    <s v="SI"/>
    <s v="NO"/>
    <s v="NO"/>
  </r>
  <r>
    <x v="613"/>
    <x v="526"/>
    <x v="6"/>
    <x v="3"/>
    <x v="0"/>
    <x v="2"/>
    <n v="3"/>
    <n v="17"/>
    <n v="23"/>
    <n v="14"/>
    <n v="7"/>
    <n v="25"/>
    <n v="10"/>
    <n v="6"/>
    <n v="24"/>
    <n v="6"/>
    <n v="5"/>
    <n v="90"/>
    <n v="19.166666666666668"/>
    <n v="270"/>
    <n v="4"/>
    <n v="14.086956521739129"/>
    <x v="2"/>
    <s v="NO"/>
    <s v="SI"/>
    <s v="NO"/>
    <s v="NO"/>
  </r>
  <r>
    <x v="614"/>
    <x v="527"/>
    <x v="6"/>
    <x v="3"/>
    <x v="0"/>
    <x v="2"/>
    <n v="849"/>
    <n v="860"/>
    <n v="863"/>
    <n v="873"/>
    <n v="849"/>
    <n v="836"/>
    <n v="992"/>
    <n v="1074"/>
    <n v="996"/>
    <n v="1972"/>
    <n v="778"/>
    <n v="6454"/>
    <n v="1449.6666666666667"/>
    <n v="648"/>
    <n v="4"/>
    <n v="0.44699931018624967"/>
    <x v="3"/>
    <s v="NO"/>
    <s v="SI"/>
    <s v="NO"/>
    <s v="NO"/>
  </r>
  <r>
    <x v="615"/>
    <x v="528"/>
    <x v="6"/>
    <x v="3"/>
    <x v="0"/>
    <x v="2"/>
    <n v="1117"/>
    <n v="1106"/>
    <n v="1109"/>
    <n v="956"/>
    <n v="1028"/>
    <n v="1073"/>
    <n v="1208"/>
    <n v="1330"/>
    <n v="1310"/>
    <n v="2459"/>
    <n v="1022"/>
    <n v="8198"/>
    <n v="1826.3333333333333"/>
    <n v="2095"/>
    <n v="4"/>
    <n v="1.1471071363387479"/>
    <x v="3"/>
    <s v="NO"/>
    <s v="SI"/>
    <s v="NO"/>
    <s v="NO"/>
  </r>
  <r>
    <x v="616"/>
    <x v="529"/>
    <x v="6"/>
    <x v="3"/>
    <x v="0"/>
    <x v="2"/>
    <n v="111"/>
    <n v="91"/>
    <n v="49"/>
    <n v="70"/>
    <n v="57"/>
    <n v="25"/>
    <n v="0"/>
    <n v="0"/>
    <n v="27"/>
    <n v="141"/>
    <n v="61"/>
    <n v="252"/>
    <n v="88.4"/>
    <n v="664"/>
    <n v="4"/>
    <n v="7.5113122171945701"/>
    <x v="2"/>
    <s v="NO"/>
    <s v="SI"/>
    <s v="NO"/>
    <s v="NO"/>
  </r>
  <r>
    <x v="617"/>
    <x v="530"/>
    <x v="6"/>
    <x v="3"/>
    <x v="0"/>
    <x v="2"/>
    <n v="0"/>
    <n v="0"/>
    <n v="0"/>
    <n v="0"/>
    <n v="0"/>
    <n v="0"/>
    <n v="0"/>
    <n v="4"/>
    <n v="2"/>
    <n v="2"/>
    <n v="2"/>
    <n v="11"/>
    <n v="4.2"/>
    <n v="0"/>
    <n v="4"/>
    <n v="0"/>
    <x v="4"/>
    <s v="NO"/>
    <s v="SI"/>
    <s v="NO"/>
    <s v="NO"/>
  </r>
  <r>
    <x v="618"/>
    <x v="531"/>
    <x v="6"/>
    <x v="3"/>
    <x v="0"/>
    <x v="2"/>
    <n v="0"/>
    <n v="0"/>
    <n v="0"/>
    <n v="0"/>
    <n v="0"/>
    <n v="0"/>
    <n v="0"/>
    <n v="0"/>
    <n v="0"/>
    <n v="0"/>
    <n v="0"/>
    <n v="0"/>
    <n v="0"/>
    <n v="0"/>
    <n v="0"/>
    <s v="No Rota"/>
    <x v="1"/>
    <s v="NO"/>
    <s v="SI"/>
    <s v="NO"/>
    <s v="NO"/>
  </r>
  <r>
    <x v="619"/>
    <x v="532"/>
    <x v="6"/>
    <x v="3"/>
    <x v="0"/>
    <x v="2"/>
    <n v="986"/>
    <n v="875"/>
    <n v="856"/>
    <n v="743"/>
    <n v="807"/>
    <n v="7"/>
    <n v="5"/>
    <n v="45"/>
    <n v="13"/>
    <n v="11"/>
    <n v="6"/>
    <n v="101"/>
    <n v="371.25"/>
    <n v="13"/>
    <n v="4"/>
    <n v="3.5016835016835016E-2"/>
    <x v="3"/>
    <s v="NO"/>
    <s v="SI"/>
    <s v="NO"/>
    <s v="NO"/>
  </r>
  <r>
    <x v="620"/>
    <x v="533"/>
    <x v="6"/>
    <x v="3"/>
    <x v="0"/>
    <x v="2"/>
    <n v="0"/>
    <n v="0"/>
    <n v="17"/>
    <n v="14"/>
    <n v="56"/>
    <n v="748"/>
    <n v="699"/>
    <n v="692"/>
    <n v="645"/>
    <n v="2538"/>
    <n v="534"/>
    <n v="4489"/>
    <n v="1043.2"/>
    <n v="7391"/>
    <n v="4"/>
    <n v="7.0849309815950914"/>
    <x v="2"/>
    <s v="NO"/>
    <s v="SI"/>
    <s v="NO"/>
    <s v="NO"/>
  </r>
  <r>
    <x v="621"/>
    <x v="534"/>
    <x v="6"/>
    <x v="3"/>
    <x v="0"/>
    <x v="2"/>
    <n v="0"/>
    <n v="0"/>
    <n v="0"/>
    <n v="0"/>
    <n v="0"/>
    <n v="0"/>
    <n v="0"/>
    <n v="1"/>
    <n v="2"/>
    <n v="0"/>
    <n v="1"/>
    <n v="4"/>
    <n v="2"/>
    <n v="317"/>
    <n v="3"/>
    <n v="158.5"/>
    <x v="2"/>
    <s v="NO"/>
    <s v="SI"/>
    <s v="NO"/>
    <s v="NO"/>
  </r>
  <r>
    <x v="622"/>
    <x v="535"/>
    <x v="6"/>
    <x v="3"/>
    <x v="0"/>
    <x v="2"/>
    <n v="668"/>
    <n v="614"/>
    <n v="680"/>
    <n v="577"/>
    <n v="647"/>
    <n v="632"/>
    <n v="697"/>
    <n v="777"/>
    <n v="722"/>
    <n v="1307"/>
    <n v="548"/>
    <n v="4634"/>
    <n v="1041.9166666666667"/>
    <n v="1535"/>
    <n v="4"/>
    <n v="1.4732464208589937"/>
    <x v="3"/>
    <s v="NO"/>
    <s v="SI"/>
    <s v="NO"/>
    <s v="NO"/>
  </r>
  <r>
    <x v="623"/>
    <x v="536"/>
    <x v="6"/>
    <x v="3"/>
    <x v="0"/>
    <x v="2"/>
    <n v="33"/>
    <n v="41"/>
    <n v="33"/>
    <n v="48"/>
    <n v="15"/>
    <n v="26"/>
    <n v="28"/>
    <n v="34"/>
    <n v="36"/>
    <n v="79"/>
    <n v="22"/>
    <n v="201"/>
    <n v="49.666666666666664"/>
    <n v="86"/>
    <n v="4"/>
    <n v="1.731543624161074"/>
    <x v="3"/>
    <s v="NO"/>
    <s v="SI"/>
    <s v="NO"/>
    <s v="NO"/>
  </r>
  <r>
    <x v="624"/>
    <x v="537"/>
    <x v="6"/>
    <x v="3"/>
    <x v="0"/>
    <x v="2"/>
    <n v="25"/>
    <n v="22"/>
    <n v="17"/>
    <n v="8"/>
    <n v="11"/>
    <n v="6"/>
    <n v="7"/>
    <n v="10"/>
    <n v="17"/>
    <n v="37"/>
    <n v="7"/>
    <n v="74"/>
    <n v="20.083333333333332"/>
    <n v="199"/>
    <n v="4"/>
    <n v="9.9087136929460584"/>
    <x v="2"/>
    <s v="NO"/>
    <s v="SI"/>
    <s v="NO"/>
    <s v="NO"/>
  </r>
  <r>
    <x v="625"/>
    <x v="538"/>
    <x v="6"/>
    <x v="3"/>
    <x v="0"/>
    <x v="2"/>
    <n v="46"/>
    <n v="34"/>
    <n v="52"/>
    <n v="20"/>
    <n v="38"/>
    <n v="36"/>
    <n v="31"/>
    <n v="25"/>
    <n v="74"/>
    <n v="1"/>
    <n v="11"/>
    <n v="178"/>
    <n v="45.5"/>
    <n v="0"/>
    <n v="4"/>
    <n v="0"/>
    <x v="4"/>
    <s v="NO"/>
    <s v="SI"/>
    <s v="NO"/>
    <s v="NO"/>
  </r>
  <r>
    <x v="626"/>
    <x v="539"/>
    <x v="6"/>
    <x v="3"/>
    <x v="0"/>
    <x v="2"/>
    <n v="0"/>
    <n v="12"/>
    <n v="0"/>
    <n v="0"/>
    <n v="0"/>
    <n v="0"/>
    <n v="0"/>
    <n v="0"/>
    <n v="0"/>
    <n v="0"/>
    <n v="0"/>
    <n v="0"/>
    <n v="12"/>
    <n v="0"/>
    <n v="0"/>
    <s v="No Rota"/>
    <x v="1"/>
    <s v="NO"/>
    <s v="SI"/>
    <s v="NO"/>
    <s v="NO"/>
  </r>
  <r>
    <x v="627"/>
    <x v="540"/>
    <x v="6"/>
    <x v="3"/>
    <x v="0"/>
    <x v="2"/>
    <n v="0"/>
    <n v="3"/>
    <n v="0"/>
    <n v="0"/>
    <n v="0"/>
    <n v="0"/>
    <n v="1"/>
    <n v="0"/>
    <n v="0"/>
    <n v="0"/>
    <n v="0"/>
    <n v="7"/>
    <n v="3.6666666666666665"/>
    <n v="0"/>
    <n v="1"/>
    <n v="0"/>
    <x v="4"/>
    <s v="NO"/>
    <s v="SI"/>
    <s v="NO"/>
    <s v="NO"/>
  </r>
  <r>
    <x v="628"/>
    <x v="541"/>
    <x v="6"/>
    <x v="3"/>
    <x v="0"/>
    <x v="2"/>
    <n v="0"/>
    <n v="0"/>
    <n v="0"/>
    <n v="0"/>
    <n v="0"/>
    <n v="0"/>
    <n v="4"/>
    <n v="7"/>
    <n v="14"/>
    <n v="2"/>
    <n v="2"/>
    <n v="32"/>
    <n v="10.166666666666666"/>
    <n v="69"/>
    <n v="4"/>
    <n v="6.7868852459016393"/>
    <x v="2"/>
    <s v="NO"/>
    <s v="SI"/>
    <s v="NO"/>
    <s v="NO"/>
  </r>
  <r>
    <x v="629"/>
    <x v="542"/>
    <x v="6"/>
    <x v="3"/>
    <x v="0"/>
    <x v="2"/>
    <n v="49"/>
    <n v="66"/>
    <n v="55"/>
    <n v="61"/>
    <n v="44"/>
    <n v="42"/>
    <n v="57"/>
    <n v="77"/>
    <n v="77"/>
    <n v="116"/>
    <n v="45"/>
    <n v="407"/>
    <n v="91.333333333333329"/>
    <n v="349"/>
    <n v="4"/>
    <n v="3.8211678832116789"/>
    <x v="0"/>
    <s v="NO"/>
    <s v="SI"/>
    <s v="NO"/>
    <s v="NO"/>
  </r>
  <r>
    <x v="630"/>
    <x v="543"/>
    <x v="6"/>
    <x v="3"/>
    <x v="0"/>
    <x v="2"/>
    <n v="26"/>
    <n v="40"/>
    <n v="23"/>
    <n v="37"/>
    <n v="25"/>
    <n v="21"/>
    <n v="31"/>
    <n v="32"/>
    <n v="30"/>
    <n v="28"/>
    <n v="18"/>
    <n v="178"/>
    <n v="40.75"/>
    <n v="335"/>
    <n v="4"/>
    <n v="8.220858895705522"/>
    <x v="2"/>
    <s v="NO"/>
    <s v="SI"/>
    <s v="NO"/>
    <s v="NO"/>
  </r>
  <r>
    <x v="631"/>
    <x v="544"/>
    <x v="6"/>
    <x v="3"/>
    <x v="0"/>
    <x v="3"/>
    <n v="0"/>
    <n v="0"/>
    <n v="0"/>
    <n v="0"/>
    <n v="0"/>
    <n v="0"/>
    <n v="0"/>
    <n v="0"/>
    <n v="352"/>
    <n v="1263"/>
    <n v="559"/>
    <n v="2190"/>
    <n v="1091"/>
    <n v="1297"/>
    <n v="4"/>
    <n v="1.1888175985334555"/>
    <x v="3"/>
    <s v="NO"/>
    <s v="SI"/>
    <s v="NO"/>
    <s v="NO"/>
  </r>
  <r>
    <x v="632"/>
    <x v="545"/>
    <x v="6"/>
    <x v="3"/>
    <x v="0"/>
    <x v="2"/>
    <n v="679"/>
    <n v="693"/>
    <n v="699"/>
    <n v="618"/>
    <n v="653"/>
    <n v="641"/>
    <n v="738"/>
    <n v="794"/>
    <n v="385"/>
    <n v="3"/>
    <n v="6"/>
    <n v="2570"/>
    <n v="706.58333333333337"/>
    <n v="0"/>
    <n v="4"/>
    <n v="0"/>
    <x v="4"/>
    <s v="NO"/>
    <s v="SI"/>
    <s v="NO"/>
    <s v="NO"/>
  </r>
  <r>
    <x v="633"/>
    <x v="546"/>
    <x v="6"/>
    <x v="3"/>
    <x v="0"/>
    <x v="2"/>
    <n v="0"/>
    <n v="0"/>
    <n v="0"/>
    <n v="0"/>
    <n v="0"/>
    <n v="0"/>
    <n v="0"/>
    <n v="0"/>
    <n v="0"/>
    <n v="0"/>
    <n v="0"/>
    <n v="0"/>
    <n v="0"/>
    <n v="0"/>
    <n v="0"/>
    <s v="No Rota"/>
    <x v="1"/>
    <s v="NO"/>
    <s v="SI"/>
    <s v="NO"/>
    <s v="NO"/>
  </r>
  <r>
    <x v="634"/>
    <x v="547"/>
    <x v="6"/>
    <x v="3"/>
    <x v="0"/>
    <x v="2"/>
    <n v="1"/>
    <n v="0"/>
    <n v="2"/>
    <n v="2"/>
    <n v="0"/>
    <n v="0"/>
    <n v="0"/>
    <n v="3"/>
    <n v="0"/>
    <n v="2"/>
    <n v="1"/>
    <n v="11"/>
    <n v="3.1428571428571428"/>
    <n v="71"/>
    <n v="3"/>
    <n v="22.59090909090909"/>
    <x v="2"/>
    <s v="NO"/>
    <s v="SI"/>
    <s v="NO"/>
    <s v="NO"/>
  </r>
  <r>
    <x v="635"/>
    <x v="548"/>
    <x v="6"/>
    <x v="3"/>
    <x v="0"/>
    <x v="2"/>
    <n v="21"/>
    <n v="28"/>
    <n v="16"/>
    <n v="4"/>
    <n v="0"/>
    <n v="1"/>
    <n v="6"/>
    <n v="0"/>
    <n v="0"/>
    <n v="0"/>
    <n v="0"/>
    <n v="7"/>
    <n v="11.857142857142858"/>
    <n v="0"/>
    <n v="1"/>
    <n v="0"/>
    <x v="4"/>
    <s v="NO"/>
    <s v="SI"/>
    <s v="NO"/>
    <s v="NO"/>
  </r>
  <r>
    <x v="636"/>
    <x v="549"/>
    <x v="6"/>
    <x v="3"/>
    <x v="0"/>
    <x v="2"/>
    <n v="0"/>
    <n v="0"/>
    <n v="0"/>
    <n v="47"/>
    <n v="73"/>
    <n v="91"/>
    <n v="31"/>
    <n v="72"/>
    <n v="78"/>
    <n v="230"/>
    <n v="89"/>
    <n v="550"/>
    <n v="140.11111111111111"/>
    <n v="428"/>
    <n v="4"/>
    <n v="3.0547184773988896"/>
    <x v="0"/>
    <s v="NO"/>
    <s v="NO"/>
    <s v="NO"/>
    <s v="NO"/>
  </r>
  <r>
    <x v="637"/>
    <x v="550"/>
    <x v="63"/>
    <x v="0"/>
    <x v="0"/>
    <x v="0"/>
    <n v="90"/>
    <n v="0"/>
    <n v="0"/>
    <n v="0"/>
    <n v="0"/>
    <n v="60"/>
    <n v="0"/>
    <n v="90"/>
    <n v="0"/>
    <n v="0"/>
    <n v="50"/>
    <n v="290"/>
    <n v="116"/>
    <n v="2528"/>
    <n v="2"/>
    <n v="21.793103448275861"/>
    <x v="2"/>
    <s v="NO"/>
    <s v="NO"/>
    <s v="SI"/>
    <s v="NO"/>
  </r>
  <r>
    <x v="638"/>
    <x v="551"/>
    <x v="6"/>
    <x v="3"/>
    <x v="0"/>
    <x v="2"/>
    <n v="3318"/>
    <n v="3676"/>
    <n v="3780"/>
    <n v="3092"/>
    <n v="3788"/>
    <n v="3988"/>
    <n v="3498"/>
    <n v="3583"/>
    <n v="3254"/>
    <n v="2184"/>
    <n v="0"/>
    <n v="16418"/>
    <n v="4598.090909090909"/>
    <n v="0"/>
    <n v="3"/>
    <n v="0"/>
    <x v="4"/>
    <s v="NO"/>
    <s v="SI"/>
    <s v="NO"/>
    <s v="NO"/>
  </r>
  <r>
    <x v="639"/>
    <x v="552"/>
    <x v="2"/>
    <x v="0"/>
    <x v="0"/>
    <x v="0"/>
    <n v="125"/>
    <n v="31"/>
    <n v="128"/>
    <n v="66"/>
    <n v="172"/>
    <n v="52"/>
    <n v="20"/>
    <n v="65"/>
    <n v="30"/>
    <n v="0"/>
    <n v="0"/>
    <n v="167"/>
    <n v="85.6"/>
    <n v="1985"/>
    <n v="2"/>
    <n v="23.1892523364486"/>
    <x v="2"/>
    <s v="SI"/>
    <s v="NO"/>
    <s v="NO"/>
    <s v="NO"/>
  </r>
  <r>
    <x v="640"/>
    <x v="553"/>
    <x v="17"/>
    <x v="1"/>
    <x v="0"/>
    <x v="0"/>
    <n v="0"/>
    <n v="0"/>
    <n v="4"/>
    <n v="28"/>
    <n v="0"/>
    <n v="4"/>
    <n v="0"/>
    <n v="0"/>
    <n v="0"/>
    <n v="0"/>
    <n v="0"/>
    <n v="4"/>
    <n v="10"/>
    <n v="41"/>
    <n v="1"/>
    <n v="4.0999999999999996"/>
    <x v="0"/>
    <s v="NO"/>
    <s v="NO"/>
    <s v="NO"/>
    <s v="NO"/>
  </r>
  <r>
    <x v="641"/>
    <x v="554"/>
    <x v="5"/>
    <x v="1"/>
    <x v="0"/>
    <x v="0"/>
    <n v="0"/>
    <n v="0"/>
    <n v="0"/>
    <n v="0"/>
    <n v="0"/>
    <n v="0"/>
    <n v="0"/>
    <n v="4"/>
    <n v="0"/>
    <n v="0"/>
    <n v="0"/>
    <n v="4"/>
    <n v="4"/>
    <n v="0"/>
    <n v="1"/>
    <n v="0"/>
    <x v="4"/>
    <s v="SI"/>
    <s v="NO"/>
    <s v="NO"/>
    <s v="NO"/>
  </r>
  <r>
    <x v="642"/>
    <x v="555"/>
    <x v="6"/>
    <x v="3"/>
    <x v="0"/>
    <x v="2"/>
    <n v="3107"/>
    <n v="4450"/>
    <n v="4550"/>
    <n v="4603"/>
    <n v="4827"/>
    <n v="4815"/>
    <n v="4852"/>
    <n v="4926"/>
    <n v="4820"/>
    <n v="10710"/>
    <n v="4511"/>
    <n v="33360"/>
    <n v="7460.916666666667"/>
    <n v="4215"/>
    <n v="4"/>
    <n v="0.56494398588198502"/>
    <x v="3"/>
    <s v="NO"/>
    <s v="SI"/>
    <s v="NO"/>
    <s v="NO"/>
  </r>
  <r>
    <x v="643"/>
    <x v="556"/>
    <x v="17"/>
    <x v="0"/>
    <x v="0"/>
    <x v="0"/>
    <n v="112"/>
    <n v="478"/>
    <n v="400"/>
    <n v="330"/>
    <n v="388"/>
    <n v="359"/>
    <n v="178"/>
    <n v="310"/>
    <n v="415"/>
    <n v="619"/>
    <n v="370"/>
    <n v="2729"/>
    <n v="557.33333333333337"/>
    <n v="14139"/>
    <n v="4"/>
    <n v="25.369019138755981"/>
    <x v="2"/>
    <s v="SI"/>
    <s v="NO"/>
    <s v="NO"/>
    <s v="NO"/>
  </r>
  <r>
    <x v="644"/>
    <x v="556"/>
    <x v="19"/>
    <x v="1"/>
    <x v="14"/>
    <x v="0"/>
    <n v="555"/>
    <n v="612"/>
    <n v="929"/>
    <n v="711"/>
    <n v="845"/>
    <n v="708"/>
    <n v="1034"/>
    <n v="1213"/>
    <n v="1107"/>
    <n v="4118"/>
    <n v="909"/>
    <n v="7304"/>
    <n v="1670.4166666666667"/>
    <n v="4533"/>
    <n v="4"/>
    <n v="2.7136941880768268"/>
    <x v="0"/>
    <s v="SI"/>
    <s v="NO"/>
    <s v="NO"/>
    <s v="NO"/>
  </r>
  <r>
    <x v="645"/>
    <x v="557"/>
    <x v="34"/>
    <x v="2"/>
    <x v="36"/>
    <x v="0"/>
    <n v="4"/>
    <n v="6"/>
    <n v="0"/>
    <n v="0"/>
    <n v="3"/>
    <n v="0"/>
    <n v="0"/>
    <n v="0"/>
    <n v="0"/>
    <n v="0"/>
    <n v="2"/>
    <n v="2"/>
    <n v="3.4"/>
    <n v="7"/>
    <n v="2"/>
    <n v="2.0588235294117649"/>
    <x v="0"/>
    <s v="SI"/>
    <s v="NO"/>
    <s v="NO"/>
    <s v="NO"/>
  </r>
  <r>
    <x v="646"/>
    <x v="558"/>
    <x v="6"/>
    <x v="3"/>
    <x v="0"/>
    <x v="2"/>
    <n v="0"/>
    <n v="0"/>
    <n v="0"/>
    <n v="0"/>
    <n v="0"/>
    <n v="0"/>
    <n v="0"/>
    <n v="0"/>
    <n v="0"/>
    <n v="0"/>
    <n v="0"/>
    <n v="0"/>
    <n v="0"/>
    <n v="0"/>
    <n v="0"/>
    <s v="No Rota"/>
    <x v="1"/>
    <s v="NO"/>
    <s v="NO"/>
    <s v="NO"/>
    <s v="NO"/>
  </r>
  <r>
    <x v="647"/>
    <x v="559"/>
    <x v="6"/>
    <x v="3"/>
    <x v="0"/>
    <x v="2"/>
    <n v="0"/>
    <n v="0"/>
    <n v="0"/>
    <n v="0"/>
    <n v="0"/>
    <n v="0"/>
    <n v="0"/>
    <n v="0"/>
    <n v="0"/>
    <n v="0"/>
    <n v="0"/>
    <n v="0"/>
    <n v="0"/>
    <n v="0"/>
    <n v="0"/>
    <s v="No Rota"/>
    <x v="1"/>
    <s v="NO"/>
    <s v="NO"/>
    <s v="NO"/>
    <s v="NO"/>
  </r>
  <r>
    <x v="648"/>
    <x v="560"/>
    <x v="6"/>
    <x v="3"/>
    <x v="0"/>
    <x v="2"/>
    <n v="0"/>
    <n v="0"/>
    <n v="0"/>
    <n v="1241"/>
    <n v="1322"/>
    <n v="1498"/>
    <n v="1198"/>
    <n v="32"/>
    <n v="0"/>
    <n v="0"/>
    <n v="0"/>
    <n v="2728"/>
    <n v="1336.5"/>
    <n v="0"/>
    <n v="1"/>
    <n v="0"/>
    <x v="4"/>
    <s v="NO"/>
    <s v="NO"/>
    <s v="NO"/>
    <s v="NO"/>
  </r>
  <r>
    <x v="649"/>
    <x v="561"/>
    <x v="6"/>
    <x v="3"/>
    <x v="0"/>
    <x v="2"/>
    <n v="1386"/>
    <n v="1306"/>
    <n v="1443"/>
    <n v="79"/>
    <n v="0"/>
    <n v="0"/>
    <n v="254"/>
    <n v="1472"/>
    <n v="1418"/>
    <n v="2912"/>
    <n v="1207"/>
    <n v="7173"/>
    <n v="1865"/>
    <n v="7621"/>
    <n v="4"/>
    <n v="4.0863270777479892"/>
    <x v="0"/>
    <s v="NO"/>
    <s v="NO"/>
    <s v="NO"/>
    <s v="NO"/>
  </r>
  <r>
    <x v="650"/>
    <x v="562"/>
    <x v="6"/>
    <x v="3"/>
    <x v="0"/>
    <x v="2"/>
    <n v="7"/>
    <n v="4"/>
    <n v="6"/>
    <n v="11"/>
    <n v="3"/>
    <n v="4"/>
    <n v="0"/>
    <n v="0"/>
    <n v="0"/>
    <n v="21"/>
    <n v="6"/>
    <n v="13"/>
    <n v="8.3333333333333339"/>
    <n v="86"/>
    <n v="3"/>
    <n v="10.319999999999999"/>
    <x v="2"/>
    <s v="NO"/>
    <s v="SI"/>
    <s v="NO"/>
    <s v="NO"/>
  </r>
  <r>
    <x v="651"/>
    <x v="563"/>
    <x v="6"/>
    <x v="3"/>
    <x v="0"/>
    <x v="2"/>
    <n v="51"/>
    <n v="48"/>
    <n v="50"/>
    <n v="55"/>
    <n v="57"/>
    <n v="67"/>
    <n v="41"/>
    <n v="42"/>
    <n v="62"/>
    <n v="125"/>
    <n v="34"/>
    <n v="344"/>
    <n v="81.333333333333329"/>
    <n v="700"/>
    <n v="4"/>
    <n v="8.6065573770491817"/>
    <x v="2"/>
    <s v="NO"/>
    <s v="SI"/>
    <s v="NO"/>
    <s v="NO"/>
  </r>
  <r>
    <x v="652"/>
    <x v="564"/>
    <x v="6"/>
    <x v="3"/>
    <x v="0"/>
    <x v="2"/>
    <n v="0"/>
    <n v="0"/>
    <n v="0"/>
    <n v="0"/>
    <n v="0"/>
    <n v="0"/>
    <n v="0"/>
    <n v="0"/>
    <n v="0"/>
    <n v="0"/>
    <n v="0"/>
    <n v="0"/>
    <n v="0"/>
    <n v="0"/>
    <n v="0"/>
    <s v="No Rota"/>
    <x v="1"/>
    <s v="NO"/>
    <s v="SI"/>
    <s v="NO"/>
    <s v="NO"/>
  </r>
  <r>
    <x v="653"/>
    <x v="565"/>
    <x v="6"/>
    <x v="3"/>
    <x v="0"/>
    <x v="2"/>
    <n v="0"/>
    <n v="2"/>
    <n v="0"/>
    <n v="2"/>
    <n v="1"/>
    <n v="2"/>
    <n v="0"/>
    <n v="1"/>
    <n v="0"/>
    <n v="1"/>
    <n v="0"/>
    <n v="4"/>
    <n v="1.8571428571428572"/>
    <n v="31"/>
    <n v="2"/>
    <n v="16.692307692307693"/>
    <x v="2"/>
    <s v="NO"/>
    <s v="SI"/>
    <s v="NO"/>
    <s v="NO"/>
  </r>
  <r>
    <x v="654"/>
    <x v="566"/>
    <x v="6"/>
    <x v="3"/>
    <x v="0"/>
    <x v="2"/>
    <n v="22"/>
    <n v="12"/>
    <n v="8"/>
    <n v="13"/>
    <n v="28"/>
    <n v="16"/>
    <n v="20"/>
    <n v="16"/>
    <n v="13"/>
    <n v="35"/>
    <n v="25"/>
    <n v="127"/>
    <n v="27.916666666666668"/>
    <n v="83"/>
    <n v="4"/>
    <n v="2.973134328358209"/>
    <x v="0"/>
    <s v="NO"/>
    <s v="SI"/>
    <s v="NO"/>
    <s v="NO"/>
  </r>
  <r>
    <x v="655"/>
    <x v="567"/>
    <x v="6"/>
    <x v="3"/>
    <x v="0"/>
    <x v="2"/>
    <n v="69"/>
    <n v="56"/>
    <n v="60"/>
    <n v="55"/>
    <n v="61"/>
    <n v="55"/>
    <n v="43"/>
    <n v="62"/>
    <n v="67"/>
    <n v="129"/>
    <n v="49"/>
    <n v="383"/>
    <n v="90.75"/>
    <n v="466"/>
    <n v="4"/>
    <n v="5.1349862258953172"/>
    <x v="0"/>
    <s v="NO"/>
    <s v="SI"/>
    <s v="NO"/>
    <s v="NO"/>
  </r>
  <r>
    <x v="656"/>
    <x v="568"/>
    <x v="6"/>
    <x v="3"/>
    <x v="0"/>
    <x v="2"/>
    <n v="2"/>
    <n v="0"/>
    <n v="0"/>
    <n v="0"/>
    <n v="0"/>
    <n v="0"/>
    <n v="0"/>
    <n v="0"/>
    <n v="0"/>
    <n v="1"/>
    <n v="1"/>
    <n v="2"/>
    <n v="1.5"/>
    <n v="9"/>
    <n v="3"/>
    <n v="6"/>
    <x v="0"/>
    <s v="NO"/>
    <s v="SI"/>
    <s v="NO"/>
    <s v="NO"/>
  </r>
  <r>
    <x v="657"/>
    <x v="569"/>
    <x v="6"/>
    <x v="3"/>
    <x v="0"/>
    <x v="2"/>
    <n v="19"/>
    <n v="16"/>
    <n v="20"/>
    <n v="16"/>
    <n v="16"/>
    <n v="19"/>
    <n v="16"/>
    <n v="18"/>
    <n v="17"/>
    <n v="84"/>
    <n v="13"/>
    <n v="117"/>
    <n v="30.916666666666668"/>
    <n v="87"/>
    <n v="4"/>
    <n v="2.8140161725067383"/>
    <x v="0"/>
    <s v="NO"/>
    <s v="SI"/>
    <s v="NO"/>
    <s v="NO"/>
  </r>
  <r>
    <x v="658"/>
    <x v="570"/>
    <x v="6"/>
    <x v="3"/>
    <x v="0"/>
    <x v="2"/>
    <n v="1"/>
    <n v="0"/>
    <n v="0"/>
    <n v="0"/>
    <n v="0"/>
    <n v="1"/>
    <n v="0"/>
    <n v="0"/>
    <n v="1"/>
    <n v="1"/>
    <n v="0"/>
    <n v="4"/>
    <n v="1.6"/>
    <n v="1"/>
    <n v="3"/>
    <n v="0.625"/>
    <x v="3"/>
    <s v="NO"/>
    <s v="SI"/>
    <s v="NO"/>
    <s v="NO"/>
  </r>
  <r>
    <x v="659"/>
    <x v="571"/>
    <x v="6"/>
    <x v="3"/>
    <x v="0"/>
    <x v="2"/>
    <n v="0"/>
    <n v="0"/>
    <n v="0"/>
    <n v="0"/>
    <n v="0"/>
    <n v="0"/>
    <n v="1"/>
    <n v="0"/>
    <n v="0"/>
    <n v="0"/>
    <n v="0"/>
    <n v="1"/>
    <n v="1"/>
    <n v="5"/>
    <n v="1"/>
    <n v="5"/>
    <x v="0"/>
    <s v="NO"/>
    <s v="SI"/>
    <s v="NO"/>
    <s v="NO"/>
  </r>
  <r>
    <x v="660"/>
    <x v="572"/>
    <x v="6"/>
    <x v="3"/>
    <x v="0"/>
    <x v="2"/>
    <n v="0"/>
    <n v="0"/>
    <n v="0"/>
    <n v="0"/>
    <n v="0"/>
    <n v="0"/>
    <n v="0"/>
    <n v="0"/>
    <n v="0"/>
    <n v="0"/>
    <n v="0"/>
    <n v="0"/>
    <n v="0"/>
    <n v="4"/>
    <n v="0"/>
    <s v="No Rota"/>
    <x v="1"/>
    <s v="NO"/>
    <s v="SI"/>
    <s v="NO"/>
    <s v="NO"/>
  </r>
  <r>
    <x v="661"/>
    <x v="573"/>
    <x v="6"/>
    <x v="3"/>
    <x v="0"/>
    <x v="2"/>
    <n v="0"/>
    <n v="6"/>
    <n v="2"/>
    <n v="3"/>
    <n v="1"/>
    <n v="0"/>
    <n v="0"/>
    <n v="0"/>
    <n v="1"/>
    <n v="10"/>
    <n v="0"/>
    <n v="1"/>
    <n v="3.4285714285714284"/>
    <n v="163"/>
    <n v="3"/>
    <n v="47.541666666666671"/>
    <x v="2"/>
    <s v="NO"/>
    <s v="SI"/>
    <s v="NO"/>
    <s v="NO"/>
  </r>
  <r>
    <x v="662"/>
    <x v="574"/>
    <x v="6"/>
    <x v="3"/>
    <x v="0"/>
    <x v="2"/>
    <n v="44"/>
    <n v="43"/>
    <n v="55"/>
    <n v="71"/>
    <n v="40"/>
    <n v="29"/>
    <n v="55"/>
    <n v="53"/>
    <n v="53"/>
    <n v="109"/>
    <n v="47"/>
    <n v="332"/>
    <n v="77.583333333333329"/>
    <n v="327"/>
    <n v="4"/>
    <n v="4.2148227712137487"/>
    <x v="0"/>
    <s v="NO"/>
    <s v="SI"/>
    <s v="NO"/>
    <s v="NO"/>
  </r>
  <r>
    <x v="663"/>
    <x v="575"/>
    <x v="6"/>
    <x v="3"/>
    <x v="0"/>
    <x v="2"/>
    <n v="2"/>
    <n v="2"/>
    <n v="4"/>
    <n v="7"/>
    <n v="7"/>
    <n v="5"/>
    <n v="1"/>
    <n v="6"/>
    <n v="3"/>
    <n v="0"/>
    <n v="3"/>
    <n v="19"/>
    <n v="5.3636363636363633"/>
    <n v="316"/>
    <n v="3"/>
    <n v="58.915254237288138"/>
    <x v="2"/>
    <s v="NO"/>
    <s v="SI"/>
    <s v="NO"/>
    <s v="NO"/>
  </r>
  <r>
    <x v="664"/>
    <x v="576"/>
    <x v="165"/>
    <x v="0"/>
    <x v="0"/>
    <x v="0"/>
    <n v="0"/>
    <n v="0"/>
    <n v="0"/>
    <n v="0"/>
    <n v="0"/>
    <n v="0"/>
    <n v="14"/>
    <n v="0"/>
    <n v="2"/>
    <n v="0"/>
    <n v="0"/>
    <n v="16"/>
    <n v="10.666666666666666"/>
    <n v="0"/>
    <n v="2"/>
    <n v="0"/>
    <x v="4"/>
    <s v="SI"/>
    <s v="NO"/>
    <s v="NO"/>
    <s v="NO"/>
  </r>
  <r>
    <x v="665"/>
    <x v="577"/>
    <x v="24"/>
    <x v="10"/>
    <x v="18"/>
    <x v="0"/>
    <n v="11"/>
    <n v="11"/>
    <n v="11"/>
    <n v="18"/>
    <n v="7"/>
    <n v="11"/>
    <n v="16"/>
    <n v="0"/>
    <n v="28"/>
    <n v="22"/>
    <n v="15"/>
    <n v="104"/>
    <n v="23.09090909090909"/>
    <n v="50"/>
    <n v="4"/>
    <n v="2.1653543307086616"/>
    <x v="0"/>
    <s v="SI"/>
    <s v="NO"/>
    <s v="NO"/>
    <s v="NO"/>
  </r>
  <r>
    <x v="666"/>
    <x v="577"/>
    <x v="25"/>
    <x v="0"/>
    <x v="0"/>
    <x v="0"/>
    <n v="120"/>
    <n v="420"/>
    <n v="470"/>
    <n v="263"/>
    <n v="87"/>
    <n v="132"/>
    <n v="324"/>
    <n v="575"/>
    <n v="406"/>
    <n v="710"/>
    <n v="440"/>
    <n v="2189"/>
    <n v="511.33333333333331"/>
    <n v="437"/>
    <n v="4"/>
    <n v="0.85462842242503267"/>
    <x v="3"/>
    <s v="SI"/>
    <s v="NO"/>
    <s v="NO"/>
    <s v="NO"/>
  </r>
  <r>
    <x v="667"/>
    <x v="578"/>
    <x v="25"/>
    <x v="1"/>
    <x v="0"/>
    <x v="0"/>
    <n v="317"/>
    <n v="217"/>
    <n v="201"/>
    <n v="211"/>
    <n v="212"/>
    <n v="269"/>
    <n v="391"/>
    <n v="343"/>
    <n v="326"/>
    <n v="647"/>
    <n v="220"/>
    <n v="2114"/>
    <n v="455.66666666666669"/>
    <n v="8178"/>
    <n v="4"/>
    <n v="17.947329919531821"/>
    <x v="2"/>
    <s v="SI"/>
    <s v="NO"/>
    <s v="NO"/>
    <s v="NO"/>
  </r>
  <r>
    <x v="668"/>
    <x v="579"/>
    <x v="166"/>
    <x v="1"/>
    <x v="14"/>
    <x v="0"/>
    <n v="0"/>
    <n v="0"/>
    <n v="2"/>
    <n v="0"/>
    <n v="0"/>
    <n v="2"/>
    <n v="0"/>
    <n v="0"/>
    <n v="0"/>
    <n v="3"/>
    <n v="2"/>
    <n v="7"/>
    <n v="3.2"/>
    <n v="11"/>
    <n v="3"/>
    <n v="3.4375"/>
    <x v="0"/>
    <s v="NO"/>
    <s v="NO"/>
    <s v="NO"/>
    <s v="NO"/>
  </r>
  <r>
    <x v="669"/>
    <x v="580"/>
    <x v="6"/>
    <x v="3"/>
    <x v="0"/>
    <x v="2"/>
    <n v="481"/>
    <n v="398"/>
    <n v="325"/>
    <n v="338"/>
    <n v="378"/>
    <n v="290"/>
    <n v="364"/>
    <n v="437"/>
    <n v="434"/>
    <n v="909"/>
    <n v="196"/>
    <n v="2515"/>
    <n v="588.75"/>
    <n v="6978"/>
    <n v="4"/>
    <n v="11.852229299363056"/>
    <x v="2"/>
    <s v="NO"/>
    <s v="SI"/>
    <s v="NO"/>
    <s v="NO"/>
  </r>
  <r>
    <x v="670"/>
    <x v="581"/>
    <x v="6"/>
    <x v="3"/>
    <x v="0"/>
    <x v="2"/>
    <n v="135"/>
    <n v="195"/>
    <n v="238"/>
    <n v="157"/>
    <n v="200"/>
    <n v="239"/>
    <n v="143"/>
    <n v="239"/>
    <n v="183"/>
    <n v="576"/>
    <n v="149"/>
    <n v="1359"/>
    <n v="317.75"/>
    <n v="7877"/>
    <n v="4"/>
    <n v="24.789929189614476"/>
    <x v="2"/>
    <s v="NO"/>
    <s v="SI"/>
    <s v="NO"/>
    <s v="NO"/>
  </r>
  <r>
    <x v="671"/>
    <x v="582"/>
    <x v="167"/>
    <x v="0"/>
    <x v="0"/>
    <x v="0"/>
    <n v="50"/>
    <n v="0"/>
    <n v="0"/>
    <n v="0"/>
    <n v="0"/>
    <n v="0"/>
    <n v="0"/>
    <n v="34"/>
    <n v="0"/>
    <n v="0"/>
    <n v="0"/>
    <n v="34"/>
    <n v="39.333333333333336"/>
    <n v="359"/>
    <n v="1"/>
    <n v="9.1271186440677958"/>
    <x v="2"/>
    <s v="SI"/>
    <s v="NO"/>
    <s v="NO"/>
    <s v="NO"/>
  </r>
  <r>
    <x v="672"/>
    <x v="583"/>
    <x v="23"/>
    <x v="0"/>
    <x v="0"/>
    <x v="0"/>
    <n v="0"/>
    <n v="140"/>
    <n v="120"/>
    <n v="0"/>
    <n v="0"/>
    <n v="110"/>
    <n v="150"/>
    <n v="120"/>
    <n v="50"/>
    <n v="100"/>
    <n v="10"/>
    <n v="490"/>
    <n v="143.33333333333334"/>
    <n v="850"/>
    <n v="4"/>
    <n v="5.9302325581395348"/>
    <x v="0"/>
    <s v="SI"/>
    <s v="NO"/>
    <s v="NO"/>
    <s v="NO"/>
  </r>
  <r>
    <x v="673"/>
    <x v="584"/>
    <x v="168"/>
    <x v="2"/>
    <x v="18"/>
    <x v="0"/>
    <n v="46"/>
    <n v="55"/>
    <n v="69"/>
    <n v="43"/>
    <n v="49"/>
    <n v="40"/>
    <n v="36"/>
    <n v="79"/>
    <n v="77"/>
    <n v="166"/>
    <n v="61"/>
    <n v="467"/>
    <n v="99"/>
    <n v="2285"/>
    <n v="4"/>
    <n v="23.08080808080808"/>
    <x v="2"/>
    <s v="SI"/>
    <s v="NO"/>
    <s v="NO"/>
    <s v="NO"/>
  </r>
  <r>
    <x v="674"/>
    <x v="585"/>
    <x v="47"/>
    <x v="1"/>
    <x v="5"/>
    <x v="0"/>
    <n v="13"/>
    <n v="0"/>
    <n v="8"/>
    <n v="4"/>
    <n v="6"/>
    <n v="10"/>
    <n v="10"/>
    <n v="4"/>
    <n v="7"/>
    <n v="11"/>
    <n v="1"/>
    <n v="37"/>
    <n v="10.090909090909092"/>
    <n v="0"/>
    <n v="4"/>
    <n v="0"/>
    <x v="4"/>
    <s v="NO"/>
    <s v="NO"/>
    <s v="SI"/>
    <s v="NO"/>
  </r>
  <r>
    <x v="675"/>
    <x v="585"/>
    <x v="63"/>
    <x v="0"/>
    <x v="0"/>
    <x v="0"/>
    <n v="0"/>
    <n v="0"/>
    <n v="0"/>
    <n v="0"/>
    <n v="0"/>
    <n v="0"/>
    <n v="0"/>
    <n v="0"/>
    <n v="0"/>
    <n v="0"/>
    <n v="0"/>
    <n v="8"/>
    <n v="8"/>
    <n v="1256"/>
    <n v="1"/>
    <n v="157"/>
    <x v="2"/>
    <s v="NO"/>
    <s v="NO"/>
    <s v="SI"/>
    <s v="NO"/>
  </r>
  <r>
    <x v="676"/>
    <x v="585"/>
    <x v="103"/>
    <x v="10"/>
    <x v="48"/>
    <x v="0"/>
    <n v="9"/>
    <n v="2"/>
    <n v="4"/>
    <n v="3"/>
    <n v="4"/>
    <n v="6"/>
    <n v="4"/>
    <n v="2"/>
    <n v="6"/>
    <n v="7"/>
    <n v="2"/>
    <n v="25"/>
    <n v="6.166666666666667"/>
    <n v="27"/>
    <n v="4"/>
    <n v="4.3783783783783781"/>
    <x v="0"/>
    <s v="NO"/>
    <s v="NO"/>
    <s v="SI"/>
    <s v="NO"/>
  </r>
  <r>
    <x v="677"/>
    <x v="586"/>
    <x v="22"/>
    <x v="0"/>
    <x v="0"/>
    <x v="0"/>
    <n v="32"/>
    <n v="31"/>
    <n v="34"/>
    <n v="35"/>
    <n v="72"/>
    <n v="32"/>
    <n v="70"/>
    <n v="30"/>
    <n v="240"/>
    <n v="120"/>
    <n v="430"/>
    <n v="922"/>
    <n v="170.66666666666666"/>
    <n v="70"/>
    <n v="4"/>
    <n v="0.41015625"/>
    <x v="3"/>
    <s v="SI"/>
    <s v="NO"/>
    <s v="NO"/>
    <s v="NO"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  <r>
    <x v="678"/>
    <x v="587"/>
    <x v="169"/>
    <x v="18"/>
    <x v="77"/>
    <x v="4"/>
    <m/>
    <m/>
    <m/>
    <m/>
    <m/>
    <m/>
    <m/>
    <m/>
    <m/>
    <m/>
    <m/>
    <m/>
    <m/>
    <m/>
    <m/>
    <m/>
    <x v="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 dinámica2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A3:F362" firstHeaderRow="1" firstDataRow="1" firstDataCol="6" rowPageCount="1" colPageCount="1"/>
  <pivotFields count="27">
    <pivotField axis="axisRow" compact="0" outline="0" showAll="0" defaultSubtotal="0">
      <items count="679">
        <item x="2"/>
        <item x="1"/>
        <item x="0"/>
        <item x="3"/>
        <item x="5"/>
        <item x="6"/>
        <item x="7"/>
        <item x="9"/>
        <item x="24"/>
        <item x="25"/>
        <item x="26"/>
        <item x="37"/>
        <item x="38"/>
        <item x="40"/>
        <item x="42"/>
        <item x="41"/>
        <item x="43"/>
        <item x="44"/>
        <item x="45"/>
        <item x="46"/>
        <item x="47"/>
        <item x="48"/>
        <item x="52"/>
        <item x="53"/>
        <item x="49"/>
        <item x="50"/>
        <item x="51"/>
        <item x="54"/>
        <item x="55"/>
        <item x="68"/>
        <item x="69"/>
        <item x="70"/>
        <item x="72"/>
        <item x="71"/>
        <item x="73"/>
        <item x="74"/>
        <item x="75"/>
        <item x="76"/>
        <item x="77"/>
        <item x="78"/>
        <item x="79"/>
        <item x="82"/>
        <item x="80"/>
        <item x="85"/>
        <item x="86"/>
        <item x="87"/>
        <item x="89"/>
        <item x="90"/>
        <item x="109"/>
        <item x="111"/>
        <item x="113"/>
        <item x="114"/>
        <item x="115"/>
        <item x="118"/>
        <item x="120"/>
        <item x="131"/>
        <item x="132"/>
        <item x="161"/>
        <item x="162"/>
        <item x="163"/>
        <item x="164"/>
        <item x="165"/>
        <item x="167"/>
        <item x="168"/>
        <item x="175"/>
        <item x="178"/>
        <item x="177"/>
        <item x="176"/>
        <item x="181"/>
        <item x="183"/>
        <item x="182"/>
        <item x="187"/>
        <item x="186"/>
        <item x="188"/>
        <item x="189"/>
        <item x="190"/>
        <item x="191"/>
        <item x="193"/>
        <item x="195"/>
        <item x="194"/>
        <item x="196"/>
        <item x="197"/>
        <item x="571"/>
        <item x="205"/>
        <item x="207"/>
        <item x="206"/>
        <item x="209"/>
        <item x="210"/>
        <item x="217"/>
        <item x="216"/>
        <item x="218"/>
        <item x="219"/>
        <item x="220"/>
        <item x="221"/>
        <item x="222"/>
        <item x="223"/>
        <item x="555"/>
        <item x="224"/>
        <item x="227"/>
        <item x="229"/>
        <item x="230"/>
        <item x="236"/>
        <item x="237"/>
        <item x="238"/>
        <item x="239"/>
        <item x="241"/>
        <item x="242"/>
        <item x="249"/>
        <item x="252"/>
        <item x="250"/>
        <item x="251"/>
        <item x="254"/>
        <item x="253"/>
        <item x="259"/>
        <item x="261"/>
        <item x="262"/>
        <item x="263"/>
        <item x="264"/>
        <item x="266"/>
        <item x="271"/>
        <item x="274"/>
        <item x="273"/>
        <item x="272"/>
        <item x="276"/>
        <item x="275"/>
        <item x="277"/>
        <item x="4"/>
        <item x="605"/>
        <item x="278"/>
        <item x="607"/>
        <item x="282"/>
        <item x="285"/>
        <item x="284"/>
        <item x="283"/>
        <item x="286"/>
        <item x="287"/>
        <item x="297"/>
        <item x="296"/>
        <item x="298"/>
        <item x="299"/>
        <item x="300"/>
        <item x="301"/>
        <item x="306"/>
        <item x="308"/>
        <item x="307"/>
        <item x="309"/>
        <item x="211"/>
        <item x="212"/>
        <item x="214"/>
        <item x="213"/>
        <item x="215"/>
        <item x="329"/>
        <item x="327"/>
        <item x="326"/>
        <item x="328"/>
        <item x="330"/>
        <item x="331"/>
        <item x="332"/>
        <item x="606"/>
        <item x="334"/>
        <item x="337"/>
        <item x="340"/>
        <item x="341"/>
        <item x="343"/>
        <item x="347"/>
        <item x="349"/>
        <item x="350"/>
        <item x="351"/>
        <item x="367"/>
        <item x="374"/>
        <item x="375"/>
        <item x="377"/>
        <item x="376"/>
        <item x="378"/>
        <item x="383"/>
        <item x="386"/>
        <item x="388"/>
        <item x="392"/>
        <item x="391"/>
        <item x="389"/>
        <item x="395"/>
        <item x="402"/>
        <item x="401"/>
        <item x="403"/>
        <item x="404"/>
        <item x="416"/>
        <item x="430"/>
        <item x="429"/>
        <item x="434"/>
        <item x="435"/>
        <item x="436"/>
        <item x="437"/>
        <item x="438"/>
        <item x="439"/>
        <item x="440"/>
        <item x="442"/>
        <item x="444"/>
        <item x="443"/>
        <item x="445"/>
        <item x="447"/>
        <item x="446"/>
        <item x="448"/>
        <item x="449"/>
        <item x="451"/>
        <item x="453"/>
        <item x="455"/>
        <item x="456"/>
        <item x="457"/>
        <item x="459"/>
        <item x="460"/>
        <item x="461"/>
        <item x="463"/>
        <item x="464"/>
        <item x="465"/>
        <item x="466"/>
        <item x="467"/>
        <item x="468"/>
        <item x="473"/>
        <item x="475"/>
        <item x="477"/>
        <item x="476"/>
        <item x="478"/>
        <item x="479"/>
        <item x="480"/>
        <item x="483"/>
        <item x="494"/>
        <item x="495"/>
        <item x="496"/>
        <item x="499"/>
        <item x="500"/>
        <item x="501"/>
        <item x="502"/>
        <item x="505"/>
        <item x="458"/>
        <item x="507"/>
        <item x="511"/>
        <item x="509"/>
        <item x="510"/>
        <item x="512"/>
        <item x="569"/>
        <item x="515"/>
        <item x="516"/>
        <item x="529"/>
        <item x="530"/>
        <item x="533"/>
        <item x="532"/>
        <item x="534"/>
        <item x="538"/>
        <item x="539"/>
        <item x="540"/>
        <item x="544"/>
        <item x="554"/>
        <item x="556"/>
        <item x="561"/>
        <item x="564"/>
        <item x="563"/>
        <item x="565"/>
        <item x="566"/>
        <item x="562"/>
        <item x="567"/>
        <item x="570"/>
        <item x="602"/>
        <item x="604"/>
        <item x="603"/>
        <item x="639"/>
        <item x="641"/>
        <item x="644"/>
        <item x="643"/>
        <item x="645"/>
        <item x="666"/>
        <item x="667"/>
        <item x="671"/>
        <item x="672"/>
        <item x="673"/>
        <item x="674"/>
        <item x="676"/>
        <item x="675"/>
        <item x="677"/>
        <item x="13"/>
        <item x="513"/>
        <item x="226"/>
        <item x="396"/>
        <item x="470"/>
        <item x="481"/>
        <item x="19"/>
        <item x="20"/>
        <item x="21"/>
        <item x="30"/>
        <item x="28"/>
        <item x="31"/>
        <item x="32"/>
        <item x="33"/>
        <item x="34"/>
        <item x="36"/>
        <item x="63"/>
        <item x="65"/>
        <item x="92"/>
        <item x="93"/>
        <item x="95"/>
        <item x="97"/>
        <item x="101"/>
        <item x="91"/>
        <item x="108"/>
        <item x="125"/>
        <item x="130"/>
        <item x="180"/>
        <item x="243"/>
        <item x="245"/>
        <item x="246"/>
        <item x="247"/>
        <item x="354"/>
        <item x="356"/>
        <item x="359"/>
        <item x="425"/>
        <item x="582"/>
        <item x="583"/>
        <item x="581"/>
        <item x="584"/>
        <item x="618"/>
        <item x="621"/>
        <item x="620"/>
        <item x="633"/>
        <item x="669"/>
        <item x="670"/>
        <item x="60"/>
        <item x="61"/>
        <item x="104"/>
        <item x="107"/>
        <item x="123"/>
        <item x="124"/>
        <item x="140"/>
        <item x="321"/>
        <item x="322"/>
        <item x="323"/>
        <item x="324"/>
        <item x="338"/>
        <item x="339"/>
        <item x="353"/>
        <item x="357"/>
        <item x="399"/>
        <item x="424"/>
        <item x="485"/>
        <item x="486"/>
        <item x="498"/>
        <item x="580"/>
        <item x="577"/>
        <item x="578"/>
        <item x="579"/>
        <item x="591"/>
        <item x="588"/>
        <item x="589"/>
        <item x="590"/>
        <item x="586"/>
        <item x="587"/>
        <item x="593"/>
        <item x="594"/>
        <item x="668"/>
        <item x="231"/>
        <item x="462"/>
        <item x="637"/>
        <item x="665"/>
        <item x="81"/>
        <item x="508"/>
        <item x="352"/>
        <item x="39"/>
        <item x="265"/>
        <item x="166"/>
        <item x="88"/>
        <item x="248"/>
        <item x="83"/>
        <item x="98"/>
        <item x="102"/>
        <item x="58"/>
        <item x="452"/>
        <item x="57"/>
        <item x="400"/>
        <item x="535"/>
        <item x="514"/>
        <item x="201"/>
        <item x="345"/>
        <item x="421"/>
        <item x="471"/>
        <item x="635"/>
        <item x="305"/>
        <item x="441"/>
        <item x="632"/>
        <item x="636"/>
        <item x="335"/>
        <item x="116"/>
        <item x="145"/>
        <item x="152"/>
        <item x="616"/>
        <item x="615"/>
        <item x="622"/>
        <item x="293"/>
        <item x="640"/>
        <item x="664"/>
        <item x="385"/>
        <item x="543"/>
        <item x="146"/>
        <item x="384"/>
        <item x="560"/>
        <item x="413"/>
        <item x="528"/>
        <item x="151"/>
        <item x="154"/>
        <item x="133"/>
        <item x="149"/>
        <item x="541"/>
        <item x="267"/>
        <item x="144"/>
        <item x="362"/>
        <item x="542"/>
        <item x="202"/>
        <item x="585"/>
        <item x="96"/>
        <item x="398"/>
        <item x="623"/>
        <item x="110"/>
        <item x="135"/>
        <item x="128"/>
        <item x="647"/>
        <item x="153"/>
        <item x="64"/>
        <item x="84"/>
        <item x="646"/>
        <item x="531"/>
        <item x="94"/>
        <item x="599"/>
        <item x="617"/>
        <item x="134"/>
        <item x="609"/>
        <item x="489"/>
        <item x="348"/>
        <item x="526"/>
        <item x="663"/>
        <item x="482"/>
        <item x="62"/>
        <item x="661"/>
        <item x="660"/>
        <item x="662"/>
        <item x="240"/>
        <item x="624"/>
        <item x="358"/>
        <item x="601"/>
        <item x="279"/>
        <item x="613"/>
        <item x="626"/>
        <item x="255"/>
        <item x="653"/>
        <item x="490"/>
        <item x="611"/>
        <item x="360"/>
        <item x="364"/>
        <item x="319"/>
        <item x="517"/>
        <item x="415"/>
        <item x="427"/>
        <item x="156"/>
        <item x="492"/>
        <item x="390"/>
        <item x="16"/>
        <item x="185"/>
        <item x="158"/>
        <item x="148"/>
        <item x="614"/>
        <item x="17"/>
        <item x="612"/>
        <item x="634"/>
        <item x="630"/>
        <item x="629"/>
        <item x="302"/>
        <item x="381"/>
        <item x="160"/>
        <item x="295"/>
        <item x="208"/>
        <item x="393"/>
        <item x="627"/>
        <item x="397"/>
        <item x="610"/>
        <item x="244"/>
        <item x="650"/>
        <item x="320"/>
        <item x="318"/>
        <item x="256"/>
        <item x="355"/>
        <item x="100"/>
        <item x="99"/>
        <item x="659"/>
        <item x="558"/>
        <item x="559"/>
        <item x="552"/>
        <item x="142"/>
        <item x="14"/>
        <item x="281"/>
        <item x="654"/>
        <item x="655"/>
        <item x="651"/>
        <item x="652"/>
        <item x="625"/>
        <item x="422"/>
        <item x="656"/>
        <item x="657"/>
        <item x="172"/>
        <item x="173"/>
        <item x="136"/>
        <item x="550"/>
        <item x="368"/>
        <item x="497"/>
        <item x="257"/>
        <item x="112"/>
        <item x="333"/>
        <item x="557"/>
        <item x="454"/>
        <item x="472"/>
        <item x="547"/>
        <item x="658"/>
        <item x="371"/>
        <item x="174"/>
        <item x="346"/>
        <item x="336"/>
        <item x="66"/>
        <item x="199"/>
        <item x="139"/>
        <item x="527"/>
        <item x="450"/>
        <item x="119"/>
        <item x="363"/>
        <item x="344"/>
        <item x="628"/>
        <item x="423"/>
        <item x="504"/>
        <item x="157"/>
        <item x="487"/>
        <item x="405"/>
        <item x="290"/>
        <item x="428"/>
        <item x="382"/>
        <item x="426"/>
        <item x="407"/>
        <item x="408"/>
        <item x="409"/>
        <item x="595"/>
        <item x="519"/>
        <item x="420"/>
        <item x="303"/>
        <item x="342"/>
        <item x="198"/>
        <item x="235"/>
        <item x="596"/>
        <item x="304"/>
        <item x="23"/>
        <item x="22"/>
        <item x="289"/>
        <item x="642"/>
        <item x="15"/>
        <item x="150"/>
        <item x="503"/>
        <item x="18"/>
        <item x="638"/>
        <item x="159"/>
        <item x="10"/>
        <item x="105"/>
        <item x="203"/>
        <item x="506"/>
        <item x="143"/>
        <item x="184"/>
        <item x="518"/>
        <item x="258"/>
        <item x="169"/>
        <item x="56"/>
        <item x="491"/>
        <item x="597"/>
        <item x="225"/>
        <item x="147"/>
        <item x="551"/>
        <item x="106"/>
        <item x="369"/>
        <item x="370"/>
        <item x="260"/>
        <item x="394"/>
        <item x="649"/>
        <item x="179"/>
        <item x="138"/>
        <item x="493"/>
        <item x="474"/>
        <item x="365"/>
        <item x="410"/>
        <item x="406"/>
        <item x="598"/>
        <item x="117"/>
        <item x="372"/>
        <item x="488"/>
        <item x="11"/>
        <item x="12"/>
        <item x="545"/>
        <item x="419"/>
        <item x="310"/>
        <item x="155"/>
        <item x="192"/>
        <item x="233"/>
        <item x="127"/>
        <item x="126"/>
        <item x="67"/>
        <item x="553"/>
        <item x="200"/>
        <item x="592"/>
        <item x="373"/>
        <item x="431"/>
        <item x="432"/>
        <item x="129"/>
        <item x="387"/>
        <item x="412"/>
        <item x="234"/>
        <item x="573"/>
        <item x="574"/>
        <item x="575"/>
        <item x="576"/>
        <item x="572"/>
        <item x="292"/>
        <item x="361"/>
        <item x="294"/>
        <item x="525"/>
        <item x="546"/>
        <item x="103"/>
        <item x="121"/>
        <item x="141"/>
        <item x="549"/>
        <item x="600"/>
        <item x="433"/>
        <item x="313"/>
        <item x="315"/>
        <item x="316"/>
        <item x="311"/>
        <item x="312"/>
        <item x="314"/>
        <item x="317"/>
        <item x="59"/>
        <item x="379"/>
        <item x="380"/>
        <item x="280"/>
        <item x="228"/>
        <item x="631"/>
        <item x="122"/>
        <item x="537"/>
        <item x="366"/>
        <item x="288"/>
        <item x="522"/>
        <item x="521"/>
        <item x="8"/>
        <item x="469"/>
        <item x="414"/>
        <item x="137"/>
        <item x="523"/>
        <item x="170"/>
        <item x="568"/>
        <item x="204"/>
        <item x="171"/>
        <item x="484"/>
        <item x="29"/>
        <item x="411"/>
        <item x="608"/>
        <item x="548"/>
        <item x="648"/>
        <item x="417"/>
        <item x="418"/>
        <item x="520"/>
        <item x="232"/>
        <item x="619"/>
        <item x="524"/>
        <item x="27"/>
        <item x="291"/>
        <item x="35"/>
        <item x="268"/>
        <item x="269"/>
        <item x="270"/>
        <item x="536"/>
        <item x="325"/>
        <item x="678"/>
      </items>
    </pivotField>
    <pivotField axis="axisRow" outline="0" showAll="0" defaultSubtotal="0">
      <items count="5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7"/>
        <item x="216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9"/>
        <item x="268"/>
        <item x="271"/>
        <item x="270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8"/>
        <item x="337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5"/>
        <item x="354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9"/>
        <item x="508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</items>
    </pivotField>
    <pivotField axis="axisRow" outline="0" showAll="0" defaultSubtotal="0">
      <items count="170">
        <item x="6"/>
        <item x="10"/>
        <item x="12"/>
        <item x="105"/>
        <item x="145"/>
        <item x="5"/>
        <item x="28"/>
        <item x="159"/>
        <item x="68"/>
        <item x="69"/>
        <item x="32"/>
        <item x="57"/>
        <item x="20"/>
        <item x="168"/>
        <item x="75"/>
        <item x="22"/>
        <item x="118"/>
        <item x="135"/>
        <item x="47"/>
        <item x="34"/>
        <item x="143"/>
        <item x="122"/>
        <item x="151"/>
        <item x="102"/>
        <item x="2"/>
        <item x="134"/>
        <item x="91"/>
        <item x="8"/>
        <item x="97"/>
        <item x="53"/>
        <item x="152"/>
        <item x="55"/>
        <item x="111"/>
        <item x="112"/>
        <item x="113"/>
        <item x="139"/>
        <item x="39"/>
        <item x="144"/>
        <item x="37"/>
        <item x="95"/>
        <item x="150"/>
        <item x="74"/>
        <item x="100"/>
        <item x="72"/>
        <item x="71"/>
        <item x="131"/>
        <item x="123"/>
        <item x="138"/>
        <item x="67"/>
        <item x="126"/>
        <item x="44"/>
        <item x="65"/>
        <item x="101"/>
        <item x="156"/>
        <item x="45"/>
        <item x="46"/>
        <item x="9"/>
        <item x="149"/>
        <item x="130"/>
        <item x="30"/>
        <item x="125"/>
        <item x="124"/>
        <item x="51"/>
        <item x="107"/>
        <item x="52"/>
        <item x="166"/>
        <item x="137"/>
        <item x="119"/>
        <item x="49"/>
        <item x="140"/>
        <item x="89"/>
        <item x="0"/>
        <item x="85"/>
        <item x="160"/>
        <item x="127"/>
        <item x="56"/>
        <item x="62"/>
        <item x="35"/>
        <item x="129"/>
        <item x="110"/>
        <item x="88"/>
        <item x="38"/>
        <item x="40"/>
        <item x="54"/>
        <item x="21"/>
        <item x="80"/>
        <item x="36"/>
        <item x="1"/>
        <item x="26"/>
        <item x="18"/>
        <item x="81"/>
        <item x="24"/>
        <item x="106"/>
        <item x="146"/>
        <item x="108"/>
        <item x="61"/>
        <item x="158"/>
        <item x="157"/>
        <item x="117"/>
        <item x="148"/>
        <item x="120"/>
        <item x="93"/>
        <item x="136"/>
        <item x="70"/>
        <item x="63"/>
        <item x="164"/>
        <item x="29"/>
        <item x="109"/>
        <item x="76"/>
        <item x="147"/>
        <item x="66"/>
        <item x="48"/>
        <item x="73"/>
        <item x="42"/>
        <item x="58"/>
        <item x="31"/>
        <item x="86"/>
        <item x="83"/>
        <item x="16"/>
        <item x="4"/>
        <item x="92"/>
        <item x="84"/>
        <item x="163"/>
        <item x="165"/>
        <item x="77"/>
        <item x="23"/>
        <item x="90"/>
        <item x="116"/>
        <item x="128"/>
        <item x="79"/>
        <item x="50"/>
        <item x="59"/>
        <item x="98"/>
        <item x="78"/>
        <item x="17"/>
        <item x="82"/>
        <item x="43"/>
        <item x="41"/>
        <item x="103"/>
        <item x="19"/>
        <item x="3"/>
        <item x="14"/>
        <item x="15"/>
        <item x="33"/>
        <item x="25"/>
        <item x="27"/>
        <item x="60"/>
        <item x="96"/>
        <item x="155"/>
        <item x="7"/>
        <item x="115"/>
        <item x="87"/>
        <item x="64"/>
        <item x="94"/>
        <item x="13"/>
        <item x="141"/>
        <item x="99"/>
        <item x="132"/>
        <item x="121"/>
        <item x="153"/>
        <item x="167"/>
        <item x="161"/>
        <item x="104"/>
        <item x="162"/>
        <item x="133"/>
        <item x="154"/>
        <item x="11"/>
        <item x="142"/>
        <item x="114"/>
        <item x="169"/>
      </items>
    </pivotField>
    <pivotField axis="axisRow" outline="0" showAll="0" defaultSubtotal="0">
      <items count="19">
        <item x="5"/>
        <item x="7"/>
        <item x="14"/>
        <item x="9"/>
        <item x="1"/>
        <item x="10"/>
        <item x="16"/>
        <item x="15"/>
        <item x="6"/>
        <item x="11"/>
        <item x="8"/>
        <item x="13"/>
        <item x="17"/>
        <item x="12"/>
        <item x="2"/>
        <item x="4"/>
        <item x="0"/>
        <item x="3"/>
        <item x="18"/>
      </items>
    </pivotField>
    <pivotField axis="axisRow" outline="0" showAll="0" defaultSubtotal="0">
      <items count="78">
        <item x="0"/>
        <item x="72"/>
        <item x="55"/>
        <item x="38"/>
        <item x="46"/>
        <item x="28"/>
        <item x="30"/>
        <item x="29"/>
        <item x="64"/>
        <item x="65"/>
        <item x="7"/>
        <item x="4"/>
        <item x="43"/>
        <item x="14"/>
        <item x="52"/>
        <item x="51"/>
        <item x="1"/>
        <item x="9"/>
        <item x="27"/>
        <item x="45"/>
        <item x="25"/>
        <item x="58"/>
        <item x="18"/>
        <item x="69"/>
        <item x="20"/>
        <item x="31"/>
        <item x="36"/>
        <item x="15"/>
        <item x="37"/>
        <item x="3"/>
        <item x="23"/>
        <item x="5"/>
        <item x="68"/>
        <item x="22"/>
        <item x="32"/>
        <item x="59"/>
        <item x="48"/>
        <item x="67"/>
        <item x="10"/>
        <item x="16"/>
        <item x="62"/>
        <item x="17"/>
        <item x="66"/>
        <item x="61"/>
        <item x="56"/>
        <item x="49"/>
        <item x="24"/>
        <item x="39"/>
        <item x="21"/>
        <item x="42"/>
        <item x="11"/>
        <item x="6"/>
        <item x="12"/>
        <item x="13"/>
        <item x="76"/>
        <item x="19"/>
        <item x="57"/>
        <item x="41"/>
        <item x="40"/>
        <item x="50"/>
        <item x="63"/>
        <item x="8"/>
        <item x="60"/>
        <item x="74"/>
        <item x="75"/>
        <item x="70"/>
        <item x="73"/>
        <item x="71"/>
        <item x="53"/>
        <item x="33"/>
        <item x="34"/>
        <item x="35"/>
        <item x="54"/>
        <item x="26"/>
        <item x="44"/>
        <item x="2"/>
        <item x="47"/>
        <item x="77"/>
      </items>
    </pivotField>
    <pivotField axis="axisPage" multipleItemSelectionAllowed="1" showAll="0">
      <items count="6">
        <item h="1" x="2"/>
        <item h="1" x="3"/>
        <item x="0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outline="0" showAll="0">
      <items count="7">
        <item x="4"/>
        <item x="1"/>
        <item x="0"/>
        <item x="2"/>
        <item x="3"/>
        <item x="5"/>
        <item t="default"/>
      </items>
    </pivotField>
    <pivotField showAll="0"/>
    <pivotField showAll="0"/>
    <pivotField showAll="0"/>
    <pivotField showAll="0"/>
  </pivotFields>
  <rowFields count="6">
    <field x="0"/>
    <field x="1"/>
    <field x="2"/>
    <field x="3"/>
    <field x="4"/>
    <field x="22"/>
  </rowFields>
  <rowItems count="359">
    <i>
      <x/>
      <x v="2"/>
      <x v="24"/>
      <x v="16"/>
      <x/>
      <x v="2"/>
    </i>
    <i>
      <x v="1"/>
      <x v="1"/>
      <x v="87"/>
      <x v="4"/>
      <x v="16"/>
      <x v="1"/>
    </i>
    <i>
      <x v="2"/>
      <x/>
      <x v="71"/>
      <x v="16"/>
      <x/>
      <x v="2"/>
    </i>
    <i>
      <x v="3"/>
      <x v="3"/>
      <x v="140"/>
      <x v="16"/>
      <x/>
      <x v="2"/>
    </i>
    <i>
      <x v="4"/>
      <x v="5"/>
      <x v="5"/>
      <x v="4"/>
      <x v="16"/>
      <x v="4"/>
    </i>
    <i>
      <x v="5"/>
      <x v="5"/>
      <x v="87"/>
      <x v="16"/>
      <x/>
      <x v="4"/>
    </i>
    <i>
      <x v="6"/>
      <x v="6"/>
      <x v="87"/>
      <x v="16"/>
      <x/>
      <x v="1"/>
    </i>
    <i>
      <x v="7"/>
      <x v="8"/>
      <x v="149"/>
      <x v="4"/>
      <x v="29"/>
      <x v="3"/>
    </i>
    <i>
      <x v="8"/>
      <x v="23"/>
      <x v="27"/>
      <x v="15"/>
      <x v="31"/>
      <x/>
    </i>
    <i>
      <x v="9"/>
      <x v="23"/>
      <x v="71"/>
      <x v="16"/>
      <x/>
      <x v="3"/>
    </i>
    <i>
      <x v="10"/>
      <x v="24"/>
      <x v="56"/>
      <x v="4"/>
      <x v="51"/>
      <x v="4"/>
    </i>
    <i>
      <x v="11"/>
      <x v="30"/>
      <x v="141"/>
      <x v="16"/>
      <x/>
      <x v="4"/>
    </i>
    <i>
      <x v="12"/>
      <x v="31"/>
      <x v="142"/>
      <x v="4"/>
      <x v="13"/>
      <x v="4"/>
    </i>
    <i>
      <x v="13"/>
      <x v="33"/>
      <x v="134"/>
      <x v="4"/>
      <x v="16"/>
      <x v="3"/>
    </i>
    <i>
      <x v="14"/>
      <x v="34"/>
      <x v="139"/>
      <x v="4"/>
      <x v="29"/>
      <x v="4"/>
    </i>
    <i>
      <x v="15"/>
      <x v="34"/>
      <x v="89"/>
      <x v="4"/>
      <x v="29"/>
      <x v="3"/>
    </i>
    <i>
      <x v="16"/>
      <x v="35"/>
      <x v="12"/>
      <x v="4"/>
      <x v="39"/>
      <x v="4"/>
    </i>
    <i>
      <x v="17"/>
      <x v="35"/>
      <x v="12"/>
      <x v="4"/>
      <x v="53"/>
      <x v="4"/>
    </i>
    <i>
      <x v="18"/>
      <x v="36"/>
      <x v="84"/>
      <x v="4"/>
      <x v="16"/>
      <x v="1"/>
    </i>
    <i>
      <x v="19"/>
      <x v="37"/>
      <x v="139"/>
      <x v="4"/>
      <x v="41"/>
      <x v="2"/>
    </i>
    <i>
      <x v="20"/>
      <x v="38"/>
      <x v="15"/>
      <x v="16"/>
      <x/>
      <x v="4"/>
    </i>
    <i>
      <x v="21"/>
      <x v="38"/>
      <x v="125"/>
      <x v="16"/>
      <x/>
      <x v="2"/>
    </i>
    <i>
      <x v="22"/>
      <x v="40"/>
      <x v="88"/>
      <x v="15"/>
      <x v="55"/>
      <x v="4"/>
    </i>
    <i>
      <x v="23"/>
      <x v="40"/>
      <x v="145"/>
      <x v="16"/>
      <x/>
      <x v="4"/>
    </i>
    <i>
      <x v="24"/>
      <x v="39"/>
      <x v="91"/>
      <x v="15"/>
      <x v="22"/>
      <x v="3"/>
    </i>
    <i>
      <x v="25"/>
      <x v="39"/>
      <x v="91"/>
      <x v="15"/>
      <x v="55"/>
      <x v="3"/>
    </i>
    <i>
      <x v="26"/>
      <x v="39"/>
      <x v="144"/>
      <x v="16"/>
      <x/>
      <x v="3"/>
    </i>
    <i>
      <x v="27"/>
      <x v="41"/>
      <x v="6"/>
      <x v="4"/>
      <x/>
      <x v="3"/>
    </i>
    <i>
      <x v="28"/>
      <x v="42"/>
      <x v="5"/>
      <x v="4"/>
      <x/>
      <x v="3"/>
    </i>
    <i>
      <x v="29"/>
      <x v="55"/>
      <x v="24"/>
      <x v="16"/>
      <x/>
      <x v="3"/>
    </i>
    <i>
      <x v="30"/>
      <x v="56"/>
      <x v="59"/>
      <x v="16"/>
      <x/>
      <x v="2"/>
    </i>
    <i>
      <x v="31"/>
      <x v="56"/>
      <x v="115"/>
      <x v="16"/>
      <x/>
      <x v="2"/>
    </i>
    <i>
      <x v="32"/>
      <x v="57"/>
      <x v="143"/>
      <x v="4"/>
      <x v="13"/>
      <x v="3"/>
    </i>
    <i>
      <x v="33"/>
      <x v="57"/>
      <x v="10"/>
      <x v="4"/>
      <x v="13"/>
      <x v="4"/>
    </i>
    <i>
      <x v="34"/>
      <x v="58"/>
      <x v="19"/>
      <x v="14"/>
      <x v="48"/>
      <x v="1"/>
    </i>
    <i>
      <x v="35"/>
      <x v="59"/>
      <x v="77"/>
      <x v="15"/>
      <x v="55"/>
      <x v="2"/>
    </i>
    <i>
      <x v="36"/>
      <x v="59"/>
      <x v="87"/>
      <x v="16"/>
      <x/>
      <x/>
    </i>
    <i>
      <x v="37"/>
      <x v="59"/>
      <x v="144"/>
      <x v="16"/>
      <x/>
      <x v="2"/>
    </i>
    <i>
      <x v="38"/>
      <x v="60"/>
      <x v="5"/>
      <x v="4"/>
      <x/>
      <x v="1"/>
    </i>
    <i>
      <x v="39"/>
      <x v="61"/>
      <x v="15"/>
      <x v="16"/>
      <x/>
      <x v="2"/>
    </i>
    <i>
      <x v="40"/>
      <x v="62"/>
      <x v="86"/>
      <x/>
      <x v="33"/>
      <x v="3"/>
    </i>
    <i>
      <x v="41"/>
      <x v="65"/>
      <x v="36"/>
      <x v="4"/>
      <x/>
      <x v="3"/>
    </i>
    <i>
      <x v="42"/>
      <x v="63"/>
      <x v="38"/>
      <x v="4"/>
      <x/>
      <x v="2"/>
    </i>
    <i>
      <x v="43"/>
      <x v="68"/>
      <x v="82"/>
      <x v="8"/>
      <x v="22"/>
      <x/>
    </i>
    <i>
      <x v="44"/>
      <x v="69"/>
      <x v="137"/>
      <x v="1"/>
      <x v="30"/>
      <x/>
    </i>
    <i>
      <x v="45"/>
      <x v="70"/>
      <x v="113"/>
      <x v="4"/>
      <x v="13"/>
      <x v="4"/>
    </i>
    <i>
      <x v="46"/>
      <x v="72"/>
      <x v="50"/>
      <x v="16"/>
      <x/>
      <x v="3"/>
    </i>
    <i>
      <x v="47"/>
      <x v="73"/>
      <x v="125"/>
      <x v="16"/>
      <x/>
      <x v="1"/>
    </i>
    <i>
      <x v="48"/>
      <x v="92"/>
      <x v="54"/>
      <x v="16"/>
      <x/>
      <x v="4"/>
    </i>
    <i>
      <x v="49"/>
      <x v="94"/>
      <x v="18"/>
      <x v="4"/>
      <x v="48"/>
      <x v="3"/>
    </i>
    <i>
      <x v="50"/>
      <x v="95"/>
      <x v="113"/>
      <x v="4"/>
      <x v="13"/>
      <x v="3"/>
    </i>
    <i>
      <x v="51"/>
      <x v="96"/>
      <x v="68"/>
      <x/>
      <x v="33"/>
      <x v="4"/>
    </i>
    <i>
      <x v="52"/>
      <x v="97"/>
      <x v="130"/>
      <x v="4"/>
      <x v="31"/>
      <x v="2"/>
    </i>
    <i>
      <x v="53"/>
      <x v="100"/>
      <x v="140"/>
      <x v="16"/>
      <x/>
      <x v="3"/>
    </i>
    <i>
      <x v="54"/>
      <x v="102"/>
      <x v="29"/>
      <x v="4"/>
      <x v="16"/>
      <x v="2"/>
    </i>
    <i>
      <x v="55"/>
      <x v="113"/>
      <x v="83"/>
      <x v="16"/>
      <x/>
      <x v="2"/>
    </i>
    <i>
      <x v="56"/>
      <x v="114"/>
      <x v="71"/>
      <x v="16"/>
      <x/>
      <x v="3"/>
    </i>
    <i>
      <x v="57"/>
      <x v="142"/>
      <x v="91"/>
      <x v="15"/>
      <x v="55"/>
      <x v="3"/>
    </i>
    <i>
      <x v="58"/>
      <x v="142"/>
      <x v="144"/>
      <x v="16"/>
      <x/>
      <x v="3"/>
    </i>
    <i>
      <x v="59"/>
      <x v="143"/>
      <x v="5"/>
      <x v="4"/>
      <x/>
      <x v="4"/>
    </i>
    <i>
      <x v="60"/>
      <x v="144"/>
      <x v="144"/>
      <x v="4"/>
      <x/>
      <x/>
    </i>
    <i>
      <x v="61"/>
      <x v="145"/>
      <x v="5"/>
      <x v="4"/>
      <x/>
      <x v="3"/>
    </i>
    <i>
      <x v="62"/>
      <x v="147"/>
      <x v="5"/>
      <x v="4"/>
      <x/>
      <x v="2"/>
    </i>
    <i>
      <x v="63"/>
      <x v="148"/>
      <x v="144"/>
      <x v="16"/>
      <x/>
      <x v="3"/>
    </i>
    <i>
      <x v="64"/>
      <x v="155"/>
      <x v="146"/>
      <x v="4"/>
      <x/>
      <x v="1"/>
    </i>
    <i>
      <x v="65"/>
      <x v="158"/>
      <x v="76"/>
      <x v="4"/>
      <x v="18"/>
      <x v="4"/>
    </i>
    <i>
      <x v="66"/>
      <x v="157"/>
      <x v="95"/>
      <x v="14"/>
      <x v="48"/>
      <x v="4"/>
    </i>
    <i>
      <x v="67"/>
      <x v="156"/>
      <x v="144"/>
      <x v="16"/>
      <x/>
      <x v="2"/>
    </i>
    <i>
      <x v="68"/>
      <x v="161"/>
      <x v="144"/>
      <x v="16"/>
      <x/>
      <x v="2"/>
    </i>
    <i>
      <x v="69"/>
      <x v="163"/>
      <x v="152"/>
      <x v="4"/>
      <x v="46"/>
      <x v="2"/>
    </i>
    <i>
      <x v="70"/>
      <x v="162"/>
      <x v="104"/>
      <x v="16"/>
      <x/>
      <x v="2"/>
    </i>
    <i>
      <x v="71"/>
      <x v="166"/>
      <x v="141"/>
      <x v="16"/>
      <x/>
      <x v="2"/>
    </i>
    <i>
      <x v="72"/>
      <x v="166"/>
      <x v="50"/>
      <x v="16"/>
      <x/>
      <x v="2"/>
    </i>
    <i>
      <x v="73"/>
      <x v="167"/>
      <x v="18"/>
      <x v="4"/>
      <x v="13"/>
      <x v="2"/>
    </i>
    <i>
      <x v="74"/>
      <x v="167"/>
      <x v="51"/>
      <x v="5"/>
      <x v="22"/>
      <x v="3"/>
    </i>
    <i>
      <x v="75"/>
      <x v="167"/>
      <x v="111"/>
      <x v="16"/>
      <x/>
      <x v="4"/>
    </i>
    <i>
      <x v="76"/>
      <x v="168"/>
      <x v="110"/>
      <x v="14"/>
      <x v="22"/>
      <x v="2"/>
    </i>
    <i>
      <x v="77"/>
      <x v="170"/>
      <x v="139"/>
      <x v="4"/>
      <x v="16"/>
      <x v="3"/>
    </i>
    <i>
      <x v="78"/>
      <x v="171"/>
      <x v="9"/>
      <x v="14"/>
      <x v="31"/>
      <x v="3"/>
    </i>
    <i>
      <x v="79"/>
      <x v="171"/>
      <x v="8"/>
      <x v="1"/>
      <x v="30"/>
      <x v="3"/>
    </i>
    <i>
      <x v="80"/>
      <x v="171"/>
      <x v="144"/>
      <x v="9"/>
      <x/>
      <x v="3"/>
    </i>
    <i>
      <x v="81"/>
      <x v="172"/>
      <x v="103"/>
      <x v="4"/>
      <x v="29"/>
      <x v="1"/>
    </i>
    <i>
      <x v="82"/>
      <x v="491"/>
      <x/>
      <x v="4"/>
      <x v="11"/>
      <x v="3"/>
    </i>
    <i>
      <x v="83"/>
      <x v="180"/>
      <x v="71"/>
      <x v="16"/>
      <x/>
      <x v="1"/>
    </i>
    <i>
      <x v="84"/>
      <x v="182"/>
      <x v="112"/>
      <x v="4"/>
      <x v="29"/>
      <x v="4"/>
    </i>
    <i>
      <x v="85"/>
      <x v="181"/>
      <x v="140"/>
      <x v="16"/>
      <x/>
      <x v="4"/>
    </i>
    <i>
      <x v="86"/>
      <x v="184"/>
      <x v="31"/>
      <x v="4"/>
      <x v="29"/>
      <x v="1"/>
    </i>
    <i>
      <x v="87"/>
      <x v="185"/>
      <x v="41"/>
      <x v="5"/>
      <x v="22"/>
      <x v="3"/>
    </i>
    <i>
      <x v="88"/>
      <x v="187"/>
      <x v="129"/>
      <x v="4"/>
      <x v="29"/>
      <x v="2"/>
    </i>
    <i>
      <x v="89"/>
      <x v="187"/>
      <x v="15"/>
      <x v="16"/>
      <x/>
      <x v="2"/>
    </i>
    <i>
      <x v="90"/>
      <x v="188"/>
      <x v="84"/>
      <x v="4"/>
      <x v="41"/>
      <x v="2"/>
    </i>
    <i>
      <x v="91"/>
      <x v="189"/>
      <x v="91"/>
      <x v="15"/>
      <x v="55"/>
      <x v="3"/>
    </i>
    <i>
      <x v="92"/>
      <x v="189"/>
      <x v="144"/>
      <x v="16"/>
      <x/>
      <x v="3"/>
    </i>
    <i>
      <x v="93"/>
      <x v="190"/>
      <x v="85"/>
      <x v="16"/>
      <x/>
      <x v="1"/>
    </i>
    <i>
      <x v="94"/>
      <x v="191"/>
      <x v="134"/>
      <x v="4"/>
      <x v="48"/>
      <x v="2"/>
    </i>
    <i>
      <x v="95"/>
      <x v="191"/>
      <x v="134"/>
      <x v="16"/>
      <x/>
      <x v="4"/>
    </i>
    <i>
      <x v="96"/>
      <x v="479"/>
      <x v="162"/>
      <x v="15"/>
      <x v="26"/>
      <x v="4"/>
    </i>
    <i>
      <x v="97"/>
      <x v="192"/>
      <x v="125"/>
      <x v="16"/>
      <x/>
      <x v="4"/>
    </i>
    <i>
      <x v="98"/>
      <x v="195"/>
      <x v="90"/>
      <x v="4"/>
      <x v="31"/>
      <x v="3"/>
    </i>
    <i>
      <x v="99"/>
      <x v="197"/>
      <x v="117"/>
      <x v="4"/>
      <x v="48"/>
      <x v="3"/>
    </i>
    <i>
      <x v="100"/>
      <x v="198"/>
      <x v="24"/>
      <x v="16"/>
      <x/>
      <x v="3"/>
    </i>
    <i>
      <x v="101"/>
      <x v="204"/>
      <x v="15"/>
      <x v="16"/>
      <x/>
      <x v="4"/>
    </i>
    <i>
      <x v="102"/>
      <x v="204"/>
      <x v="59"/>
      <x v="16"/>
      <x/>
      <x v="2"/>
    </i>
    <i>
      <x v="103"/>
      <x v="205"/>
      <x v="116"/>
      <x v="4"/>
      <x v="5"/>
      <x v="3"/>
    </i>
    <i>
      <x v="104"/>
      <x v="205"/>
      <x v="151"/>
      <x v="4"/>
      <x v="7"/>
      <x v="3"/>
    </i>
    <i>
      <x v="105"/>
      <x v="207"/>
      <x v="10"/>
      <x v="4"/>
      <x v="13"/>
      <x v="3"/>
    </i>
    <i>
      <x v="106"/>
      <x v="208"/>
      <x v="80"/>
      <x v="4"/>
      <x v="13"/>
      <x v="4"/>
    </i>
    <i>
      <x v="107"/>
      <x v="215"/>
      <x v="70"/>
      <x v="4"/>
      <x v="13"/>
      <x/>
    </i>
    <i>
      <x v="108"/>
      <x v="216"/>
      <x v="91"/>
      <x v="15"/>
      <x v="22"/>
      <x v="1"/>
    </i>
    <i>
      <x v="109"/>
      <x v="217"/>
      <x v="91"/>
      <x v="15"/>
      <x v="55"/>
      <x v="2"/>
    </i>
    <i>
      <x v="110"/>
      <x v="217"/>
      <x v="144"/>
      <x v="16"/>
      <x/>
      <x v="4"/>
    </i>
    <i>
      <x v="111"/>
      <x v="218"/>
      <x v="64"/>
      <x v="4"/>
      <x v="13"/>
      <x v="4"/>
    </i>
    <i>
      <x v="112"/>
      <x v="218"/>
      <x v="15"/>
      <x v="16"/>
      <x/>
      <x v="3"/>
    </i>
    <i>
      <x v="113"/>
      <x v="223"/>
      <x v="83"/>
      <x v="16"/>
      <x/>
      <x v="2"/>
    </i>
    <i>
      <x v="114"/>
      <x v="225"/>
      <x v="126"/>
      <x v="4"/>
      <x v="6"/>
      <x v="2"/>
    </i>
    <i>
      <x v="115"/>
      <x v="226"/>
      <x v="26"/>
      <x v="1"/>
      <x v="25"/>
      <x v="2"/>
    </i>
    <i>
      <x v="116"/>
      <x v="227"/>
      <x v="120"/>
      <x v="16"/>
      <x/>
      <x v="2"/>
    </i>
    <i>
      <x v="117"/>
      <x v="228"/>
      <x v="18"/>
      <x v="4"/>
      <x v="13"/>
      <x v="4"/>
    </i>
    <i>
      <x v="118"/>
      <x v="230"/>
      <x v="153"/>
      <x v="17"/>
      <x/>
      <x v="2"/>
    </i>
    <i>
      <x v="119"/>
      <x v="233"/>
      <x v="84"/>
      <x v="14"/>
      <x v="26"/>
      <x/>
    </i>
    <i>
      <x v="120"/>
      <x v="234"/>
      <x v="147"/>
      <x v="4"/>
      <x v="29"/>
      <x v="4"/>
    </i>
    <i>
      <x v="121"/>
      <x v="234"/>
      <x v="39"/>
      <x v="15"/>
      <x v="22"/>
      <x v="3"/>
    </i>
    <i>
      <x v="122"/>
      <x v="234"/>
      <x v="24"/>
      <x v="16"/>
      <x/>
      <x v="4"/>
    </i>
    <i>
      <x v="123"/>
      <x v="236"/>
      <x v="28"/>
      <x v="4"/>
      <x v="29"/>
      <x v="2"/>
    </i>
    <i>
      <x v="124"/>
      <x v="235"/>
      <x v="24"/>
      <x v="16"/>
      <x/>
      <x v="3"/>
    </i>
    <i>
      <x v="125"/>
      <x v="237"/>
      <x v="132"/>
      <x v="4"/>
      <x v="16"/>
      <x v="3"/>
    </i>
    <i>
      <x v="126"/>
      <x v="4"/>
      <x v="119"/>
      <x v="16"/>
      <x/>
      <x v="3"/>
    </i>
    <i>
      <x v="127"/>
      <x v="519"/>
      <x v="163"/>
      <x v="16"/>
      <x/>
      <x v="2"/>
    </i>
    <i>
      <x v="128"/>
      <x v="238"/>
      <x v="156"/>
      <x v="5"/>
      <x v="28"/>
      <x v="4"/>
    </i>
    <i>
      <x v="129"/>
      <x v="521"/>
      <x v="105"/>
      <x v="16"/>
      <x/>
      <x v="3"/>
    </i>
    <i>
      <x v="130"/>
      <x v="242"/>
      <x v="18"/>
      <x v="4"/>
      <x v="13"/>
      <x v="3"/>
    </i>
    <i>
      <x v="131"/>
      <x v="243"/>
      <x v="52"/>
      <x v="4"/>
      <x v="51"/>
      <x/>
    </i>
    <i>
      <x v="132"/>
      <x v="243"/>
      <x v="52"/>
      <x v="4"/>
      <x v="18"/>
      <x v="1"/>
    </i>
    <i>
      <x v="133"/>
      <x v="243"/>
      <x v="42"/>
      <x v="16"/>
      <x/>
      <x v="4"/>
    </i>
    <i>
      <x v="134"/>
      <x v="244"/>
      <x v="23"/>
      <x v="4"/>
      <x v="48"/>
      <x v="3"/>
    </i>
    <i>
      <x v="135"/>
      <x v="245"/>
      <x v="59"/>
      <x v="16"/>
      <x/>
      <x v="2"/>
    </i>
    <i>
      <x v="136"/>
      <x v="254"/>
      <x v="138"/>
      <x v="15"/>
      <x v="22"/>
      <x v="4"/>
    </i>
    <i>
      <x v="137"/>
      <x v="254"/>
      <x v="24"/>
      <x v="16"/>
      <x/>
      <x/>
    </i>
    <i>
      <x v="138"/>
      <x v="255"/>
      <x v="18"/>
      <x v="4"/>
      <x v="29"/>
      <x v="3"/>
    </i>
    <i>
      <x v="139"/>
      <x v="255"/>
      <x v="115"/>
      <x v="16"/>
      <x/>
      <x v="3"/>
    </i>
    <i>
      <x v="140"/>
      <x v="256"/>
      <x v="104"/>
      <x v="16"/>
      <x/>
      <x v="2"/>
    </i>
    <i>
      <x v="141"/>
      <x v="257"/>
      <x v="144"/>
      <x v="4"/>
      <x/>
      <x/>
    </i>
    <i>
      <x v="142"/>
      <x v="262"/>
      <x v="152"/>
      <x v="16"/>
      <x/>
      <x v="3"/>
    </i>
    <i>
      <x v="143"/>
      <x v="263"/>
      <x v="162"/>
      <x v="4"/>
      <x v="29"/>
      <x v="3"/>
    </i>
    <i>
      <x v="144"/>
      <x v="263"/>
      <x v="117"/>
      <x v="4"/>
      <x v="29"/>
      <x v="2"/>
    </i>
    <i>
      <x v="145"/>
      <x v="264"/>
      <x v="125"/>
      <x v="16"/>
      <x/>
      <x v="2"/>
    </i>
    <i>
      <x v="146"/>
      <x v="186"/>
      <x v="14"/>
      <x v="4"/>
      <x v="11"/>
      <x v="4"/>
    </i>
    <i>
      <x v="147"/>
      <x v="186"/>
      <x v="108"/>
      <x v="4"/>
      <x v="31"/>
      <x v="4"/>
    </i>
    <i>
      <x v="148"/>
      <x v="186"/>
      <x v="124"/>
      <x v="4"/>
      <x v="18"/>
      <x v="3"/>
    </i>
    <i>
      <x v="149"/>
      <x v="186"/>
      <x v="124"/>
      <x v="4"/>
      <x v="11"/>
      <x v="2"/>
    </i>
    <i>
      <x v="150"/>
      <x v="186"/>
      <x v="133"/>
      <x v="4"/>
      <x v="11"/>
      <x v="4"/>
    </i>
    <i>
      <x v="151"/>
      <x v="281"/>
      <x v="129"/>
      <x v="4"/>
      <x v="13"/>
      <x v="3"/>
    </i>
    <i>
      <x v="152"/>
      <x v="281"/>
      <x v="52"/>
      <x v="14"/>
      <x v="31"/>
      <x v="3"/>
    </i>
    <i>
      <x v="153"/>
      <x v="281"/>
      <x v="15"/>
      <x v="16"/>
      <x/>
      <x v="3"/>
    </i>
    <i>
      <x v="154"/>
      <x v="281"/>
      <x v="125"/>
      <x v="16"/>
      <x/>
      <x v="1"/>
    </i>
    <i>
      <x v="155"/>
      <x v="282"/>
      <x v="92"/>
      <x v="4"/>
      <x v="48"/>
      <x v="3"/>
    </i>
    <i>
      <x v="156"/>
      <x v="283"/>
      <x v="83"/>
      <x v="16"/>
      <x/>
      <x/>
    </i>
    <i>
      <x v="157"/>
      <x v="284"/>
      <x v="8"/>
      <x v="1"/>
      <x v="30"/>
      <x v="2"/>
    </i>
    <i>
      <x v="158"/>
      <x v="520"/>
      <x v="122"/>
      <x v="16"/>
      <x/>
      <x v="1"/>
    </i>
    <i>
      <x v="159"/>
      <x v="286"/>
      <x v="10"/>
      <x v="4"/>
      <x v="13"/>
      <x v="3"/>
    </i>
    <i>
      <x v="160"/>
      <x v="289"/>
      <x v="94"/>
      <x v="14"/>
      <x v="26"/>
      <x/>
    </i>
    <i>
      <x v="161"/>
      <x v="292"/>
      <x v="27"/>
      <x v="15"/>
      <x v="55"/>
      <x v="3"/>
    </i>
    <i>
      <x v="162"/>
      <x v="292"/>
      <x v="120"/>
      <x v="16"/>
      <x/>
      <x v="4"/>
    </i>
    <i>
      <x v="163"/>
      <x v="293"/>
      <x v="107"/>
      <x v="4"/>
      <x v="29"/>
      <x v="3"/>
    </i>
    <i>
      <x v="164"/>
      <x v="297"/>
      <x v="33"/>
      <x v="4"/>
      <x v="16"/>
      <x v="2"/>
    </i>
    <i>
      <x v="165"/>
      <x v="299"/>
      <x v="168"/>
      <x v="4"/>
      <x v="51"/>
      <x v="4"/>
    </i>
    <i>
      <x v="166"/>
      <x v="300"/>
      <x v="24"/>
      <x v="16"/>
      <x/>
      <x v="3"/>
    </i>
    <i>
      <x v="167"/>
      <x v="301"/>
      <x v="24"/>
      <x v="16"/>
      <x/>
      <x v="2"/>
    </i>
    <i>
      <x v="168"/>
      <x v="317"/>
      <x v="139"/>
      <x v="4"/>
      <x v="16"/>
      <x v="3"/>
    </i>
    <i>
      <x v="169"/>
      <x v="324"/>
      <x v="98"/>
      <x v="14"/>
      <x v="28"/>
      <x v="2"/>
    </i>
    <i>
      <x v="170"/>
      <x v="325"/>
      <x v="16"/>
      <x v="14"/>
      <x v="36"/>
      <x v="4"/>
    </i>
    <i>
      <x v="171"/>
      <x v="325"/>
      <x v="138"/>
      <x v="14"/>
      <x v="36"/>
      <x v="3"/>
    </i>
    <i>
      <x v="172"/>
      <x v="325"/>
      <x v="42"/>
      <x v="16"/>
      <x/>
      <x v="1"/>
    </i>
    <i>
      <x v="173"/>
      <x v="326"/>
      <x v="67"/>
      <x v="4"/>
      <x v="29"/>
      <x v="3"/>
    </i>
    <i>
      <x v="174"/>
      <x v="331"/>
      <x v="100"/>
      <x v="4"/>
      <x/>
      <x v="2"/>
    </i>
    <i>
      <x v="175"/>
      <x v="333"/>
      <x v="144"/>
      <x v="16"/>
      <x/>
      <x v="3"/>
    </i>
    <i>
      <x v="176"/>
      <x v="335"/>
      <x v="21"/>
      <x v="16"/>
      <x/>
      <x v="4"/>
    </i>
    <i>
      <x v="177"/>
      <x v="339"/>
      <x v="49"/>
      <x v="4"/>
      <x v="31"/>
      <x v="4"/>
    </i>
    <i>
      <x v="178"/>
      <x v="337"/>
      <x v="60"/>
      <x v="4"/>
      <x v="31"/>
      <x v="4"/>
    </i>
    <i>
      <x v="179"/>
      <x v="336"/>
      <x v="46"/>
      <x v="3"/>
      <x v="15"/>
      <x/>
    </i>
    <i>
      <x v="180"/>
      <x v="342"/>
      <x v="52"/>
      <x v="4"/>
      <x v="45"/>
      <x v="3"/>
    </i>
    <i>
      <x v="181"/>
      <x v="348"/>
      <x v="128"/>
      <x v="5"/>
      <x v="55"/>
      <x v="3"/>
    </i>
    <i>
      <x v="182"/>
      <x v="348"/>
      <x v="15"/>
      <x v="16"/>
      <x/>
      <x v="3"/>
    </i>
    <i>
      <x v="183"/>
      <x v="349"/>
      <x v="134"/>
      <x v="16"/>
      <x/>
      <x/>
    </i>
    <i>
      <x v="184"/>
      <x v="350"/>
      <x v="78"/>
      <x v="4"/>
      <x v="16"/>
      <x v="2"/>
    </i>
    <i>
      <x v="185"/>
      <x v="359"/>
      <x v="58"/>
      <x v="4"/>
      <x v="11"/>
      <x v="3"/>
    </i>
    <i>
      <x v="186"/>
      <x v="372"/>
      <x v="27"/>
      <x v="15"/>
      <x v="44"/>
      <x v="4"/>
    </i>
    <i>
      <x v="187"/>
      <x v="372"/>
      <x v="24"/>
      <x v="16"/>
      <x/>
      <x v="4"/>
    </i>
    <i>
      <x v="188"/>
      <x v="376"/>
      <x v="45"/>
      <x v="4"/>
      <x v="13"/>
      <x v="4"/>
    </i>
    <i>
      <x v="189"/>
      <x v="376"/>
      <x v="125"/>
      <x v="16"/>
      <x/>
      <x v="3"/>
    </i>
    <i>
      <x v="190"/>
      <x v="377"/>
      <x v="157"/>
      <x v="4"/>
      <x/>
      <x v="1"/>
    </i>
    <i>
      <x v="191"/>
      <x v="378"/>
      <x v="144"/>
      <x v="4"/>
      <x/>
      <x v="3"/>
    </i>
    <i>
      <x v="192"/>
      <x v="379"/>
      <x v="5"/>
      <x v="4"/>
      <x v="29"/>
      <x v="2"/>
    </i>
    <i>
      <x v="193"/>
      <x v="380"/>
      <x v="164"/>
      <x v="16"/>
      <x/>
      <x v="3"/>
    </i>
    <i>
      <x v="194"/>
      <x v="381"/>
      <x v="87"/>
      <x v="16"/>
      <x/>
      <x v="2"/>
    </i>
    <i>
      <x v="195"/>
      <x v="383"/>
      <x v="144"/>
      <x v="4"/>
      <x v="46"/>
      <x v="3"/>
    </i>
    <i>
      <x v="196"/>
      <x v="384"/>
      <x v="129"/>
      <x v="4"/>
      <x v="29"/>
      <x v="4"/>
    </i>
    <i>
      <x v="197"/>
      <x v="384"/>
      <x v="15"/>
      <x v="16"/>
      <x/>
      <x v="4"/>
    </i>
    <i>
      <x v="198"/>
      <x v="385"/>
      <x v="134"/>
      <x v="4"/>
      <x v="29"/>
      <x v="2"/>
    </i>
    <i>
      <x v="199"/>
      <x v="386"/>
      <x v="144"/>
      <x v="4"/>
      <x v="18"/>
      <x v="3"/>
    </i>
    <i>
      <x v="200"/>
      <x v="386"/>
      <x v="91"/>
      <x v="15"/>
      <x v="22"/>
      <x v="2"/>
    </i>
    <i>
      <x v="201"/>
      <x v="386"/>
      <x v="144"/>
      <x v="16"/>
      <x/>
      <x v="2"/>
    </i>
    <i>
      <x v="202"/>
      <x v="387"/>
      <x v="25"/>
      <x v="9"/>
      <x/>
      <x v="3"/>
    </i>
    <i>
      <x v="203"/>
      <x v="389"/>
      <x v="125"/>
      <x v="4"/>
      <x v="48"/>
      <x v="3"/>
    </i>
    <i>
      <x v="204"/>
      <x v="390"/>
      <x v="17"/>
      <x v="4"/>
      <x v="16"/>
      <x v="1"/>
    </i>
    <i>
      <x v="205"/>
      <x v="392"/>
      <x v="102"/>
      <x v="16"/>
      <x/>
      <x v="1"/>
    </i>
    <i>
      <x v="206"/>
      <x v="393"/>
      <x v="66"/>
      <x v="16"/>
      <x/>
      <x v="3"/>
    </i>
    <i>
      <x v="207"/>
      <x v="394"/>
      <x v="15"/>
      <x v="4"/>
      <x v="13"/>
      <x v="2"/>
    </i>
    <i>
      <x v="208"/>
      <x v="396"/>
      <x v="47"/>
      <x v="1"/>
      <x v="25"/>
      <x/>
    </i>
    <i>
      <x v="209"/>
      <x v="397"/>
      <x v="144"/>
      <x v="16"/>
      <x/>
      <x v="2"/>
    </i>
    <i>
      <x v="210"/>
      <x v="398"/>
      <x v="142"/>
      <x v="4"/>
      <x v="13"/>
      <x v="2"/>
    </i>
    <i>
      <x v="211"/>
      <x v="400"/>
      <x v="15"/>
      <x v="16"/>
      <x/>
      <x v="4"/>
    </i>
    <i>
      <x v="212"/>
      <x v="401"/>
      <x v="102"/>
      <x v="16"/>
      <x/>
      <x v="4"/>
    </i>
    <i>
      <x v="213"/>
      <x v="402"/>
      <x v="35"/>
      <x v="15"/>
      <x v="21"/>
      <x v="2"/>
    </i>
    <i>
      <x v="214"/>
      <x v="403"/>
      <x v="24"/>
      <x v="16"/>
      <x/>
      <x v="4"/>
    </i>
    <i>
      <x v="215"/>
      <x v="404"/>
      <x v="129"/>
      <x v="4"/>
      <x v="48"/>
      <x/>
    </i>
    <i>
      <x v="216"/>
      <x v="405"/>
      <x v="10"/>
      <x v="4"/>
      <x v="46"/>
      <x v="3"/>
    </i>
    <i>
      <x v="217"/>
      <x v="410"/>
      <x v="115"/>
      <x v="4"/>
      <x/>
      <x v="2"/>
    </i>
    <i>
      <x v="218"/>
      <x v="412"/>
      <x v="52"/>
      <x v="4"/>
      <x v="46"/>
      <x v="2"/>
    </i>
    <i>
      <x v="219"/>
      <x v="413"/>
      <x v="103"/>
      <x v="4"/>
      <x v="29"/>
      <x v="3"/>
    </i>
    <i>
      <x v="220"/>
      <x v="413"/>
      <x v="24"/>
      <x v="16"/>
      <x/>
      <x/>
    </i>
    <i>
      <x v="221"/>
      <x v="414"/>
      <x v="155"/>
      <x v="16"/>
      <x/>
      <x/>
    </i>
    <i>
      <x v="222"/>
      <x v="415"/>
      <x v="5"/>
      <x v="4"/>
      <x/>
      <x v="2"/>
    </i>
    <i>
      <x v="223"/>
      <x v="415"/>
      <x v="144"/>
      <x v="4"/>
      <x/>
      <x v="2"/>
    </i>
    <i>
      <x v="224"/>
      <x v="418"/>
      <x v="20"/>
      <x v="4"/>
      <x v="13"/>
      <x v="4"/>
    </i>
    <i>
      <x v="225"/>
      <x v="428"/>
      <x v="28"/>
      <x v="14"/>
      <x v="16"/>
      <x v="4"/>
    </i>
    <i>
      <x v="226"/>
      <x v="428"/>
      <x v="37"/>
      <x v="5"/>
      <x v="55"/>
      <x v="2"/>
    </i>
    <i>
      <x v="227"/>
      <x v="428"/>
      <x v="144"/>
      <x v="16"/>
      <x/>
      <x v="4"/>
    </i>
    <i>
      <x v="228"/>
      <x v="431"/>
      <x v="139"/>
      <x v="4"/>
      <x v="29"/>
      <x v="2"/>
    </i>
    <i>
      <x v="229"/>
      <x v="432"/>
      <x v="109"/>
      <x v="4"/>
      <x/>
      <x v="2"/>
    </i>
    <i>
      <x v="230"/>
      <x v="433"/>
      <x v="144"/>
      <x v="16"/>
      <x/>
      <x v="4"/>
    </i>
    <i>
      <x v="231"/>
      <x v="434"/>
      <x v="134"/>
      <x v="16"/>
      <x/>
      <x v="3"/>
    </i>
    <i>
      <x v="232"/>
      <x v="437"/>
      <x v="99"/>
      <x v="4"/>
      <x v="53"/>
      <x v="4"/>
    </i>
    <i>
      <x v="233"/>
      <x v="395"/>
      <x/>
      <x v="4"/>
      <x v="48"/>
      <x v="4"/>
    </i>
    <i>
      <x v="234"/>
      <x v="439"/>
      <x v="57"/>
      <x v="4"/>
      <x v="16"/>
      <x v="2"/>
    </i>
    <i>
      <x v="235"/>
      <x v="441"/>
      <x v="128"/>
      <x v="5"/>
      <x v="22"/>
      <x v="4"/>
    </i>
    <i>
      <x v="236"/>
      <x v="441"/>
      <x v="59"/>
      <x v="16"/>
      <x/>
      <x v="3"/>
    </i>
    <i>
      <x v="237"/>
      <x v="441"/>
      <x v="125"/>
      <x v="16"/>
      <x/>
      <x v="2"/>
    </i>
    <i>
      <x v="238"/>
      <x v="441"/>
      <x v="134"/>
      <x v="16"/>
      <x/>
      <x v="3"/>
    </i>
    <i>
      <x v="239"/>
      <x v="489"/>
      <x/>
      <x v="14"/>
      <x v="11"/>
      <x v="2"/>
    </i>
    <i>
      <x v="240"/>
      <x v="444"/>
      <x v="19"/>
      <x v="4"/>
      <x v="31"/>
      <x v="3"/>
    </i>
    <i>
      <x v="241"/>
      <x v="445"/>
      <x v="115"/>
      <x v="16"/>
      <x/>
      <x v="3"/>
    </i>
    <i>
      <x v="242"/>
      <x v="457"/>
      <x v="24"/>
      <x v="16"/>
      <x/>
      <x v="1"/>
    </i>
    <i>
      <x v="243"/>
      <x v="457"/>
      <x v="71"/>
      <x v="16"/>
      <x/>
      <x v="2"/>
    </i>
    <i>
      <x v="244"/>
      <x v="459"/>
      <x v="84"/>
      <x v="4"/>
      <x v="29"/>
      <x v="3"/>
    </i>
    <i>
      <x v="245"/>
      <x v="459"/>
      <x v="42"/>
      <x v="16"/>
      <x/>
      <x/>
    </i>
    <i>
      <x v="246"/>
      <x v="459"/>
      <x v="104"/>
      <x v="16"/>
      <x/>
      <x/>
    </i>
    <i>
      <x v="247"/>
      <x v="463"/>
      <x v="104"/>
      <x v="16"/>
      <x/>
      <x/>
    </i>
    <i>
      <x v="248"/>
      <x v="464"/>
      <x v="50"/>
      <x v="16"/>
      <x/>
      <x v="2"/>
    </i>
    <i>
      <x v="249"/>
      <x v="465"/>
      <x v="22"/>
      <x/>
      <x v="33"/>
      <x v="2"/>
    </i>
    <i>
      <x v="250"/>
      <x v="468"/>
      <x v="134"/>
      <x v="16"/>
      <x/>
      <x v="3"/>
    </i>
    <i>
      <x v="251"/>
      <x v="478"/>
      <x v="30"/>
      <x v="14"/>
      <x v="39"/>
      <x v="4"/>
    </i>
    <i>
      <x v="252"/>
      <x v="480"/>
      <x v="59"/>
      <x v="16"/>
      <x/>
      <x v="2"/>
    </i>
    <i>
      <x v="253"/>
      <x v="485"/>
      <x v="159"/>
      <x v="4"/>
      <x v="31"/>
      <x v="4"/>
    </i>
    <i>
      <x v="254"/>
      <x v="486"/>
      <x v="165"/>
      <x v="4"/>
      <x v="18"/>
      <x v="4"/>
    </i>
    <i>
      <x v="255"/>
      <x v="486"/>
      <x v="165"/>
      <x v="4"/>
      <x v="11"/>
      <x v="4"/>
    </i>
    <i>
      <x v="256"/>
      <x v="486"/>
      <x v="165"/>
      <x v="4"/>
      <x v="39"/>
      <x v="4"/>
    </i>
    <i>
      <x v="257"/>
      <x v="486"/>
      <x v="165"/>
      <x v="4"/>
      <x v="53"/>
      <x v="3"/>
    </i>
    <i>
      <x v="258"/>
      <x v="486"/>
      <x v="58"/>
      <x v="4"/>
      <x v="31"/>
      <x v="2"/>
    </i>
    <i>
      <x v="259"/>
      <x v="487"/>
      <x v="148"/>
      <x v="14"/>
      <x v="23"/>
      <x/>
    </i>
    <i>
      <x v="260"/>
      <x v="490"/>
      <x/>
      <x v="4"/>
      <x/>
      <x v="1"/>
    </i>
    <i>
      <x v="261"/>
      <x v="518"/>
      <x v="7"/>
      <x v="1"/>
      <x v="50"/>
      <x v="2"/>
    </i>
    <i>
      <x v="262"/>
      <x v="519"/>
      <x v="161"/>
      <x v="4"/>
      <x v="48"/>
      <x v="1"/>
    </i>
    <i>
      <x v="263"/>
      <x v="519"/>
      <x v="73"/>
      <x v="15"/>
      <x v="55"/>
      <x v="4"/>
    </i>
    <i>
      <x v="264"/>
      <x v="552"/>
      <x v="24"/>
      <x v="16"/>
      <x/>
      <x v="3"/>
    </i>
    <i>
      <x v="265"/>
      <x v="554"/>
      <x v="5"/>
      <x v="4"/>
      <x/>
      <x/>
    </i>
    <i>
      <x v="266"/>
      <x v="556"/>
      <x v="139"/>
      <x v="4"/>
      <x v="13"/>
      <x v="2"/>
    </i>
    <i>
      <x v="267"/>
      <x v="556"/>
      <x v="134"/>
      <x v="16"/>
      <x/>
      <x v="3"/>
    </i>
    <i>
      <x v="268"/>
      <x v="557"/>
      <x v="19"/>
      <x v="14"/>
      <x v="26"/>
      <x v="2"/>
    </i>
    <i>
      <x v="269"/>
      <x v="577"/>
      <x v="144"/>
      <x v="16"/>
      <x/>
      <x v="4"/>
    </i>
    <i>
      <x v="270"/>
      <x v="578"/>
      <x v="144"/>
      <x v="4"/>
      <x/>
      <x v="3"/>
    </i>
    <i>
      <x v="271"/>
      <x v="582"/>
      <x v="160"/>
      <x v="16"/>
      <x/>
      <x v="3"/>
    </i>
    <i>
      <x v="272"/>
      <x v="583"/>
      <x v="125"/>
      <x v="16"/>
      <x/>
      <x v="2"/>
    </i>
    <i>
      <x v="273"/>
      <x v="584"/>
      <x v="13"/>
      <x v="14"/>
      <x v="22"/>
      <x v="3"/>
    </i>
    <i>
      <x v="274"/>
      <x v="585"/>
      <x v="18"/>
      <x v="4"/>
      <x v="31"/>
      <x/>
    </i>
    <i>
      <x v="275"/>
      <x v="585"/>
      <x v="138"/>
      <x v="5"/>
      <x v="36"/>
      <x v="2"/>
    </i>
    <i>
      <x v="276"/>
      <x v="585"/>
      <x v="104"/>
      <x v="16"/>
      <x/>
      <x v="3"/>
    </i>
    <i>
      <x v="277"/>
      <x v="586"/>
      <x v="15"/>
      <x v="16"/>
      <x/>
      <x v="4"/>
    </i>
    <i>
      <x v="278"/>
      <x v="12"/>
      <x/>
      <x v="4"/>
      <x v="11"/>
      <x v="2"/>
    </i>
    <i>
      <x v="281"/>
      <x v="343"/>
      <x v="56"/>
      <x v="4"/>
      <x v="53"/>
      <x v="2"/>
    </i>
    <i>
      <x v="282"/>
      <x v="407"/>
      <x v="69"/>
      <x v="4"/>
      <x/>
      <x v="1"/>
    </i>
    <i>
      <x v="283"/>
      <x v="416"/>
      <x v="167"/>
      <x v="2"/>
      <x v="62"/>
      <x/>
    </i>
    <i>
      <x v="287"/>
      <x v="25"/>
      <x v="154"/>
      <x v="14"/>
      <x v="11"/>
      <x v="2"/>
    </i>
    <i>
      <x v="343"/>
      <x v="430"/>
      <x v="93"/>
      <x v="14"/>
      <x v="11"/>
      <x v="3"/>
    </i>
    <i>
      <x v="356"/>
      <x v="579"/>
      <x v="65"/>
      <x v="4"/>
      <x v="13"/>
      <x v="2"/>
    </i>
    <i>
      <x v="357"/>
      <x v="199"/>
      <x v="152"/>
      <x v="16"/>
      <x/>
      <x/>
    </i>
    <i>
      <x v="358"/>
      <x v="399"/>
      <x v="138"/>
      <x v="15"/>
      <x v="18"/>
      <x v="4"/>
    </i>
    <i>
      <x v="359"/>
      <x v="550"/>
      <x v="104"/>
      <x v="16"/>
      <x/>
      <x v="3"/>
    </i>
    <i>
      <x v="360"/>
      <x v="577"/>
      <x v="91"/>
      <x v="5"/>
      <x v="22"/>
      <x v="2"/>
    </i>
    <i>
      <x v="361"/>
      <x v="64"/>
      <x v="81"/>
      <x v="4"/>
      <x/>
      <x v="2"/>
    </i>
    <i>
      <x v="362"/>
      <x v="440"/>
      <x v="40"/>
      <x v="4"/>
      <x v="31"/>
      <x/>
    </i>
    <i>
      <x v="363"/>
      <x v="302"/>
      <x v="150"/>
      <x v="14"/>
      <x v="48"/>
      <x v="3"/>
    </i>
    <i>
      <x v="364"/>
      <x v="32"/>
      <x v="118"/>
      <x v="15"/>
      <x v="27"/>
      <x v="4"/>
    </i>
    <i>
      <x v="365"/>
      <x v="229"/>
      <x v="101"/>
      <x v="16"/>
      <x v="34"/>
      <x/>
    </i>
    <i>
      <x v="366"/>
      <x v="146"/>
      <x v="5"/>
      <x v="4"/>
      <x/>
      <x v="3"/>
    </i>
    <i>
      <x v="367"/>
      <x v="71"/>
      <x v="136"/>
      <x v="1"/>
      <x v="30"/>
      <x v="4"/>
    </i>
    <i>
      <x v="369"/>
      <x v="66"/>
      <x v="36"/>
      <x v="4"/>
      <x/>
      <x v="1"/>
    </i>
    <i>
      <x v="373"/>
      <x v="389"/>
      <x v="134"/>
      <x v="4"/>
      <x v="16"/>
      <x v="3"/>
    </i>
    <i>
      <x v="375"/>
      <x v="347"/>
      <x v="74"/>
      <x v="16"/>
      <x/>
      <x v="2"/>
    </i>
    <i>
      <x v="376"/>
      <x v="460"/>
      <x v="50"/>
      <x v="4"/>
      <x/>
      <x v="2"/>
    </i>
    <i>
      <x v="377"/>
      <x v="443"/>
      <x v="71"/>
      <x v="16"/>
      <x/>
      <x v="3"/>
    </i>
    <i>
      <x v="381"/>
      <x v="408"/>
      <x/>
      <x v="4"/>
      <x v="16"/>
      <x v="1"/>
    </i>
    <i>
      <x v="383"/>
      <x v="261"/>
      <x v="110"/>
      <x v="4"/>
      <x v="53"/>
      <x v="2"/>
    </i>
    <i>
      <x v="384"/>
      <x v="382"/>
      <x v="144"/>
      <x v="4"/>
      <x v="56"/>
      <x v="2"/>
    </i>
    <i>
      <x v="387"/>
      <x v="287"/>
      <x v="63"/>
      <x v="4"/>
      <x v="48"/>
      <x v="4"/>
    </i>
    <i>
      <x v="388"/>
      <x v="98"/>
      <x v="62"/>
      <x v="4"/>
      <x v="46"/>
      <x v="2"/>
    </i>
    <i>
      <x v="394"/>
      <x v="251"/>
      <x/>
      <x v="14"/>
      <x v="11"/>
      <x v="2"/>
    </i>
    <i>
      <x v="395"/>
      <x v="553"/>
      <x v="134"/>
      <x v="4"/>
      <x/>
      <x v="2"/>
    </i>
    <i>
      <x v="396"/>
      <x v="576"/>
      <x v="123"/>
      <x v="16"/>
      <x/>
      <x/>
    </i>
    <i>
      <x v="397"/>
      <x v="332"/>
      <x v="144"/>
      <x v="16"/>
      <x/>
      <x v="2"/>
    </i>
    <i>
      <x v="400"/>
      <x v="332"/>
      <x v="28"/>
      <x v="14"/>
      <x v="45"/>
      <x v="3"/>
    </i>
    <i>
      <x v="406"/>
      <x v="115"/>
      <x v="31"/>
      <x v="4"/>
      <x v="13"/>
      <x v="1"/>
    </i>
    <i>
      <x v="408"/>
      <x v="465"/>
      <x v="129"/>
      <x v="14"/>
      <x v="16"/>
      <x v="3"/>
    </i>
    <i>
      <x v="412"/>
      <x v="466"/>
      <x/>
      <x v="11"/>
      <x v="32"/>
      <x v="2"/>
    </i>
    <i>
      <x v="418"/>
      <x v="93"/>
      <x v="55"/>
      <x/>
      <x v="33"/>
      <x v="3"/>
    </i>
    <i>
      <x v="419"/>
      <x v="117"/>
      <x v="11"/>
      <x v="16"/>
      <x/>
      <x v="2"/>
    </i>
    <i>
      <x v="426"/>
      <x v="458"/>
      <x v="120"/>
      <x v="16"/>
      <x/>
      <x v="2"/>
    </i>
    <i>
      <x v="428"/>
      <x v="515"/>
      <x v="28"/>
      <x v="4"/>
      <x v="29"/>
      <x v="4"/>
    </i>
    <i>
      <x v="430"/>
      <x v="116"/>
      <x v="75"/>
      <x v="3"/>
      <x v="20"/>
      <x/>
    </i>
    <i>
      <x v="431"/>
      <x v="523"/>
      <x v="84"/>
      <x v="4"/>
      <x v="56"/>
      <x v="2"/>
    </i>
    <i>
      <x v="433"/>
      <x v="298"/>
      <x v="34"/>
      <x v="4"/>
      <x v="16"/>
      <x v="2"/>
    </i>
    <i>
      <x v="436"/>
      <x v="417"/>
      <x v="167"/>
      <x v="7"/>
      <x v="62"/>
      <x/>
    </i>
    <i>
      <x v="460"/>
      <x v="338"/>
      <x v="61"/>
      <x v="4"/>
      <x v="14"/>
      <x/>
    </i>
    <i>
      <x v="475"/>
      <x v="183"/>
      <x v="84"/>
      <x v="4"/>
      <x v="29"/>
      <x v="2"/>
    </i>
    <i>
      <x v="479"/>
      <x v="523"/>
      <x v="162"/>
      <x v="4"/>
      <x v="41"/>
      <x v="4"/>
    </i>
    <i>
      <x v="505"/>
      <x v="118"/>
      <x v="139"/>
      <x v="4"/>
      <x v="16"/>
      <x/>
    </i>
    <i>
      <x v="508"/>
      <x v="429"/>
      <x v="4"/>
      <x v="3"/>
      <x v="43"/>
      <x v="2"/>
    </i>
    <i>
      <x v="510"/>
      <x v="95"/>
      <x v="111"/>
      <x v="4"/>
      <x/>
      <x v="3"/>
    </i>
    <i>
      <x v="511"/>
      <x v="285"/>
      <x v="24"/>
      <x v="4"/>
      <x/>
      <x v="2"/>
    </i>
    <i>
      <x v="514"/>
      <x v="409"/>
      <x/>
      <x v="4"/>
      <x v="16"/>
      <x v="2"/>
    </i>
    <i>
      <x v="519"/>
      <x v="296"/>
      <x v="32"/>
      <x v="4"/>
      <x v="41"/>
      <x/>
    </i>
    <i>
      <x v="520"/>
      <x v="288"/>
      <x v="139"/>
      <x v="14"/>
      <x v="31"/>
      <x/>
    </i>
    <i>
      <x v="522"/>
      <x v="174"/>
      <x v="44"/>
      <x v="4"/>
      <x/>
      <x v="2"/>
    </i>
    <i>
      <x v="526"/>
      <x v="101"/>
      <x v="64"/>
      <x v="4"/>
      <x v="13"/>
      <x v="4"/>
    </i>
    <i>
      <x v="528"/>
      <x v="294"/>
      <x v="79"/>
      <x v="4"/>
      <x v="13"/>
      <x v="2"/>
    </i>
    <i>
      <x v="535"/>
      <x v="248"/>
      <x/>
      <x v="11"/>
      <x v="47"/>
      <x/>
    </i>
    <i>
      <x v="546"/>
      <x v="292"/>
      <x v="129"/>
      <x v="4"/>
      <x v="29"/>
      <x/>
    </i>
    <i>
      <x v="548"/>
      <x v="203"/>
      <x v="72"/>
      <x v="16"/>
      <x/>
      <x v="2"/>
    </i>
    <i>
      <x v="553"/>
      <x v="247"/>
      <x/>
      <x v="11"/>
      <x v="47"/>
      <x v="3"/>
    </i>
    <i>
      <x v="573"/>
      <x v="193"/>
      <x/>
      <x v="13"/>
      <x/>
      <x v="3"/>
    </i>
    <i>
      <x v="584"/>
      <x v="428"/>
      <x v="18"/>
      <x v="4"/>
      <x v="18"/>
      <x v="2"/>
    </i>
    <i>
      <x v="585"/>
      <x v="411"/>
      <x v="59"/>
      <x v="16"/>
      <x/>
      <x v="3"/>
    </i>
    <i>
      <x v="589"/>
      <x v="514"/>
      <x/>
      <x v="14"/>
      <x v="54"/>
      <x v="4"/>
    </i>
    <i>
      <x v="599"/>
      <x v="169"/>
      <x v="48"/>
      <x v="14"/>
      <x v="18"/>
      <x v="4"/>
    </i>
    <i>
      <x v="603"/>
      <x v="54"/>
      <x v="106"/>
      <x v="16"/>
      <x/>
      <x v="1"/>
    </i>
    <i>
      <x v="605"/>
      <x v="175"/>
      <x v="43"/>
      <x v="4"/>
      <x/>
      <x v="3"/>
    </i>
    <i>
      <x v="607"/>
      <x v="323"/>
      <x v="127"/>
      <x v="4"/>
      <x v="31"/>
      <x v="3"/>
    </i>
    <i>
      <x v="611"/>
      <x v="334"/>
      <x v="158"/>
      <x v="16"/>
      <x v="59"/>
      <x v="3"/>
    </i>
    <i>
      <x v="619"/>
      <x v="250"/>
      <x/>
      <x v="11"/>
      <x v="57"/>
      <x v="1"/>
    </i>
    <i>
      <x v="621"/>
      <x v="252"/>
      <x/>
      <x v="17"/>
      <x v="49"/>
      <x v="4"/>
    </i>
    <i>
      <x v="641"/>
      <x v="196"/>
      <x v="135"/>
      <x v="16"/>
      <x/>
      <x v="4"/>
    </i>
    <i>
      <x v="646"/>
      <x v="246"/>
      <x/>
      <x v="17"/>
      <x v="3"/>
      <x v="2"/>
    </i>
    <i>
      <x v="650"/>
      <x v="406"/>
      <x/>
      <x v="11"/>
      <x v="35"/>
      <x v="1"/>
    </i>
    <i>
      <x v="655"/>
      <x v="488"/>
      <x/>
      <x v="4"/>
      <x v="11"/>
      <x v="4"/>
    </i>
    <i>
      <x v="667"/>
      <x v="200"/>
      <x v="121"/>
      <x v="16"/>
      <x/>
      <x v="4"/>
    </i>
    <i>
      <x v="670"/>
      <x v="25"/>
      <x v="1"/>
      <x v="14"/>
      <x v="10"/>
      <x/>
    </i>
    <i>
      <x v="671"/>
      <x v="249"/>
      <x/>
      <x v="17"/>
      <x v="58"/>
      <x/>
    </i>
    <i>
      <x v="672"/>
      <x v="28"/>
      <x/>
      <x v="17"/>
      <x v="53"/>
      <x v="2"/>
    </i>
    <i t="grand">
      <x/>
    </i>
  </rowItems>
  <colItems count="1">
    <i/>
  </colItems>
  <pageFields count="1">
    <pageField fld="5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Tabla dinámica2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A3:F324" firstHeaderRow="1" firstDataRow="1" firstDataCol="6" rowPageCount="1" colPageCount="1"/>
  <pivotFields count="27">
    <pivotField axis="axisRow" compact="0" outline="0" showAll="0" defaultSubtotal="0">
      <items count="679">
        <item x="2"/>
        <item x="1"/>
        <item x="0"/>
        <item x="3"/>
        <item x="5"/>
        <item x="6"/>
        <item x="7"/>
        <item x="9"/>
        <item x="24"/>
        <item x="25"/>
        <item x="26"/>
        <item x="37"/>
        <item x="38"/>
        <item x="40"/>
        <item x="42"/>
        <item x="41"/>
        <item x="43"/>
        <item x="44"/>
        <item x="45"/>
        <item x="46"/>
        <item x="47"/>
        <item x="48"/>
        <item x="52"/>
        <item x="53"/>
        <item x="49"/>
        <item x="50"/>
        <item x="51"/>
        <item x="54"/>
        <item x="55"/>
        <item x="68"/>
        <item x="69"/>
        <item x="70"/>
        <item x="72"/>
        <item x="71"/>
        <item x="73"/>
        <item x="74"/>
        <item x="75"/>
        <item x="76"/>
        <item x="77"/>
        <item x="78"/>
        <item x="79"/>
        <item x="82"/>
        <item x="80"/>
        <item x="85"/>
        <item x="86"/>
        <item x="87"/>
        <item x="89"/>
        <item x="90"/>
        <item x="109"/>
        <item x="111"/>
        <item x="113"/>
        <item x="114"/>
        <item x="115"/>
        <item x="118"/>
        <item x="120"/>
        <item x="131"/>
        <item x="132"/>
        <item x="161"/>
        <item x="162"/>
        <item x="163"/>
        <item x="164"/>
        <item x="165"/>
        <item x="167"/>
        <item x="168"/>
        <item x="175"/>
        <item x="178"/>
        <item x="177"/>
        <item x="176"/>
        <item x="181"/>
        <item x="183"/>
        <item x="182"/>
        <item x="187"/>
        <item x="186"/>
        <item x="188"/>
        <item x="189"/>
        <item x="190"/>
        <item x="191"/>
        <item x="193"/>
        <item x="195"/>
        <item x="194"/>
        <item x="196"/>
        <item x="197"/>
        <item x="571"/>
        <item x="205"/>
        <item x="207"/>
        <item x="206"/>
        <item x="209"/>
        <item x="210"/>
        <item x="217"/>
        <item x="216"/>
        <item x="218"/>
        <item x="219"/>
        <item x="220"/>
        <item x="221"/>
        <item x="222"/>
        <item x="223"/>
        <item x="555"/>
        <item x="224"/>
        <item x="227"/>
        <item x="229"/>
        <item x="230"/>
        <item x="236"/>
        <item x="237"/>
        <item x="238"/>
        <item x="239"/>
        <item x="241"/>
        <item x="242"/>
        <item x="249"/>
        <item x="252"/>
        <item x="250"/>
        <item x="251"/>
        <item x="254"/>
        <item x="253"/>
        <item x="259"/>
        <item x="261"/>
        <item x="262"/>
        <item x="263"/>
        <item x="264"/>
        <item x="266"/>
        <item x="271"/>
        <item x="274"/>
        <item x="273"/>
        <item x="272"/>
        <item x="276"/>
        <item x="275"/>
        <item x="277"/>
        <item x="4"/>
        <item x="605"/>
        <item x="278"/>
        <item x="607"/>
        <item x="282"/>
        <item x="285"/>
        <item x="284"/>
        <item x="283"/>
        <item x="286"/>
        <item x="287"/>
        <item x="297"/>
        <item x="296"/>
        <item x="298"/>
        <item x="299"/>
        <item x="300"/>
        <item x="301"/>
        <item x="306"/>
        <item x="308"/>
        <item x="307"/>
        <item x="309"/>
        <item x="211"/>
        <item x="212"/>
        <item x="214"/>
        <item x="213"/>
        <item x="215"/>
        <item x="329"/>
        <item x="327"/>
        <item x="326"/>
        <item x="328"/>
        <item x="330"/>
        <item x="331"/>
        <item x="332"/>
        <item x="606"/>
        <item x="334"/>
        <item x="337"/>
        <item x="340"/>
        <item x="341"/>
        <item x="343"/>
        <item x="347"/>
        <item x="349"/>
        <item x="350"/>
        <item x="351"/>
        <item x="367"/>
        <item x="374"/>
        <item x="375"/>
        <item x="377"/>
        <item x="376"/>
        <item x="378"/>
        <item x="383"/>
        <item x="386"/>
        <item x="388"/>
        <item x="392"/>
        <item x="391"/>
        <item x="389"/>
        <item x="395"/>
        <item x="402"/>
        <item x="401"/>
        <item x="403"/>
        <item x="404"/>
        <item x="416"/>
        <item x="430"/>
        <item x="429"/>
        <item x="434"/>
        <item x="435"/>
        <item x="436"/>
        <item x="437"/>
        <item x="438"/>
        <item x="439"/>
        <item x="440"/>
        <item x="442"/>
        <item x="444"/>
        <item x="443"/>
        <item x="445"/>
        <item x="447"/>
        <item x="446"/>
        <item x="448"/>
        <item x="449"/>
        <item x="451"/>
        <item x="453"/>
        <item x="455"/>
        <item x="456"/>
        <item x="457"/>
        <item x="459"/>
        <item x="460"/>
        <item x="461"/>
        <item x="463"/>
        <item x="464"/>
        <item x="465"/>
        <item x="466"/>
        <item x="467"/>
        <item x="468"/>
        <item x="473"/>
        <item x="475"/>
        <item x="477"/>
        <item x="476"/>
        <item x="478"/>
        <item x="479"/>
        <item x="480"/>
        <item x="483"/>
        <item x="494"/>
        <item x="495"/>
        <item x="496"/>
        <item x="499"/>
        <item x="500"/>
        <item x="501"/>
        <item x="502"/>
        <item x="505"/>
        <item x="458"/>
        <item x="507"/>
        <item x="511"/>
        <item x="509"/>
        <item x="510"/>
        <item x="512"/>
        <item x="569"/>
        <item x="515"/>
        <item x="516"/>
        <item x="529"/>
        <item x="530"/>
        <item x="533"/>
        <item x="532"/>
        <item x="534"/>
        <item x="538"/>
        <item x="539"/>
        <item x="540"/>
        <item x="544"/>
        <item x="554"/>
        <item x="556"/>
        <item x="561"/>
        <item x="564"/>
        <item x="563"/>
        <item x="565"/>
        <item x="566"/>
        <item x="562"/>
        <item x="567"/>
        <item x="570"/>
        <item x="602"/>
        <item x="604"/>
        <item x="603"/>
        <item x="639"/>
        <item x="641"/>
        <item x="644"/>
        <item x="643"/>
        <item x="645"/>
        <item x="666"/>
        <item x="667"/>
        <item x="671"/>
        <item x="672"/>
        <item x="673"/>
        <item x="674"/>
        <item x="676"/>
        <item x="675"/>
        <item x="677"/>
        <item x="13"/>
        <item x="513"/>
        <item x="226"/>
        <item x="396"/>
        <item x="470"/>
        <item x="481"/>
        <item x="19"/>
        <item x="20"/>
        <item x="21"/>
        <item x="30"/>
        <item x="28"/>
        <item x="31"/>
        <item x="32"/>
        <item x="33"/>
        <item x="34"/>
        <item x="36"/>
        <item x="63"/>
        <item x="65"/>
        <item x="92"/>
        <item x="93"/>
        <item x="95"/>
        <item x="97"/>
        <item x="101"/>
        <item x="91"/>
        <item x="108"/>
        <item x="125"/>
        <item x="130"/>
        <item x="180"/>
        <item x="243"/>
        <item x="245"/>
        <item x="246"/>
        <item x="247"/>
        <item x="354"/>
        <item x="356"/>
        <item x="359"/>
        <item x="425"/>
        <item x="582"/>
        <item x="583"/>
        <item x="581"/>
        <item x="584"/>
        <item x="618"/>
        <item x="621"/>
        <item x="620"/>
        <item x="633"/>
        <item x="669"/>
        <item x="670"/>
        <item x="60"/>
        <item x="61"/>
        <item x="104"/>
        <item x="107"/>
        <item x="123"/>
        <item x="124"/>
        <item x="140"/>
        <item x="321"/>
        <item x="322"/>
        <item x="323"/>
        <item x="324"/>
        <item x="338"/>
        <item x="339"/>
        <item x="353"/>
        <item x="357"/>
        <item x="399"/>
        <item x="424"/>
        <item x="485"/>
        <item x="486"/>
        <item x="498"/>
        <item x="580"/>
        <item x="577"/>
        <item x="578"/>
        <item x="579"/>
        <item x="591"/>
        <item x="588"/>
        <item x="589"/>
        <item x="590"/>
        <item x="586"/>
        <item x="587"/>
        <item x="593"/>
        <item x="594"/>
        <item x="668"/>
        <item x="231"/>
        <item x="462"/>
        <item x="637"/>
        <item x="665"/>
        <item x="81"/>
        <item x="508"/>
        <item x="352"/>
        <item x="39"/>
        <item x="265"/>
        <item x="166"/>
        <item x="88"/>
        <item x="248"/>
        <item x="83"/>
        <item x="98"/>
        <item x="102"/>
        <item x="58"/>
        <item x="452"/>
        <item x="57"/>
        <item x="400"/>
        <item x="535"/>
        <item x="514"/>
        <item x="201"/>
        <item x="345"/>
        <item x="421"/>
        <item x="471"/>
        <item x="635"/>
        <item x="305"/>
        <item x="441"/>
        <item x="632"/>
        <item x="636"/>
        <item x="335"/>
        <item x="116"/>
        <item x="145"/>
        <item x="152"/>
        <item x="616"/>
        <item x="615"/>
        <item x="622"/>
        <item x="293"/>
        <item x="640"/>
        <item x="664"/>
        <item x="385"/>
        <item x="543"/>
        <item x="146"/>
        <item x="384"/>
        <item x="560"/>
        <item x="413"/>
        <item x="528"/>
        <item x="151"/>
        <item x="154"/>
        <item x="133"/>
        <item x="149"/>
        <item x="541"/>
        <item x="267"/>
        <item x="144"/>
        <item x="362"/>
        <item x="542"/>
        <item x="202"/>
        <item x="585"/>
        <item x="96"/>
        <item x="398"/>
        <item x="623"/>
        <item x="110"/>
        <item x="135"/>
        <item x="128"/>
        <item x="647"/>
        <item x="153"/>
        <item x="64"/>
        <item x="84"/>
        <item x="646"/>
        <item x="531"/>
        <item x="94"/>
        <item x="599"/>
        <item x="617"/>
        <item x="134"/>
        <item x="609"/>
        <item x="489"/>
        <item x="348"/>
        <item x="526"/>
        <item x="663"/>
        <item x="482"/>
        <item x="62"/>
        <item x="661"/>
        <item x="660"/>
        <item x="662"/>
        <item x="240"/>
        <item x="624"/>
        <item x="358"/>
        <item x="601"/>
        <item x="279"/>
        <item x="613"/>
        <item x="626"/>
        <item x="255"/>
        <item x="653"/>
        <item x="490"/>
        <item x="611"/>
        <item x="360"/>
        <item x="364"/>
        <item x="319"/>
        <item x="517"/>
        <item x="415"/>
        <item x="427"/>
        <item x="156"/>
        <item x="492"/>
        <item x="390"/>
        <item x="16"/>
        <item x="185"/>
        <item x="158"/>
        <item x="148"/>
        <item x="614"/>
        <item x="17"/>
        <item x="612"/>
        <item x="634"/>
        <item x="630"/>
        <item x="629"/>
        <item x="302"/>
        <item x="381"/>
        <item x="160"/>
        <item x="295"/>
        <item x="208"/>
        <item x="393"/>
        <item x="627"/>
        <item x="397"/>
        <item x="610"/>
        <item x="244"/>
        <item x="650"/>
        <item x="320"/>
        <item x="318"/>
        <item x="256"/>
        <item x="355"/>
        <item x="100"/>
        <item x="99"/>
        <item x="659"/>
        <item x="558"/>
        <item x="559"/>
        <item x="552"/>
        <item x="142"/>
        <item x="14"/>
        <item x="281"/>
        <item x="654"/>
        <item x="655"/>
        <item x="651"/>
        <item x="652"/>
        <item x="625"/>
        <item x="422"/>
        <item x="656"/>
        <item x="657"/>
        <item x="172"/>
        <item x="173"/>
        <item x="136"/>
        <item x="550"/>
        <item x="368"/>
        <item x="497"/>
        <item x="257"/>
        <item x="112"/>
        <item x="333"/>
        <item x="557"/>
        <item x="454"/>
        <item x="472"/>
        <item x="547"/>
        <item x="658"/>
        <item x="371"/>
        <item x="174"/>
        <item x="346"/>
        <item x="336"/>
        <item x="66"/>
        <item x="199"/>
        <item x="139"/>
        <item x="527"/>
        <item x="450"/>
        <item x="119"/>
        <item x="363"/>
        <item x="344"/>
        <item x="628"/>
        <item x="423"/>
        <item x="504"/>
        <item x="157"/>
        <item x="487"/>
        <item x="405"/>
        <item x="290"/>
        <item x="428"/>
        <item x="382"/>
        <item x="426"/>
        <item x="407"/>
        <item x="408"/>
        <item x="409"/>
        <item x="595"/>
        <item x="519"/>
        <item x="420"/>
        <item x="303"/>
        <item x="342"/>
        <item x="198"/>
        <item x="235"/>
        <item x="596"/>
        <item x="304"/>
        <item x="23"/>
        <item x="22"/>
        <item x="289"/>
        <item x="642"/>
        <item x="15"/>
        <item x="150"/>
        <item x="503"/>
        <item x="18"/>
        <item x="638"/>
        <item x="159"/>
        <item x="10"/>
        <item x="105"/>
        <item x="203"/>
        <item x="506"/>
        <item x="143"/>
        <item x="184"/>
        <item x="518"/>
        <item x="258"/>
        <item x="169"/>
        <item x="56"/>
        <item x="491"/>
        <item x="597"/>
        <item x="225"/>
        <item x="147"/>
        <item x="551"/>
        <item x="106"/>
        <item x="369"/>
        <item x="370"/>
        <item x="260"/>
        <item x="394"/>
        <item x="649"/>
        <item x="179"/>
        <item x="138"/>
        <item x="493"/>
        <item x="474"/>
        <item x="365"/>
        <item x="410"/>
        <item x="406"/>
        <item x="598"/>
        <item x="117"/>
        <item x="372"/>
        <item x="488"/>
        <item x="11"/>
        <item x="12"/>
        <item x="545"/>
        <item x="419"/>
        <item x="310"/>
        <item x="155"/>
        <item x="192"/>
        <item x="233"/>
        <item x="127"/>
        <item x="126"/>
        <item x="67"/>
        <item x="553"/>
        <item x="200"/>
        <item x="592"/>
        <item x="373"/>
        <item x="431"/>
        <item x="432"/>
        <item x="129"/>
        <item x="387"/>
        <item x="412"/>
        <item x="234"/>
        <item x="573"/>
        <item x="574"/>
        <item x="575"/>
        <item x="576"/>
        <item x="572"/>
        <item x="292"/>
        <item x="361"/>
        <item x="294"/>
        <item x="525"/>
        <item x="546"/>
        <item x="103"/>
        <item x="121"/>
        <item x="141"/>
        <item x="549"/>
        <item x="600"/>
        <item x="433"/>
        <item x="313"/>
        <item x="315"/>
        <item x="316"/>
        <item x="311"/>
        <item x="312"/>
        <item x="314"/>
        <item x="317"/>
        <item x="59"/>
        <item x="379"/>
        <item x="380"/>
        <item x="280"/>
        <item x="228"/>
        <item x="631"/>
        <item x="122"/>
        <item x="537"/>
        <item x="366"/>
        <item x="288"/>
        <item x="522"/>
        <item x="521"/>
        <item x="8"/>
        <item x="469"/>
        <item x="414"/>
        <item x="137"/>
        <item x="523"/>
        <item x="170"/>
        <item x="568"/>
        <item x="204"/>
        <item x="171"/>
        <item x="484"/>
        <item x="29"/>
        <item x="411"/>
        <item x="608"/>
        <item x="548"/>
        <item x="648"/>
        <item x="417"/>
        <item x="418"/>
        <item x="520"/>
        <item x="232"/>
        <item x="619"/>
        <item x="524"/>
        <item x="27"/>
        <item x="291"/>
        <item x="35"/>
        <item x="268"/>
        <item x="269"/>
        <item x="270"/>
        <item x="536"/>
        <item x="325"/>
        <item x="678"/>
      </items>
    </pivotField>
    <pivotField axis="axisRow" outline="0" showAll="0" defaultSubtotal="0">
      <items count="5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7"/>
        <item x="216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9"/>
        <item x="268"/>
        <item x="271"/>
        <item x="270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8"/>
        <item x="337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5"/>
        <item x="354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9"/>
        <item x="508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</items>
    </pivotField>
    <pivotField axis="axisRow" outline="0" showAll="0" defaultSubtotal="0">
      <items count="170">
        <item x="6"/>
        <item x="10"/>
        <item x="12"/>
        <item x="105"/>
        <item x="145"/>
        <item x="5"/>
        <item x="28"/>
        <item x="159"/>
        <item x="68"/>
        <item x="69"/>
        <item x="32"/>
        <item x="57"/>
        <item x="20"/>
        <item x="168"/>
        <item x="75"/>
        <item x="22"/>
        <item x="118"/>
        <item x="135"/>
        <item x="47"/>
        <item x="34"/>
        <item x="143"/>
        <item x="122"/>
        <item x="151"/>
        <item x="102"/>
        <item x="2"/>
        <item x="134"/>
        <item x="91"/>
        <item x="8"/>
        <item x="97"/>
        <item x="53"/>
        <item x="152"/>
        <item x="55"/>
        <item x="111"/>
        <item x="112"/>
        <item x="113"/>
        <item x="139"/>
        <item x="39"/>
        <item x="144"/>
        <item x="37"/>
        <item x="95"/>
        <item x="150"/>
        <item x="74"/>
        <item x="100"/>
        <item x="72"/>
        <item x="71"/>
        <item x="131"/>
        <item x="123"/>
        <item x="138"/>
        <item x="67"/>
        <item x="126"/>
        <item x="44"/>
        <item x="65"/>
        <item x="101"/>
        <item x="156"/>
        <item x="45"/>
        <item x="46"/>
        <item x="9"/>
        <item x="149"/>
        <item x="130"/>
        <item x="30"/>
        <item x="125"/>
        <item x="124"/>
        <item x="51"/>
        <item x="107"/>
        <item x="52"/>
        <item x="166"/>
        <item x="137"/>
        <item x="119"/>
        <item x="49"/>
        <item x="140"/>
        <item x="89"/>
        <item x="0"/>
        <item x="85"/>
        <item x="160"/>
        <item x="127"/>
        <item x="56"/>
        <item x="62"/>
        <item x="35"/>
        <item x="129"/>
        <item x="110"/>
        <item x="88"/>
        <item x="38"/>
        <item x="40"/>
        <item x="54"/>
        <item x="21"/>
        <item x="80"/>
        <item x="36"/>
        <item x="1"/>
        <item x="26"/>
        <item x="18"/>
        <item x="81"/>
        <item x="24"/>
        <item x="106"/>
        <item x="146"/>
        <item x="108"/>
        <item x="61"/>
        <item x="158"/>
        <item x="157"/>
        <item x="117"/>
        <item x="148"/>
        <item x="120"/>
        <item x="93"/>
        <item x="136"/>
        <item x="70"/>
        <item x="63"/>
        <item x="164"/>
        <item x="29"/>
        <item x="109"/>
        <item x="76"/>
        <item x="147"/>
        <item x="66"/>
        <item x="48"/>
        <item x="73"/>
        <item x="42"/>
        <item x="58"/>
        <item x="31"/>
        <item x="86"/>
        <item x="83"/>
        <item x="16"/>
        <item x="4"/>
        <item x="92"/>
        <item x="84"/>
        <item x="163"/>
        <item x="165"/>
        <item x="77"/>
        <item x="23"/>
        <item x="90"/>
        <item x="116"/>
        <item x="128"/>
        <item x="79"/>
        <item x="50"/>
        <item x="59"/>
        <item x="98"/>
        <item x="78"/>
        <item x="17"/>
        <item x="82"/>
        <item x="43"/>
        <item x="41"/>
        <item x="103"/>
        <item x="19"/>
        <item x="3"/>
        <item x="14"/>
        <item x="15"/>
        <item x="33"/>
        <item x="25"/>
        <item x="27"/>
        <item x="60"/>
        <item x="96"/>
        <item x="155"/>
        <item x="7"/>
        <item x="115"/>
        <item x="87"/>
        <item x="64"/>
        <item x="94"/>
        <item x="13"/>
        <item x="141"/>
        <item x="99"/>
        <item x="132"/>
        <item x="121"/>
        <item x="153"/>
        <item x="167"/>
        <item x="161"/>
        <item x="104"/>
        <item x="162"/>
        <item x="133"/>
        <item x="154"/>
        <item x="11"/>
        <item x="142"/>
        <item x="114"/>
        <item x="169"/>
      </items>
    </pivotField>
    <pivotField axis="axisRow" outline="0" showAll="0" defaultSubtotal="0">
      <items count="19">
        <item x="5"/>
        <item x="7"/>
        <item x="14"/>
        <item x="9"/>
        <item x="1"/>
        <item x="10"/>
        <item x="16"/>
        <item x="15"/>
        <item x="6"/>
        <item x="11"/>
        <item x="8"/>
        <item x="13"/>
        <item x="17"/>
        <item x="12"/>
        <item x="2"/>
        <item x="4"/>
        <item x="0"/>
        <item x="3"/>
        <item x="18"/>
      </items>
    </pivotField>
    <pivotField axis="axisRow" outline="0" showAll="0" defaultSubtotal="0">
      <items count="78">
        <item x="0"/>
        <item x="72"/>
        <item x="55"/>
        <item x="38"/>
        <item x="46"/>
        <item x="28"/>
        <item x="30"/>
        <item x="29"/>
        <item x="64"/>
        <item x="65"/>
        <item x="7"/>
        <item x="4"/>
        <item x="43"/>
        <item x="14"/>
        <item x="52"/>
        <item x="51"/>
        <item x="1"/>
        <item x="9"/>
        <item x="27"/>
        <item x="45"/>
        <item x="25"/>
        <item x="58"/>
        <item x="18"/>
        <item x="69"/>
        <item x="20"/>
        <item x="31"/>
        <item x="36"/>
        <item x="15"/>
        <item x="37"/>
        <item x="3"/>
        <item x="23"/>
        <item x="5"/>
        <item x="68"/>
        <item x="22"/>
        <item x="32"/>
        <item x="59"/>
        <item x="48"/>
        <item x="67"/>
        <item x="10"/>
        <item x="16"/>
        <item x="62"/>
        <item x="17"/>
        <item x="66"/>
        <item x="61"/>
        <item x="56"/>
        <item x="49"/>
        <item x="24"/>
        <item x="39"/>
        <item x="21"/>
        <item x="42"/>
        <item x="11"/>
        <item x="6"/>
        <item x="12"/>
        <item x="13"/>
        <item x="76"/>
        <item x="19"/>
        <item x="57"/>
        <item x="41"/>
        <item x="40"/>
        <item x="50"/>
        <item x="63"/>
        <item x="8"/>
        <item x="60"/>
        <item x="74"/>
        <item x="75"/>
        <item x="70"/>
        <item x="73"/>
        <item x="71"/>
        <item x="53"/>
        <item x="33"/>
        <item x="34"/>
        <item x="35"/>
        <item x="54"/>
        <item x="26"/>
        <item x="44"/>
        <item x="2"/>
        <item x="47"/>
        <item x="77"/>
      </items>
    </pivotField>
    <pivotField axis="axisPage" multipleItemSelectionAllowed="1" showAll="0">
      <items count="6">
        <item x="2"/>
        <item x="3"/>
        <item h="1" x="0"/>
        <item h="1"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outline="0" showAll="0">
      <items count="7">
        <item x="4"/>
        <item x="1"/>
        <item x="0"/>
        <item x="2"/>
        <item x="3"/>
        <item x="5"/>
        <item t="default"/>
      </items>
    </pivotField>
    <pivotField showAll="0"/>
    <pivotField showAll="0"/>
    <pivotField showAll="0"/>
    <pivotField showAll="0"/>
  </pivotFields>
  <rowFields count="6">
    <field x="0"/>
    <field x="1"/>
    <field x="2"/>
    <field x="3"/>
    <field x="4"/>
    <field x="22"/>
  </rowFields>
  <rowItems count="321">
    <i>
      <x v="279"/>
      <x v="442"/>
      <x/>
      <x v="17"/>
      <x/>
      <x v="2"/>
    </i>
    <i>
      <x v="280"/>
      <x v="194"/>
      <x/>
      <x v="17"/>
      <x/>
      <x v="3"/>
    </i>
    <i>
      <x v="284"/>
      <x v="18"/>
      <x/>
      <x v="17"/>
      <x/>
      <x v="2"/>
    </i>
    <i>
      <x v="285"/>
      <x v="19"/>
      <x/>
      <x v="17"/>
      <x/>
      <x v="4"/>
    </i>
    <i>
      <x v="286"/>
      <x v="20"/>
      <x/>
      <x v="17"/>
      <x/>
      <x v="4"/>
    </i>
    <i>
      <x v="288"/>
      <x v="26"/>
      <x v="166"/>
      <x v="14"/>
      <x v="11"/>
      <x v="3"/>
    </i>
    <i>
      <x v="289"/>
      <x v="27"/>
      <x/>
      <x v="17"/>
      <x v="17"/>
      <x v="2"/>
    </i>
    <i>
      <x v="290"/>
      <x v="27"/>
      <x/>
      <x v="17"/>
      <x v="38"/>
      <x v="3"/>
    </i>
    <i>
      <x v="291"/>
      <x v="27"/>
      <x/>
      <x v="17"/>
      <x v="50"/>
      <x v="3"/>
    </i>
    <i>
      <x v="292"/>
      <x v="27"/>
      <x/>
      <x v="17"/>
      <x v="52"/>
      <x v="2"/>
    </i>
    <i>
      <x v="293"/>
      <x v="29"/>
      <x/>
      <x v="17"/>
      <x/>
      <x v="2"/>
    </i>
    <i>
      <x v="294"/>
      <x v="50"/>
      <x/>
      <x v="17"/>
      <x/>
      <x/>
    </i>
    <i>
      <x v="295"/>
      <x v="52"/>
      <x/>
      <x v="17"/>
      <x/>
      <x v="4"/>
    </i>
    <i>
      <x v="296"/>
      <x v="75"/>
      <x/>
      <x v="17"/>
      <x/>
      <x v="3"/>
    </i>
    <i>
      <x v="297"/>
      <x v="76"/>
      <x/>
      <x v="17"/>
      <x/>
      <x v="4"/>
    </i>
    <i>
      <x v="298"/>
      <x v="78"/>
      <x/>
      <x v="17"/>
      <x/>
      <x v="3"/>
    </i>
    <i>
      <x v="299"/>
      <x v="80"/>
      <x/>
      <x v="17"/>
      <x/>
      <x v="3"/>
    </i>
    <i>
      <x v="300"/>
      <x v="84"/>
      <x/>
      <x v="17"/>
      <x/>
      <x v="1"/>
    </i>
    <i>
      <x v="301"/>
      <x v="74"/>
      <x/>
      <x v="17"/>
      <x/>
      <x v="2"/>
    </i>
    <i>
      <x v="302"/>
      <x v="91"/>
      <x/>
      <x v="17"/>
      <x/>
      <x v="2"/>
    </i>
    <i>
      <x v="303"/>
      <x v="107"/>
      <x/>
      <x v="17"/>
      <x/>
      <x v="2"/>
    </i>
    <i>
      <x v="304"/>
      <x v="112"/>
      <x/>
      <x v="17"/>
      <x/>
      <x v="1"/>
    </i>
    <i>
      <x v="305"/>
      <x v="160"/>
      <x/>
      <x v="17"/>
      <x/>
      <x v="2"/>
    </i>
    <i>
      <x v="306"/>
      <x v="209"/>
      <x/>
      <x v="17"/>
      <x/>
      <x v="3"/>
    </i>
    <i>
      <x v="307"/>
      <x v="211"/>
      <x/>
      <x v="17"/>
      <x/>
      <x v="2"/>
    </i>
    <i>
      <x v="308"/>
      <x v="212"/>
      <x/>
      <x v="17"/>
      <x/>
      <x v="2"/>
    </i>
    <i>
      <x v="309"/>
      <x v="213"/>
      <x/>
      <x v="17"/>
      <x/>
      <x v="3"/>
    </i>
    <i>
      <x v="310"/>
      <x v="304"/>
      <x/>
      <x v="17"/>
      <x/>
      <x v="3"/>
    </i>
    <i>
      <x v="311"/>
      <x v="306"/>
      <x/>
      <x v="17"/>
      <x/>
      <x v="4"/>
    </i>
    <i>
      <x v="312"/>
      <x v="309"/>
      <x/>
      <x v="17"/>
      <x/>
      <x v="3"/>
    </i>
    <i>
      <x v="313"/>
      <x v="368"/>
      <x/>
      <x v="17"/>
      <x/>
      <x v="3"/>
    </i>
    <i>
      <x v="314"/>
      <x v="502"/>
      <x/>
      <x v="17"/>
      <x/>
      <x v="2"/>
    </i>
    <i>
      <x v="315"/>
      <x v="503"/>
      <x/>
      <x v="17"/>
      <x/>
      <x v="3"/>
    </i>
    <i>
      <x v="316"/>
      <x v="501"/>
      <x/>
      <x v="17"/>
      <x/>
      <x v="3"/>
    </i>
    <i>
      <x v="317"/>
      <x v="504"/>
      <x/>
      <x v="17"/>
      <x/>
      <x v="2"/>
    </i>
    <i>
      <x v="318"/>
      <x v="531"/>
      <x/>
      <x v="17"/>
      <x/>
      <x v="1"/>
    </i>
    <i>
      <x v="319"/>
      <x v="534"/>
      <x/>
      <x v="17"/>
      <x/>
      <x v="3"/>
    </i>
    <i>
      <x v="320"/>
      <x v="533"/>
      <x/>
      <x v="17"/>
      <x/>
      <x v="3"/>
    </i>
    <i>
      <x v="321"/>
      <x v="546"/>
      <x/>
      <x v="17"/>
      <x/>
      <x v="1"/>
    </i>
    <i>
      <x v="322"/>
      <x v="580"/>
      <x/>
      <x v="17"/>
      <x/>
      <x v="3"/>
    </i>
    <i>
      <x v="323"/>
      <x v="581"/>
      <x/>
      <x v="17"/>
      <x/>
      <x v="3"/>
    </i>
    <i>
      <x v="324"/>
      <x v="47"/>
      <x/>
      <x v="17"/>
      <x/>
      <x v="1"/>
    </i>
    <i>
      <x v="325"/>
      <x v="48"/>
      <x/>
      <x v="17"/>
      <x/>
      <x/>
    </i>
    <i>
      <x v="326"/>
      <x v="87"/>
      <x/>
      <x v="17"/>
      <x/>
      <x v="4"/>
    </i>
    <i>
      <x v="327"/>
      <x v="90"/>
      <x/>
      <x v="17"/>
      <x/>
      <x v="1"/>
    </i>
    <i>
      <x v="328"/>
      <x v="105"/>
      <x/>
      <x v="17"/>
      <x/>
      <x v="4"/>
    </i>
    <i>
      <x v="329"/>
      <x v="106"/>
      <x/>
      <x v="17"/>
      <x/>
      <x v="3"/>
    </i>
    <i>
      <x v="330"/>
      <x v="122"/>
      <x/>
      <x v="17"/>
      <x/>
      <x v="3"/>
    </i>
    <i>
      <x v="331"/>
      <x v="276"/>
      <x/>
      <x v="10"/>
      <x/>
      <x v="4"/>
    </i>
    <i>
      <x v="332"/>
      <x v="277"/>
      <x/>
      <x v="10"/>
      <x/>
      <x v="4"/>
    </i>
    <i>
      <x v="333"/>
      <x v="278"/>
      <x/>
      <x v="10"/>
      <x/>
      <x v="4"/>
    </i>
    <i>
      <x v="334"/>
      <x v="279"/>
      <x/>
      <x v="10"/>
      <x/>
      <x v="3"/>
    </i>
    <i>
      <x v="335"/>
      <x v="290"/>
      <x/>
      <x v="17"/>
      <x/>
      <x v="3"/>
    </i>
    <i>
      <x v="336"/>
      <x v="291"/>
      <x/>
      <x v="17"/>
      <x/>
      <x v="3"/>
    </i>
    <i>
      <x v="337"/>
      <x v="303"/>
      <x/>
      <x v="17"/>
      <x/>
      <x v="2"/>
    </i>
    <i>
      <x v="338"/>
      <x v="307"/>
      <x/>
      <x v="17"/>
      <x/>
      <x v="3"/>
    </i>
    <i>
      <x v="339"/>
      <x v="346"/>
      <x/>
      <x v="17"/>
      <x/>
      <x v="2"/>
    </i>
    <i>
      <x v="340"/>
      <x v="367"/>
      <x/>
      <x v="17"/>
      <x/>
      <x v="3"/>
    </i>
    <i>
      <x v="341"/>
      <x v="420"/>
      <x/>
      <x v="17"/>
      <x/>
      <x v="4"/>
    </i>
    <i>
      <x v="342"/>
      <x v="421"/>
      <x/>
      <x v="17"/>
      <x/>
      <x v="1"/>
    </i>
    <i>
      <x v="344"/>
      <x v="500"/>
      <x/>
      <x v="17"/>
      <x/>
      <x v="2"/>
    </i>
    <i>
      <x v="345"/>
      <x v="497"/>
      <x/>
      <x v="17"/>
      <x/>
      <x/>
    </i>
    <i>
      <x v="346"/>
      <x v="498"/>
      <x/>
      <x v="17"/>
      <x/>
      <x v="2"/>
    </i>
    <i>
      <x v="347"/>
      <x v="499"/>
      <x/>
      <x v="17"/>
      <x/>
      <x v="4"/>
    </i>
    <i>
      <x v="348"/>
      <x v="508"/>
      <x v="53"/>
      <x v="17"/>
      <x v="1"/>
      <x v="2"/>
    </i>
    <i>
      <x v="349"/>
      <x v="509"/>
      <x v="53"/>
      <x v="17"/>
      <x v="65"/>
      <x v="2"/>
    </i>
    <i>
      <x v="350"/>
      <x v="509"/>
      <x v="97"/>
      <x v="17"/>
      <x v="65"/>
      <x v="3"/>
    </i>
    <i>
      <x v="351"/>
      <x v="509"/>
      <x v="97"/>
      <x v="17"/>
      <x v="67"/>
      <x v="1"/>
    </i>
    <i>
      <x v="352"/>
      <x v="506"/>
      <x/>
      <x v="17"/>
      <x/>
      <x v="3"/>
    </i>
    <i>
      <x v="353"/>
      <x v="507"/>
      <x/>
      <x v="17"/>
      <x/>
      <x v="3"/>
    </i>
    <i>
      <x v="354"/>
      <x v="510"/>
      <x/>
      <x v="17"/>
      <x v="63"/>
      <x v="4"/>
    </i>
    <i>
      <x v="355"/>
      <x v="510"/>
      <x/>
      <x v="17"/>
      <x v="64"/>
      <x v="3"/>
    </i>
    <i>
      <x v="368"/>
      <x v="214"/>
      <x/>
      <x v="17"/>
      <x/>
      <x/>
    </i>
    <i>
      <x v="370"/>
      <x v="81"/>
      <x/>
      <x v="17"/>
      <x/>
      <x v="4"/>
    </i>
    <i>
      <x v="371"/>
      <x v="85"/>
      <x/>
      <x v="17"/>
      <x/>
      <x v="3"/>
    </i>
    <i>
      <x v="372"/>
      <x v="45"/>
      <x/>
      <x v="17"/>
      <x/>
      <x v="3"/>
    </i>
    <i>
      <x v="374"/>
      <x v="44"/>
      <x/>
      <x v="17"/>
      <x/>
      <x v="3"/>
    </i>
    <i>
      <x v="378"/>
      <x v="176"/>
      <x/>
      <x v="17"/>
      <x/>
      <x v="4"/>
    </i>
    <i>
      <x v="379"/>
      <x v="295"/>
      <x/>
      <x v="17"/>
      <x/>
      <x/>
    </i>
    <i>
      <x v="380"/>
      <x v="364"/>
      <x/>
      <x v="17"/>
      <x/>
      <x v="2"/>
    </i>
    <i>
      <x v="382"/>
      <x v="548"/>
      <x/>
      <x v="17"/>
      <x/>
      <x/>
    </i>
    <i>
      <x v="385"/>
      <x v="545"/>
      <x/>
      <x v="17"/>
      <x/>
      <x/>
    </i>
    <i>
      <x v="386"/>
      <x v="549"/>
      <x/>
      <x v="17"/>
      <x/>
      <x v="2"/>
    </i>
    <i>
      <x v="389"/>
      <x v="127"/>
      <x/>
      <x v="17"/>
      <x/>
      <x v="3"/>
    </i>
    <i>
      <x v="390"/>
      <x v="134"/>
      <x/>
      <x v="17"/>
      <x/>
      <x v="4"/>
    </i>
    <i>
      <x v="391"/>
      <x v="529"/>
      <x/>
      <x v="17"/>
      <x/>
      <x v="3"/>
    </i>
    <i>
      <x v="392"/>
      <x v="528"/>
      <x/>
      <x v="17"/>
      <x/>
      <x v="4"/>
    </i>
    <i>
      <x v="393"/>
      <x v="535"/>
      <x/>
      <x v="17"/>
      <x/>
      <x v="4"/>
    </i>
    <i>
      <x v="398"/>
      <x v="467"/>
      <x/>
      <x v="17"/>
      <x/>
      <x v="2"/>
    </i>
    <i>
      <x v="399"/>
      <x v="128"/>
      <x/>
      <x v="17"/>
      <x/>
      <x v="4"/>
    </i>
    <i>
      <x v="401"/>
      <x v="484"/>
      <x/>
      <x v="17"/>
      <x/>
      <x v="1"/>
    </i>
    <i>
      <x v="402"/>
      <x v="356"/>
      <x/>
      <x v="17"/>
      <x/>
      <x v="1"/>
    </i>
    <i>
      <x v="403"/>
      <x v="456"/>
      <x/>
      <x v="17"/>
      <x/>
      <x v="4"/>
    </i>
    <i>
      <x v="404"/>
      <x v="133"/>
      <x/>
      <x v="17"/>
      <x/>
      <x v="4"/>
    </i>
    <i>
      <x v="405"/>
      <x v="135"/>
      <x v="131"/>
      <x v="17"/>
      <x/>
      <x/>
    </i>
    <i>
      <x v="407"/>
      <x v="131"/>
      <x/>
      <x v="17"/>
      <x/>
      <x v="4"/>
    </i>
    <i>
      <x v="409"/>
      <x v="231"/>
      <x/>
      <x v="17"/>
      <x/>
      <x v="4"/>
    </i>
    <i>
      <x v="410"/>
      <x v="126"/>
      <x/>
      <x v="17"/>
      <x/>
      <x v="3"/>
    </i>
    <i>
      <x v="411"/>
      <x v="312"/>
      <x/>
      <x v="17"/>
      <x/>
      <x/>
    </i>
    <i>
      <x v="413"/>
      <x v="177"/>
      <x/>
      <x v="17"/>
      <x/>
      <x v="3"/>
    </i>
    <i>
      <x v="414"/>
      <x v="505"/>
      <x/>
      <x v="17"/>
      <x/>
      <x v="2"/>
    </i>
    <i>
      <x v="415"/>
      <x v="79"/>
      <x/>
      <x v="17"/>
      <x/>
      <x v="2"/>
    </i>
    <i>
      <x v="416"/>
      <x v="345"/>
      <x/>
      <x v="17"/>
      <x/>
      <x v="2"/>
    </i>
    <i>
      <x v="417"/>
      <x v="536"/>
      <x/>
      <x v="17"/>
      <x/>
      <x v="4"/>
    </i>
    <i>
      <x v="420"/>
      <x v="110"/>
      <x/>
      <x v="17"/>
      <x/>
      <x/>
    </i>
    <i>
      <x v="421"/>
      <x v="559"/>
      <x/>
      <x v="17"/>
      <x/>
      <x v="1"/>
    </i>
    <i>
      <x v="422"/>
      <x v="135"/>
      <x v="114"/>
      <x v="17"/>
      <x/>
      <x/>
    </i>
    <i>
      <x v="423"/>
      <x v="51"/>
      <x/>
      <x v="17"/>
      <x/>
      <x v="2"/>
    </i>
    <i>
      <x v="424"/>
      <x v="67"/>
      <x/>
      <x v="14"/>
      <x v="11"/>
      <x v="3"/>
    </i>
    <i>
      <x v="425"/>
      <x v="558"/>
      <x/>
      <x v="17"/>
      <x/>
      <x v="1"/>
    </i>
    <i>
      <x v="427"/>
      <x v="77"/>
      <x/>
      <x v="17"/>
      <x/>
      <x v="4"/>
    </i>
    <i>
      <x v="429"/>
      <x v="530"/>
      <x/>
      <x v="17"/>
      <x/>
      <x/>
    </i>
    <i>
      <x v="432"/>
      <x v="424"/>
      <x/>
      <x v="17"/>
      <x/>
      <x v="1"/>
    </i>
    <i>
      <x v="434"/>
      <x v="454"/>
      <x/>
      <x v="6"/>
      <x v="42"/>
      <x v="1"/>
    </i>
    <i>
      <x v="435"/>
      <x v="575"/>
      <x/>
      <x v="17"/>
      <x/>
      <x v="3"/>
    </i>
    <i>
      <x v="437"/>
      <x v="49"/>
      <x/>
      <x v="17"/>
      <x/>
      <x v="3"/>
    </i>
    <i>
      <x v="438"/>
      <x v="573"/>
      <x/>
      <x v="17"/>
      <x/>
      <x v="3"/>
    </i>
    <i>
      <x v="439"/>
      <x v="572"/>
      <x/>
      <x v="17"/>
      <x/>
      <x v="1"/>
    </i>
    <i>
      <x v="440"/>
      <x v="574"/>
      <x/>
      <x v="17"/>
      <x/>
      <x v="2"/>
    </i>
    <i>
      <x v="441"/>
      <x v="206"/>
      <x/>
      <x v="17"/>
      <x/>
      <x v="2"/>
    </i>
    <i>
      <x v="442"/>
      <x v="537"/>
      <x/>
      <x v="17"/>
      <x/>
      <x v="3"/>
    </i>
    <i>
      <x v="443"/>
      <x v="308"/>
      <x/>
      <x v="17"/>
      <x/>
      <x v="2"/>
    </i>
    <i>
      <x v="444"/>
      <x v="517"/>
      <x/>
      <x v="17"/>
      <x/>
      <x/>
    </i>
    <i>
      <x v="445"/>
      <x v="239"/>
      <x/>
      <x v="17"/>
      <x/>
      <x v="3"/>
    </i>
    <i>
      <x v="446"/>
      <x v="526"/>
      <x/>
      <x v="17"/>
      <x/>
      <x v="3"/>
    </i>
    <i>
      <x v="447"/>
      <x v="539"/>
      <x/>
      <x v="17"/>
      <x/>
      <x v="1"/>
    </i>
    <i>
      <x v="448"/>
      <x v="219"/>
      <x/>
      <x v="17"/>
      <x/>
      <x v="3"/>
    </i>
    <i>
      <x v="449"/>
      <x v="565"/>
      <x/>
      <x v="17"/>
      <x/>
      <x v="3"/>
    </i>
    <i>
      <x v="450"/>
      <x v="425"/>
      <x/>
      <x v="17"/>
      <x/>
      <x v="3"/>
    </i>
    <i>
      <x v="451"/>
      <x v="524"/>
      <x/>
      <x v="17"/>
      <x/>
      <x v="2"/>
    </i>
    <i>
      <x v="452"/>
      <x v="310"/>
      <x/>
      <x v="17"/>
      <x/>
      <x v="4"/>
    </i>
    <i>
      <x v="453"/>
      <x v="314"/>
      <x/>
      <x v="17"/>
      <x/>
      <x v="4"/>
    </i>
    <i>
      <x v="454"/>
      <x v="274"/>
      <x/>
      <x v="17"/>
      <x/>
      <x v="2"/>
    </i>
    <i>
      <x v="455"/>
      <x v="446"/>
      <x/>
      <x/>
      <x v="40"/>
      <x v="4"/>
    </i>
    <i>
      <x v="456"/>
      <x v="358"/>
      <x/>
      <x v="17"/>
      <x/>
      <x v="4"/>
    </i>
    <i>
      <x v="457"/>
      <x v="370"/>
      <x/>
      <x v="17"/>
      <x/>
      <x v="2"/>
    </i>
    <i>
      <x v="458"/>
      <x v="137"/>
      <x/>
      <x v="17"/>
      <x/>
      <x v="4"/>
    </i>
    <i>
      <x v="459"/>
      <x v="427"/>
      <x/>
      <x v="17"/>
      <x/>
      <x v="1"/>
    </i>
    <i>
      <x v="461"/>
      <x v="15"/>
      <x/>
      <x v="17"/>
      <x/>
      <x v="4"/>
    </i>
    <i>
      <x v="462"/>
      <x v="165"/>
      <x/>
      <x v="17"/>
      <x/>
      <x v="2"/>
    </i>
    <i>
      <x v="463"/>
      <x v="139"/>
      <x/>
      <x v="17"/>
      <x/>
      <x v="3"/>
    </i>
    <i>
      <x v="464"/>
      <x v="130"/>
      <x/>
      <x v="17"/>
      <x/>
      <x/>
    </i>
    <i>
      <x v="465"/>
      <x v="527"/>
      <x/>
      <x v="17"/>
      <x/>
      <x v="4"/>
    </i>
    <i>
      <x v="466"/>
      <x v="16"/>
      <x/>
      <x v="17"/>
      <x/>
      <x v="4"/>
    </i>
    <i>
      <x v="467"/>
      <x v="525"/>
      <x/>
      <x v="17"/>
      <x/>
      <x v="2"/>
    </i>
    <i>
      <x v="468"/>
      <x v="547"/>
      <x/>
      <x v="17"/>
      <x/>
      <x v="3"/>
    </i>
    <i>
      <x v="469"/>
      <x v="543"/>
      <x/>
      <x v="17"/>
      <x/>
      <x v="3"/>
    </i>
    <i>
      <x v="470"/>
      <x v="542"/>
      <x/>
      <x v="17"/>
      <x/>
      <x v="2"/>
    </i>
    <i>
      <x v="471"/>
      <x v="258"/>
      <x/>
      <x v="17"/>
      <x/>
      <x/>
    </i>
    <i>
      <x v="472"/>
      <x v="329"/>
      <x/>
      <x v="17"/>
      <x/>
      <x v="4"/>
    </i>
    <i>
      <x v="473"/>
      <x v="141"/>
      <x/>
      <x v="17"/>
      <x/>
      <x v="1"/>
    </i>
    <i>
      <x v="474"/>
      <x v="253"/>
      <x/>
      <x v="17"/>
      <x/>
      <x v="4"/>
    </i>
    <i>
      <x v="476"/>
      <x v="340"/>
      <x/>
      <x v="17"/>
      <x/>
      <x v="4"/>
    </i>
    <i>
      <x v="477"/>
      <x v="540"/>
      <x/>
      <x v="17"/>
      <x/>
      <x/>
    </i>
    <i>
      <x v="478"/>
      <x v="344"/>
      <x/>
      <x v="17"/>
      <x/>
      <x v="3"/>
    </i>
    <i>
      <x v="480"/>
      <x v="210"/>
      <x/>
      <x v="17"/>
      <x/>
      <x v="2"/>
    </i>
    <i>
      <x v="481"/>
      <x v="562"/>
      <x/>
      <x v="17"/>
      <x/>
      <x v="3"/>
    </i>
    <i>
      <x v="482"/>
      <x v="275"/>
      <x/>
      <x v="17"/>
      <x/>
      <x v="2"/>
    </i>
    <i>
      <x v="483"/>
      <x v="273"/>
      <x/>
      <x v="17"/>
      <x/>
      <x v="2"/>
    </i>
    <i>
      <x v="484"/>
      <x v="220"/>
      <x/>
      <x v="17"/>
      <x/>
      <x v="4"/>
    </i>
    <i>
      <x v="485"/>
      <x v="305"/>
      <x/>
      <x v="17"/>
      <x/>
      <x/>
    </i>
    <i>
      <x v="486"/>
      <x v="83"/>
      <x/>
      <x v="17"/>
      <x/>
      <x v="1"/>
    </i>
    <i>
      <x v="487"/>
      <x v="82"/>
      <x/>
      <x v="17"/>
      <x/>
      <x v="2"/>
    </i>
    <i>
      <x v="488"/>
      <x v="571"/>
      <x/>
      <x v="17"/>
      <x/>
      <x v="2"/>
    </i>
    <i>
      <x v="489"/>
      <x v="482"/>
      <x/>
      <x v="17"/>
      <x/>
      <x v="2"/>
    </i>
    <i>
      <x v="490"/>
      <x v="483"/>
      <x/>
      <x v="17"/>
      <x/>
      <x/>
    </i>
    <i>
      <x v="491"/>
      <x v="476"/>
      <x/>
      <x v="17"/>
      <x/>
      <x v="1"/>
    </i>
    <i>
      <x v="492"/>
      <x v="124"/>
      <x/>
      <x v="17"/>
      <x/>
      <x v="2"/>
    </i>
    <i>
      <x v="493"/>
      <x v="13"/>
      <x/>
      <x v="17"/>
      <x/>
      <x v="2"/>
    </i>
    <i>
      <x v="494"/>
      <x v="241"/>
      <x/>
      <x v="17"/>
      <x/>
      <x v="2"/>
    </i>
    <i>
      <x v="495"/>
      <x v="566"/>
      <x/>
      <x v="17"/>
      <x/>
      <x v="2"/>
    </i>
    <i>
      <x v="496"/>
      <x v="567"/>
      <x/>
      <x v="17"/>
      <x/>
      <x v="2"/>
    </i>
    <i>
      <x v="497"/>
      <x v="563"/>
      <x/>
      <x v="17"/>
      <x/>
      <x v="3"/>
    </i>
    <i>
      <x v="498"/>
      <x v="564"/>
      <x/>
      <x v="17"/>
      <x/>
      <x v="1"/>
    </i>
    <i>
      <x v="499"/>
      <x v="538"/>
      <x/>
      <x v="17"/>
      <x/>
      <x/>
    </i>
    <i>
      <x v="500"/>
      <x v="365"/>
      <x/>
      <x v="17"/>
      <x/>
      <x v="3"/>
    </i>
    <i>
      <x v="501"/>
      <x v="568"/>
      <x/>
      <x v="17"/>
      <x/>
      <x v="2"/>
    </i>
    <i>
      <x v="502"/>
      <x v="569"/>
      <x/>
      <x v="17"/>
      <x/>
      <x v="2"/>
    </i>
    <i>
      <x v="503"/>
      <x v="152"/>
      <x/>
      <x v="17"/>
      <x/>
      <x v="2"/>
    </i>
    <i>
      <x v="504"/>
      <x v="153"/>
      <x/>
      <x v="17"/>
      <x/>
      <x v="3"/>
    </i>
    <i>
      <x v="506"/>
      <x v="474"/>
      <x/>
      <x v="17"/>
      <x/>
      <x v="4"/>
    </i>
    <i>
      <x v="507"/>
      <x v="318"/>
      <x/>
      <x v="17"/>
      <x/>
      <x v="2"/>
    </i>
    <i>
      <x v="509"/>
      <x v="221"/>
      <x/>
      <x v="17"/>
      <x/>
      <x v="3"/>
    </i>
    <i>
      <x v="512"/>
      <x v="481"/>
      <x/>
      <x v="17"/>
      <x/>
      <x v="1"/>
    </i>
    <i>
      <x v="513"/>
      <x v="391"/>
      <x/>
      <x v="17"/>
      <x/>
      <x v="4"/>
    </i>
    <i>
      <x v="515"/>
      <x v="471"/>
      <x/>
      <x v="17"/>
      <x/>
      <x v="3"/>
    </i>
    <i>
      <x v="516"/>
      <x v="570"/>
      <x/>
      <x v="17"/>
      <x/>
      <x v="4"/>
    </i>
    <i>
      <x v="517"/>
      <x v="321"/>
      <x/>
      <x v="17"/>
      <x/>
      <x/>
    </i>
    <i>
      <x v="518"/>
      <x v="154"/>
      <x/>
      <x v="17"/>
      <x/>
      <x v="3"/>
    </i>
    <i>
      <x v="521"/>
      <x v="53"/>
      <x/>
      <x v="17"/>
      <x/>
      <x v="4"/>
    </i>
    <i>
      <x v="523"/>
      <x v="121"/>
      <x/>
      <x v="17"/>
      <x/>
      <x v="1"/>
    </i>
    <i>
      <x v="524"/>
      <x v="455"/>
      <x/>
      <x v="6"/>
      <x v="37"/>
      <x v="4"/>
    </i>
    <i>
      <x v="525"/>
      <x v="388"/>
      <x/>
      <x v="17"/>
      <x/>
      <x v="2"/>
    </i>
    <i>
      <x v="527"/>
      <x v="313"/>
      <x/>
      <x v="17"/>
      <x/>
      <x v="4"/>
    </i>
    <i>
      <x v="529"/>
      <x v="541"/>
      <x/>
      <x v="17"/>
      <x/>
      <x v="3"/>
    </i>
    <i>
      <x v="530"/>
      <x v="366"/>
      <x/>
      <x v="17"/>
      <x/>
      <x v="3"/>
    </i>
    <i>
      <x v="531"/>
      <x v="436"/>
      <x/>
      <x v="17"/>
      <x/>
      <x v="3"/>
    </i>
    <i>
      <x v="532"/>
      <x v="138"/>
      <x/>
      <x v="17"/>
      <x/>
      <x/>
    </i>
    <i>
      <x v="533"/>
      <x v="422"/>
      <x/>
      <x v="17"/>
      <x/>
      <x v="1"/>
    </i>
    <i>
      <x v="534"/>
      <x v="351"/>
      <x/>
      <x v="17"/>
      <x/>
      <x v="4"/>
    </i>
    <i>
      <x v="536"/>
      <x v="371"/>
      <x/>
      <x v="17"/>
      <x/>
      <x v="4"/>
    </i>
    <i>
      <x v="537"/>
      <x v="330"/>
      <x/>
      <x v="17"/>
      <x/>
      <x v="3"/>
    </i>
    <i>
      <x v="538"/>
      <x v="369"/>
      <x/>
      <x v="17"/>
      <x/>
      <x v="1"/>
    </i>
    <i>
      <x v="539"/>
      <x v="353"/>
      <x/>
      <x v="17"/>
      <x v="69"/>
      <x v="4"/>
    </i>
    <i>
      <x v="540"/>
      <x v="353"/>
      <x/>
      <x v="17"/>
      <x v="70"/>
      <x/>
    </i>
    <i>
      <x v="541"/>
      <x v="353"/>
      <x/>
      <x v="17"/>
      <x v="71"/>
      <x v="2"/>
    </i>
    <i>
      <x v="542"/>
      <x v="511"/>
      <x/>
      <x v="11"/>
      <x v="47"/>
      <x v="2"/>
    </i>
    <i>
      <x v="543"/>
      <x v="448"/>
      <x/>
      <x v="17"/>
      <x/>
      <x v="1"/>
    </i>
    <i>
      <x v="544"/>
      <x v="363"/>
      <x/>
      <x v="17"/>
      <x/>
      <x v="3"/>
    </i>
    <i>
      <x v="545"/>
      <x v="259"/>
      <x/>
      <x v="17"/>
      <x/>
      <x v="2"/>
    </i>
    <i>
      <x v="547"/>
      <x v="173"/>
      <x/>
      <x v="17"/>
      <x/>
      <x v="3"/>
    </i>
    <i>
      <x v="549"/>
      <x v="512"/>
      <x/>
      <x v="14"/>
      <x v="54"/>
      <x v="4"/>
    </i>
    <i>
      <x v="550"/>
      <x v="260"/>
      <x/>
      <x v="17"/>
      <x v="12"/>
      <x v="1"/>
    </i>
    <i>
      <x v="551"/>
      <x v="22"/>
      <x/>
      <x v="17"/>
      <x/>
      <x v="3"/>
    </i>
    <i>
      <x v="552"/>
      <x v="21"/>
      <x/>
      <x v="17"/>
      <x/>
      <x v="2"/>
    </i>
    <i>
      <x v="554"/>
      <x v="555"/>
      <x/>
      <x v="17"/>
      <x/>
      <x v="4"/>
    </i>
    <i>
      <x v="555"/>
      <x v="14"/>
      <x/>
      <x v="17"/>
      <x/>
      <x/>
    </i>
    <i>
      <x v="556"/>
      <x v="132"/>
      <x/>
      <x v="17"/>
      <x/>
      <x v="2"/>
    </i>
    <i>
      <x v="557"/>
      <x v="435"/>
      <x/>
      <x v="17"/>
      <x/>
      <x v="4"/>
    </i>
    <i>
      <x v="558"/>
      <x v="17"/>
      <x/>
      <x v="17"/>
      <x/>
      <x v="3"/>
    </i>
    <i>
      <x v="559"/>
      <x v="551"/>
      <x/>
      <x v="17"/>
      <x/>
      <x/>
    </i>
    <i>
      <x v="560"/>
      <x v="140"/>
      <x/>
      <x v="17"/>
      <x/>
      <x/>
    </i>
    <i>
      <x v="561"/>
      <x v="9"/>
      <x/>
      <x v="17"/>
      <x/>
      <x/>
    </i>
    <i>
      <x v="562"/>
      <x v="88"/>
      <x/>
      <x v="10"/>
      <x/>
      <x v="3"/>
    </i>
    <i>
      <x v="563"/>
      <x v="178"/>
      <x/>
      <x v="17"/>
      <x/>
      <x v="1"/>
    </i>
    <i>
      <x v="564"/>
      <x v="438"/>
      <x/>
      <x v="17"/>
      <x/>
      <x v="3"/>
    </i>
    <i>
      <x v="565"/>
      <x v="125"/>
      <x/>
      <x v="17"/>
      <x/>
      <x v="2"/>
    </i>
    <i>
      <x v="566"/>
      <x v="164"/>
      <x/>
      <x v="17"/>
      <x/>
      <x v="3"/>
    </i>
    <i>
      <x v="567"/>
      <x v="447"/>
      <x/>
      <x v="17"/>
      <x/>
      <x v="2"/>
    </i>
    <i>
      <x v="568"/>
      <x v="222"/>
      <x/>
      <x v="17"/>
      <x/>
      <x v="1"/>
    </i>
    <i>
      <x v="569"/>
      <x v="149"/>
      <x/>
      <x v="17"/>
      <x/>
      <x v="1"/>
    </i>
    <i>
      <x v="570"/>
      <x v="43"/>
      <x/>
      <x v="17"/>
      <x/>
      <x v="4"/>
    </i>
    <i>
      <x v="571"/>
      <x v="426"/>
      <x/>
      <x v="17"/>
      <x/>
      <x/>
    </i>
    <i>
      <x v="572"/>
      <x v="513"/>
      <x/>
      <x v="11"/>
      <x v="47"/>
      <x v="1"/>
    </i>
    <i>
      <x v="574"/>
      <x v="129"/>
      <x/>
      <x v="17"/>
      <x/>
      <x v="2"/>
    </i>
    <i>
      <x v="575"/>
      <x v="475"/>
      <x/>
      <x v="17"/>
      <x/>
      <x v="2"/>
    </i>
    <i>
      <x v="576"/>
      <x v="89"/>
      <x/>
      <x v="10"/>
      <x/>
      <x v="4"/>
    </i>
    <i>
      <x v="577"/>
      <x v="319"/>
      <x/>
      <x v="17"/>
      <x/>
      <x/>
    </i>
    <i>
      <x v="578"/>
      <x v="320"/>
      <x/>
      <x v="17"/>
      <x/>
      <x/>
    </i>
    <i>
      <x v="579"/>
      <x v="224"/>
      <x/>
      <x v="17"/>
      <x/>
      <x v="2"/>
    </i>
    <i>
      <x v="580"/>
      <x v="341"/>
      <x/>
      <x v="17"/>
      <x/>
      <x v="3"/>
    </i>
    <i>
      <x v="581"/>
      <x v="561"/>
      <x/>
      <x v="17"/>
      <x/>
      <x v="2"/>
    </i>
    <i>
      <x v="582"/>
      <x v="159"/>
      <x/>
      <x v="17"/>
      <x/>
      <x v="3"/>
    </i>
    <i>
      <x v="583"/>
      <x v="120"/>
      <x/>
      <x v="17"/>
      <x/>
      <x v="4"/>
    </i>
    <i>
      <x v="586"/>
      <x v="315"/>
      <x/>
      <x v="17"/>
      <x/>
      <x v="4"/>
    </i>
    <i>
      <x v="587"/>
      <x v="355"/>
      <x/>
      <x v="17"/>
      <x v="68"/>
      <x v="2"/>
    </i>
    <i>
      <x v="588"/>
      <x v="352"/>
      <x/>
      <x v="17"/>
      <x/>
      <x v="3"/>
    </i>
    <i>
      <x v="590"/>
      <x v="99"/>
      <x/>
      <x v="17"/>
      <x/>
      <x v="2"/>
    </i>
    <i>
      <x v="591"/>
      <x v="322"/>
      <x/>
      <x v="17"/>
      <x/>
      <x/>
    </i>
    <i>
      <x v="592"/>
      <x v="423"/>
      <x/>
      <x v="17"/>
      <x/>
      <x v="3"/>
    </i>
    <i>
      <x v="593"/>
      <x v="10"/>
      <x/>
      <x v="17"/>
      <x/>
      <x v="3"/>
    </i>
    <i>
      <x v="594"/>
      <x v="11"/>
      <x/>
      <x v="17"/>
      <x/>
      <x v="2"/>
    </i>
    <i>
      <x v="595"/>
      <x v="469"/>
      <x/>
      <x v="12"/>
      <x/>
      <x/>
    </i>
    <i>
      <x v="596"/>
      <x v="362"/>
      <x/>
      <x v="17"/>
      <x/>
      <x v="1"/>
    </i>
    <i>
      <x v="597"/>
      <x v="265"/>
      <x/>
      <x v="17"/>
      <x/>
      <x v="4"/>
    </i>
    <i>
      <x v="598"/>
      <x v="136"/>
      <x/>
      <x v="17"/>
      <x/>
      <x/>
    </i>
    <i>
      <x v="600"/>
      <x v="201"/>
      <x/>
      <x v="17"/>
      <x/>
      <x v="2"/>
    </i>
    <i>
      <x v="601"/>
      <x v="109"/>
      <x/>
      <x v="17"/>
      <x/>
      <x v="2"/>
    </i>
    <i>
      <x v="602"/>
      <x v="108"/>
      <x/>
      <x v="17"/>
      <x/>
      <x v="1"/>
    </i>
    <i>
      <x v="604"/>
      <x v="477"/>
      <x/>
      <x v="17"/>
      <x/>
      <x v="2"/>
    </i>
    <i>
      <x v="606"/>
      <x v="508"/>
      <x v="96"/>
      <x v="17"/>
      <x v="66"/>
      <x v="3"/>
    </i>
    <i>
      <x v="608"/>
      <x v="373"/>
      <x/>
      <x v="10"/>
      <x/>
      <x v="4"/>
    </i>
    <i>
      <x v="609"/>
      <x v="374"/>
      <x/>
      <x v="10"/>
      <x/>
      <x v="4"/>
    </i>
    <i>
      <x v="610"/>
      <x v="111"/>
      <x/>
      <x v="17"/>
      <x/>
      <x/>
    </i>
    <i>
      <x v="612"/>
      <x v="354"/>
      <x/>
      <x v="17"/>
      <x v="2"/>
      <x v="4"/>
    </i>
    <i>
      <x v="613"/>
      <x v="202"/>
      <x/>
      <x v="17"/>
      <x/>
      <x/>
    </i>
    <i>
      <x v="614"/>
      <x v="493"/>
      <x/>
      <x v="17"/>
      <x/>
      <x v="3"/>
    </i>
    <i>
      <x v="615"/>
      <x v="494"/>
      <x/>
      <x v="17"/>
      <x/>
      <x v="2"/>
    </i>
    <i>
      <x v="616"/>
      <x v="495"/>
      <x/>
      <x v="17"/>
      <x/>
      <x v="2"/>
    </i>
    <i>
      <x v="617"/>
      <x v="496"/>
      <x/>
      <x v="17"/>
      <x/>
      <x v="2"/>
    </i>
    <i>
      <x v="618"/>
      <x v="492"/>
      <x/>
      <x v="17"/>
      <x/>
      <x v="3"/>
    </i>
    <i>
      <x v="620"/>
      <x v="311"/>
      <x/>
      <x v="17"/>
      <x/>
      <x/>
    </i>
    <i>
      <x v="622"/>
      <x v="454"/>
      <x/>
      <x v="6"/>
      <x v="9"/>
      <x v="4"/>
    </i>
    <i>
      <x v="623"/>
      <x v="470"/>
      <x/>
      <x v="12"/>
      <x/>
      <x v="3"/>
    </i>
    <i>
      <x v="624"/>
      <x v="86"/>
      <x/>
      <x v="17"/>
      <x/>
      <x v="1"/>
    </i>
    <i>
      <x v="625"/>
      <x v="103"/>
      <x/>
      <x v="17"/>
      <x/>
      <x v="3"/>
    </i>
    <i>
      <x v="626"/>
      <x v="123"/>
      <x/>
      <x v="17"/>
      <x/>
      <x v="2"/>
    </i>
    <i>
      <x v="627"/>
      <x v="473"/>
      <x/>
      <x v="12"/>
      <x/>
      <x v="4"/>
    </i>
    <i>
      <x v="628"/>
      <x v="516"/>
      <x/>
      <x v="17"/>
      <x/>
      <x v="3"/>
    </i>
    <i>
      <x v="629"/>
      <x v="375"/>
      <x/>
      <x v="17"/>
      <x/>
      <x v="3"/>
    </i>
    <i>
      <x v="630"/>
      <x v="269"/>
      <x/>
      <x v="17"/>
      <x v="74"/>
      <x v="4"/>
    </i>
    <i>
      <x v="631"/>
      <x v="271"/>
      <x/>
      <x v="17"/>
      <x v="19"/>
      <x/>
    </i>
    <i>
      <x v="632"/>
      <x v="270"/>
      <x/>
      <x v="17"/>
      <x/>
      <x v="4"/>
    </i>
    <i>
      <x v="633"/>
      <x v="266"/>
      <x/>
      <x v="17"/>
      <x/>
      <x v="3"/>
    </i>
    <i>
      <x v="634"/>
      <x v="267"/>
      <x/>
      <x v="17"/>
      <x/>
      <x v="4"/>
    </i>
    <i>
      <x v="635"/>
      <x v="268"/>
      <x/>
      <x v="17"/>
      <x/>
      <x v="4"/>
    </i>
    <i>
      <x v="636"/>
      <x v="272"/>
      <x/>
      <x v="17"/>
      <x/>
      <x/>
    </i>
    <i>
      <x v="637"/>
      <x v="46"/>
      <x/>
      <x v="17"/>
      <x v="24"/>
      <x v="2"/>
    </i>
    <i>
      <x v="638"/>
      <x v="327"/>
      <x/>
      <x v="17"/>
      <x/>
      <x v="1"/>
    </i>
    <i>
      <x v="639"/>
      <x v="328"/>
      <x/>
      <x v="17"/>
      <x/>
      <x v="1"/>
    </i>
    <i>
      <x v="640"/>
      <x v="240"/>
      <x/>
      <x v="17"/>
      <x/>
      <x v="3"/>
    </i>
    <i>
      <x v="642"/>
      <x v="544"/>
      <x/>
      <x v="17"/>
      <x/>
      <x v="4"/>
    </i>
    <i>
      <x v="643"/>
      <x v="104"/>
      <x/>
      <x v="17"/>
      <x/>
      <x/>
    </i>
    <i>
      <x v="644"/>
      <x v="462"/>
      <x/>
      <x v="17"/>
      <x/>
      <x v="1"/>
    </i>
    <i>
      <x v="645"/>
      <x v="316"/>
      <x/>
      <x v="17"/>
      <x v="76"/>
      <x v="2"/>
    </i>
    <i>
      <x v="647"/>
      <x v="451"/>
      <x/>
      <x v="17"/>
      <x/>
      <x v="2"/>
    </i>
    <i>
      <x v="648"/>
      <x v="450"/>
      <x/>
      <x v="17"/>
      <x/>
      <x v="3"/>
    </i>
    <i>
      <x v="649"/>
      <x v="7"/>
      <x/>
      <x v="14"/>
      <x v="75"/>
      <x v="2"/>
    </i>
    <i>
      <x v="651"/>
      <x v="357"/>
      <x/>
      <x v="17"/>
      <x/>
      <x v="3"/>
    </i>
    <i>
      <x v="652"/>
      <x v="119"/>
      <x/>
      <x v="17"/>
      <x v="73"/>
      <x v="2"/>
    </i>
    <i>
      <x v="653"/>
      <x v="452"/>
      <x/>
      <x v="6"/>
      <x v="60"/>
      <x v="1"/>
    </i>
    <i>
      <x v="654"/>
      <x v="150"/>
      <x/>
      <x v="17"/>
      <x/>
      <x v="1"/>
    </i>
    <i>
      <x v="656"/>
      <x v="179"/>
      <x/>
      <x v="17"/>
      <x/>
      <x v="3"/>
    </i>
    <i>
      <x v="657"/>
      <x v="151"/>
      <x/>
      <x v="17"/>
      <x/>
      <x v="1"/>
    </i>
    <i>
      <x v="658"/>
      <x v="419"/>
      <x/>
      <x v="17"/>
      <x/>
      <x v="1"/>
    </i>
    <i>
      <x v="659"/>
      <x v="25"/>
      <x v="2"/>
      <x v="17"/>
      <x v="61"/>
      <x v="4"/>
    </i>
    <i>
      <x v="660"/>
      <x v="355"/>
      <x/>
      <x v="17"/>
      <x v="72"/>
      <x v="4"/>
    </i>
    <i>
      <x v="661"/>
      <x v="522"/>
      <x/>
      <x v="17"/>
      <x v="52"/>
      <x v="2"/>
    </i>
    <i>
      <x v="662"/>
      <x v="472"/>
      <x/>
      <x v="12"/>
      <x/>
      <x v="3"/>
    </i>
    <i>
      <x v="663"/>
      <x v="560"/>
      <x/>
      <x v="17"/>
      <x/>
      <x/>
    </i>
    <i>
      <x v="664"/>
      <x v="360"/>
      <x/>
      <x v="17"/>
      <x/>
      <x v="4"/>
    </i>
    <i>
      <x v="665"/>
      <x v="361"/>
      <x/>
      <x v="17"/>
      <x/>
      <x v="3"/>
    </i>
    <i>
      <x v="666"/>
      <x v="449"/>
      <x/>
      <x v="17"/>
      <x/>
      <x v="2"/>
    </i>
    <i>
      <x v="668"/>
      <x v="532"/>
      <x/>
      <x v="17"/>
      <x/>
      <x v="4"/>
    </i>
    <i>
      <x v="669"/>
      <x v="453"/>
      <x/>
      <x v="17"/>
      <x v="8"/>
      <x v="2"/>
    </i>
    <i>
      <x v="673"/>
      <x v="232"/>
      <x/>
      <x v="17"/>
      <x v="69"/>
      <x v="1"/>
    </i>
    <i>
      <x v="674"/>
      <x v="232"/>
      <x/>
      <x v="17"/>
      <x v="70"/>
      <x v="1"/>
    </i>
    <i>
      <x v="675"/>
      <x v="232"/>
      <x/>
      <x v="17"/>
      <x v="71"/>
      <x v="4"/>
    </i>
    <i>
      <x v="676"/>
      <x v="461"/>
      <x/>
      <x v="17"/>
      <x/>
      <x v="4"/>
    </i>
    <i>
      <x v="677"/>
      <x v="280"/>
      <x v="3"/>
      <x v="17"/>
      <x v="4"/>
      <x v="3"/>
    </i>
    <i t="grand">
      <x/>
    </i>
  </rowItems>
  <colItems count="1">
    <i/>
  </colItems>
  <pageFields count="1">
    <pageField fld="5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blDisponibilidad" displayName="TblDisponibilidad" ref="A3:AA1222" insertRowShift="1" headerRowDxfId="107" dataDxfId="106">
  <autoFilter ref="A3:AA1222" xr:uid="{00000000-0009-0000-0100-000003000000}"/>
  <tableColumns count="27">
    <tableColumn id="1" xr3:uid="{00000000-0010-0000-0000-000001000000}" name="Código" totalsRowLabel="Total" dataDxfId="105" totalsRowDxfId="104"/>
    <tableColumn id="2" xr3:uid="{00000000-0010-0000-0000-000002000000}" name="Descripción" dataDxfId="103" totalsRowDxfId="102"/>
    <tableColumn id="3" xr3:uid="{00000000-0010-0000-0000-000003000000}" name="Concentración" dataDxfId="101" totalsRowDxfId="100"/>
    <tableColumn id="4" xr3:uid="{00000000-0010-0000-0000-000004000000}" name="Presentación" dataDxfId="99" totalsRowDxfId="98"/>
    <tableColumn id="5" xr3:uid="{00000000-0010-0000-0000-000005000000}" name="Forma Farmacéutica" dataDxfId="97" totalsRowDxfId="96"/>
    <tableColumn id="6" xr3:uid="{00000000-0010-0000-0000-000006000000}" name="Tipo" dataDxfId="95" totalsRowDxfId="94"/>
    <tableColumn id="7" xr3:uid="{00000000-0010-0000-0000-000007000000}" name="ago-21" dataDxfId="93" totalsRowDxfId="92"/>
    <tableColumn id="8" xr3:uid="{00000000-0010-0000-0000-000008000000}" name="sep-21" dataDxfId="91" totalsRowDxfId="90"/>
    <tableColumn id="9" xr3:uid="{00000000-0010-0000-0000-000009000000}" name="oct-21" dataDxfId="89" totalsRowDxfId="88"/>
    <tableColumn id="10" xr3:uid="{00000000-0010-0000-0000-00000A000000}" name="nov-21" dataDxfId="87" totalsRowDxfId="86"/>
    <tableColumn id="11" xr3:uid="{00000000-0010-0000-0000-00000B000000}" name="dic-21" dataDxfId="85" totalsRowDxfId="84"/>
    <tableColumn id="12" xr3:uid="{00000000-0010-0000-0000-00000C000000}" name="ene-22" dataDxfId="83" totalsRowDxfId="82"/>
    <tableColumn id="13" xr3:uid="{00000000-0010-0000-0000-00000D000000}" name="feb-22" dataDxfId="81" totalsRowDxfId="80"/>
    <tableColumn id="14" xr3:uid="{00000000-0010-0000-0000-00000E000000}" name="mar-22" dataDxfId="79" totalsRowDxfId="78"/>
    <tableColumn id="15" xr3:uid="{00000000-0010-0000-0000-00000F000000}" name="abr-22" dataDxfId="77" totalsRowDxfId="76"/>
    <tableColumn id="16" xr3:uid="{00000000-0010-0000-0000-000010000000}" name="may-22" dataDxfId="75" totalsRowDxfId="74"/>
    <tableColumn id="17" xr3:uid="{00000000-0010-0000-0000-000011000000}" name="jun-22" dataDxfId="73" totalsRowDxfId="72"/>
    <tableColumn id="18" xr3:uid="{00000000-0010-0000-0000-000012000000}" name="jul-22" dataDxfId="71" totalsRowDxfId="70"/>
    <tableColumn id="19" xr3:uid="{00000000-0010-0000-0000-000013000000}" name="CPMA" dataDxfId="69" totalsRowDxfId="68"/>
    <tableColumn id="20" xr3:uid="{00000000-0010-0000-0000-000014000000}" name="Stock" dataDxfId="67" totalsRowDxfId="66"/>
    <tableColumn id="21" xr3:uid="{00000000-0010-0000-0000-000015000000}" name="Meses rotación" dataDxfId="65" totalsRowDxfId="64"/>
    <tableColumn id="22" xr3:uid="{00000000-0010-0000-0000-000016000000}" name="Meses abastecidos" dataDxfId="63" totalsRowDxfId="62"/>
    <tableColumn id="23" xr3:uid="{00000000-0010-0000-0000-000017000000}" name="Estado" dataDxfId="61" totalsRowDxfId="60"/>
    <tableColumn id="24" xr3:uid="{00000000-0010-0000-0000-000018000000}" name="PNUMEN MEDICAMENTOS" dataDxfId="59" totalsRowDxfId="58"/>
    <tableColumn id="25" xr3:uid="{00000000-0010-0000-0000-000019000000}" name="PNUMEN MATERIAL MEDICO" dataDxfId="57" totalsRowDxfId="56"/>
    <tableColumn id="26" xr3:uid="{00000000-0010-0000-0000-00001A000000}" name="ESTRATEGIA MEDICAMENTOS" dataDxfId="55" totalsRowDxfId="54"/>
    <tableColumn id="27" xr3:uid="{00000000-0010-0000-0000-00001B000000}" name="ESTRATEGIA MATERIAL MEDICO" totalsRowFunction="count" dataDxfId="53" totalsRowDxfId="5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2:S895" totalsRowShown="0" headerRowDxfId="51">
  <autoFilter ref="A2:S895" xr:uid="{00000000-0009-0000-0100-000001000000}"/>
  <tableColumns count="19">
    <tableColumn id="1" xr3:uid="{00000000-0010-0000-0100-000001000000}" name="SISMED" dataDxfId="50"/>
    <tableColumn id="2" xr3:uid="{00000000-0010-0000-0100-000002000000}" name="PRODUCTO" dataDxfId="49">
      <calculatedColumnFormula>IFERROR(VLOOKUP(Tabla1[[#This Row],[SISMED]],TblDisponibilidad[],2,FALSE), "")</calculatedColumnFormula>
    </tableColumn>
    <tableColumn id="3" xr3:uid="{00000000-0010-0000-0100-000003000000}" name="ago-21" dataDxfId="48">
      <calculatedColumnFormula>IFERROR(VLOOKUP(Tabla1[[#This Row],[SISMED]],TblDisponibilidad[],7,FALSE), 0)</calculatedColumnFormula>
    </tableColumn>
    <tableColumn id="4" xr3:uid="{00000000-0010-0000-0100-000004000000}" name="sep-21" dataDxfId="47">
      <calculatedColumnFormula>IFERROR(VLOOKUP(Tabla1[[#This Row],[SISMED]],TblDisponibilidad[],8,FALSE), 0)</calculatedColumnFormula>
    </tableColumn>
    <tableColumn id="5" xr3:uid="{00000000-0010-0000-0100-000005000000}" name="oct-21" dataDxfId="46">
      <calculatedColumnFormula>IFERROR(VLOOKUP(Tabla1[[#This Row],[SISMED]],TblDisponibilidad[],9,FALSE), 0)</calculatedColumnFormula>
    </tableColumn>
    <tableColumn id="6" xr3:uid="{00000000-0010-0000-0100-000006000000}" name="nov-21" dataDxfId="45">
      <calculatedColumnFormula>IFERROR(VLOOKUP(Tabla1[[#This Row],[SISMED]],TblDisponibilidad[],10,FALSE), 0)</calculatedColumnFormula>
    </tableColumn>
    <tableColumn id="7" xr3:uid="{00000000-0010-0000-0100-000007000000}" name="dic-21" dataDxfId="44">
      <calculatedColumnFormula>IFERROR(VLOOKUP(Tabla1[[#This Row],[SISMED]],TblDisponibilidad[],11,FALSE), 0)</calculatedColumnFormula>
    </tableColumn>
    <tableColumn id="8" xr3:uid="{00000000-0010-0000-0100-000008000000}" name="ene-22" dataDxfId="43">
      <calculatedColumnFormula>IFERROR(VLOOKUP(Tabla1[[#This Row],[SISMED]],TblDisponibilidad[],12,FALSE), 0)</calculatedColumnFormula>
    </tableColumn>
    <tableColumn id="9" xr3:uid="{00000000-0010-0000-0100-000009000000}" name="feb-22" dataDxfId="42">
      <calculatedColumnFormula>IFERROR(VLOOKUP(Tabla1[[#This Row],[SISMED]],TblDisponibilidad[],13,FALSE), 0)</calculatedColumnFormula>
    </tableColumn>
    <tableColumn id="10" xr3:uid="{00000000-0010-0000-0100-00000A000000}" name="mar-22" dataDxfId="41">
      <calculatedColumnFormula>IFERROR(VLOOKUP(Tabla1[[#This Row],[SISMED]],TblDisponibilidad[],14,FALSE), 0)</calculatedColumnFormula>
    </tableColumn>
    <tableColumn id="11" xr3:uid="{00000000-0010-0000-0100-00000B000000}" name="abr-22" dataDxfId="40">
      <calculatedColumnFormula>IFERROR(VLOOKUP(Tabla1[[#This Row],[SISMED]],TblDisponibilidad[],15,FALSE), 0)</calculatedColumnFormula>
    </tableColumn>
    <tableColumn id="12" xr3:uid="{00000000-0010-0000-0100-00000C000000}" name="may-22" dataDxfId="39">
      <calculatedColumnFormula>IFERROR(VLOOKUP(Tabla1[[#This Row],[SISMED]],TblDisponibilidad[],16,FALSE), 0)</calculatedColumnFormula>
    </tableColumn>
    <tableColumn id="13" xr3:uid="{00000000-0010-0000-0100-00000D000000}" name="jun-22" dataDxfId="38">
      <calculatedColumnFormula>IFERROR(VLOOKUP(Tabla1[[#This Row],[SISMED]],TblDisponibilidad[],17,FALSE), 0)</calculatedColumnFormula>
    </tableColumn>
    <tableColumn id="14" xr3:uid="{00000000-0010-0000-0100-00000E000000}" name="jul-22" dataDxfId="37">
      <calculatedColumnFormula>IFERROR(VLOOKUP(Tabla1[[#This Row],[SISMED]],TblDisponibilidad[],18,FALSE), 0)</calculatedColumnFormula>
    </tableColumn>
    <tableColumn id="15" xr3:uid="{00000000-0010-0000-0100-00000F000000}" name="CPMA SIS" dataDxfId="36">
      <calculatedColumnFormula>IFERROR(VLOOKUP(Tabla1[[#This Row],[SISMED]],TblDisponibilidad[],19,FALSE), 0)</calculatedColumnFormula>
    </tableColumn>
    <tableColumn id="16" xr3:uid="{00000000-0010-0000-0100-000010000000}" name="Meses Rotacion" dataDxfId="35">
      <calculatedColumnFormula>IFERROR(VLOOKUP(Tabla1[[#This Row],[SISMED]],TblDisponibilidad[],20,FALSE), 0)</calculatedColumnFormula>
    </tableColumn>
    <tableColumn id="17" xr3:uid="{00000000-0010-0000-0100-000011000000}" name="Stock" dataDxfId="34">
      <calculatedColumnFormula>IFERROR(VLOOKUP(Tabla1[[#This Row],[SISMED]],TblDisponibilidad[],21,FALSE), 0)</calculatedColumnFormula>
    </tableColumn>
    <tableColumn id="18" xr3:uid="{00000000-0010-0000-0100-000012000000}" name="Meses Abastecidos" dataDxfId="33">
      <calculatedColumnFormula>IFERROR(VLOOKUP(Tabla1[[#This Row],[SISMED]],TblDisponibilidad[],22,FALSE), 0)</calculatedColumnFormula>
    </tableColumn>
    <tableColumn id="19" xr3:uid="{00000000-0010-0000-0100-000013000000}" name="Estado" dataDxfId="32">
      <calculatedColumnFormula>IFERROR(VLOOKUP(Tabla1[[#This Row],[SISMED]],TblDisponibilidad[],23,FALSE), 0)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C8BE15-400F-4AC2-B5CE-CE6D8E5DBC56}" name="Tabla13" displayName="Tabla13" ref="A2:S895" totalsRowShown="0" headerRowDxfId="19">
  <autoFilter ref="A2:S895" xr:uid="{00000000-0009-0000-0100-000001000000}"/>
  <tableColumns count="19">
    <tableColumn id="1" xr3:uid="{62AE37DC-6612-4640-A126-12AEE6304232}" name="SISMED" dataDxfId="18"/>
    <tableColumn id="2" xr3:uid="{D46D1641-B72E-4871-89C5-00E477E7E780}" name="PRODUCTO" dataDxfId="17">
      <calculatedColumnFormula>IFERROR(VLOOKUP(Tabla13[[#This Row],[SISMED]],TblDisponibilidad[],2,FALSE), "")</calculatedColumnFormula>
    </tableColumn>
    <tableColumn id="3" xr3:uid="{DCDA2C66-39A3-4A66-9FF8-E8998B5CC44E}" name="ago-21" dataDxfId="16">
      <calculatedColumnFormula>IFERROR(VLOOKUP(Tabla13[[#This Row],[SISMED]],TblDisponibilidad[],7,FALSE), 0)</calculatedColumnFormula>
    </tableColumn>
    <tableColumn id="4" xr3:uid="{6BA2FEEB-361E-46D7-8047-0AD3F7F478B7}" name="sep-21" dataDxfId="15">
      <calculatedColumnFormula>IFERROR(VLOOKUP(Tabla13[[#This Row],[SISMED]],TblDisponibilidad[],8,FALSE), 0)</calculatedColumnFormula>
    </tableColumn>
    <tableColumn id="5" xr3:uid="{313F66E4-DE4E-4D5C-8C24-96D3B581ED72}" name="oct-21" dataDxfId="14">
      <calculatedColumnFormula>IFERROR(VLOOKUP(Tabla13[[#This Row],[SISMED]],TblDisponibilidad[],9,FALSE), 0)</calculatedColumnFormula>
    </tableColumn>
    <tableColumn id="6" xr3:uid="{12E0A022-0B0C-4048-99AE-AEDD09288D9B}" name="nov-21" dataDxfId="13">
      <calculatedColumnFormula>IFERROR(VLOOKUP(Tabla13[[#This Row],[SISMED]],TblDisponibilidad[],10,FALSE), 0)</calculatedColumnFormula>
    </tableColumn>
    <tableColumn id="7" xr3:uid="{33BEDF9B-16C6-46A9-9D38-9E34399C2061}" name="dic-21" dataDxfId="12">
      <calculatedColumnFormula>IFERROR(VLOOKUP(Tabla13[[#This Row],[SISMED]],TblDisponibilidad[],11,FALSE), 0)</calculatedColumnFormula>
    </tableColumn>
    <tableColumn id="8" xr3:uid="{F94E36DB-F213-4DE5-8CD0-4E4BEB784C49}" name="ene-22" dataDxfId="11">
      <calculatedColumnFormula>IFERROR(VLOOKUP(Tabla13[[#This Row],[SISMED]],TblDisponibilidad[],12,FALSE), 0)</calculatedColumnFormula>
    </tableColumn>
    <tableColumn id="9" xr3:uid="{375B7C2C-FB28-48F1-AD32-32FD31AC3AC9}" name="feb-22" dataDxfId="10">
      <calculatedColumnFormula>IFERROR(VLOOKUP(Tabla13[[#This Row],[SISMED]],TblDisponibilidad[],13,FALSE), 0)</calculatedColumnFormula>
    </tableColumn>
    <tableColumn id="10" xr3:uid="{62A866B1-28E5-4F4B-B166-BC869F02E9EE}" name="mar-22" dataDxfId="9">
      <calculatedColumnFormula>IFERROR(VLOOKUP(Tabla13[[#This Row],[SISMED]],TblDisponibilidad[],14,FALSE), 0)</calculatedColumnFormula>
    </tableColumn>
    <tableColumn id="11" xr3:uid="{4370BAEB-C05A-4D33-A41D-05DEE63A7ED7}" name="abr-22" dataDxfId="8">
      <calculatedColumnFormula>IFERROR(VLOOKUP(Tabla13[[#This Row],[SISMED]],TblDisponibilidad[],15,FALSE), 0)</calculatedColumnFormula>
    </tableColumn>
    <tableColumn id="12" xr3:uid="{6E96FE90-40F1-4AE0-B836-A005028DE308}" name="may-22" dataDxfId="7">
      <calculatedColumnFormula>IFERROR(VLOOKUP(Tabla13[[#This Row],[SISMED]],TblDisponibilidad[],16,FALSE), 0)</calculatedColumnFormula>
    </tableColumn>
    <tableColumn id="13" xr3:uid="{C19D438B-71DC-4047-968E-346D33B86DC4}" name="jun-22" dataDxfId="6">
      <calculatedColumnFormula>IFERROR(VLOOKUP(Tabla13[[#This Row],[SISMED]],TblDisponibilidad[],17,FALSE), 0)</calculatedColumnFormula>
    </tableColumn>
    <tableColumn id="14" xr3:uid="{6FE58961-FF92-4FFE-A37A-8EA6A3EC9535}" name="jul-22" dataDxfId="5">
      <calculatedColumnFormula>IFERROR(VLOOKUP(Tabla13[[#This Row],[SISMED]],TblDisponibilidad[],18,FALSE), 0)</calculatedColumnFormula>
    </tableColumn>
    <tableColumn id="15" xr3:uid="{9D4B01BE-E79B-47B5-8B7C-1E1F80F4004E}" name="CPMA SIS" dataDxfId="4">
      <calculatedColumnFormula>IFERROR(VLOOKUP(Tabla13[[#This Row],[SISMED]],TblDisponibilidad[],19,FALSE), 0)</calculatedColumnFormula>
    </tableColumn>
    <tableColumn id="16" xr3:uid="{209D361B-56B6-46A1-846B-6EB6C5144D4C}" name="Meses Rotacion" dataDxfId="3">
      <calculatedColumnFormula>IFERROR(VLOOKUP(Tabla13[[#This Row],[SISMED]],TblDisponibilidad[],20,FALSE), 0)</calculatedColumnFormula>
    </tableColumn>
    <tableColumn id="17" xr3:uid="{BD3950B8-E56B-45DE-AF2F-352F6D0C9CB1}" name="Stock" dataDxfId="2">
      <calculatedColumnFormula>IFERROR(VLOOKUP(Tabla13[[#This Row],[SISMED]],TblDisponibilidad[],21,FALSE), 0)</calculatedColumnFormula>
    </tableColumn>
    <tableColumn id="18" xr3:uid="{11B55236-D65A-48DA-871A-AACBF2EA0F21}" name="Meses Abastecidos" dataDxfId="1">
      <calculatedColumnFormula>IFERROR(VLOOKUP(Tabla13[[#This Row],[SISMED]],TblDisponibilidad[],22,FALSE), 0)</calculatedColumnFormula>
    </tableColumn>
    <tableColumn id="19" xr3:uid="{57C443E7-2D4F-4AF9-9B17-91FD922792BB}" name="Estado" dataDxfId="0">
      <calculatedColumnFormula>IFERROR(VLOOKUP(Tabla13[[#This Row],[SISMED]],TblDisponibilidad[],23,FALSE), 0)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22"/>
  <sheetViews>
    <sheetView zoomScale="85" zoomScaleNormal="85" workbookViewId="0">
      <selection activeCell="T2" sqref="T2"/>
    </sheetView>
  </sheetViews>
  <sheetFormatPr baseColWidth="10" defaultRowHeight="14.4" x14ac:dyDescent="0.3"/>
  <cols>
    <col min="1" max="1" width="9.109375" customWidth="1"/>
    <col min="2" max="2" width="31.6640625" customWidth="1"/>
    <col min="3" max="3" width="16.109375" customWidth="1"/>
    <col min="4" max="4" width="13.6640625" customWidth="1"/>
    <col min="5" max="5" width="14.88671875" customWidth="1"/>
    <col min="6" max="6" width="10" bestFit="1" customWidth="1"/>
    <col min="7" max="7" width="12.33203125" bestFit="1" customWidth="1"/>
    <col min="8" max="8" width="12.109375" bestFit="1" customWidth="1"/>
    <col min="9" max="9" width="11.6640625" bestFit="1" customWidth="1"/>
    <col min="10" max="10" width="12.33203125" bestFit="1" customWidth="1"/>
    <col min="11" max="11" width="11.5546875" bestFit="1" customWidth="1"/>
    <col min="12" max="12" width="12.33203125" bestFit="1" customWidth="1"/>
    <col min="13" max="13" width="11.88671875" bestFit="1" customWidth="1"/>
    <col min="14" max="14" width="12.5546875" bestFit="1" customWidth="1"/>
    <col min="15" max="15" width="11.88671875" bestFit="1" customWidth="1"/>
    <col min="16" max="16" width="12.88671875" bestFit="1" customWidth="1"/>
    <col min="17" max="17" width="11.6640625" bestFit="1" customWidth="1"/>
    <col min="18" max="18" width="11.33203125" bestFit="1" customWidth="1"/>
    <col min="19" max="19" width="11.44140625" bestFit="1" customWidth="1"/>
    <col min="20" max="20" width="20" customWidth="1"/>
    <col min="21" max="21" width="13.109375" customWidth="1"/>
    <col min="22" max="22" width="16" customWidth="1"/>
    <col min="23" max="23" width="15.5546875" customWidth="1"/>
    <col min="24" max="24" width="21.5546875" customWidth="1"/>
    <col min="25" max="25" width="20.5546875" customWidth="1"/>
    <col min="26" max="26" width="21.6640625" customWidth="1"/>
    <col min="27" max="27" width="20.6640625" customWidth="1"/>
  </cols>
  <sheetData>
    <row r="1" spans="1:27" ht="24.75" customHeight="1" x14ac:dyDescent="0.3">
      <c r="T1" s="7" t="s">
        <v>27</v>
      </c>
    </row>
    <row r="2" spans="1:27" ht="30" customHeight="1" x14ac:dyDescent="0.3">
      <c r="G2" s="66" t="s">
        <v>26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T2" s="8" t="e">
        <f>((COUNTIF(TblDisponibilidad[Estado],"NORMO STOCK"))+(COUNTIF(TblDisponibilidad[Estado],"SOBRE STOCK")))/(((COUNTIF(TblDisponibilidad[Estado],"&lt;&gt;solid"))-(COUNTIF(TblDisponibilidad[Estado],"=No Rota"))-(COUNTBLANK(TblDisponibilidad[Estado]))))</f>
        <v>#DIV/0!</v>
      </c>
    </row>
    <row r="3" spans="1:27" ht="37.5" customHeight="1" x14ac:dyDescent="0.3">
      <c r="A3" s="1" t="s">
        <v>25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3" t="s">
        <v>13</v>
      </c>
      <c r="H3" s="3" t="s">
        <v>14</v>
      </c>
      <c r="I3" s="3" t="s">
        <v>15</v>
      </c>
      <c r="J3" s="3" t="s">
        <v>16</v>
      </c>
      <c r="K3" s="3" t="s">
        <v>17</v>
      </c>
      <c r="L3" s="3" t="s">
        <v>18</v>
      </c>
      <c r="M3" s="3" t="s">
        <v>19</v>
      </c>
      <c r="N3" s="3" t="s">
        <v>20</v>
      </c>
      <c r="O3" s="3" t="s">
        <v>21</v>
      </c>
      <c r="P3" s="3" t="s">
        <v>22</v>
      </c>
      <c r="Q3" s="3" t="s">
        <v>23</v>
      </c>
      <c r="R3" s="3" t="s">
        <v>24</v>
      </c>
      <c r="S3" s="2" t="s">
        <v>5</v>
      </c>
      <c r="T3" s="4" t="s">
        <v>926</v>
      </c>
      <c r="U3" s="2" t="s">
        <v>6</v>
      </c>
      <c r="V3" s="2" t="s">
        <v>7</v>
      </c>
      <c r="W3" s="2" t="s">
        <v>8</v>
      </c>
      <c r="X3" s="2" t="s">
        <v>9</v>
      </c>
      <c r="Y3" s="2" t="s">
        <v>10</v>
      </c>
      <c r="Z3" s="2" t="s">
        <v>11</v>
      </c>
      <c r="AA3" s="2" t="s">
        <v>12</v>
      </c>
    </row>
    <row r="4" spans="1:27" x14ac:dyDescent="0.3">
      <c r="A4" s="6"/>
      <c r="B4" s="6"/>
      <c r="C4" s="6"/>
      <c r="D4" s="6"/>
      <c r="E4" s="6"/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x14ac:dyDescent="0.3">
      <c r="A5" s="10"/>
      <c r="B5" s="10"/>
      <c r="C5" s="10"/>
      <c r="D5" s="10"/>
      <c r="E5" s="10"/>
      <c r="F5" s="10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5"/>
      <c r="X5" s="9"/>
      <c r="Y5" s="9"/>
      <c r="Z5" s="9"/>
      <c r="AA5" s="9"/>
    </row>
    <row r="6" spans="1:27" x14ac:dyDescent="0.3">
      <c r="A6" s="10"/>
      <c r="B6" s="10"/>
      <c r="C6" s="10"/>
      <c r="D6" s="10"/>
      <c r="E6" s="10"/>
      <c r="F6" s="10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5"/>
      <c r="X6" s="9"/>
      <c r="Y6" s="9"/>
      <c r="Z6" s="9"/>
      <c r="AA6" s="9"/>
    </row>
    <row r="7" spans="1:27" x14ac:dyDescent="0.3">
      <c r="A7" s="10"/>
      <c r="B7" s="10"/>
      <c r="C7" s="10"/>
      <c r="D7" s="10"/>
      <c r="E7" s="10"/>
      <c r="F7" s="10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5"/>
      <c r="X7" s="9"/>
      <c r="Y7" s="9"/>
      <c r="Z7" s="9"/>
      <c r="AA7" s="9"/>
    </row>
    <row r="8" spans="1:27" x14ac:dyDescent="0.3">
      <c r="A8" s="10"/>
      <c r="B8" s="10"/>
      <c r="C8" s="10"/>
      <c r="D8" s="10"/>
      <c r="E8" s="10"/>
      <c r="F8" s="10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5"/>
      <c r="X8" s="9"/>
      <c r="Y8" s="9"/>
      <c r="Z8" s="9"/>
      <c r="AA8" s="9"/>
    </row>
    <row r="9" spans="1:27" x14ac:dyDescent="0.3">
      <c r="A9" s="10"/>
      <c r="B9" s="10"/>
      <c r="C9" s="10"/>
      <c r="D9" s="10"/>
      <c r="E9" s="10"/>
      <c r="F9" s="10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5"/>
      <c r="X9" s="9"/>
      <c r="Y9" s="9"/>
      <c r="Z9" s="9"/>
      <c r="AA9" s="9"/>
    </row>
    <row r="10" spans="1:27" x14ac:dyDescent="0.3">
      <c r="A10" s="10"/>
      <c r="B10" s="10"/>
      <c r="C10" s="10"/>
      <c r="D10" s="10"/>
      <c r="E10" s="10"/>
      <c r="F10" s="10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5"/>
      <c r="X10" s="9"/>
      <c r="Y10" s="9"/>
      <c r="Z10" s="9"/>
      <c r="AA10" s="9"/>
    </row>
    <row r="11" spans="1:27" x14ac:dyDescent="0.3">
      <c r="A11" s="10"/>
      <c r="B11" s="10"/>
      <c r="C11" s="10"/>
      <c r="D11" s="10"/>
      <c r="E11" s="10"/>
      <c r="F11" s="10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5"/>
      <c r="X11" s="9"/>
      <c r="Y11" s="9"/>
      <c r="Z11" s="9"/>
      <c r="AA11" s="9"/>
    </row>
    <row r="12" spans="1:27" x14ac:dyDescent="0.3">
      <c r="A12" s="10"/>
      <c r="B12" s="10"/>
      <c r="C12" s="10"/>
      <c r="D12" s="10"/>
      <c r="E12" s="10"/>
      <c r="F12" s="10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5"/>
      <c r="X12" s="9"/>
      <c r="Y12" s="9"/>
      <c r="Z12" s="9"/>
      <c r="AA12" s="9"/>
    </row>
    <row r="13" spans="1:27" x14ac:dyDescent="0.3">
      <c r="A13" s="10"/>
      <c r="B13" s="10"/>
      <c r="C13" s="10"/>
      <c r="D13" s="10"/>
      <c r="E13" s="10"/>
      <c r="F13" s="10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5"/>
      <c r="X13" s="9"/>
      <c r="Y13" s="9"/>
      <c r="Z13" s="9"/>
      <c r="AA13" s="9"/>
    </row>
    <row r="14" spans="1:27" x14ac:dyDescent="0.3">
      <c r="A14" s="10"/>
      <c r="B14" s="10"/>
      <c r="C14" s="10"/>
      <c r="D14" s="10"/>
      <c r="E14" s="10"/>
      <c r="F14" s="10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5"/>
      <c r="X14" s="9"/>
      <c r="Y14" s="9"/>
      <c r="Z14" s="9"/>
      <c r="AA14" s="9"/>
    </row>
    <row r="15" spans="1:27" x14ac:dyDescent="0.3">
      <c r="A15" s="10"/>
      <c r="B15" s="10"/>
      <c r="C15" s="10"/>
      <c r="D15" s="10"/>
      <c r="E15" s="10"/>
      <c r="F15" s="10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5"/>
      <c r="X15" s="9"/>
      <c r="Y15" s="9"/>
      <c r="Z15" s="9"/>
      <c r="AA15" s="9"/>
    </row>
    <row r="16" spans="1:27" x14ac:dyDescent="0.3">
      <c r="A16" s="10"/>
      <c r="B16" s="10"/>
      <c r="C16" s="10"/>
      <c r="D16" s="10"/>
      <c r="E16" s="10"/>
      <c r="F16" s="10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5"/>
      <c r="X16" s="9"/>
      <c r="Y16" s="9"/>
      <c r="Z16" s="9"/>
      <c r="AA16" s="9"/>
    </row>
    <row r="17" spans="1:27" x14ac:dyDescent="0.3">
      <c r="A17" s="10"/>
      <c r="B17" s="10"/>
      <c r="C17" s="10"/>
      <c r="D17" s="10"/>
      <c r="E17" s="10"/>
      <c r="F17" s="10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5"/>
      <c r="X17" s="9"/>
      <c r="Y17" s="9"/>
      <c r="Z17" s="9"/>
      <c r="AA17" s="9"/>
    </row>
    <row r="18" spans="1:27" x14ac:dyDescent="0.3">
      <c r="A18" s="10"/>
      <c r="B18" s="10"/>
      <c r="C18" s="10"/>
      <c r="D18" s="10"/>
      <c r="E18" s="10"/>
      <c r="F18" s="10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5"/>
      <c r="X18" s="9"/>
      <c r="Y18" s="9"/>
      <c r="Z18" s="9"/>
      <c r="AA18" s="9"/>
    </row>
    <row r="19" spans="1:27" x14ac:dyDescent="0.3">
      <c r="A19" s="10"/>
      <c r="B19" s="10"/>
      <c r="C19" s="10"/>
      <c r="D19" s="10"/>
      <c r="E19" s="10"/>
      <c r="F19" s="10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5"/>
      <c r="X19" s="9"/>
      <c r="Y19" s="9"/>
      <c r="Z19" s="9"/>
      <c r="AA19" s="9"/>
    </row>
    <row r="20" spans="1:27" x14ac:dyDescent="0.3">
      <c r="A20" s="10"/>
      <c r="B20" s="10"/>
      <c r="C20" s="10"/>
      <c r="D20" s="10"/>
      <c r="E20" s="10"/>
      <c r="F20" s="10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5"/>
      <c r="X20" s="9"/>
      <c r="Y20" s="9"/>
      <c r="Z20" s="9"/>
      <c r="AA20" s="9"/>
    </row>
    <row r="21" spans="1:27" x14ac:dyDescent="0.3">
      <c r="A21" s="10"/>
      <c r="B21" s="10"/>
      <c r="C21" s="10"/>
      <c r="D21" s="10"/>
      <c r="E21" s="10"/>
      <c r="F21" s="10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5"/>
      <c r="X21" s="9"/>
      <c r="Y21" s="9"/>
      <c r="Z21" s="9"/>
      <c r="AA21" s="9"/>
    </row>
    <row r="22" spans="1:27" x14ac:dyDescent="0.3">
      <c r="A22" s="10"/>
      <c r="B22" s="10"/>
      <c r="C22" s="10"/>
      <c r="D22" s="10"/>
      <c r="E22" s="10"/>
      <c r="F22" s="10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5"/>
      <c r="X22" s="9"/>
      <c r="Y22" s="9"/>
      <c r="Z22" s="9"/>
      <c r="AA22" s="9"/>
    </row>
    <row r="23" spans="1:27" x14ac:dyDescent="0.3">
      <c r="A23" s="10"/>
      <c r="B23" s="10"/>
      <c r="C23" s="10"/>
      <c r="D23" s="10"/>
      <c r="E23" s="10"/>
      <c r="F23" s="10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5"/>
      <c r="X23" s="9"/>
      <c r="Y23" s="9"/>
      <c r="Z23" s="9"/>
      <c r="AA23" s="9"/>
    </row>
    <row r="24" spans="1:27" x14ac:dyDescent="0.3">
      <c r="A24" s="10"/>
      <c r="B24" s="10"/>
      <c r="C24" s="10"/>
      <c r="D24" s="10"/>
      <c r="E24" s="10"/>
      <c r="F24" s="10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5"/>
      <c r="X24" s="9"/>
      <c r="Y24" s="9"/>
      <c r="Z24" s="9"/>
      <c r="AA24" s="9"/>
    </row>
    <row r="25" spans="1:27" x14ac:dyDescent="0.3">
      <c r="A25" s="10"/>
      <c r="B25" s="10"/>
      <c r="C25" s="10"/>
      <c r="D25" s="10"/>
      <c r="E25" s="10"/>
      <c r="F25" s="10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5"/>
      <c r="X25" s="9"/>
      <c r="Y25" s="9"/>
      <c r="Z25" s="9"/>
      <c r="AA25" s="9"/>
    </row>
    <row r="26" spans="1:27" x14ac:dyDescent="0.3">
      <c r="A26" s="10"/>
      <c r="B26" s="10"/>
      <c r="C26" s="10"/>
      <c r="D26" s="10"/>
      <c r="E26" s="10"/>
      <c r="F26" s="10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5"/>
      <c r="X26" s="9"/>
      <c r="Y26" s="9"/>
      <c r="Z26" s="9"/>
      <c r="AA26" s="9"/>
    </row>
    <row r="27" spans="1:27" x14ac:dyDescent="0.3">
      <c r="A27" s="10"/>
      <c r="B27" s="10"/>
      <c r="C27" s="10"/>
      <c r="D27" s="10"/>
      <c r="E27" s="10"/>
      <c r="F27" s="10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5"/>
      <c r="X27" s="9"/>
      <c r="Y27" s="9"/>
      <c r="Z27" s="9"/>
      <c r="AA27" s="9"/>
    </row>
    <row r="28" spans="1:27" x14ac:dyDescent="0.3">
      <c r="A28" s="10"/>
      <c r="B28" s="10"/>
      <c r="C28" s="10"/>
      <c r="D28" s="10"/>
      <c r="E28" s="10"/>
      <c r="F28" s="10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5"/>
      <c r="X28" s="9"/>
      <c r="Y28" s="9"/>
      <c r="Z28" s="9"/>
      <c r="AA28" s="9"/>
    </row>
    <row r="29" spans="1:27" x14ac:dyDescent="0.3">
      <c r="A29" s="10"/>
      <c r="B29" s="10"/>
      <c r="C29" s="10"/>
      <c r="D29" s="10"/>
      <c r="E29" s="10"/>
      <c r="F29" s="10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5"/>
      <c r="X29" s="9"/>
      <c r="Y29" s="9"/>
      <c r="Z29" s="9"/>
      <c r="AA29" s="9"/>
    </row>
    <row r="30" spans="1:27" x14ac:dyDescent="0.3">
      <c r="A30" s="10"/>
      <c r="B30" s="10"/>
      <c r="C30" s="10"/>
      <c r="D30" s="10"/>
      <c r="E30" s="10"/>
      <c r="F30" s="10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5"/>
      <c r="X30" s="9"/>
      <c r="Y30" s="9"/>
      <c r="Z30" s="9"/>
      <c r="AA30" s="9"/>
    </row>
    <row r="31" spans="1:27" x14ac:dyDescent="0.3">
      <c r="A31" s="10"/>
      <c r="B31" s="10"/>
      <c r="C31" s="10"/>
      <c r="D31" s="10"/>
      <c r="E31" s="10"/>
      <c r="F31" s="10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5"/>
      <c r="X31" s="9"/>
      <c r="Y31" s="9"/>
      <c r="Z31" s="9"/>
      <c r="AA31" s="9"/>
    </row>
    <row r="32" spans="1:27" x14ac:dyDescent="0.3">
      <c r="A32" s="10"/>
      <c r="B32" s="10"/>
      <c r="C32" s="10"/>
      <c r="D32" s="10"/>
      <c r="E32" s="10"/>
      <c r="F32" s="10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5"/>
      <c r="X32" s="9"/>
      <c r="Y32" s="9"/>
      <c r="Z32" s="9"/>
      <c r="AA32" s="9"/>
    </row>
    <row r="33" spans="1:27" x14ac:dyDescent="0.3">
      <c r="A33" s="10"/>
      <c r="B33" s="10"/>
      <c r="C33" s="10"/>
      <c r="D33" s="10"/>
      <c r="E33" s="10"/>
      <c r="F33" s="10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5"/>
      <c r="X33" s="9"/>
      <c r="Y33" s="9"/>
      <c r="Z33" s="9"/>
      <c r="AA33" s="9"/>
    </row>
    <row r="34" spans="1:27" x14ac:dyDescent="0.3">
      <c r="A34" s="10"/>
      <c r="B34" s="10"/>
      <c r="C34" s="10"/>
      <c r="D34" s="10"/>
      <c r="E34" s="10"/>
      <c r="F34" s="10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5"/>
      <c r="X34" s="9"/>
      <c r="Y34" s="9"/>
      <c r="Z34" s="9"/>
      <c r="AA34" s="9"/>
    </row>
    <row r="35" spans="1:27" x14ac:dyDescent="0.3">
      <c r="A35" s="10"/>
      <c r="B35" s="10"/>
      <c r="C35" s="10"/>
      <c r="D35" s="10"/>
      <c r="E35" s="10"/>
      <c r="F35" s="10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5"/>
      <c r="X35" s="9"/>
      <c r="Y35" s="9"/>
      <c r="Z35" s="9"/>
      <c r="AA35" s="9"/>
    </row>
    <row r="36" spans="1:27" x14ac:dyDescent="0.3">
      <c r="A36" s="10"/>
      <c r="B36" s="10"/>
      <c r="C36" s="10"/>
      <c r="D36" s="10"/>
      <c r="E36" s="10"/>
      <c r="F36" s="10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5"/>
      <c r="X36" s="9"/>
      <c r="Y36" s="9"/>
      <c r="Z36" s="9"/>
      <c r="AA36" s="9"/>
    </row>
    <row r="37" spans="1:27" x14ac:dyDescent="0.3">
      <c r="A37" s="10"/>
      <c r="B37" s="10"/>
      <c r="C37" s="10"/>
      <c r="D37" s="10"/>
      <c r="E37" s="10"/>
      <c r="F37" s="10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5"/>
      <c r="X37" s="9"/>
      <c r="Y37" s="9"/>
      <c r="Z37" s="9"/>
      <c r="AA37" s="9"/>
    </row>
    <row r="38" spans="1:27" x14ac:dyDescent="0.3">
      <c r="A38" s="10"/>
      <c r="B38" s="10"/>
      <c r="C38" s="10"/>
      <c r="D38" s="10"/>
      <c r="E38" s="10"/>
      <c r="F38" s="10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5"/>
      <c r="X38" s="9"/>
      <c r="Y38" s="9"/>
      <c r="Z38" s="9"/>
      <c r="AA38" s="9"/>
    </row>
    <row r="39" spans="1:27" x14ac:dyDescent="0.3">
      <c r="A39" s="10"/>
      <c r="B39" s="10"/>
      <c r="C39" s="10"/>
      <c r="D39" s="10"/>
      <c r="E39" s="10"/>
      <c r="F39" s="10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5"/>
      <c r="X39" s="9"/>
      <c r="Y39" s="9"/>
      <c r="Z39" s="9"/>
      <c r="AA39" s="9"/>
    </row>
    <row r="40" spans="1:27" x14ac:dyDescent="0.3">
      <c r="A40" s="10"/>
      <c r="B40" s="10"/>
      <c r="C40" s="10"/>
      <c r="D40" s="10"/>
      <c r="E40" s="10"/>
      <c r="F40" s="10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5"/>
      <c r="X40" s="9"/>
      <c r="Y40" s="9"/>
      <c r="Z40" s="9"/>
      <c r="AA40" s="9"/>
    </row>
    <row r="41" spans="1:27" x14ac:dyDescent="0.3">
      <c r="A41" s="10"/>
      <c r="B41" s="10"/>
      <c r="C41" s="10"/>
      <c r="D41" s="10"/>
      <c r="E41" s="10"/>
      <c r="F41" s="10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5"/>
      <c r="X41" s="9"/>
      <c r="Y41" s="9"/>
      <c r="Z41" s="9"/>
      <c r="AA41" s="9"/>
    </row>
    <row r="42" spans="1:27" x14ac:dyDescent="0.3">
      <c r="A42" s="10"/>
      <c r="B42" s="10"/>
      <c r="C42" s="10"/>
      <c r="D42" s="10"/>
      <c r="E42" s="10"/>
      <c r="F42" s="10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5"/>
      <c r="X42" s="9"/>
      <c r="Y42" s="9"/>
      <c r="Z42" s="9"/>
      <c r="AA42" s="9"/>
    </row>
    <row r="43" spans="1:27" x14ac:dyDescent="0.3">
      <c r="A43" s="10"/>
      <c r="B43" s="10"/>
      <c r="C43" s="10"/>
      <c r="D43" s="10"/>
      <c r="E43" s="10"/>
      <c r="F43" s="10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5"/>
      <c r="X43" s="9"/>
      <c r="Y43" s="9"/>
      <c r="Z43" s="9"/>
      <c r="AA43" s="9"/>
    </row>
    <row r="44" spans="1:27" x14ac:dyDescent="0.3">
      <c r="A44" s="10"/>
      <c r="B44" s="10"/>
      <c r="C44" s="10"/>
      <c r="D44" s="10"/>
      <c r="E44" s="10"/>
      <c r="F44" s="10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5"/>
      <c r="X44" s="9"/>
      <c r="Y44" s="9"/>
      <c r="Z44" s="9"/>
      <c r="AA44" s="9"/>
    </row>
    <row r="45" spans="1:27" x14ac:dyDescent="0.3">
      <c r="A45" s="10"/>
      <c r="B45" s="10"/>
      <c r="C45" s="10"/>
      <c r="D45" s="10"/>
      <c r="E45" s="10"/>
      <c r="F45" s="10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5"/>
      <c r="X45" s="9"/>
      <c r="Y45" s="9"/>
      <c r="Z45" s="9"/>
      <c r="AA45" s="9"/>
    </row>
    <row r="46" spans="1:27" x14ac:dyDescent="0.3">
      <c r="A46" s="10"/>
      <c r="B46" s="10"/>
      <c r="C46" s="10"/>
      <c r="D46" s="10"/>
      <c r="E46" s="10"/>
      <c r="F46" s="10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5"/>
      <c r="X46" s="9"/>
      <c r="Y46" s="9"/>
      <c r="Z46" s="9"/>
      <c r="AA46" s="9"/>
    </row>
    <row r="47" spans="1:27" x14ac:dyDescent="0.3">
      <c r="A47" s="10"/>
      <c r="B47" s="10"/>
      <c r="C47" s="10"/>
      <c r="D47" s="10"/>
      <c r="E47" s="10"/>
      <c r="F47" s="10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5"/>
      <c r="X47" s="9"/>
      <c r="Y47" s="9"/>
      <c r="Z47" s="9"/>
      <c r="AA47" s="9"/>
    </row>
    <row r="48" spans="1:27" x14ac:dyDescent="0.3">
      <c r="A48" s="10"/>
      <c r="B48" s="10"/>
      <c r="C48" s="10"/>
      <c r="D48" s="10"/>
      <c r="E48" s="10"/>
      <c r="F48" s="10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5"/>
      <c r="X48" s="9"/>
      <c r="Y48" s="9"/>
      <c r="Z48" s="9"/>
      <c r="AA48" s="9"/>
    </row>
    <row r="49" spans="1:27" x14ac:dyDescent="0.3">
      <c r="A49" s="10"/>
      <c r="B49" s="10"/>
      <c r="C49" s="10"/>
      <c r="D49" s="10"/>
      <c r="E49" s="10"/>
      <c r="F49" s="10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5"/>
      <c r="X49" s="9"/>
      <c r="Y49" s="9"/>
      <c r="Z49" s="9"/>
      <c r="AA49" s="9"/>
    </row>
    <row r="50" spans="1:27" x14ac:dyDescent="0.3">
      <c r="A50" s="10"/>
      <c r="B50" s="10"/>
      <c r="C50" s="10"/>
      <c r="D50" s="10"/>
      <c r="E50" s="10"/>
      <c r="F50" s="10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5"/>
      <c r="X50" s="9"/>
      <c r="Y50" s="9"/>
      <c r="Z50" s="9"/>
      <c r="AA50" s="9"/>
    </row>
    <row r="51" spans="1:27" x14ac:dyDescent="0.3">
      <c r="A51" s="10"/>
      <c r="B51" s="10"/>
      <c r="C51" s="10"/>
      <c r="D51" s="10"/>
      <c r="E51" s="10"/>
      <c r="F51" s="10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5"/>
      <c r="X51" s="9"/>
      <c r="Y51" s="9"/>
      <c r="Z51" s="9"/>
      <c r="AA51" s="9"/>
    </row>
    <row r="52" spans="1:27" x14ac:dyDescent="0.3">
      <c r="A52" s="10"/>
      <c r="B52" s="10"/>
      <c r="C52" s="10"/>
      <c r="D52" s="10"/>
      <c r="E52" s="10"/>
      <c r="F52" s="10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5"/>
      <c r="X52" s="9"/>
      <c r="Y52" s="9"/>
      <c r="Z52" s="9"/>
      <c r="AA52" s="9"/>
    </row>
    <row r="53" spans="1:27" x14ac:dyDescent="0.3">
      <c r="A53" s="10"/>
      <c r="B53" s="10"/>
      <c r="C53" s="10"/>
      <c r="D53" s="10"/>
      <c r="E53" s="10"/>
      <c r="F53" s="10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5"/>
      <c r="X53" s="9"/>
      <c r="Y53" s="9"/>
      <c r="Z53" s="9"/>
      <c r="AA53" s="9"/>
    </row>
    <row r="54" spans="1:27" x14ac:dyDescent="0.3">
      <c r="A54" s="10"/>
      <c r="B54" s="10"/>
      <c r="C54" s="10"/>
      <c r="D54" s="10"/>
      <c r="E54" s="10"/>
      <c r="F54" s="10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5"/>
      <c r="X54" s="9"/>
      <c r="Y54" s="9"/>
      <c r="Z54" s="9"/>
      <c r="AA54" s="9"/>
    </row>
    <row r="55" spans="1:27" x14ac:dyDescent="0.3">
      <c r="A55" s="10"/>
      <c r="B55" s="10"/>
      <c r="C55" s="10"/>
      <c r="D55" s="10"/>
      <c r="E55" s="10"/>
      <c r="F55" s="10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5"/>
      <c r="X55" s="9"/>
      <c r="Y55" s="9"/>
      <c r="Z55" s="9"/>
      <c r="AA55" s="9"/>
    </row>
    <row r="56" spans="1:27" x14ac:dyDescent="0.3">
      <c r="A56" s="10"/>
      <c r="B56" s="10"/>
      <c r="C56" s="10"/>
      <c r="D56" s="10"/>
      <c r="E56" s="10"/>
      <c r="F56" s="10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5"/>
      <c r="X56" s="9"/>
      <c r="Y56" s="9"/>
      <c r="Z56" s="9"/>
      <c r="AA56" s="9"/>
    </row>
    <row r="57" spans="1:27" x14ac:dyDescent="0.3">
      <c r="A57" s="10"/>
      <c r="B57" s="10"/>
      <c r="C57" s="10"/>
      <c r="D57" s="10"/>
      <c r="E57" s="10"/>
      <c r="F57" s="10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5"/>
      <c r="X57" s="9"/>
      <c r="Y57" s="9"/>
      <c r="Z57" s="9"/>
      <c r="AA57" s="9"/>
    </row>
    <row r="58" spans="1:27" x14ac:dyDescent="0.3">
      <c r="A58" s="10"/>
      <c r="B58" s="10"/>
      <c r="C58" s="10"/>
      <c r="D58" s="10"/>
      <c r="E58" s="10"/>
      <c r="F58" s="10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5"/>
      <c r="X58" s="9"/>
      <c r="Y58" s="9"/>
      <c r="Z58" s="9"/>
      <c r="AA58" s="9"/>
    </row>
    <row r="59" spans="1:27" x14ac:dyDescent="0.3">
      <c r="A59" s="10"/>
      <c r="B59" s="10"/>
      <c r="C59" s="10"/>
      <c r="D59" s="10"/>
      <c r="E59" s="10"/>
      <c r="F59" s="10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5"/>
      <c r="X59" s="9"/>
      <c r="Y59" s="9"/>
      <c r="Z59" s="9"/>
      <c r="AA59" s="9"/>
    </row>
    <row r="60" spans="1:27" x14ac:dyDescent="0.3">
      <c r="A60" s="10"/>
      <c r="B60" s="10"/>
      <c r="C60" s="10"/>
      <c r="D60" s="10"/>
      <c r="E60" s="10"/>
      <c r="F60" s="10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5"/>
      <c r="X60" s="9"/>
      <c r="Y60" s="9"/>
      <c r="Z60" s="9"/>
      <c r="AA60" s="9"/>
    </row>
    <row r="61" spans="1:27" x14ac:dyDescent="0.3">
      <c r="A61" s="10"/>
      <c r="B61" s="10"/>
      <c r="C61" s="10"/>
      <c r="D61" s="10"/>
      <c r="E61" s="10"/>
      <c r="F61" s="10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5"/>
      <c r="X61" s="9"/>
      <c r="Y61" s="9"/>
      <c r="Z61" s="9"/>
      <c r="AA61" s="9"/>
    </row>
    <row r="62" spans="1:27" x14ac:dyDescent="0.3">
      <c r="A62" s="10"/>
      <c r="B62" s="10"/>
      <c r="C62" s="10"/>
      <c r="D62" s="10"/>
      <c r="E62" s="10"/>
      <c r="F62" s="10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5"/>
      <c r="X62" s="9"/>
      <c r="Y62" s="9"/>
      <c r="Z62" s="9"/>
      <c r="AA62" s="9"/>
    </row>
    <row r="63" spans="1:27" x14ac:dyDescent="0.3">
      <c r="A63" s="10"/>
      <c r="B63" s="10"/>
      <c r="C63" s="10"/>
      <c r="D63" s="10"/>
      <c r="E63" s="10"/>
      <c r="F63" s="10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5"/>
      <c r="X63" s="9"/>
      <c r="Y63" s="9"/>
      <c r="Z63" s="9"/>
      <c r="AA63" s="9"/>
    </row>
    <row r="64" spans="1:27" x14ac:dyDescent="0.3">
      <c r="A64" s="10"/>
      <c r="B64" s="10"/>
      <c r="C64" s="10"/>
      <c r="D64" s="10"/>
      <c r="E64" s="10"/>
      <c r="F64" s="10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5"/>
      <c r="X64" s="9"/>
      <c r="Y64" s="9"/>
      <c r="Z64" s="9"/>
      <c r="AA64" s="9"/>
    </row>
    <row r="65" spans="1:27" x14ac:dyDescent="0.3">
      <c r="A65" s="10"/>
      <c r="B65" s="10"/>
      <c r="C65" s="10"/>
      <c r="D65" s="10"/>
      <c r="E65" s="10"/>
      <c r="F65" s="10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5"/>
      <c r="X65" s="9"/>
      <c r="Y65" s="9"/>
      <c r="Z65" s="9"/>
      <c r="AA65" s="9"/>
    </row>
    <row r="66" spans="1:27" x14ac:dyDescent="0.3">
      <c r="A66" s="10"/>
      <c r="B66" s="10"/>
      <c r="C66" s="10"/>
      <c r="D66" s="10"/>
      <c r="E66" s="10"/>
      <c r="F66" s="10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5"/>
      <c r="X66" s="9"/>
      <c r="Y66" s="9"/>
      <c r="Z66" s="9"/>
      <c r="AA66" s="9"/>
    </row>
    <row r="67" spans="1:27" x14ac:dyDescent="0.3">
      <c r="A67" s="10"/>
      <c r="B67" s="10"/>
      <c r="C67" s="10"/>
      <c r="D67" s="10"/>
      <c r="E67" s="10"/>
      <c r="F67" s="10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5"/>
      <c r="X67" s="9"/>
      <c r="Y67" s="9"/>
      <c r="Z67" s="9"/>
      <c r="AA67" s="9"/>
    </row>
    <row r="68" spans="1:27" x14ac:dyDescent="0.3">
      <c r="A68" s="10"/>
      <c r="B68" s="10"/>
      <c r="C68" s="10"/>
      <c r="D68" s="10"/>
      <c r="E68" s="10"/>
      <c r="F68" s="10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5"/>
      <c r="X68" s="9"/>
      <c r="Y68" s="9"/>
      <c r="Z68" s="9"/>
      <c r="AA68" s="9"/>
    </row>
    <row r="69" spans="1:27" x14ac:dyDescent="0.3">
      <c r="A69" s="10"/>
      <c r="B69" s="10"/>
      <c r="C69" s="10"/>
      <c r="D69" s="10"/>
      <c r="E69" s="10"/>
      <c r="F69" s="10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5"/>
      <c r="X69" s="9"/>
      <c r="Y69" s="9"/>
      <c r="Z69" s="9"/>
      <c r="AA69" s="9"/>
    </row>
    <row r="70" spans="1:27" x14ac:dyDescent="0.3">
      <c r="A70" s="10"/>
      <c r="B70" s="10"/>
      <c r="C70" s="10"/>
      <c r="D70" s="10"/>
      <c r="E70" s="10"/>
      <c r="F70" s="10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5"/>
      <c r="X70" s="9"/>
      <c r="Y70" s="9"/>
      <c r="Z70" s="9"/>
      <c r="AA70" s="9"/>
    </row>
    <row r="71" spans="1:27" x14ac:dyDescent="0.3">
      <c r="A71" s="10"/>
      <c r="B71" s="10"/>
      <c r="C71" s="10"/>
      <c r="D71" s="10"/>
      <c r="E71" s="10"/>
      <c r="F71" s="10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5"/>
      <c r="X71" s="9"/>
      <c r="Y71" s="9"/>
      <c r="Z71" s="9"/>
      <c r="AA71" s="9"/>
    </row>
    <row r="72" spans="1:27" x14ac:dyDescent="0.3">
      <c r="A72" s="10"/>
      <c r="B72" s="10"/>
      <c r="C72" s="10"/>
      <c r="D72" s="10"/>
      <c r="E72" s="10"/>
      <c r="F72" s="10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5"/>
      <c r="X72" s="9"/>
      <c r="Y72" s="9"/>
      <c r="Z72" s="9"/>
      <c r="AA72" s="9"/>
    </row>
    <row r="73" spans="1:27" x14ac:dyDescent="0.3">
      <c r="A73" s="10"/>
      <c r="B73" s="10"/>
      <c r="C73" s="10"/>
      <c r="D73" s="10"/>
      <c r="E73" s="10"/>
      <c r="F73" s="10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5"/>
      <c r="X73" s="9"/>
      <c r="Y73" s="9"/>
      <c r="Z73" s="9"/>
      <c r="AA73" s="9"/>
    </row>
    <row r="74" spans="1:27" x14ac:dyDescent="0.3">
      <c r="A74" s="10"/>
      <c r="B74" s="10"/>
      <c r="C74" s="10"/>
      <c r="D74" s="10"/>
      <c r="E74" s="10"/>
      <c r="F74" s="10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5"/>
      <c r="X74" s="9"/>
      <c r="Y74" s="9"/>
      <c r="Z74" s="9"/>
      <c r="AA74" s="9"/>
    </row>
    <row r="75" spans="1:27" x14ac:dyDescent="0.3">
      <c r="A75" s="10"/>
      <c r="B75" s="10"/>
      <c r="C75" s="10"/>
      <c r="D75" s="10"/>
      <c r="E75" s="10"/>
      <c r="F75" s="10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5"/>
      <c r="X75" s="9"/>
      <c r="Y75" s="9"/>
      <c r="Z75" s="9"/>
      <c r="AA75" s="9"/>
    </row>
    <row r="76" spans="1:27" x14ac:dyDescent="0.3">
      <c r="A76" s="10"/>
      <c r="B76" s="10"/>
      <c r="C76" s="10"/>
      <c r="D76" s="10"/>
      <c r="E76" s="10"/>
      <c r="F76" s="10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5"/>
      <c r="X76" s="9"/>
      <c r="Y76" s="9"/>
      <c r="Z76" s="9"/>
      <c r="AA76" s="9"/>
    </row>
    <row r="77" spans="1:27" x14ac:dyDescent="0.3">
      <c r="A77" s="10"/>
      <c r="B77" s="10"/>
      <c r="C77" s="10"/>
      <c r="D77" s="10"/>
      <c r="E77" s="10"/>
      <c r="F77" s="10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5"/>
      <c r="X77" s="9"/>
      <c r="Y77" s="9"/>
      <c r="Z77" s="9"/>
      <c r="AA77" s="9"/>
    </row>
    <row r="78" spans="1:27" x14ac:dyDescent="0.3">
      <c r="A78" s="10"/>
      <c r="B78" s="10"/>
      <c r="C78" s="10"/>
      <c r="D78" s="10"/>
      <c r="E78" s="10"/>
      <c r="F78" s="10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5"/>
      <c r="X78" s="9"/>
      <c r="Y78" s="9"/>
      <c r="Z78" s="9"/>
      <c r="AA78" s="9"/>
    </row>
    <row r="79" spans="1:27" x14ac:dyDescent="0.3">
      <c r="A79" s="10"/>
      <c r="B79" s="10"/>
      <c r="C79" s="10"/>
      <c r="D79" s="10"/>
      <c r="E79" s="10"/>
      <c r="F79" s="10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5"/>
      <c r="X79" s="9"/>
      <c r="Y79" s="9"/>
      <c r="Z79" s="9"/>
      <c r="AA79" s="9"/>
    </row>
    <row r="80" spans="1:27" x14ac:dyDescent="0.3">
      <c r="A80" s="10"/>
      <c r="B80" s="10"/>
      <c r="C80" s="10"/>
      <c r="D80" s="10"/>
      <c r="E80" s="10"/>
      <c r="F80" s="10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5"/>
      <c r="X80" s="9"/>
      <c r="Y80" s="9"/>
      <c r="Z80" s="9"/>
      <c r="AA80" s="9"/>
    </row>
    <row r="81" spans="1:27" x14ac:dyDescent="0.3">
      <c r="A81" s="10"/>
      <c r="B81" s="10"/>
      <c r="C81" s="10"/>
      <c r="D81" s="10"/>
      <c r="E81" s="10"/>
      <c r="F81" s="10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5"/>
      <c r="X81" s="9"/>
      <c r="Y81" s="9"/>
      <c r="Z81" s="9"/>
      <c r="AA81" s="9"/>
    </row>
    <row r="82" spans="1:27" x14ac:dyDescent="0.3">
      <c r="A82" s="10"/>
      <c r="B82" s="10"/>
      <c r="C82" s="10"/>
      <c r="D82" s="10"/>
      <c r="E82" s="10"/>
      <c r="F82" s="10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5"/>
      <c r="X82" s="9"/>
      <c r="Y82" s="9"/>
      <c r="Z82" s="9"/>
      <c r="AA82" s="9"/>
    </row>
    <row r="83" spans="1:27" x14ac:dyDescent="0.3">
      <c r="A83" s="10"/>
      <c r="B83" s="10"/>
      <c r="C83" s="10"/>
      <c r="D83" s="10"/>
      <c r="E83" s="10"/>
      <c r="F83" s="10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5"/>
      <c r="X83" s="9"/>
      <c r="Y83" s="9"/>
      <c r="Z83" s="9"/>
      <c r="AA83" s="9"/>
    </row>
    <row r="84" spans="1:27" x14ac:dyDescent="0.3">
      <c r="A84" s="10"/>
      <c r="B84" s="10"/>
      <c r="C84" s="10"/>
      <c r="D84" s="10"/>
      <c r="E84" s="10"/>
      <c r="F84" s="10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5"/>
      <c r="X84" s="9"/>
      <c r="Y84" s="9"/>
      <c r="Z84" s="9"/>
      <c r="AA84" s="9"/>
    </row>
    <row r="85" spans="1:27" x14ac:dyDescent="0.3">
      <c r="A85" s="10"/>
      <c r="B85" s="10"/>
      <c r="C85" s="10"/>
      <c r="D85" s="10"/>
      <c r="E85" s="10"/>
      <c r="F85" s="10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5"/>
      <c r="X85" s="9"/>
      <c r="Y85" s="9"/>
      <c r="Z85" s="9"/>
      <c r="AA85" s="9"/>
    </row>
    <row r="86" spans="1:27" x14ac:dyDescent="0.3">
      <c r="A86" s="10"/>
      <c r="B86" s="10"/>
      <c r="C86" s="10"/>
      <c r="D86" s="10"/>
      <c r="E86" s="10"/>
      <c r="F86" s="10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5"/>
      <c r="X86" s="9"/>
      <c r="Y86" s="9"/>
      <c r="Z86" s="9"/>
      <c r="AA86" s="9"/>
    </row>
    <row r="87" spans="1:27" x14ac:dyDescent="0.3">
      <c r="A87" s="10"/>
      <c r="B87" s="10"/>
      <c r="C87" s="10"/>
      <c r="D87" s="10"/>
      <c r="E87" s="10"/>
      <c r="F87" s="10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5"/>
      <c r="X87" s="9"/>
      <c r="Y87" s="9"/>
      <c r="Z87" s="9"/>
      <c r="AA87" s="9"/>
    </row>
    <row r="88" spans="1:27" x14ac:dyDescent="0.3">
      <c r="A88" s="10"/>
      <c r="B88" s="10"/>
      <c r="C88" s="10"/>
      <c r="D88" s="10"/>
      <c r="E88" s="10"/>
      <c r="F88" s="10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5"/>
      <c r="X88" s="9"/>
      <c r="Y88" s="9"/>
      <c r="Z88" s="9"/>
      <c r="AA88" s="9"/>
    </row>
    <row r="89" spans="1:27" x14ac:dyDescent="0.3">
      <c r="A89" s="10"/>
      <c r="B89" s="10"/>
      <c r="C89" s="10"/>
      <c r="D89" s="10"/>
      <c r="E89" s="10"/>
      <c r="F89" s="10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5"/>
      <c r="X89" s="9"/>
      <c r="Y89" s="9"/>
      <c r="Z89" s="9"/>
      <c r="AA89" s="9"/>
    </row>
    <row r="90" spans="1:27" x14ac:dyDescent="0.3">
      <c r="A90" s="10"/>
      <c r="B90" s="10"/>
      <c r="C90" s="10"/>
      <c r="D90" s="10"/>
      <c r="E90" s="10"/>
      <c r="F90" s="10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5"/>
      <c r="X90" s="9"/>
      <c r="Y90" s="9"/>
      <c r="Z90" s="9"/>
      <c r="AA90" s="9"/>
    </row>
    <row r="91" spans="1:27" x14ac:dyDescent="0.3">
      <c r="A91" s="10"/>
      <c r="B91" s="10"/>
      <c r="C91" s="10"/>
      <c r="D91" s="10"/>
      <c r="E91" s="10"/>
      <c r="F91" s="10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5"/>
      <c r="X91" s="9"/>
      <c r="Y91" s="9"/>
      <c r="Z91" s="9"/>
      <c r="AA91" s="9"/>
    </row>
    <row r="92" spans="1:27" x14ac:dyDescent="0.3">
      <c r="A92" s="10"/>
      <c r="B92" s="10"/>
      <c r="C92" s="10"/>
      <c r="D92" s="10"/>
      <c r="E92" s="10"/>
      <c r="F92" s="10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5"/>
      <c r="X92" s="9"/>
      <c r="Y92" s="9"/>
      <c r="Z92" s="9"/>
      <c r="AA92" s="9"/>
    </row>
    <row r="93" spans="1:27" x14ac:dyDescent="0.3">
      <c r="A93" s="10"/>
      <c r="B93" s="10"/>
      <c r="C93" s="10"/>
      <c r="D93" s="10"/>
      <c r="E93" s="10"/>
      <c r="F93" s="10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5"/>
      <c r="X93" s="9"/>
      <c r="Y93" s="9"/>
      <c r="Z93" s="9"/>
      <c r="AA93" s="9"/>
    </row>
    <row r="94" spans="1:27" x14ac:dyDescent="0.3">
      <c r="A94" s="10"/>
      <c r="B94" s="10"/>
      <c r="C94" s="10"/>
      <c r="D94" s="10"/>
      <c r="E94" s="10"/>
      <c r="F94" s="10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5"/>
      <c r="X94" s="9"/>
      <c r="Y94" s="9"/>
      <c r="Z94" s="9"/>
      <c r="AA94" s="9"/>
    </row>
    <row r="95" spans="1:27" x14ac:dyDescent="0.3">
      <c r="A95" s="10"/>
      <c r="B95" s="10"/>
      <c r="C95" s="10"/>
      <c r="D95" s="10"/>
      <c r="E95" s="10"/>
      <c r="F95" s="10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5"/>
      <c r="X95" s="9"/>
      <c r="Y95" s="9"/>
      <c r="Z95" s="9"/>
      <c r="AA95" s="9"/>
    </row>
    <row r="96" spans="1:27" x14ac:dyDescent="0.3">
      <c r="A96" s="10"/>
      <c r="B96" s="10"/>
      <c r="C96" s="10"/>
      <c r="D96" s="10"/>
      <c r="E96" s="10"/>
      <c r="F96" s="10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5"/>
      <c r="X96" s="9"/>
      <c r="Y96" s="9"/>
      <c r="Z96" s="9"/>
      <c r="AA96" s="9"/>
    </row>
    <row r="97" spans="1:27" x14ac:dyDescent="0.3">
      <c r="A97" s="10"/>
      <c r="B97" s="10"/>
      <c r="C97" s="10"/>
      <c r="D97" s="10"/>
      <c r="E97" s="10"/>
      <c r="F97" s="10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5"/>
      <c r="X97" s="9"/>
      <c r="Y97" s="9"/>
      <c r="Z97" s="9"/>
      <c r="AA97" s="9"/>
    </row>
    <row r="98" spans="1:27" x14ac:dyDescent="0.3">
      <c r="A98" s="10"/>
      <c r="B98" s="10"/>
      <c r="C98" s="10"/>
      <c r="D98" s="10"/>
      <c r="E98" s="10"/>
      <c r="F98" s="10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5"/>
      <c r="X98" s="9"/>
      <c r="Y98" s="9"/>
      <c r="Z98" s="9"/>
      <c r="AA98" s="9"/>
    </row>
    <row r="99" spans="1:27" x14ac:dyDescent="0.3">
      <c r="A99" s="10"/>
      <c r="B99" s="10"/>
      <c r="C99" s="10"/>
      <c r="D99" s="10"/>
      <c r="E99" s="10"/>
      <c r="F99" s="10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5"/>
      <c r="X99" s="9"/>
      <c r="Y99" s="9"/>
      <c r="Z99" s="9"/>
      <c r="AA99" s="9"/>
    </row>
    <row r="100" spans="1:27" x14ac:dyDescent="0.3">
      <c r="A100" s="10"/>
      <c r="B100" s="10"/>
      <c r="C100" s="10"/>
      <c r="D100" s="10"/>
      <c r="E100" s="10"/>
      <c r="F100" s="10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5"/>
      <c r="X100" s="9"/>
      <c r="Y100" s="9"/>
      <c r="Z100" s="9"/>
      <c r="AA100" s="9"/>
    </row>
    <row r="101" spans="1:27" x14ac:dyDescent="0.3">
      <c r="A101" s="10"/>
      <c r="B101" s="10"/>
      <c r="C101" s="10"/>
      <c r="D101" s="10"/>
      <c r="E101" s="10"/>
      <c r="F101" s="10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5"/>
      <c r="X101" s="9"/>
      <c r="Y101" s="9"/>
      <c r="Z101" s="9"/>
      <c r="AA101" s="9"/>
    </row>
    <row r="102" spans="1:27" x14ac:dyDescent="0.3">
      <c r="A102" s="10"/>
      <c r="B102" s="10"/>
      <c r="C102" s="10"/>
      <c r="D102" s="10"/>
      <c r="E102" s="10"/>
      <c r="F102" s="10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5"/>
      <c r="X102" s="9"/>
      <c r="Y102" s="9"/>
      <c r="Z102" s="9"/>
      <c r="AA102" s="9"/>
    </row>
    <row r="103" spans="1:27" x14ac:dyDescent="0.3">
      <c r="A103" s="10"/>
      <c r="B103" s="10"/>
      <c r="C103" s="10"/>
      <c r="D103" s="10"/>
      <c r="E103" s="10"/>
      <c r="F103" s="10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5"/>
      <c r="X103" s="9"/>
      <c r="Y103" s="9"/>
      <c r="Z103" s="9"/>
      <c r="AA103" s="9"/>
    </row>
    <row r="104" spans="1:27" x14ac:dyDescent="0.3">
      <c r="A104" s="10"/>
      <c r="B104" s="10"/>
      <c r="C104" s="10"/>
      <c r="D104" s="10"/>
      <c r="E104" s="10"/>
      <c r="F104" s="10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5"/>
      <c r="X104" s="9"/>
      <c r="Y104" s="9"/>
      <c r="Z104" s="9"/>
      <c r="AA104" s="9"/>
    </row>
    <row r="105" spans="1:27" x14ac:dyDescent="0.3">
      <c r="A105" s="10"/>
      <c r="B105" s="10"/>
      <c r="C105" s="10"/>
      <c r="D105" s="10"/>
      <c r="E105" s="10"/>
      <c r="F105" s="10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5"/>
      <c r="X105" s="9"/>
      <c r="Y105" s="9"/>
      <c r="Z105" s="9"/>
      <c r="AA105" s="9"/>
    </row>
    <row r="106" spans="1:27" x14ac:dyDescent="0.3">
      <c r="A106" s="10"/>
      <c r="B106" s="10"/>
      <c r="C106" s="10"/>
      <c r="D106" s="10"/>
      <c r="E106" s="10"/>
      <c r="F106" s="10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5"/>
      <c r="X106" s="9"/>
      <c r="Y106" s="9"/>
      <c r="Z106" s="9"/>
      <c r="AA106" s="9"/>
    </row>
    <row r="107" spans="1:27" x14ac:dyDescent="0.3">
      <c r="A107" s="10"/>
      <c r="B107" s="10"/>
      <c r="C107" s="10"/>
      <c r="D107" s="10"/>
      <c r="E107" s="10"/>
      <c r="F107" s="10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5"/>
      <c r="X107" s="9"/>
      <c r="Y107" s="9"/>
      <c r="Z107" s="9"/>
      <c r="AA107" s="9"/>
    </row>
    <row r="108" spans="1:27" x14ac:dyDescent="0.3">
      <c r="A108" s="10"/>
      <c r="B108" s="10"/>
      <c r="C108" s="10"/>
      <c r="D108" s="10"/>
      <c r="E108" s="10"/>
      <c r="F108" s="10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5"/>
      <c r="X108" s="9"/>
      <c r="Y108" s="9"/>
      <c r="Z108" s="9"/>
      <c r="AA108" s="9"/>
    </row>
    <row r="109" spans="1:27" x14ac:dyDescent="0.3">
      <c r="A109" s="10"/>
      <c r="B109" s="10"/>
      <c r="C109" s="10"/>
      <c r="D109" s="10"/>
      <c r="E109" s="10"/>
      <c r="F109" s="10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5"/>
      <c r="X109" s="9"/>
      <c r="Y109" s="9"/>
      <c r="Z109" s="9"/>
      <c r="AA109" s="9"/>
    </row>
    <row r="110" spans="1:27" x14ac:dyDescent="0.3">
      <c r="A110" s="10"/>
      <c r="B110" s="10"/>
      <c r="C110" s="10"/>
      <c r="D110" s="10"/>
      <c r="E110" s="10"/>
      <c r="F110" s="10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5"/>
      <c r="X110" s="9"/>
      <c r="Y110" s="9"/>
      <c r="Z110" s="9"/>
      <c r="AA110" s="9"/>
    </row>
    <row r="111" spans="1:27" x14ac:dyDescent="0.3">
      <c r="A111" s="10"/>
      <c r="B111" s="10"/>
      <c r="C111" s="10"/>
      <c r="D111" s="10"/>
      <c r="E111" s="10"/>
      <c r="F111" s="10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5"/>
      <c r="X111" s="9"/>
      <c r="Y111" s="9"/>
      <c r="Z111" s="9"/>
      <c r="AA111" s="9"/>
    </row>
    <row r="112" spans="1:27" x14ac:dyDescent="0.3">
      <c r="A112" s="10"/>
      <c r="B112" s="10"/>
      <c r="C112" s="10"/>
      <c r="D112" s="10"/>
      <c r="E112" s="10"/>
      <c r="F112" s="10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5"/>
      <c r="X112" s="9"/>
      <c r="Y112" s="9"/>
      <c r="Z112" s="9"/>
      <c r="AA112" s="9"/>
    </row>
    <row r="113" spans="1:27" x14ac:dyDescent="0.3">
      <c r="A113" s="10"/>
      <c r="B113" s="10"/>
      <c r="C113" s="10"/>
      <c r="D113" s="10"/>
      <c r="E113" s="10"/>
      <c r="F113" s="10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5"/>
      <c r="X113" s="9"/>
      <c r="Y113" s="9"/>
      <c r="Z113" s="9"/>
      <c r="AA113" s="9"/>
    </row>
    <row r="114" spans="1:27" x14ac:dyDescent="0.3">
      <c r="A114" s="10"/>
      <c r="B114" s="10"/>
      <c r="C114" s="10"/>
      <c r="D114" s="10"/>
      <c r="E114" s="10"/>
      <c r="F114" s="10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5"/>
      <c r="X114" s="9"/>
      <c r="Y114" s="9"/>
      <c r="Z114" s="9"/>
      <c r="AA114" s="9"/>
    </row>
    <row r="115" spans="1:27" x14ac:dyDescent="0.3">
      <c r="A115" s="10"/>
      <c r="B115" s="10"/>
      <c r="C115" s="10"/>
      <c r="D115" s="10"/>
      <c r="E115" s="10"/>
      <c r="F115" s="10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5"/>
      <c r="X115" s="9"/>
      <c r="Y115" s="9"/>
      <c r="Z115" s="9"/>
      <c r="AA115" s="9"/>
    </row>
    <row r="116" spans="1:27" x14ac:dyDescent="0.3">
      <c r="A116" s="10"/>
      <c r="B116" s="10"/>
      <c r="C116" s="10"/>
      <c r="D116" s="10"/>
      <c r="E116" s="10"/>
      <c r="F116" s="10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5"/>
      <c r="X116" s="9"/>
      <c r="Y116" s="9"/>
      <c r="Z116" s="9"/>
      <c r="AA116" s="9"/>
    </row>
    <row r="117" spans="1:27" x14ac:dyDescent="0.3">
      <c r="A117" s="10"/>
      <c r="B117" s="10"/>
      <c r="C117" s="10"/>
      <c r="D117" s="10"/>
      <c r="E117" s="10"/>
      <c r="F117" s="10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5"/>
      <c r="X117" s="9"/>
      <c r="Y117" s="9"/>
      <c r="Z117" s="9"/>
      <c r="AA117" s="9"/>
    </row>
    <row r="118" spans="1:27" x14ac:dyDescent="0.3">
      <c r="A118" s="10"/>
      <c r="B118" s="10"/>
      <c r="C118" s="10"/>
      <c r="D118" s="10"/>
      <c r="E118" s="10"/>
      <c r="F118" s="10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5"/>
      <c r="X118" s="9"/>
      <c r="Y118" s="9"/>
      <c r="Z118" s="9"/>
      <c r="AA118" s="9"/>
    </row>
    <row r="119" spans="1:27" x14ac:dyDescent="0.3">
      <c r="A119" s="10"/>
      <c r="B119" s="10"/>
      <c r="C119" s="10"/>
      <c r="D119" s="10"/>
      <c r="E119" s="10"/>
      <c r="F119" s="10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5"/>
      <c r="X119" s="9"/>
      <c r="Y119" s="9"/>
      <c r="Z119" s="9"/>
      <c r="AA119" s="9"/>
    </row>
    <row r="120" spans="1:27" x14ac:dyDescent="0.3">
      <c r="A120" s="10"/>
      <c r="B120" s="10"/>
      <c r="C120" s="10"/>
      <c r="D120" s="10"/>
      <c r="E120" s="10"/>
      <c r="F120" s="10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5"/>
      <c r="X120" s="9"/>
      <c r="Y120" s="9"/>
      <c r="Z120" s="9"/>
      <c r="AA120" s="9"/>
    </row>
    <row r="121" spans="1:27" x14ac:dyDescent="0.3">
      <c r="A121" s="10"/>
      <c r="B121" s="10"/>
      <c r="C121" s="10"/>
      <c r="D121" s="10"/>
      <c r="E121" s="10"/>
      <c r="F121" s="10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5"/>
      <c r="X121" s="9"/>
      <c r="Y121" s="9"/>
      <c r="Z121" s="9"/>
      <c r="AA121" s="9"/>
    </row>
    <row r="122" spans="1:27" x14ac:dyDescent="0.3">
      <c r="A122" s="10"/>
      <c r="B122" s="10"/>
      <c r="C122" s="10"/>
      <c r="D122" s="10"/>
      <c r="E122" s="10"/>
      <c r="F122" s="10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5"/>
      <c r="X122" s="9"/>
      <c r="Y122" s="9"/>
      <c r="Z122" s="9"/>
      <c r="AA122" s="9"/>
    </row>
    <row r="123" spans="1:27" x14ac:dyDescent="0.3">
      <c r="A123" s="10"/>
      <c r="B123" s="10"/>
      <c r="C123" s="10"/>
      <c r="D123" s="10"/>
      <c r="E123" s="10"/>
      <c r="F123" s="10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5"/>
      <c r="X123" s="9"/>
      <c r="Y123" s="9"/>
      <c r="Z123" s="9"/>
      <c r="AA123" s="9"/>
    </row>
    <row r="124" spans="1:27" x14ac:dyDescent="0.3">
      <c r="A124" s="10"/>
      <c r="B124" s="10"/>
      <c r="C124" s="10"/>
      <c r="D124" s="10"/>
      <c r="E124" s="10"/>
      <c r="F124" s="10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5"/>
      <c r="X124" s="9"/>
      <c r="Y124" s="9"/>
      <c r="Z124" s="9"/>
      <c r="AA124" s="9"/>
    </row>
    <row r="125" spans="1:27" x14ac:dyDescent="0.3">
      <c r="A125" s="10"/>
      <c r="B125" s="10"/>
      <c r="C125" s="10"/>
      <c r="D125" s="10"/>
      <c r="E125" s="10"/>
      <c r="F125" s="10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5"/>
      <c r="X125" s="9"/>
      <c r="Y125" s="9"/>
      <c r="Z125" s="9"/>
      <c r="AA125" s="9"/>
    </row>
    <row r="126" spans="1:27" x14ac:dyDescent="0.3">
      <c r="A126" s="10"/>
      <c r="B126" s="10"/>
      <c r="C126" s="10"/>
      <c r="D126" s="10"/>
      <c r="E126" s="10"/>
      <c r="F126" s="10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5"/>
      <c r="X126" s="9"/>
      <c r="Y126" s="9"/>
      <c r="Z126" s="9"/>
      <c r="AA126" s="9"/>
    </row>
    <row r="127" spans="1:27" x14ac:dyDescent="0.3">
      <c r="A127" s="10"/>
      <c r="B127" s="10"/>
      <c r="C127" s="10"/>
      <c r="D127" s="10"/>
      <c r="E127" s="10"/>
      <c r="F127" s="10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5"/>
      <c r="X127" s="9"/>
      <c r="Y127" s="9"/>
      <c r="Z127" s="9"/>
      <c r="AA127" s="9"/>
    </row>
    <row r="128" spans="1:27" x14ac:dyDescent="0.3">
      <c r="A128" s="10"/>
      <c r="B128" s="10"/>
      <c r="C128" s="10"/>
      <c r="D128" s="10"/>
      <c r="E128" s="10"/>
      <c r="F128" s="10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5"/>
      <c r="X128" s="9"/>
      <c r="Y128" s="9"/>
      <c r="Z128" s="9"/>
      <c r="AA128" s="9"/>
    </row>
    <row r="129" spans="1:27" x14ac:dyDescent="0.3">
      <c r="A129" s="10"/>
      <c r="B129" s="10"/>
      <c r="C129" s="10"/>
      <c r="D129" s="10"/>
      <c r="E129" s="10"/>
      <c r="F129" s="10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5"/>
      <c r="X129" s="9"/>
      <c r="Y129" s="9"/>
      <c r="Z129" s="9"/>
      <c r="AA129" s="9"/>
    </row>
    <row r="130" spans="1:27" x14ac:dyDescent="0.3">
      <c r="A130" s="10"/>
      <c r="B130" s="10"/>
      <c r="C130" s="10"/>
      <c r="D130" s="10"/>
      <c r="E130" s="10"/>
      <c r="F130" s="10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5"/>
      <c r="X130" s="9"/>
      <c r="Y130" s="9"/>
      <c r="Z130" s="9"/>
      <c r="AA130" s="9"/>
    </row>
    <row r="131" spans="1:27" x14ac:dyDescent="0.3">
      <c r="A131" s="10"/>
      <c r="B131" s="10"/>
      <c r="C131" s="10"/>
      <c r="D131" s="10"/>
      <c r="E131" s="10"/>
      <c r="F131" s="10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5"/>
      <c r="X131" s="9"/>
      <c r="Y131" s="9"/>
      <c r="Z131" s="9"/>
      <c r="AA131" s="9"/>
    </row>
    <row r="132" spans="1:27" x14ac:dyDescent="0.3">
      <c r="A132" s="10"/>
      <c r="B132" s="10"/>
      <c r="C132" s="10"/>
      <c r="D132" s="10"/>
      <c r="E132" s="10"/>
      <c r="F132" s="10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5"/>
      <c r="X132" s="9"/>
      <c r="Y132" s="9"/>
      <c r="Z132" s="9"/>
      <c r="AA132" s="9"/>
    </row>
    <row r="133" spans="1:27" x14ac:dyDescent="0.3">
      <c r="A133" s="10"/>
      <c r="B133" s="10"/>
      <c r="C133" s="10"/>
      <c r="D133" s="10"/>
      <c r="E133" s="10"/>
      <c r="F133" s="10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5"/>
      <c r="X133" s="9"/>
      <c r="Y133" s="9"/>
      <c r="Z133" s="9"/>
      <c r="AA133" s="9"/>
    </row>
    <row r="134" spans="1:27" x14ac:dyDescent="0.3">
      <c r="A134" s="10"/>
      <c r="B134" s="10"/>
      <c r="C134" s="10"/>
      <c r="D134" s="10"/>
      <c r="E134" s="10"/>
      <c r="F134" s="10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5"/>
      <c r="X134" s="9"/>
      <c r="Y134" s="9"/>
      <c r="Z134" s="9"/>
      <c r="AA134" s="9"/>
    </row>
    <row r="135" spans="1:27" x14ac:dyDescent="0.3">
      <c r="A135" s="10"/>
      <c r="B135" s="10"/>
      <c r="C135" s="10"/>
      <c r="D135" s="10"/>
      <c r="E135" s="10"/>
      <c r="F135" s="10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5"/>
      <c r="X135" s="9"/>
      <c r="Y135" s="9"/>
      <c r="Z135" s="9"/>
      <c r="AA135" s="9"/>
    </row>
    <row r="136" spans="1:27" x14ac:dyDescent="0.3">
      <c r="A136" s="10"/>
      <c r="B136" s="10"/>
      <c r="C136" s="10"/>
      <c r="D136" s="10"/>
      <c r="E136" s="10"/>
      <c r="F136" s="10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5"/>
      <c r="X136" s="9"/>
      <c r="Y136" s="9"/>
      <c r="Z136" s="9"/>
      <c r="AA136" s="9"/>
    </row>
    <row r="137" spans="1:27" x14ac:dyDescent="0.3">
      <c r="A137" s="10"/>
      <c r="B137" s="10"/>
      <c r="C137" s="10"/>
      <c r="D137" s="10"/>
      <c r="E137" s="10"/>
      <c r="F137" s="10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5"/>
      <c r="X137" s="9"/>
      <c r="Y137" s="9"/>
      <c r="Z137" s="9"/>
      <c r="AA137" s="9"/>
    </row>
    <row r="138" spans="1:27" x14ac:dyDescent="0.3">
      <c r="A138" s="10"/>
      <c r="B138" s="10"/>
      <c r="C138" s="10"/>
      <c r="D138" s="10"/>
      <c r="E138" s="10"/>
      <c r="F138" s="10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5"/>
      <c r="X138" s="9"/>
      <c r="Y138" s="9"/>
      <c r="Z138" s="9"/>
      <c r="AA138" s="9"/>
    </row>
    <row r="139" spans="1:27" x14ac:dyDescent="0.3">
      <c r="A139" s="10"/>
      <c r="B139" s="10"/>
      <c r="C139" s="10"/>
      <c r="D139" s="10"/>
      <c r="E139" s="10"/>
      <c r="F139" s="10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5"/>
      <c r="X139" s="9"/>
      <c r="Y139" s="9"/>
      <c r="Z139" s="9"/>
      <c r="AA139" s="9"/>
    </row>
    <row r="140" spans="1:27" x14ac:dyDescent="0.3">
      <c r="A140" s="10"/>
      <c r="B140" s="10"/>
      <c r="C140" s="10"/>
      <c r="D140" s="10"/>
      <c r="E140" s="10"/>
      <c r="F140" s="10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5"/>
      <c r="X140" s="9"/>
      <c r="Y140" s="9"/>
      <c r="Z140" s="9"/>
      <c r="AA140" s="9"/>
    </row>
    <row r="141" spans="1:27" x14ac:dyDescent="0.3">
      <c r="A141" s="10"/>
      <c r="B141" s="10"/>
      <c r="C141" s="10"/>
      <c r="D141" s="10"/>
      <c r="E141" s="10"/>
      <c r="F141" s="10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5"/>
      <c r="X141" s="9"/>
      <c r="Y141" s="9"/>
      <c r="Z141" s="9"/>
      <c r="AA141" s="9"/>
    </row>
    <row r="142" spans="1:27" x14ac:dyDescent="0.3">
      <c r="A142" s="10"/>
      <c r="B142" s="10"/>
      <c r="C142" s="10"/>
      <c r="D142" s="10"/>
      <c r="E142" s="10"/>
      <c r="F142" s="10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5"/>
      <c r="X142" s="9"/>
      <c r="Y142" s="9"/>
      <c r="Z142" s="9"/>
      <c r="AA142" s="9"/>
    </row>
    <row r="143" spans="1:27" x14ac:dyDescent="0.3">
      <c r="A143" s="10"/>
      <c r="B143" s="10"/>
      <c r="C143" s="10"/>
      <c r="D143" s="10"/>
      <c r="E143" s="10"/>
      <c r="F143" s="10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5"/>
      <c r="X143" s="9"/>
      <c r="Y143" s="9"/>
      <c r="Z143" s="9"/>
      <c r="AA143" s="9"/>
    </row>
    <row r="144" spans="1:27" x14ac:dyDescent="0.3">
      <c r="A144" s="10"/>
      <c r="B144" s="10"/>
      <c r="C144" s="10"/>
      <c r="D144" s="10"/>
      <c r="E144" s="10"/>
      <c r="F144" s="10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5"/>
      <c r="X144" s="9"/>
      <c r="Y144" s="9"/>
      <c r="Z144" s="9"/>
      <c r="AA144" s="9"/>
    </row>
    <row r="145" spans="1:27" x14ac:dyDescent="0.3">
      <c r="A145" s="10"/>
      <c r="B145" s="10"/>
      <c r="C145" s="10"/>
      <c r="D145" s="10"/>
      <c r="E145" s="10"/>
      <c r="F145" s="10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5"/>
      <c r="X145" s="9"/>
      <c r="Y145" s="9"/>
      <c r="Z145" s="9"/>
      <c r="AA145" s="9"/>
    </row>
    <row r="146" spans="1:27" x14ac:dyDescent="0.3">
      <c r="A146" s="10"/>
      <c r="B146" s="10"/>
      <c r="C146" s="10"/>
      <c r="D146" s="10"/>
      <c r="E146" s="10"/>
      <c r="F146" s="10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5"/>
      <c r="X146" s="9"/>
      <c r="Y146" s="9"/>
      <c r="Z146" s="9"/>
      <c r="AA146" s="9"/>
    </row>
    <row r="147" spans="1:27" x14ac:dyDescent="0.3">
      <c r="A147" s="10"/>
      <c r="B147" s="10"/>
      <c r="C147" s="10"/>
      <c r="D147" s="10"/>
      <c r="E147" s="10"/>
      <c r="F147" s="10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5"/>
      <c r="X147" s="9"/>
      <c r="Y147" s="9"/>
      <c r="Z147" s="9"/>
      <c r="AA147" s="9"/>
    </row>
    <row r="148" spans="1:27" x14ac:dyDescent="0.3">
      <c r="A148" s="10"/>
      <c r="B148" s="10"/>
      <c r="C148" s="10"/>
      <c r="D148" s="10"/>
      <c r="E148" s="10"/>
      <c r="F148" s="10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5"/>
      <c r="X148" s="9"/>
      <c r="Y148" s="9"/>
      <c r="Z148" s="9"/>
      <c r="AA148" s="9"/>
    </row>
    <row r="149" spans="1:27" x14ac:dyDescent="0.3">
      <c r="A149" s="10"/>
      <c r="B149" s="10"/>
      <c r="C149" s="10"/>
      <c r="D149" s="10"/>
      <c r="E149" s="10"/>
      <c r="F149" s="10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5"/>
      <c r="X149" s="9"/>
      <c r="Y149" s="9"/>
      <c r="Z149" s="9"/>
      <c r="AA149" s="9"/>
    </row>
    <row r="150" spans="1:27" x14ac:dyDescent="0.3">
      <c r="A150" s="10"/>
      <c r="B150" s="10"/>
      <c r="C150" s="10"/>
      <c r="D150" s="10"/>
      <c r="E150" s="10"/>
      <c r="F150" s="10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5"/>
      <c r="X150" s="9"/>
      <c r="Y150" s="9"/>
      <c r="Z150" s="9"/>
      <c r="AA150" s="9"/>
    </row>
    <row r="151" spans="1:27" x14ac:dyDescent="0.3">
      <c r="A151" s="10"/>
      <c r="B151" s="10"/>
      <c r="C151" s="10"/>
      <c r="D151" s="10"/>
      <c r="E151" s="10"/>
      <c r="F151" s="10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5"/>
      <c r="X151" s="9"/>
      <c r="Y151" s="9"/>
      <c r="Z151" s="9"/>
      <c r="AA151" s="9"/>
    </row>
    <row r="152" spans="1:27" x14ac:dyDescent="0.3">
      <c r="A152" s="10"/>
      <c r="B152" s="10"/>
      <c r="C152" s="10"/>
      <c r="D152" s="10"/>
      <c r="E152" s="10"/>
      <c r="F152" s="10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5"/>
      <c r="X152" s="9"/>
      <c r="Y152" s="9"/>
      <c r="Z152" s="9"/>
      <c r="AA152" s="9"/>
    </row>
    <row r="153" spans="1:27" x14ac:dyDescent="0.3">
      <c r="A153" s="10"/>
      <c r="B153" s="10"/>
      <c r="C153" s="10"/>
      <c r="D153" s="10"/>
      <c r="E153" s="10"/>
      <c r="F153" s="10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5"/>
      <c r="X153" s="9"/>
      <c r="Y153" s="9"/>
      <c r="Z153" s="9"/>
      <c r="AA153" s="9"/>
    </row>
    <row r="154" spans="1:27" x14ac:dyDescent="0.3">
      <c r="A154" s="10"/>
      <c r="B154" s="10"/>
      <c r="C154" s="10"/>
      <c r="D154" s="10"/>
      <c r="E154" s="10"/>
      <c r="F154" s="10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5"/>
      <c r="X154" s="9"/>
      <c r="Y154" s="9"/>
      <c r="Z154" s="9"/>
      <c r="AA154" s="9"/>
    </row>
    <row r="155" spans="1:27" x14ac:dyDescent="0.3">
      <c r="A155" s="10"/>
      <c r="B155" s="10"/>
      <c r="C155" s="10"/>
      <c r="D155" s="10"/>
      <c r="E155" s="10"/>
      <c r="F155" s="10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5"/>
      <c r="X155" s="9"/>
      <c r="Y155" s="9"/>
      <c r="Z155" s="9"/>
      <c r="AA155" s="9"/>
    </row>
    <row r="156" spans="1:27" x14ac:dyDescent="0.3">
      <c r="A156" s="10"/>
      <c r="B156" s="10"/>
      <c r="C156" s="10"/>
      <c r="D156" s="10"/>
      <c r="E156" s="10"/>
      <c r="F156" s="10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5"/>
      <c r="X156" s="9"/>
      <c r="Y156" s="9"/>
      <c r="Z156" s="9"/>
      <c r="AA156" s="9"/>
    </row>
    <row r="157" spans="1:27" x14ac:dyDescent="0.3">
      <c r="A157" s="10"/>
      <c r="B157" s="10"/>
      <c r="C157" s="10"/>
      <c r="D157" s="10"/>
      <c r="E157" s="10"/>
      <c r="F157" s="10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5"/>
      <c r="X157" s="9"/>
      <c r="Y157" s="9"/>
      <c r="Z157" s="9"/>
      <c r="AA157" s="9"/>
    </row>
    <row r="158" spans="1:27" x14ac:dyDescent="0.3">
      <c r="A158" s="10"/>
      <c r="B158" s="10"/>
      <c r="C158" s="10"/>
      <c r="D158" s="10"/>
      <c r="E158" s="10"/>
      <c r="F158" s="10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5"/>
      <c r="X158" s="9"/>
      <c r="Y158" s="9"/>
      <c r="Z158" s="9"/>
      <c r="AA158" s="9"/>
    </row>
    <row r="159" spans="1:27" x14ac:dyDescent="0.3">
      <c r="A159" s="10"/>
      <c r="B159" s="10"/>
      <c r="C159" s="10"/>
      <c r="D159" s="10"/>
      <c r="E159" s="10"/>
      <c r="F159" s="10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5"/>
      <c r="X159" s="9"/>
      <c r="Y159" s="9"/>
      <c r="Z159" s="9"/>
      <c r="AA159" s="9"/>
    </row>
    <row r="160" spans="1:27" x14ac:dyDescent="0.3">
      <c r="A160" s="10"/>
      <c r="B160" s="10"/>
      <c r="C160" s="10"/>
      <c r="D160" s="10"/>
      <c r="E160" s="10"/>
      <c r="F160" s="10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5"/>
      <c r="X160" s="9"/>
      <c r="Y160" s="9"/>
      <c r="Z160" s="9"/>
      <c r="AA160" s="9"/>
    </row>
    <row r="161" spans="1:27" x14ac:dyDescent="0.3">
      <c r="A161" s="10"/>
      <c r="B161" s="10"/>
      <c r="C161" s="10"/>
      <c r="D161" s="10"/>
      <c r="E161" s="10"/>
      <c r="F161" s="10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5"/>
      <c r="X161" s="9"/>
      <c r="Y161" s="9"/>
      <c r="Z161" s="9"/>
      <c r="AA161" s="9"/>
    </row>
    <row r="162" spans="1:27" x14ac:dyDescent="0.3">
      <c r="A162" s="10"/>
      <c r="B162" s="10"/>
      <c r="C162" s="10"/>
      <c r="D162" s="10"/>
      <c r="E162" s="10"/>
      <c r="F162" s="10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5"/>
      <c r="X162" s="9"/>
      <c r="Y162" s="9"/>
      <c r="Z162" s="9"/>
      <c r="AA162" s="9"/>
    </row>
    <row r="163" spans="1:27" x14ac:dyDescent="0.3">
      <c r="A163" s="10"/>
      <c r="B163" s="10"/>
      <c r="C163" s="10"/>
      <c r="D163" s="10"/>
      <c r="E163" s="10"/>
      <c r="F163" s="10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5"/>
      <c r="X163" s="9"/>
      <c r="Y163" s="9"/>
      <c r="Z163" s="9"/>
      <c r="AA163" s="9"/>
    </row>
    <row r="164" spans="1:27" x14ac:dyDescent="0.3">
      <c r="A164" s="10"/>
      <c r="B164" s="10"/>
      <c r="C164" s="10"/>
      <c r="D164" s="10"/>
      <c r="E164" s="10"/>
      <c r="F164" s="10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5"/>
      <c r="X164" s="9"/>
      <c r="Y164" s="9"/>
      <c r="Z164" s="9"/>
      <c r="AA164" s="9"/>
    </row>
    <row r="165" spans="1:27" x14ac:dyDescent="0.3">
      <c r="A165" s="10"/>
      <c r="B165" s="10"/>
      <c r="C165" s="10"/>
      <c r="D165" s="10"/>
      <c r="E165" s="10"/>
      <c r="F165" s="10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5"/>
      <c r="X165" s="9"/>
      <c r="Y165" s="9"/>
      <c r="Z165" s="9"/>
      <c r="AA165" s="9"/>
    </row>
    <row r="166" spans="1:27" x14ac:dyDescent="0.3">
      <c r="A166" s="10"/>
      <c r="B166" s="10"/>
      <c r="C166" s="10"/>
      <c r="D166" s="10"/>
      <c r="E166" s="10"/>
      <c r="F166" s="10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5"/>
      <c r="X166" s="9"/>
      <c r="Y166" s="9"/>
      <c r="Z166" s="9"/>
      <c r="AA166" s="9"/>
    </row>
    <row r="167" spans="1:27" x14ac:dyDescent="0.3">
      <c r="A167" s="10"/>
      <c r="B167" s="10"/>
      <c r="C167" s="10"/>
      <c r="D167" s="10"/>
      <c r="E167" s="10"/>
      <c r="F167" s="10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5"/>
      <c r="X167" s="9"/>
      <c r="Y167" s="9"/>
      <c r="Z167" s="9"/>
      <c r="AA167" s="9"/>
    </row>
    <row r="168" spans="1:27" x14ac:dyDescent="0.3">
      <c r="A168" s="10"/>
      <c r="B168" s="10"/>
      <c r="C168" s="10"/>
      <c r="D168" s="10"/>
      <c r="E168" s="10"/>
      <c r="F168" s="10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5"/>
      <c r="X168" s="9"/>
      <c r="Y168" s="9"/>
      <c r="Z168" s="9"/>
      <c r="AA168" s="9"/>
    </row>
    <row r="169" spans="1:27" x14ac:dyDescent="0.3">
      <c r="A169" s="10"/>
      <c r="B169" s="10"/>
      <c r="C169" s="10"/>
      <c r="D169" s="10"/>
      <c r="E169" s="10"/>
      <c r="F169" s="10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5"/>
      <c r="X169" s="9"/>
      <c r="Y169" s="9"/>
      <c r="Z169" s="9"/>
      <c r="AA169" s="9"/>
    </row>
    <row r="170" spans="1:27" x14ac:dyDescent="0.3">
      <c r="A170" s="10"/>
      <c r="B170" s="10"/>
      <c r="C170" s="10"/>
      <c r="D170" s="10"/>
      <c r="E170" s="10"/>
      <c r="F170" s="10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5"/>
      <c r="X170" s="9"/>
      <c r="Y170" s="9"/>
      <c r="Z170" s="9"/>
      <c r="AA170" s="9"/>
    </row>
    <row r="171" spans="1:27" x14ac:dyDescent="0.3">
      <c r="A171" s="10"/>
      <c r="B171" s="10"/>
      <c r="C171" s="10"/>
      <c r="D171" s="10"/>
      <c r="E171" s="10"/>
      <c r="F171" s="10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5"/>
      <c r="X171" s="9"/>
      <c r="Y171" s="9"/>
      <c r="Z171" s="9"/>
      <c r="AA171" s="9"/>
    </row>
    <row r="172" spans="1:27" x14ac:dyDescent="0.3">
      <c r="A172" s="10"/>
      <c r="B172" s="10"/>
      <c r="C172" s="10"/>
      <c r="D172" s="10"/>
      <c r="E172" s="10"/>
      <c r="F172" s="10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5"/>
      <c r="X172" s="9"/>
      <c r="Y172" s="9"/>
      <c r="Z172" s="9"/>
      <c r="AA172" s="9"/>
    </row>
    <row r="173" spans="1:27" x14ac:dyDescent="0.3">
      <c r="A173" s="10"/>
      <c r="B173" s="10"/>
      <c r="C173" s="10"/>
      <c r="D173" s="10"/>
      <c r="E173" s="10"/>
      <c r="F173" s="10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5"/>
      <c r="X173" s="9"/>
      <c r="Y173" s="9"/>
      <c r="Z173" s="9"/>
      <c r="AA173" s="9"/>
    </row>
    <row r="174" spans="1:27" x14ac:dyDescent="0.3">
      <c r="A174" s="10"/>
      <c r="B174" s="10"/>
      <c r="C174" s="10"/>
      <c r="D174" s="10"/>
      <c r="E174" s="10"/>
      <c r="F174" s="10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5"/>
      <c r="X174" s="9"/>
      <c r="Y174" s="9"/>
      <c r="Z174" s="9"/>
      <c r="AA174" s="9"/>
    </row>
    <row r="175" spans="1:27" x14ac:dyDescent="0.3">
      <c r="A175" s="10"/>
      <c r="B175" s="10"/>
      <c r="C175" s="10"/>
      <c r="D175" s="10"/>
      <c r="E175" s="10"/>
      <c r="F175" s="10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5"/>
      <c r="X175" s="9"/>
      <c r="Y175" s="9"/>
      <c r="Z175" s="9"/>
      <c r="AA175" s="9"/>
    </row>
    <row r="176" spans="1:27" x14ac:dyDescent="0.3">
      <c r="A176" s="10"/>
      <c r="B176" s="10"/>
      <c r="C176" s="10"/>
      <c r="D176" s="10"/>
      <c r="E176" s="10"/>
      <c r="F176" s="10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5"/>
      <c r="X176" s="9"/>
      <c r="Y176" s="9"/>
      <c r="Z176" s="9"/>
      <c r="AA176" s="9"/>
    </row>
    <row r="177" spans="1:27" x14ac:dyDescent="0.3">
      <c r="A177" s="10"/>
      <c r="B177" s="10"/>
      <c r="C177" s="10"/>
      <c r="D177" s="10"/>
      <c r="E177" s="10"/>
      <c r="F177" s="10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5"/>
      <c r="X177" s="9"/>
      <c r="Y177" s="9"/>
      <c r="Z177" s="9"/>
      <c r="AA177" s="9"/>
    </row>
    <row r="178" spans="1:27" x14ac:dyDescent="0.3">
      <c r="A178" s="10"/>
      <c r="B178" s="10"/>
      <c r="C178" s="10"/>
      <c r="D178" s="10"/>
      <c r="E178" s="10"/>
      <c r="F178" s="10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5"/>
      <c r="X178" s="9"/>
      <c r="Y178" s="9"/>
      <c r="Z178" s="9"/>
      <c r="AA178" s="9"/>
    </row>
    <row r="179" spans="1:27" x14ac:dyDescent="0.3">
      <c r="A179" s="10"/>
      <c r="B179" s="10"/>
      <c r="C179" s="10"/>
      <c r="D179" s="10"/>
      <c r="E179" s="10"/>
      <c r="F179" s="10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5"/>
      <c r="X179" s="9"/>
      <c r="Y179" s="9"/>
      <c r="Z179" s="9"/>
      <c r="AA179" s="9"/>
    </row>
    <row r="180" spans="1:27" x14ac:dyDescent="0.3">
      <c r="A180" s="10"/>
      <c r="B180" s="10"/>
      <c r="C180" s="10"/>
      <c r="D180" s="10"/>
      <c r="E180" s="10"/>
      <c r="F180" s="10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5"/>
      <c r="X180" s="9"/>
      <c r="Y180" s="9"/>
      <c r="Z180" s="9"/>
      <c r="AA180" s="9"/>
    </row>
    <row r="181" spans="1:27" x14ac:dyDescent="0.3">
      <c r="A181" s="10"/>
      <c r="B181" s="10"/>
      <c r="C181" s="10"/>
      <c r="D181" s="10"/>
      <c r="E181" s="10"/>
      <c r="F181" s="10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5"/>
      <c r="X181" s="9"/>
      <c r="Y181" s="9"/>
      <c r="Z181" s="9"/>
      <c r="AA181" s="9"/>
    </row>
    <row r="182" spans="1:27" x14ac:dyDescent="0.3">
      <c r="A182" s="10"/>
      <c r="B182" s="10"/>
      <c r="C182" s="10"/>
      <c r="D182" s="10"/>
      <c r="E182" s="10"/>
      <c r="F182" s="10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5"/>
      <c r="X182" s="9"/>
      <c r="Y182" s="9"/>
      <c r="Z182" s="9"/>
      <c r="AA182" s="9"/>
    </row>
    <row r="183" spans="1:27" x14ac:dyDescent="0.3">
      <c r="A183" s="10"/>
      <c r="B183" s="10"/>
      <c r="C183" s="10"/>
      <c r="D183" s="10"/>
      <c r="E183" s="10"/>
      <c r="F183" s="10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5"/>
      <c r="X183" s="9"/>
      <c r="Y183" s="9"/>
      <c r="Z183" s="9"/>
      <c r="AA183" s="9"/>
    </row>
    <row r="184" spans="1:27" x14ac:dyDescent="0.3">
      <c r="A184" s="10"/>
      <c r="B184" s="10"/>
      <c r="C184" s="10"/>
      <c r="D184" s="10"/>
      <c r="E184" s="10"/>
      <c r="F184" s="10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5"/>
      <c r="X184" s="9"/>
      <c r="Y184" s="9"/>
      <c r="Z184" s="9"/>
      <c r="AA184" s="9"/>
    </row>
    <row r="185" spans="1:27" x14ac:dyDescent="0.3">
      <c r="A185" s="10"/>
      <c r="B185" s="10"/>
      <c r="C185" s="10"/>
      <c r="D185" s="10"/>
      <c r="E185" s="10"/>
      <c r="F185" s="10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5"/>
      <c r="X185" s="9"/>
      <c r="Y185" s="9"/>
      <c r="Z185" s="9"/>
      <c r="AA185" s="9"/>
    </row>
    <row r="186" spans="1:27" x14ac:dyDescent="0.3">
      <c r="A186" s="10"/>
      <c r="B186" s="10"/>
      <c r="C186" s="10"/>
      <c r="D186" s="10"/>
      <c r="E186" s="10"/>
      <c r="F186" s="10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5"/>
      <c r="X186" s="9"/>
      <c r="Y186" s="9"/>
      <c r="Z186" s="9"/>
      <c r="AA186" s="9"/>
    </row>
    <row r="187" spans="1:27" x14ac:dyDescent="0.3">
      <c r="A187" s="10"/>
      <c r="B187" s="10"/>
      <c r="C187" s="10"/>
      <c r="D187" s="10"/>
      <c r="E187" s="10"/>
      <c r="F187" s="10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5"/>
      <c r="X187" s="9"/>
      <c r="Y187" s="9"/>
      <c r="Z187" s="9"/>
      <c r="AA187" s="9"/>
    </row>
    <row r="188" spans="1:27" x14ac:dyDescent="0.3">
      <c r="A188" s="10"/>
      <c r="B188" s="10"/>
      <c r="C188" s="10"/>
      <c r="D188" s="10"/>
      <c r="E188" s="10"/>
      <c r="F188" s="10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5"/>
      <c r="X188" s="9"/>
      <c r="Y188" s="9"/>
      <c r="Z188" s="9"/>
      <c r="AA188" s="9"/>
    </row>
    <row r="189" spans="1:27" x14ac:dyDescent="0.3">
      <c r="A189" s="10"/>
      <c r="B189" s="10"/>
      <c r="C189" s="10"/>
      <c r="D189" s="10"/>
      <c r="E189" s="10"/>
      <c r="F189" s="10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5"/>
      <c r="X189" s="9"/>
      <c r="Y189" s="9"/>
      <c r="Z189" s="9"/>
      <c r="AA189" s="9"/>
    </row>
    <row r="190" spans="1:27" x14ac:dyDescent="0.3">
      <c r="A190" s="10"/>
      <c r="B190" s="10"/>
      <c r="C190" s="10"/>
      <c r="D190" s="10"/>
      <c r="E190" s="10"/>
      <c r="F190" s="10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5"/>
      <c r="X190" s="9"/>
      <c r="Y190" s="9"/>
      <c r="Z190" s="9"/>
      <c r="AA190" s="9"/>
    </row>
    <row r="191" spans="1:27" x14ac:dyDescent="0.3">
      <c r="A191" s="10"/>
      <c r="B191" s="10"/>
      <c r="C191" s="10"/>
      <c r="D191" s="10"/>
      <c r="E191" s="10"/>
      <c r="F191" s="10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5"/>
      <c r="X191" s="9"/>
      <c r="Y191" s="9"/>
      <c r="Z191" s="9"/>
      <c r="AA191" s="9"/>
    </row>
    <row r="192" spans="1:27" x14ac:dyDescent="0.3">
      <c r="A192" s="10"/>
      <c r="B192" s="10"/>
      <c r="C192" s="10"/>
      <c r="D192" s="10"/>
      <c r="E192" s="10"/>
      <c r="F192" s="10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5"/>
      <c r="X192" s="9"/>
      <c r="Y192" s="9"/>
      <c r="Z192" s="9"/>
      <c r="AA192" s="9"/>
    </row>
    <row r="193" spans="1:27" x14ac:dyDescent="0.3">
      <c r="A193" s="10"/>
      <c r="B193" s="10"/>
      <c r="C193" s="10"/>
      <c r="D193" s="10"/>
      <c r="E193" s="10"/>
      <c r="F193" s="10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x14ac:dyDescent="0.3">
      <c r="A194" s="10"/>
      <c r="B194" s="10"/>
      <c r="C194" s="10"/>
      <c r="D194" s="10"/>
      <c r="E194" s="10"/>
      <c r="F194" s="10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x14ac:dyDescent="0.3">
      <c r="A195" s="10"/>
      <c r="B195" s="10"/>
      <c r="C195" s="10"/>
      <c r="D195" s="10"/>
      <c r="E195" s="10"/>
      <c r="F195" s="10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x14ac:dyDescent="0.3">
      <c r="A196" s="10"/>
      <c r="B196" s="10"/>
      <c r="C196" s="10"/>
      <c r="D196" s="10"/>
      <c r="E196" s="10"/>
      <c r="F196" s="10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x14ac:dyDescent="0.3">
      <c r="A197" s="10"/>
      <c r="B197" s="10"/>
      <c r="C197" s="10"/>
      <c r="D197" s="10"/>
      <c r="E197" s="10"/>
      <c r="F197" s="10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x14ac:dyDescent="0.3">
      <c r="A198" s="10"/>
      <c r="B198" s="10"/>
      <c r="C198" s="10"/>
      <c r="D198" s="10"/>
      <c r="E198" s="10"/>
      <c r="F198" s="10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x14ac:dyDescent="0.3">
      <c r="A199" s="10"/>
      <c r="B199" s="10"/>
      <c r="C199" s="10"/>
      <c r="D199" s="10"/>
      <c r="E199" s="10"/>
      <c r="F199" s="10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x14ac:dyDescent="0.3">
      <c r="A200" s="10"/>
      <c r="B200" s="10"/>
      <c r="C200" s="10"/>
      <c r="D200" s="10"/>
      <c r="E200" s="10"/>
      <c r="F200" s="10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x14ac:dyDescent="0.3">
      <c r="A201" s="10"/>
      <c r="B201" s="10"/>
      <c r="C201" s="10"/>
      <c r="D201" s="10"/>
      <c r="E201" s="10"/>
      <c r="F201" s="10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x14ac:dyDescent="0.3">
      <c r="A202" s="10"/>
      <c r="B202" s="10"/>
      <c r="C202" s="10"/>
      <c r="D202" s="10"/>
      <c r="E202" s="10"/>
      <c r="F202" s="10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x14ac:dyDescent="0.3">
      <c r="A203" s="10"/>
      <c r="B203" s="10"/>
      <c r="C203" s="10"/>
      <c r="D203" s="10"/>
      <c r="E203" s="10"/>
      <c r="F203" s="10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x14ac:dyDescent="0.3">
      <c r="A204" s="10"/>
      <c r="B204" s="10"/>
      <c r="C204" s="10"/>
      <c r="D204" s="10"/>
      <c r="E204" s="10"/>
      <c r="F204" s="10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x14ac:dyDescent="0.3">
      <c r="A205" s="10"/>
      <c r="B205" s="10"/>
      <c r="C205" s="10"/>
      <c r="D205" s="10"/>
      <c r="E205" s="10"/>
      <c r="F205" s="10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x14ac:dyDescent="0.3">
      <c r="A206" s="10"/>
      <c r="B206" s="10"/>
      <c r="C206" s="10"/>
      <c r="D206" s="10"/>
      <c r="E206" s="10"/>
      <c r="F206" s="10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x14ac:dyDescent="0.3">
      <c r="A207" s="10"/>
      <c r="B207" s="10"/>
      <c r="C207" s="10"/>
      <c r="D207" s="10"/>
      <c r="E207" s="10"/>
      <c r="F207" s="10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x14ac:dyDescent="0.3">
      <c r="A208" s="10"/>
      <c r="B208" s="10"/>
      <c r="C208" s="10"/>
      <c r="D208" s="10"/>
      <c r="E208" s="10"/>
      <c r="F208" s="10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x14ac:dyDescent="0.3">
      <c r="A209" s="10"/>
      <c r="B209" s="10"/>
      <c r="C209" s="10"/>
      <c r="D209" s="10"/>
      <c r="E209" s="10"/>
      <c r="F209" s="10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x14ac:dyDescent="0.3">
      <c r="A210" s="10"/>
      <c r="B210" s="10"/>
      <c r="C210" s="10"/>
      <c r="D210" s="10"/>
      <c r="E210" s="10"/>
      <c r="F210" s="10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x14ac:dyDescent="0.3">
      <c r="A211" s="10"/>
      <c r="B211" s="10"/>
      <c r="C211" s="10"/>
      <c r="D211" s="10"/>
      <c r="E211" s="10"/>
      <c r="F211" s="10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x14ac:dyDescent="0.3">
      <c r="A212" s="10"/>
      <c r="B212" s="10"/>
      <c r="C212" s="10"/>
      <c r="D212" s="10"/>
      <c r="E212" s="10"/>
      <c r="F212" s="10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x14ac:dyDescent="0.3">
      <c r="A213" s="10"/>
      <c r="B213" s="10"/>
      <c r="C213" s="10"/>
      <c r="D213" s="10"/>
      <c r="E213" s="10"/>
      <c r="F213" s="10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x14ac:dyDescent="0.3">
      <c r="A214" s="10"/>
      <c r="B214" s="10"/>
      <c r="C214" s="10"/>
      <c r="D214" s="10"/>
      <c r="E214" s="10"/>
      <c r="F214" s="10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x14ac:dyDescent="0.3">
      <c r="A215" s="10"/>
      <c r="B215" s="10"/>
      <c r="C215" s="10"/>
      <c r="D215" s="10"/>
      <c r="E215" s="10"/>
      <c r="F215" s="10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x14ac:dyDescent="0.3">
      <c r="A216" s="10"/>
      <c r="B216" s="10"/>
      <c r="C216" s="10"/>
      <c r="D216" s="10"/>
      <c r="E216" s="10"/>
      <c r="F216" s="10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x14ac:dyDescent="0.3">
      <c r="A217" s="10"/>
      <c r="B217" s="10"/>
      <c r="C217" s="10"/>
      <c r="D217" s="10"/>
      <c r="E217" s="10"/>
      <c r="F217" s="10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x14ac:dyDescent="0.3">
      <c r="A218" s="10"/>
      <c r="B218" s="10"/>
      <c r="C218" s="10"/>
      <c r="D218" s="10"/>
      <c r="E218" s="10"/>
      <c r="F218" s="10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x14ac:dyDescent="0.3">
      <c r="A219" s="10"/>
      <c r="B219" s="10"/>
      <c r="C219" s="10"/>
      <c r="D219" s="10"/>
      <c r="E219" s="10"/>
      <c r="F219" s="10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x14ac:dyDescent="0.3">
      <c r="A220" s="10"/>
      <c r="B220" s="10"/>
      <c r="C220" s="10"/>
      <c r="D220" s="10"/>
      <c r="E220" s="10"/>
      <c r="F220" s="10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x14ac:dyDescent="0.3">
      <c r="A221" s="10"/>
      <c r="B221" s="10"/>
      <c r="C221" s="10"/>
      <c r="D221" s="10"/>
      <c r="E221" s="10"/>
      <c r="F221" s="10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x14ac:dyDescent="0.3">
      <c r="A222" s="10"/>
      <c r="B222" s="10"/>
      <c r="C222" s="10"/>
      <c r="D222" s="10"/>
      <c r="E222" s="10"/>
      <c r="F222" s="10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x14ac:dyDescent="0.3">
      <c r="A223" s="10"/>
      <c r="B223" s="10"/>
      <c r="C223" s="10"/>
      <c r="D223" s="10"/>
      <c r="E223" s="10"/>
      <c r="F223" s="10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x14ac:dyDescent="0.3">
      <c r="A224" s="10"/>
      <c r="B224" s="10"/>
      <c r="C224" s="10"/>
      <c r="D224" s="10"/>
      <c r="E224" s="10"/>
      <c r="F224" s="10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x14ac:dyDescent="0.3">
      <c r="A225" s="10"/>
      <c r="B225" s="10"/>
      <c r="C225" s="10"/>
      <c r="D225" s="10"/>
      <c r="E225" s="10"/>
      <c r="F225" s="10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x14ac:dyDescent="0.3">
      <c r="A226" s="10"/>
      <c r="B226" s="10"/>
      <c r="C226" s="10"/>
      <c r="D226" s="10"/>
      <c r="E226" s="10"/>
      <c r="F226" s="10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x14ac:dyDescent="0.3">
      <c r="A227" s="10"/>
      <c r="B227" s="10"/>
      <c r="C227" s="10"/>
      <c r="D227" s="10"/>
      <c r="E227" s="10"/>
      <c r="F227" s="10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x14ac:dyDescent="0.3">
      <c r="A228" s="10"/>
      <c r="B228" s="10"/>
      <c r="C228" s="10"/>
      <c r="D228" s="10"/>
      <c r="E228" s="10"/>
      <c r="F228" s="10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x14ac:dyDescent="0.3">
      <c r="A229" s="10"/>
      <c r="B229" s="10"/>
      <c r="C229" s="10"/>
      <c r="D229" s="10"/>
      <c r="E229" s="10"/>
      <c r="F229" s="10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x14ac:dyDescent="0.3">
      <c r="A230" s="10"/>
      <c r="B230" s="10"/>
      <c r="C230" s="10"/>
      <c r="D230" s="10"/>
      <c r="E230" s="10"/>
      <c r="F230" s="10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x14ac:dyDescent="0.3">
      <c r="A231" s="10"/>
      <c r="B231" s="10"/>
      <c r="C231" s="10"/>
      <c r="D231" s="10"/>
      <c r="E231" s="10"/>
      <c r="F231" s="10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x14ac:dyDescent="0.3">
      <c r="A232" s="10"/>
      <c r="B232" s="10"/>
      <c r="C232" s="10"/>
      <c r="D232" s="10"/>
      <c r="E232" s="10"/>
      <c r="F232" s="10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x14ac:dyDescent="0.3">
      <c r="A233" s="10"/>
      <c r="B233" s="10"/>
      <c r="C233" s="10"/>
      <c r="D233" s="10"/>
      <c r="E233" s="10"/>
      <c r="F233" s="10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x14ac:dyDescent="0.3">
      <c r="A234" s="10"/>
      <c r="B234" s="10"/>
      <c r="C234" s="10"/>
      <c r="D234" s="10"/>
      <c r="E234" s="10"/>
      <c r="F234" s="10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x14ac:dyDescent="0.3">
      <c r="A235" s="10"/>
      <c r="B235" s="10"/>
      <c r="C235" s="10"/>
      <c r="D235" s="10"/>
      <c r="E235" s="10"/>
      <c r="F235" s="10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x14ac:dyDescent="0.3">
      <c r="A236" s="10"/>
      <c r="B236" s="10"/>
      <c r="C236" s="10"/>
      <c r="D236" s="10"/>
      <c r="E236" s="10"/>
      <c r="F236" s="10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x14ac:dyDescent="0.3">
      <c r="A237" s="10"/>
      <c r="B237" s="10"/>
      <c r="C237" s="10"/>
      <c r="D237" s="10"/>
      <c r="E237" s="10"/>
      <c r="F237" s="10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x14ac:dyDescent="0.3">
      <c r="A238" s="10"/>
      <c r="B238" s="10"/>
      <c r="C238" s="10"/>
      <c r="D238" s="10"/>
      <c r="E238" s="10"/>
      <c r="F238" s="10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x14ac:dyDescent="0.3">
      <c r="A239" s="10"/>
      <c r="B239" s="10"/>
      <c r="C239" s="10"/>
      <c r="D239" s="10"/>
      <c r="E239" s="10"/>
      <c r="F239" s="10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x14ac:dyDescent="0.3">
      <c r="A240" s="10"/>
      <c r="B240" s="10"/>
      <c r="C240" s="10"/>
      <c r="D240" s="10"/>
      <c r="E240" s="10"/>
      <c r="F240" s="10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x14ac:dyDescent="0.3">
      <c r="A241" s="10"/>
      <c r="B241" s="10"/>
      <c r="C241" s="10"/>
      <c r="D241" s="10"/>
      <c r="E241" s="10"/>
      <c r="F241" s="10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x14ac:dyDescent="0.3">
      <c r="A242" s="10"/>
      <c r="B242" s="10"/>
      <c r="C242" s="10"/>
      <c r="D242" s="10"/>
      <c r="E242" s="10"/>
      <c r="F242" s="10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x14ac:dyDescent="0.3">
      <c r="A243" s="10"/>
      <c r="B243" s="10"/>
      <c r="C243" s="10"/>
      <c r="D243" s="10"/>
      <c r="E243" s="10"/>
      <c r="F243" s="10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x14ac:dyDescent="0.3">
      <c r="A244" s="10"/>
      <c r="B244" s="10"/>
      <c r="C244" s="10"/>
      <c r="D244" s="10"/>
      <c r="E244" s="10"/>
      <c r="F244" s="10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x14ac:dyDescent="0.3">
      <c r="A245" s="10"/>
      <c r="B245" s="10"/>
      <c r="C245" s="10"/>
      <c r="D245" s="10"/>
      <c r="E245" s="10"/>
      <c r="F245" s="10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x14ac:dyDescent="0.3">
      <c r="A246" s="10"/>
      <c r="B246" s="10"/>
      <c r="C246" s="10"/>
      <c r="D246" s="10"/>
      <c r="E246" s="10"/>
      <c r="F246" s="10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x14ac:dyDescent="0.3">
      <c r="A247" s="10"/>
      <c r="B247" s="10"/>
      <c r="C247" s="10"/>
      <c r="D247" s="10"/>
      <c r="E247" s="10"/>
      <c r="F247" s="10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x14ac:dyDescent="0.3">
      <c r="A248" s="10"/>
      <c r="B248" s="10"/>
      <c r="C248" s="10"/>
      <c r="D248" s="10"/>
      <c r="E248" s="10"/>
      <c r="F248" s="10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x14ac:dyDescent="0.3">
      <c r="A249" s="10"/>
      <c r="B249" s="10"/>
      <c r="C249" s="10"/>
      <c r="D249" s="10"/>
      <c r="E249" s="10"/>
      <c r="F249" s="10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x14ac:dyDescent="0.3">
      <c r="A250" s="10"/>
      <c r="B250" s="10"/>
      <c r="C250" s="10"/>
      <c r="D250" s="10"/>
      <c r="E250" s="10"/>
      <c r="F250" s="10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x14ac:dyDescent="0.3">
      <c r="A251" s="10"/>
      <c r="B251" s="10"/>
      <c r="C251" s="10"/>
      <c r="D251" s="10"/>
      <c r="E251" s="10"/>
      <c r="F251" s="10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x14ac:dyDescent="0.3">
      <c r="A252" s="10"/>
      <c r="B252" s="10"/>
      <c r="C252" s="10"/>
      <c r="D252" s="10"/>
      <c r="E252" s="10"/>
      <c r="F252" s="10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x14ac:dyDescent="0.3">
      <c r="A253" s="10"/>
      <c r="B253" s="10"/>
      <c r="C253" s="10"/>
      <c r="D253" s="10"/>
      <c r="E253" s="10"/>
      <c r="F253" s="10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x14ac:dyDescent="0.3">
      <c r="A254" s="10"/>
      <c r="B254" s="10"/>
      <c r="C254" s="10"/>
      <c r="D254" s="10"/>
      <c r="E254" s="10"/>
      <c r="F254" s="10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x14ac:dyDescent="0.3">
      <c r="A255" s="10"/>
      <c r="B255" s="10"/>
      <c r="C255" s="10"/>
      <c r="D255" s="10"/>
      <c r="E255" s="10"/>
      <c r="F255" s="10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x14ac:dyDescent="0.3">
      <c r="A256" s="10"/>
      <c r="B256" s="10"/>
      <c r="C256" s="10"/>
      <c r="D256" s="10"/>
      <c r="E256" s="10"/>
      <c r="F256" s="10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x14ac:dyDescent="0.3">
      <c r="A257" s="10"/>
      <c r="B257" s="10"/>
      <c r="C257" s="10"/>
      <c r="D257" s="10"/>
      <c r="E257" s="10"/>
      <c r="F257" s="10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x14ac:dyDescent="0.3">
      <c r="A258" s="10"/>
      <c r="B258" s="10"/>
      <c r="C258" s="10"/>
      <c r="D258" s="10"/>
      <c r="E258" s="10"/>
      <c r="F258" s="10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x14ac:dyDescent="0.3">
      <c r="A259" s="10"/>
      <c r="B259" s="10"/>
      <c r="C259" s="10"/>
      <c r="D259" s="10"/>
      <c r="E259" s="10"/>
      <c r="F259" s="10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x14ac:dyDescent="0.3">
      <c r="A260" s="10"/>
      <c r="B260" s="10"/>
      <c r="C260" s="10"/>
      <c r="D260" s="10"/>
      <c r="E260" s="10"/>
      <c r="F260" s="10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x14ac:dyDescent="0.3">
      <c r="A261" s="10"/>
      <c r="B261" s="10"/>
      <c r="C261" s="10"/>
      <c r="D261" s="10"/>
      <c r="E261" s="10"/>
      <c r="F261" s="10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x14ac:dyDescent="0.3">
      <c r="A262" s="10"/>
      <c r="B262" s="10"/>
      <c r="C262" s="10"/>
      <c r="D262" s="10"/>
      <c r="E262" s="10"/>
      <c r="F262" s="10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x14ac:dyDescent="0.3">
      <c r="A263" s="10"/>
      <c r="B263" s="10"/>
      <c r="C263" s="10"/>
      <c r="D263" s="10"/>
      <c r="E263" s="10"/>
      <c r="F263" s="10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x14ac:dyDescent="0.3">
      <c r="A264" s="10"/>
      <c r="B264" s="10"/>
      <c r="C264" s="10"/>
      <c r="D264" s="10"/>
      <c r="E264" s="10"/>
      <c r="F264" s="10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x14ac:dyDescent="0.3">
      <c r="A265" s="10"/>
      <c r="B265" s="10"/>
      <c r="C265" s="10"/>
      <c r="D265" s="10"/>
      <c r="E265" s="10"/>
      <c r="F265" s="10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x14ac:dyDescent="0.3">
      <c r="A266" s="10"/>
      <c r="B266" s="10"/>
      <c r="C266" s="10"/>
      <c r="D266" s="10"/>
      <c r="E266" s="10"/>
      <c r="F266" s="10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x14ac:dyDescent="0.3">
      <c r="A267" s="10"/>
      <c r="B267" s="10"/>
      <c r="C267" s="10"/>
      <c r="D267" s="10"/>
      <c r="E267" s="10"/>
      <c r="F267" s="10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x14ac:dyDescent="0.3">
      <c r="A268" s="10"/>
      <c r="B268" s="10"/>
      <c r="C268" s="10"/>
      <c r="D268" s="10"/>
      <c r="E268" s="10"/>
      <c r="F268" s="10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x14ac:dyDescent="0.3">
      <c r="A269" s="10"/>
      <c r="B269" s="10"/>
      <c r="C269" s="10"/>
      <c r="D269" s="10"/>
      <c r="E269" s="10"/>
      <c r="F269" s="10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x14ac:dyDescent="0.3">
      <c r="A270" s="10"/>
      <c r="B270" s="10"/>
      <c r="C270" s="10"/>
      <c r="D270" s="10"/>
      <c r="E270" s="10"/>
      <c r="F270" s="10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x14ac:dyDescent="0.3">
      <c r="A271" s="10"/>
      <c r="B271" s="10"/>
      <c r="C271" s="10"/>
      <c r="D271" s="10"/>
      <c r="E271" s="10"/>
      <c r="F271" s="10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x14ac:dyDescent="0.3">
      <c r="A272" s="10"/>
      <c r="B272" s="10"/>
      <c r="C272" s="10"/>
      <c r="D272" s="10"/>
      <c r="E272" s="10"/>
      <c r="F272" s="10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x14ac:dyDescent="0.3">
      <c r="A273" s="10"/>
      <c r="B273" s="10"/>
      <c r="C273" s="10"/>
      <c r="D273" s="10"/>
      <c r="E273" s="10"/>
      <c r="F273" s="10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x14ac:dyDescent="0.3">
      <c r="A274" s="10"/>
      <c r="B274" s="10"/>
      <c r="C274" s="10"/>
      <c r="D274" s="10"/>
      <c r="E274" s="10"/>
      <c r="F274" s="10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x14ac:dyDescent="0.3">
      <c r="A275" s="10"/>
      <c r="B275" s="10"/>
      <c r="C275" s="10"/>
      <c r="D275" s="10"/>
      <c r="E275" s="10"/>
      <c r="F275" s="10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x14ac:dyDescent="0.3">
      <c r="A276" s="10"/>
      <c r="B276" s="10"/>
      <c r="C276" s="10"/>
      <c r="D276" s="10"/>
      <c r="E276" s="10"/>
      <c r="F276" s="10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x14ac:dyDescent="0.3">
      <c r="A277" s="10"/>
      <c r="B277" s="10"/>
      <c r="C277" s="10"/>
      <c r="D277" s="10"/>
      <c r="E277" s="10"/>
      <c r="F277" s="10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x14ac:dyDescent="0.3">
      <c r="A278" s="10"/>
      <c r="B278" s="10"/>
      <c r="C278" s="10"/>
      <c r="D278" s="10"/>
      <c r="E278" s="10"/>
      <c r="F278" s="10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x14ac:dyDescent="0.3">
      <c r="A279" s="10"/>
      <c r="B279" s="10"/>
      <c r="C279" s="10"/>
      <c r="D279" s="10"/>
      <c r="E279" s="10"/>
      <c r="F279" s="10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x14ac:dyDescent="0.3">
      <c r="A280" s="10"/>
      <c r="B280" s="10"/>
      <c r="C280" s="10"/>
      <c r="D280" s="10"/>
      <c r="E280" s="10"/>
      <c r="F280" s="10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x14ac:dyDescent="0.3">
      <c r="A281" s="10"/>
      <c r="B281" s="10"/>
      <c r="C281" s="10"/>
      <c r="D281" s="10"/>
      <c r="E281" s="10"/>
      <c r="F281" s="10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x14ac:dyDescent="0.3">
      <c r="A282" s="10"/>
      <c r="B282" s="10"/>
      <c r="C282" s="10"/>
      <c r="D282" s="10"/>
      <c r="E282" s="10"/>
      <c r="F282" s="10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x14ac:dyDescent="0.3">
      <c r="A283" s="10"/>
      <c r="B283" s="10"/>
      <c r="C283" s="10"/>
      <c r="D283" s="10"/>
      <c r="E283" s="10"/>
      <c r="F283" s="10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x14ac:dyDescent="0.3">
      <c r="A284" s="10"/>
      <c r="B284" s="10"/>
      <c r="C284" s="10"/>
      <c r="D284" s="10"/>
      <c r="E284" s="10"/>
      <c r="F284" s="10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x14ac:dyDescent="0.3">
      <c r="A285" s="10"/>
      <c r="B285" s="10"/>
      <c r="C285" s="10"/>
      <c r="D285" s="10"/>
      <c r="E285" s="10"/>
      <c r="F285" s="10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x14ac:dyDescent="0.3">
      <c r="A286" s="10"/>
      <c r="B286" s="10"/>
      <c r="C286" s="10"/>
      <c r="D286" s="10"/>
      <c r="E286" s="10"/>
      <c r="F286" s="10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x14ac:dyDescent="0.3">
      <c r="A287" s="10"/>
      <c r="B287" s="10"/>
      <c r="C287" s="10"/>
      <c r="D287" s="10"/>
      <c r="E287" s="10"/>
      <c r="F287" s="10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x14ac:dyDescent="0.3">
      <c r="A288" s="10"/>
      <c r="B288" s="10"/>
      <c r="C288" s="10"/>
      <c r="D288" s="10"/>
      <c r="E288" s="10"/>
      <c r="F288" s="10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x14ac:dyDescent="0.3">
      <c r="A289" s="10"/>
      <c r="B289" s="10"/>
      <c r="C289" s="10"/>
      <c r="D289" s="10"/>
      <c r="E289" s="10"/>
      <c r="F289" s="10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x14ac:dyDescent="0.3">
      <c r="A290" s="10"/>
      <c r="B290" s="10"/>
      <c r="C290" s="10"/>
      <c r="D290" s="10"/>
      <c r="E290" s="10"/>
      <c r="F290" s="10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x14ac:dyDescent="0.3">
      <c r="A291" s="10"/>
      <c r="B291" s="10"/>
      <c r="C291" s="10"/>
      <c r="D291" s="10"/>
      <c r="E291" s="10"/>
      <c r="F291" s="10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x14ac:dyDescent="0.3">
      <c r="A292" s="10"/>
      <c r="B292" s="10"/>
      <c r="C292" s="10"/>
      <c r="D292" s="10"/>
      <c r="E292" s="10"/>
      <c r="F292" s="10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x14ac:dyDescent="0.3">
      <c r="A293" s="10"/>
      <c r="B293" s="10"/>
      <c r="C293" s="10"/>
      <c r="D293" s="10"/>
      <c r="E293" s="10"/>
      <c r="F293" s="10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x14ac:dyDescent="0.3">
      <c r="A294" s="10"/>
      <c r="B294" s="10"/>
      <c r="C294" s="10"/>
      <c r="D294" s="10"/>
      <c r="E294" s="10"/>
      <c r="F294" s="10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x14ac:dyDescent="0.3">
      <c r="A295" s="10"/>
      <c r="B295" s="10"/>
      <c r="C295" s="10"/>
      <c r="D295" s="10"/>
      <c r="E295" s="10"/>
      <c r="F295" s="10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x14ac:dyDescent="0.3">
      <c r="A296" s="10"/>
      <c r="B296" s="10"/>
      <c r="C296" s="10"/>
      <c r="D296" s="10"/>
      <c r="E296" s="10"/>
      <c r="F296" s="10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x14ac:dyDescent="0.3">
      <c r="A297" s="10"/>
      <c r="B297" s="10"/>
      <c r="C297" s="10"/>
      <c r="D297" s="10"/>
      <c r="E297" s="10"/>
      <c r="F297" s="10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x14ac:dyDescent="0.3">
      <c r="A298" s="10"/>
      <c r="B298" s="10"/>
      <c r="C298" s="10"/>
      <c r="D298" s="10"/>
      <c r="E298" s="10"/>
      <c r="F298" s="10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x14ac:dyDescent="0.3">
      <c r="A299" s="10"/>
      <c r="B299" s="10"/>
      <c r="C299" s="10"/>
      <c r="D299" s="10"/>
      <c r="E299" s="10"/>
      <c r="F299" s="10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x14ac:dyDescent="0.3">
      <c r="A300" s="10"/>
      <c r="B300" s="10"/>
      <c r="C300" s="10"/>
      <c r="D300" s="10"/>
      <c r="E300" s="10"/>
      <c r="F300" s="10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x14ac:dyDescent="0.3">
      <c r="A301" s="10"/>
      <c r="B301" s="10"/>
      <c r="C301" s="10"/>
      <c r="D301" s="10"/>
      <c r="E301" s="10"/>
      <c r="F301" s="10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x14ac:dyDescent="0.3">
      <c r="A302" s="10"/>
      <c r="B302" s="10"/>
      <c r="C302" s="10"/>
      <c r="D302" s="10"/>
      <c r="E302" s="10"/>
      <c r="F302" s="10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x14ac:dyDescent="0.3">
      <c r="A303" s="10"/>
      <c r="B303" s="10"/>
      <c r="C303" s="10"/>
      <c r="D303" s="10"/>
      <c r="E303" s="10"/>
      <c r="F303" s="10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x14ac:dyDescent="0.3">
      <c r="A304" s="10"/>
      <c r="B304" s="10"/>
      <c r="C304" s="10"/>
      <c r="D304" s="10"/>
      <c r="E304" s="10"/>
      <c r="F304" s="10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x14ac:dyDescent="0.3">
      <c r="A305" s="10"/>
      <c r="B305" s="10"/>
      <c r="C305" s="10"/>
      <c r="D305" s="10"/>
      <c r="E305" s="10"/>
      <c r="F305" s="10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x14ac:dyDescent="0.3">
      <c r="A306" s="10"/>
      <c r="B306" s="10"/>
      <c r="C306" s="10"/>
      <c r="D306" s="10"/>
      <c r="E306" s="10"/>
      <c r="F306" s="10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x14ac:dyDescent="0.3">
      <c r="A307" s="10"/>
      <c r="B307" s="10"/>
      <c r="C307" s="10"/>
      <c r="D307" s="10"/>
      <c r="E307" s="10"/>
      <c r="F307" s="10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x14ac:dyDescent="0.3">
      <c r="A308" s="10"/>
      <c r="B308" s="10"/>
      <c r="C308" s="10"/>
      <c r="D308" s="10"/>
      <c r="E308" s="10"/>
      <c r="F308" s="10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x14ac:dyDescent="0.3">
      <c r="A309" s="10"/>
      <c r="B309" s="10"/>
      <c r="C309" s="10"/>
      <c r="D309" s="10"/>
      <c r="E309" s="10"/>
      <c r="F309" s="10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x14ac:dyDescent="0.3">
      <c r="A310" s="10"/>
      <c r="B310" s="10"/>
      <c r="C310" s="10"/>
      <c r="D310" s="10"/>
      <c r="E310" s="10"/>
      <c r="F310" s="10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x14ac:dyDescent="0.3">
      <c r="A311" s="10"/>
      <c r="B311" s="10"/>
      <c r="C311" s="10"/>
      <c r="D311" s="10"/>
      <c r="E311" s="10"/>
      <c r="F311" s="10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x14ac:dyDescent="0.3">
      <c r="A312" s="10"/>
      <c r="B312" s="10"/>
      <c r="C312" s="10"/>
      <c r="D312" s="10"/>
      <c r="E312" s="10"/>
      <c r="F312" s="10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x14ac:dyDescent="0.3">
      <c r="A313" s="10"/>
      <c r="B313" s="10"/>
      <c r="C313" s="10"/>
      <c r="D313" s="10"/>
      <c r="E313" s="10"/>
      <c r="F313" s="10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x14ac:dyDescent="0.3">
      <c r="A314" s="10"/>
      <c r="B314" s="10"/>
      <c r="C314" s="10"/>
      <c r="D314" s="10"/>
      <c r="E314" s="10"/>
      <c r="F314" s="10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x14ac:dyDescent="0.3">
      <c r="A315" s="10"/>
      <c r="B315" s="10"/>
      <c r="C315" s="10"/>
      <c r="D315" s="10"/>
      <c r="E315" s="10"/>
      <c r="F315" s="10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x14ac:dyDescent="0.3">
      <c r="A316" s="10"/>
      <c r="B316" s="10"/>
      <c r="C316" s="10"/>
      <c r="D316" s="10"/>
      <c r="E316" s="10"/>
      <c r="F316" s="10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x14ac:dyDescent="0.3">
      <c r="A317" s="10"/>
      <c r="B317" s="10"/>
      <c r="C317" s="10"/>
      <c r="D317" s="10"/>
      <c r="E317" s="10"/>
      <c r="F317" s="10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x14ac:dyDescent="0.3">
      <c r="A318" s="10"/>
      <c r="B318" s="10"/>
      <c r="C318" s="10"/>
      <c r="D318" s="10"/>
      <c r="E318" s="10"/>
      <c r="F318" s="10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x14ac:dyDescent="0.3">
      <c r="A319" s="10"/>
      <c r="B319" s="10"/>
      <c r="C319" s="10"/>
      <c r="D319" s="10"/>
      <c r="E319" s="10"/>
      <c r="F319" s="10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x14ac:dyDescent="0.3">
      <c r="A320" s="10"/>
      <c r="B320" s="10"/>
      <c r="C320" s="10"/>
      <c r="D320" s="10"/>
      <c r="E320" s="10"/>
      <c r="F320" s="10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x14ac:dyDescent="0.3">
      <c r="A321" s="10"/>
      <c r="B321" s="10"/>
      <c r="C321" s="10"/>
      <c r="D321" s="10"/>
      <c r="E321" s="10"/>
      <c r="F321" s="10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x14ac:dyDescent="0.3">
      <c r="A322" s="10"/>
      <c r="B322" s="10"/>
      <c r="C322" s="10"/>
      <c r="D322" s="10"/>
      <c r="E322" s="10"/>
      <c r="F322" s="10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x14ac:dyDescent="0.3">
      <c r="A323" s="10"/>
      <c r="B323" s="10"/>
      <c r="C323" s="10"/>
      <c r="D323" s="10"/>
      <c r="E323" s="10"/>
      <c r="F323" s="10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x14ac:dyDescent="0.3">
      <c r="A324" s="10"/>
      <c r="B324" s="10"/>
      <c r="C324" s="10"/>
      <c r="D324" s="10"/>
      <c r="E324" s="10"/>
      <c r="F324" s="10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x14ac:dyDescent="0.3">
      <c r="A325" s="10"/>
      <c r="B325" s="10"/>
      <c r="C325" s="10"/>
      <c r="D325" s="10"/>
      <c r="E325" s="10"/>
      <c r="F325" s="10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x14ac:dyDescent="0.3">
      <c r="A326" s="10"/>
      <c r="B326" s="10"/>
      <c r="C326" s="10"/>
      <c r="D326" s="10"/>
      <c r="E326" s="10"/>
      <c r="F326" s="10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x14ac:dyDescent="0.3">
      <c r="A327" s="10"/>
      <c r="B327" s="10"/>
      <c r="C327" s="10"/>
      <c r="D327" s="10"/>
      <c r="E327" s="10"/>
      <c r="F327" s="10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x14ac:dyDescent="0.3">
      <c r="A328" s="10"/>
      <c r="B328" s="10"/>
      <c r="C328" s="10"/>
      <c r="D328" s="10"/>
      <c r="E328" s="10"/>
      <c r="F328" s="10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x14ac:dyDescent="0.3">
      <c r="A329" s="10"/>
      <c r="B329" s="10"/>
      <c r="C329" s="10"/>
      <c r="D329" s="10"/>
      <c r="E329" s="10"/>
      <c r="F329" s="10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x14ac:dyDescent="0.3">
      <c r="A330" s="10"/>
      <c r="B330" s="10"/>
      <c r="C330" s="10"/>
      <c r="D330" s="10"/>
      <c r="E330" s="10"/>
      <c r="F330" s="10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x14ac:dyDescent="0.3">
      <c r="A331" s="10"/>
      <c r="B331" s="10"/>
      <c r="C331" s="10"/>
      <c r="D331" s="10"/>
      <c r="E331" s="10"/>
      <c r="F331" s="10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x14ac:dyDescent="0.3">
      <c r="A332" s="10"/>
      <c r="B332" s="10"/>
      <c r="C332" s="10"/>
      <c r="D332" s="10"/>
      <c r="E332" s="10"/>
      <c r="F332" s="10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x14ac:dyDescent="0.3">
      <c r="A333" s="10"/>
      <c r="B333" s="10"/>
      <c r="C333" s="10"/>
      <c r="D333" s="10"/>
      <c r="E333" s="10"/>
      <c r="F333" s="10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x14ac:dyDescent="0.3">
      <c r="A334" s="10"/>
      <c r="B334" s="10"/>
      <c r="C334" s="10"/>
      <c r="D334" s="10"/>
      <c r="E334" s="10"/>
      <c r="F334" s="10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x14ac:dyDescent="0.3">
      <c r="A335" s="10"/>
      <c r="B335" s="10"/>
      <c r="C335" s="10"/>
      <c r="D335" s="10"/>
      <c r="E335" s="10"/>
      <c r="F335" s="10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x14ac:dyDescent="0.3">
      <c r="A336" s="10"/>
      <c r="B336" s="10"/>
      <c r="C336" s="10"/>
      <c r="D336" s="10"/>
      <c r="E336" s="10"/>
      <c r="F336" s="10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x14ac:dyDescent="0.3">
      <c r="A337" s="10"/>
      <c r="B337" s="10"/>
      <c r="C337" s="10"/>
      <c r="D337" s="10"/>
      <c r="E337" s="10"/>
      <c r="F337" s="10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x14ac:dyDescent="0.3">
      <c r="A338" s="10"/>
      <c r="B338" s="10"/>
      <c r="C338" s="10"/>
      <c r="D338" s="10"/>
      <c r="E338" s="10"/>
      <c r="F338" s="10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x14ac:dyDescent="0.3">
      <c r="A339" s="10"/>
      <c r="B339" s="10"/>
      <c r="C339" s="10"/>
      <c r="D339" s="10"/>
      <c r="E339" s="10"/>
      <c r="F339" s="10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x14ac:dyDescent="0.3">
      <c r="A340" s="10"/>
      <c r="B340" s="10"/>
      <c r="C340" s="10"/>
      <c r="D340" s="10"/>
      <c r="E340" s="10"/>
      <c r="F340" s="10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x14ac:dyDescent="0.3">
      <c r="A341" s="10"/>
      <c r="B341" s="10"/>
      <c r="C341" s="10"/>
      <c r="D341" s="10"/>
      <c r="E341" s="10"/>
      <c r="F341" s="10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x14ac:dyDescent="0.3">
      <c r="A342" s="10"/>
      <c r="B342" s="10"/>
      <c r="C342" s="10"/>
      <c r="D342" s="10"/>
      <c r="E342" s="10"/>
      <c r="F342" s="10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x14ac:dyDescent="0.3">
      <c r="A343" s="10"/>
      <c r="B343" s="10"/>
      <c r="C343" s="10"/>
      <c r="D343" s="10"/>
      <c r="E343" s="10"/>
      <c r="F343" s="10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x14ac:dyDescent="0.3">
      <c r="A344" s="10"/>
      <c r="B344" s="10"/>
      <c r="C344" s="10"/>
      <c r="D344" s="10"/>
      <c r="E344" s="10"/>
      <c r="F344" s="10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x14ac:dyDescent="0.3">
      <c r="A345" s="10"/>
      <c r="B345" s="10"/>
      <c r="C345" s="10"/>
      <c r="D345" s="10"/>
      <c r="E345" s="10"/>
      <c r="F345" s="10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x14ac:dyDescent="0.3">
      <c r="A346" s="10"/>
      <c r="B346" s="10"/>
      <c r="C346" s="10"/>
      <c r="D346" s="10"/>
      <c r="E346" s="10"/>
      <c r="F346" s="10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x14ac:dyDescent="0.3">
      <c r="A347" s="10"/>
      <c r="B347" s="10"/>
      <c r="C347" s="10"/>
      <c r="D347" s="10"/>
      <c r="E347" s="10"/>
      <c r="F347" s="10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x14ac:dyDescent="0.3">
      <c r="A348" s="10"/>
      <c r="B348" s="10"/>
      <c r="C348" s="10"/>
      <c r="D348" s="10"/>
      <c r="E348" s="10"/>
      <c r="F348" s="10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x14ac:dyDescent="0.3">
      <c r="A349" s="10"/>
      <c r="B349" s="10"/>
      <c r="C349" s="10"/>
      <c r="D349" s="10"/>
      <c r="E349" s="10"/>
      <c r="F349" s="10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x14ac:dyDescent="0.3">
      <c r="A350" s="10"/>
      <c r="B350" s="10"/>
      <c r="C350" s="10"/>
      <c r="D350" s="10"/>
      <c r="E350" s="10"/>
      <c r="F350" s="10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x14ac:dyDescent="0.3">
      <c r="A351" s="10"/>
      <c r="B351" s="10"/>
      <c r="C351" s="10"/>
      <c r="D351" s="10"/>
      <c r="E351" s="10"/>
      <c r="F351" s="10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x14ac:dyDescent="0.3">
      <c r="A352" s="10"/>
      <c r="B352" s="10"/>
      <c r="C352" s="10"/>
      <c r="D352" s="10"/>
      <c r="E352" s="10"/>
      <c r="F352" s="10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x14ac:dyDescent="0.3">
      <c r="A353" s="10"/>
      <c r="B353" s="10"/>
      <c r="C353" s="10"/>
      <c r="D353" s="10"/>
      <c r="E353" s="10"/>
      <c r="F353" s="10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x14ac:dyDescent="0.3">
      <c r="A354" s="10"/>
      <c r="B354" s="10"/>
      <c r="C354" s="10"/>
      <c r="D354" s="10"/>
      <c r="E354" s="10"/>
      <c r="F354" s="10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x14ac:dyDescent="0.3">
      <c r="A355" s="10"/>
      <c r="B355" s="10"/>
      <c r="C355" s="10"/>
      <c r="D355" s="10"/>
      <c r="E355" s="10"/>
      <c r="F355" s="10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x14ac:dyDescent="0.3">
      <c r="A356" s="10"/>
      <c r="B356" s="10"/>
      <c r="C356" s="10"/>
      <c r="D356" s="10"/>
      <c r="E356" s="10"/>
      <c r="F356" s="10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x14ac:dyDescent="0.3">
      <c r="A357" s="10"/>
      <c r="B357" s="10"/>
      <c r="C357" s="10"/>
      <c r="D357" s="10"/>
      <c r="E357" s="10"/>
      <c r="F357" s="10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x14ac:dyDescent="0.3">
      <c r="A358" s="10"/>
      <c r="B358" s="10"/>
      <c r="C358" s="10"/>
      <c r="D358" s="10"/>
      <c r="E358" s="10"/>
      <c r="F358" s="10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x14ac:dyDescent="0.3">
      <c r="A359" s="10"/>
      <c r="B359" s="10"/>
      <c r="C359" s="10"/>
      <c r="D359" s="10"/>
      <c r="E359" s="10"/>
      <c r="F359" s="10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x14ac:dyDescent="0.3">
      <c r="A360" s="10"/>
      <c r="B360" s="10"/>
      <c r="C360" s="10"/>
      <c r="D360" s="10"/>
      <c r="E360" s="10"/>
      <c r="F360" s="10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x14ac:dyDescent="0.3">
      <c r="A361" s="10"/>
      <c r="B361" s="10"/>
      <c r="C361" s="10"/>
      <c r="D361" s="10"/>
      <c r="E361" s="10"/>
      <c r="F361" s="10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x14ac:dyDescent="0.3">
      <c r="A362" s="10"/>
      <c r="B362" s="10"/>
      <c r="C362" s="10"/>
      <c r="D362" s="10"/>
      <c r="E362" s="10"/>
      <c r="F362" s="10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x14ac:dyDescent="0.3">
      <c r="A363" s="10"/>
      <c r="B363" s="10"/>
      <c r="C363" s="10"/>
      <c r="D363" s="10"/>
      <c r="E363" s="10"/>
      <c r="F363" s="10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x14ac:dyDescent="0.3">
      <c r="A364" s="10"/>
      <c r="B364" s="10"/>
      <c r="C364" s="10"/>
      <c r="D364" s="10"/>
      <c r="E364" s="10"/>
      <c r="F364" s="10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x14ac:dyDescent="0.3">
      <c r="A365" s="10"/>
      <c r="B365" s="10"/>
      <c r="C365" s="10"/>
      <c r="D365" s="10"/>
      <c r="E365" s="10"/>
      <c r="F365" s="10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x14ac:dyDescent="0.3">
      <c r="A366" s="10"/>
      <c r="B366" s="10"/>
      <c r="C366" s="10"/>
      <c r="D366" s="10"/>
      <c r="E366" s="10"/>
      <c r="F366" s="10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x14ac:dyDescent="0.3">
      <c r="A367" s="10"/>
      <c r="B367" s="10"/>
      <c r="C367" s="10"/>
      <c r="D367" s="10"/>
      <c r="E367" s="10"/>
      <c r="F367" s="10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x14ac:dyDescent="0.3">
      <c r="A368" s="10"/>
      <c r="B368" s="10"/>
      <c r="C368" s="10"/>
      <c r="D368" s="10"/>
      <c r="E368" s="10"/>
      <c r="F368" s="10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x14ac:dyDescent="0.3">
      <c r="A369" s="10"/>
      <c r="B369" s="10"/>
      <c r="C369" s="10"/>
      <c r="D369" s="10"/>
      <c r="E369" s="10"/>
      <c r="F369" s="10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x14ac:dyDescent="0.3">
      <c r="A370" s="10"/>
      <c r="B370" s="10"/>
      <c r="C370" s="10"/>
      <c r="D370" s="10"/>
      <c r="E370" s="10"/>
      <c r="F370" s="10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x14ac:dyDescent="0.3">
      <c r="A371" s="10"/>
      <c r="B371" s="10"/>
      <c r="C371" s="10"/>
      <c r="D371" s="10"/>
      <c r="E371" s="10"/>
      <c r="F371" s="10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x14ac:dyDescent="0.3">
      <c r="A372" s="10"/>
      <c r="B372" s="10"/>
      <c r="C372" s="10"/>
      <c r="D372" s="10"/>
      <c r="E372" s="10"/>
      <c r="F372" s="10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x14ac:dyDescent="0.3">
      <c r="A373" s="10"/>
      <c r="B373" s="10"/>
      <c r="C373" s="10"/>
      <c r="D373" s="10"/>
      <c r="E373" s="10"/>
      <c r="F373" s="10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x14ac:dyDescent="0.3">
      <c r="A374" s="10"/>
      <c r="B374" s="10"/>
      <c r="C374" s="10"/>
      <c r="D374" s="10"/>
      <c r="E374" s="10"/>
      <c r="F374" s="10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x14ac:dyDescent="0.3">
      <c r="A375" s="10"/>
      <c r="B375" s="10"/>
      <c r="C375" s="10"/>
      <c r="D375" s="10"/>
      <c r="E375" s="10"/>
      <c r="F375" s="10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x14ac:dyDescent="0.3">
      <c r="A376" s="10"/>
      <c r="B376" s="10"/>
      <c r="C376" s="10"/>
      <c r="D376" s="10"/>
      <c r="E376" s="10"/>
      <c r="F376" s="10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x14ac:dyDescent="0.3">
      <c r="A377" s="10"/>
      <c r="B377" s="10"/>
      <c r="C377" s="10"/>
      <c r="D377" s="10"/>
      <c r="E377" s="10"/>
      <c r="F377" s="10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x14ac:dyDescent="0.3">
      <c r="A378" s="10"/>
      <c r="B378" s="10"/>
      <c r="C378" s="10"/>
      <c r="D378" s="10"/>
      <c r="E378" s="10"/>
      <c r="F378" s="10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x14ac:dyDescent="0.3">
      <c r="A379" s="10"/>
      <c r="B379" s="10"/>
      <c r="C379" s="10"/>
      <c r="D379" s="10"/>
      <c r="E379" s="10"/>
      <c r="F379" s="10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x14ac:dyDescent="0.3">
      <c r="A380" s="10"/>
      <c r="B380" s="10"/>
      <c r="C380" s="10"/>
      <c r="D380" s="10"/>
      <c r="E380" s="10"/>
      <c r="F380" s="10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x14ac:dyDescent="0.3">
      <c r="A381" s="10"/>
      <c r="B381" s="10"/>
      <c r="C381" s="10"/>
      <c r="D381" s="10"/>
      <c r="E381" s="10"/>
      <c r="F381" s="10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x14ac:dyDescent="0.3">
      <c r="A382" s="10"/>
      <c r="B382" s="10"/>
      <c r="C382" s="10"/>
      <c r="D382" s="10"/>
      <c r="E382" s="10"/>
      <c r="F382" s="10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x14ac:dyDescent="0.3">
      <c r="A383" s="10"/>
      <c r="B383" s="10"/>
      <c r="C383" s="10"/>
      <c r="D383" s="10"/>
      <c r="E383" s="10"/>
      <c r="F383" s="10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x14ac:dyDescent="0.3">
      <c r="A384" s="10"/>
      <c r="B384" s="10"/>
      <c r="C384" s="10"/>
      <c r="D384" s="10"/>
      <c r="E384" s="10"/>
      <c r="F384" s="10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x14ac:dyDescent="0.3">
      <c r="A385" s="10"/>
      <c r="B385" s="10"/>
      <c r="C385" s="10"/>
      <c r="D385" s="10"/>
      <c r="E385" s="10"/>
      <c r="F385" s="10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x14ac:dyDescent="0.3">
      <c r="A386" s="10"/>
      <c r="B386" s="10"/>
      <c r="C386" s="10"/>
      <c r="D386" s="10"/>
      <c r="E386" s="10"/>
      <c r="F386" s="10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x14ac:dyDescent="0.3">
      <c r="A387" s="10"/>
      <c r="B387" s="10"/>
      <c r="C387" s="10"/>
      <c r="D387" s="10"/>
      <c r="E387" s="10"/>
      <c r="F387" s="10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x14ac:dyDescent="0.3">
      <c r="A388" s="10"/>
      <c r="B388" s="10"/>
      <c r="C388" s="10"/>
      <c r="D388" s="10"/>
      <c r="E388" s="10"/>
      <c r="F388" s="10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x14ac:dyDescent="0.3">
      <c r="A389" s="10"/>
      <c r="B389" s="10"/>
      <c r="C389" s="10"/>
      <c r="D389" s="10"/>
      <c r="E389" s="10"/>
      <c r="F389" s="10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x14ac:dyDescent="0.3">
      <c r="A390" s="10"/>
      <c r="B390" s="10"/>
      <c r="C390" s="10"/>
      <c r="D390" s="10"/>
      <c r="E390" s="10"/>
      <c r="F390" s="10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x14ac:dyDescent="0.3">
      <c r="A391" s="10"/>
      <c r="B391" s="10"/>
      <c r="C391" s="10"/>
      <c r="D391" s="10"/>
      <c r="E391" s="10"/>
      <c r="F391" s="10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x14ac:dyDescent="0.3">
      <c r="A392" s="10"/>
      <c r="B392" s="10"/>
      <c r="C392" s="10"/>
      <c r="D392" s="10"/>
      <c r="E392" s="10"/>
      <c r="F392" s="10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x14ac:dyDescent="0.3">
      <c r="A393" s="10"/>
      <c r="B393" s="10"/>
      <c r="C393" s="10"/>
      <c r="D393" s="10"/>
      <c r="E393" s="10"/>
      <c r="F393" s="10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x14ac:dyDescent="0.3">
      <c r="A394" s="10"/>
      <c r="B394" s="10"/>
      <c r="C394" s="10"/>
      <c r="D394" s="10"/>
      <c r="E394" s="10"/>
      <c r="F394" s="10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x14ac:dyDescent="0.3">
      <c r="A395" s="10"/>
      <c r="B395" s="10"/>
      <c r="C395" s="10"/>
      <c r="D395" s="10"/>
      <c r="E395" s="10"/>
      <c r="F395" s="10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x14ac:dyDescent="0.3">
      <c r="A396" s="10"/>
      <c r="B396" s="10"/>
      <c r="C396" s="10"/>
      <c r="D396" s="10"/>
      <c r="E396" s="10"/>
      <c r="F396" s="10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x14ac:dyDescent="0.3">
      <c r="A397" s="10"/>
      <c r="B397" s="10"/>
      <c r="C397" s="10"/>
      <c r="D397" s="10"/>
      <c r="E397" s="10"/>
      <c r="F397" s="10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x14ac:dyDescent="0.3">
      <c r="A398" s="10"/>
      <c r="B398" s="10"/>
      <c r="C398" s="10"/>
      <c r="D398" s="10"/>
      <c r="E398" s="10"/>
      <c r="F398" s="10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x14ac:dyDescent="0.3">
      <c r="A399" s="10"/>
      <c r="B399" s="10"/>
      <c r="C399" s="10"/>
      <c r="D399" s="10"/>
      <c r="E399" s="10"/>
      <c r="F399" s="10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x14ac:dyDescent="0.3">
      <c r="A400" s="10"/>
      <c r="B400" s="10"/>
      <c r="C400" s="10"/>
      <c r="D400" s="10"/>
      <c r="E400" s="10"/>
      <c r="F400" s="10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x14ac:dyDescent="0.3">
      <c r="A401" s="10"/>
      <c r="B401" s="10"/>
      <c r="C401" s="10"/>
      <c r="D401" s="10"/>
      <c r="E401" s="10"/>
      <c r="F401" s="10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x14ac:dyDescent="0.3">
      <c r="A402" s="10"/>
      <c r="B402" s="10"/>
      <c r="C402" s="10"/>
      <c r="D402" s="10"/>
      <c r="E402" s="10"/>
      <c r="F402" s="10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x14ac:dyDescent="0.3">
      <c r="A403" s="10"/>
      <c r="B403" s="10"/>
      <c r="C403" s="10"/>
      <c r="D403" s="10"/>
      <c r="E403" s="10"/>
      <c r="F403" s="10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x14ac:dyDescent="0.3">
      <c r="A404" s="10"/>
      <c r="B404" s="10"/>
      <c r="C404" s="10"/>
      <c r="D404" s="10"/>
      <c r="E404" s="10"/>
      <c r="F404" s="10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x14ac:dyDescent="0.3">
      <c r="A405" s="10"/>
      <c r="B405" s="10"/>
      <c r="C405" s="10"/>
      <c r="D405" s="10"/>
      <c r="E405" s="10"/>
      <c r="F405" s="10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x14ac:dyDescent="0.3">
      <c r="A406" s="10"/>
      <c r="B406" s="10"/>
      <c r="C406" s="10"/>
      <c r="D406" s="10"/>
      <c r="E406" s="10"/>
      <c r="F406" s="10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x14ac:dyDescent="0.3">
      <c r="A407" s="10"/>
      <c r="B407" s="10"/>
      <c r="C407" s="10"/>
      <c r="D407" s="10"/>
      <c r="E407" s="10"/>
      <c r="F407" s="10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x14ac:dyDescent="0.3">
      <c r="A408" s="10"/>
      <c r="B408" s="10"/>
      <c r="C408" s="10"/>
      <c r="D408" s="10"/>
      <c r="E408" s="10"/>
      <c r="F408" s="10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x14ac:dyDescent="0.3">
      <c r="A409" s="10"/>
      <c r="B409" s="10"/>
      <c r="C409" s="10"/>
      <c r="D409" s="10"/>
      <c r="E409" s="10"/>
      <c r="F409" s="10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x14ac:dyDescent="0.3">
      <c r="A410" s="10"/>
      <c r="B410" s="10"/>
      <c r="C410" s="10"/>
      <c r="D410" s="10"/>
      <c r="E410" s="10"/>
      <c r="F410" s="10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x14ac:dyDescent="0.3">
      <c r="A411" s="10"/>
      <c r="B411" s="10"/>
      <c r="C411" s="10"/>
      <c r="D411" s="10"/>
      <c r="E411" s="10"/>
      <c r="F411" s="10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x14ac:dyDescent="0.3">
      <c r="A412" s="10"/>
      <c r="B412" s="10"/>
      <c r="C412" s="10"/>
      <c r="D412" s="10"/>
      <c r="E412" s="10"/>
      <c r="F412" s="10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x14ac:dyDescent="0.3">
      <c r="A413" s="10"/>
      <c r="B413" s="10"/>
      <c r="C413" s="10"/>
      <c r="D413" s="10"/>
      <c r="E413" s="10"/>
      <c r="F413" s="10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x14ac:dyDescent="0.3">
      <c r="A414" s="10"/>
      <c r="B414" s="10"/>
      <c r="C414" s="10"/>
      <c r="D414" s="10"/>
      <c r="E414" s="10"/>
      <c r="F414" s="10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x14ac:dyDescent="0.3">
      <c r="A415" s="10"/>
      <c r="B415" s="10"/>
      <c r="C415" s="10"/>
      <c r="D415" s="10"/>
      <c r="E415" s="10"/>
      <c r="F415" s="10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x14ac:dyDescent="0.3">
      <c r="A416" s="10"/>
      <c r="B416" s="10"/>
      <c r="C416" s="10"/>
      <c r="D416" s="10"/>
      <c r="E416" s="10"/>
      <c r="F416" s="10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x14ac:dyDescent="0.3">
      <c r="A417" s="10"/>
      <c r="B417" s="10"/>
      <c r="C417" s="10"/>
      <c r="D417" s="10"/>
      <c r="E417" s="10"/>
      <c r="F417" s="10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x14ac:dyDescent="0.3">
      <c r="A418" s="10"/>
      <c r="B418" s="10"/>
      <c r="C418" s="10"/>
      <c r="D418" s="10"/>
      <c r="E418" s="10"/>
      <c r="F418" s="10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x14ac:dyDescent="0.3">
      <c r="A419" s="10"/>
      <c r="B419" s="10"/>
      <c r="C419" s="10"/>
      <c r="D419" s="10"/>
      <c r="E419" s="10"/>
      <c r="F419" s="10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x14ac:dyDescent="0.3">
      <c r="A420" s="10"/>
      <c r="B420" s="10"/>
      <c r="C420" s="10"/>
      <c r="D420" s="10"/>
      <c r="E420" s="10"/>
      <c r="F420" s="10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x14ac:dyDescent="0.3">
      <c r="A421" s="10"/>
      <c r="B421" s="10"/>
      <c r="C421" s="10"/>
      <c r="D421" s="10"/>
      <c r="E421" s="10"/>
      <c r="F421" s="10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x14ac:dyDescent="0.3">
      <c r="A422" s="10"/>
      <c r="B422" s="10"/>
      <c r="C422" s="10"/>
      <c r="D422" s="10"/>
      <c r="E422" s="10"/>
      <c r="F422" s="10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x14ac:dyDescent="0.3">
      <c r="A423" s="10"/>
      <c r="B423" s="10"/>
      <c r="C423" s="10"/>
      <c r="D423" s="10"/>
      <c r="E423" s="10"/>
      <c r="F423" s="10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x14ac:dyDescent="0.3">
      <c r="A424" s="10"/>
      <c r="B424" s="10"/>
      <c r="C424" s="10"/>
      <c r="D424" s="10"/>
      <c r="E424" s="10"/>
      <c r="F424" s="10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x14ac:dyDescent="0.3">
      <c r="A425" s="10"/>
      <c r="B425" s="10"/>
      <c r="C425" s="10"/>
      <c r="D425" s="10"/>
      <c r="E425" s="10"/>
      <c r="F425" s="10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x14ac:dyDescent="0.3">
      <c r="A426" s="10"/>
      <c r="B426" s="10"/>
      <c r="C426" s="10"/>
      <c r="D426" s="10"/>
      <c r="E426" s="10"/>
      <c r="F426" s="10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x14ac:dyDescent="0.3">
      <c r="A427" s="10"/>
      <c r="B427" s="10"/>
      <c r="C427" s="10"/>
      <c r="D427" s="10"/>
      <c r="E427" s="10"/>
      <c r="F427" s="10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x14ac:dyDescent="0.3">
      <c r="A428" s="10"/>
      <c r="B428" s="10"/>
      <c r="C428" s="10"/>
      <c r="D428" s="10"/>
      <c r="E428" s="10"/>
      <c r="F428" s="10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x14ac:dyDescent="0.3">
      <c r="A429" s="10"/>
      <c r="B429" s="10"/>
      <c r="C429" s="10"/>
      <c r="D429" s="10"/>
      <c r="E429" s="10"/>
      <c r="F429" s="10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x14ac:dyDescent="0.3">
      <c r="A430" s="10"/>
      <c r="B430" s="10"/>
      <c r="C430" s="10"/>
      <c r="D430" s="10"/>
      <c r="E430" s="10"/>
      <c r="F430" s="10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x14ac:dyDescent="0.3">
      <c r="A431" s="10"/>
      <c r="B431" s="10"/>
      <c r="C431" s="10"/>
      <c r="D431" s="10"/>
      <c r="E431" s="10"/>
      <c r="F431" s="10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x14ac:dyDescent="0.3">
      <c r="A432" s="10"/>
      <c r="B432" s="10"/>
      <c r="C432" s="10"/>
      <c r="D432" s="10"/>
      <c r="E432" s="10"/>
      <c r="F432" s="10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x14ac:dyDescent="0.3">
      <c r="A433" s="10"/>
      <c r="B433" s="10"/>
      <c r="C433" s="10"/>
      <c r="D433" s="10"/>
      <c r="E433" s="10"/>
      <c r="F433" s="10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x14ac:dyDescent="0.3">
      <c r="A434" s="10"/>
      <c r="B434" s="10"/>
      <c r="C434" s="10"/>
      <c r="D434" s="10"/>
      <c r="E434" s="10"/>
      <c r="F434" s="10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x14ac:dyDescent="0.3">
      <c r="A435" s="10"/>
      <c r="B435" s="10"/>
      <c r="C435" s="10"/>
      <c r="D435" s="10"/>
      <c r="E435" s="10"/>
      <c r="F435" s="10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x14ac:dyDescent="0.3">
      <c r="A436" s="10"/>
      <c r="B436" s="10"/>
      <c r="C436" s="10"/>
      <c r="D436" s="10"/>
      <c r="E436" s="10"/>
      <c r="F436" s="10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x14ac:dyDescent="0.3">
      <c r="A437" s="10"/>
      <c r="B437" s="10"/>
      <c r="C437" s="10"/>
      <c r="D437" s="10"/>
      <c r="E437" s="10"/>
      <c r="F437" s="10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x14ac:dyDescent="0.3">
      <c r="A438" s="10"/>
      <c r="B438" s="10"/>
      <c r="C438" s="10"/>
      <c r="D438" s="10"/>
      <c r="E438" s="10"/>
      <c r="F438" s="10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x14ac:dyDescent="0.3">
      <c r="A439" s="10"/>
      <c r="B439" s="10"/>
      <c r="C439" s="10"/>
      <c r="D439" s="10"/>
      <c r="E439" s="10"/>
      <c r="F439" s="10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x14ac:dyDescent="0.3">
      <c r="A440" s="10"/>
      <c r="B440" s="10"/>
      <c r="C440" s="10"/>
      <c r="D440" s="10"/>
      <c r="E440" s="10"/>
      <c r="F440" s="10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x14ac:dyDescent="0.3">
      <c r="A441" s="10"/>
      <c r="B441" s="10"/>
      <c r="C441" s="10"/>
      <c r="D441" s="10"/>
      <c r="E441" s="10"/>
      <c r="F441" s="10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x14ac:dyDescent="0.3">
      <c r="A442" s="10"/>
      <c r="B442" s="10"/>
      <c r="C442" s="10"/>
      <c r="D442" s="10"/>
      <c r="E442" s="10"/>
      <c r="F442" s="10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x14ac:dyDescent="0.3">
      <c r="A443" s="10"/>
      <c r="B443" s="10"/>
      <c r="C443" s="10"/>
      <c r="D443" s="10"/>
      <c r="E443" s="10"/>
      <c r="F443" s="10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x14ac:dyDescent="0.3">
      <c r="A444" s="10"/>
      <c r="B444" s="10"/>
      <c r="C444" s="10"/>
      <c r="D444" s="10"/>
      <c r="E444" s="10"/>
      <c r="F444" s="10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x14ac:dyDescent="0.3">
      <c r="A445" s="10"/>
      <c r="B445" s="10"/>
      <c r="C445" s="10"/>
      <c r="D445" s="10"/>
      <c r="E445" s="10"/>
      <c r="F445" s="10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x14ac:dyDescent="0.3">
      <c r="A446" s="10"/>
      <c r="B446" s="10"/>
      <c r="C446" s="10"/>
      <c r="D446" s="10"/>
      <c r="E446" s="10"/>
      <c r="F446" s="10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x14ac:dyDescent="0.3">
      <c r="A447" s="10"/>
      <c r="B447" s="10"/>
      <c r="C447" s="10"/>
      <c r="D447" s="10"/>
      <c r="E447" s="10"/>
      <c r="F447" s="10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x14ac:dyDescent="0.3">
      <c r="A448" s="10"/>
      <c r="B448" s="10"/>
      <c r="C448" s="10"/>
      <c r="D448" s="10"/>
      <c r="E448" s="10"/>
      <c r="F448" s="10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x14ac:dyDescent="0.3">
      <c r="A449" s="10"/>
      <c r="B449" s="10"/>
      <c r="C449" s="10"/>
      <c r="D449" s="10"/>
      <c r="E449" s="10"/>
      <c r="F449" s="10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x14ac:dyDescent="0.3">
      <c r="A450" s="10"/>
      <c r="B450" s="10"/>
      <c r="C450" s="10"/>
      <c r="D450" s="10"/>
      <c r="E450" s="10"/>
      <c r="F450" s="10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x14ac:dyDescent="0.3">
      <c r="A451" s="10"/>
      <c r="B451" s="10"/>
      <c r="C451" s="10"/>
      <c r="D451" s="10"/>
      <c r="E451" s="10"/>
      <c r="F451" s="10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x14ac:dyDescent="0.3">
      <c r="A452" s="10"/>
      <c r="B452" s="10"/>
      <c r="C452" s="10"/>
      <c r="D452" s="10"/>
      <c r="E452" s="10"/>
      <c r="F452" s="10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x14ac:dyDescent="0.3">
      <c r="A453" s="10"/>
      <c r="B453" s="10"/>
      <c r="C453" s="10"/>
      <c r="D453" s="10"/>
      <c r="E453" s="10"/>
      <c r="F453" s="10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x14ac:dyDescent="0.3">
      <c r="A454" s="10"/>
      <c r="B454" s="10"/>
      <c r="C454" s="10"/>
      <c r="D454" s="10"/>
      <c r="E454" s="10"/>
      <c r="F454" s="10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x14ac:dyDescent="0.3">
      <c r="A455" s="10"/>
      <c r="B455" s="10"/>
      <c r="C455" s="10"/>
      <c r="D455" s="10"/>
      <c r="E455" s="10"/>
      <c r="F455" s="10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x14ac:dyDescent="0.3">
      <c r="A456" s="10"/>
      <c r="B456" s="10"/>
      <c r="C456" s="10"/>
      <c r="D456" s="10"/>
      <c r="E456" s="10"/>
      <c r="F456" s="10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x14ac:dyDescent="0.3">
      <c r="A457" s="10"/>
      <c r="B457" s="10"/>
      <c r="C457" s="10"/>
      <c r="D457" s="10"/>
      <c r="E457" s="10"/>
      <c r="F457" s="10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x14ac:dyDescent="0.3">
      <c r="A458" s="10"/>
      <c r="B458" s="10"/>
      <c r="C458" s="10"/>
      <c r="D458" s="10"/>
      <c r="E458" s="10"/>
      <c r="F458" s="10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x14ac:dyDescent="0.3">
      <c r="A459" s="10"/>
      <c r="B459" s="10"/>
      <c r="C459" s="10"/>
      <c r="D459" s="10"/>
      <c r="E459" s="10"/>
      <c r="F459" s="10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x14ac:dyDescent="0.3">
      <c r="A460" s="10"/>
      <c r="B460" s="10"/>
      <c r="C460" s="10"/>
      <c r="D460" s="10"/>
      <c r="E460" s="10"/>
      <c r="F460" s="10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x14ac:dyDescent="0.3">
      <c r="A461" s="10"/>
      <c r="B461" s="10"/>
      <c r="C461" s="10"/>
      <c r="D461" s="10"/>
      <c r="E461" s="10"/>
      <c r="F461" s="10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x14ac:dyDescent="0.3">
      <c r="A462" s="10"/>
      <c r="B462" s="10"/>
      <c r="C462" s="10"/>
      <c r="D462" s="10"/>
      <c r="E462" s="10"/>
      <c r="F462" s="10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x14ac:dyDescent="0.3">
      <c r="A463" s="10"/>
      <c r="B463" s="10"/>
      <c r="C463" s="10"/>
      <c r="D463" s="10"/>
      <c r="E463" s="10"/>
      <c r="F463" s="10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x14ac:dyDescent="0.3">
      <c r="A464" s="10"/>
      <c r="B464" s="10"/>
      <c r="C464" s="10"/>
      <c r="D464" s="10"/>
      <c r="E464" s="10"/>
      <c r="F464" s="10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x14ac:dyDescent="0.3">
      <c r="A465" s="10"/>
      <c r="B465" s="10"/>
      <c r="C465" s="10"/>
      <c r="D465" s="10"/>
      <c r="E465" s="10"/>
      <c r="F465" s="10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x14ac:dyDescent="0.3">
      <c r="A466" s="10"/>
      <c r="B466" s="10"/>
      <c r="C466" s="10"/>
      <c r="D466" s="10"/>
      <c r="E466" s="10"/>
      <c r="F466" s="10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x14ac:dyDescent="0.3">
      <c r="A467" s="10"/>
      <c r="B467" s="10"/>
      <c r="C467" s="10"/>
      <c r="D467" s="10"/>
      <c r="E467" s="10"/>
      <c r="F467" s="10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x14ac:dyDescent="0.3">
      <c r="A468" s="10"/>
      <c r="B468" s="10"/>
      <c r="C468" s="10"/>
      <c r="D468" s="10"/>
      <c r="E468" s="10"/>
      <c r="F468" s="10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x14ac:dyDescent="0.3">
      <c r="A469" s="10"/>
      <c r="B469" s="10"/>
      <c r="C469" s="10"/>
      <c r="D469" s="10"/>
      <c r="E469" s="10"/>
      <c r="F469" s="10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x14ac:dyDescent="0.3">
      <c r="A470" s="10"/>
      <c r="B470" s="10"/>
      <c r="C470" s="10"/>
      <c r="D470" s="10"/>
      <c r="E470" s="10"/>
      <c r="F470" s="10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x14ac:dyDescent="0.3">
      <c r="A471" s="10"/>
      <c r="B471" s="10"/>
      <c r="C471" s="10"/>
      <c r="D471" s="10"/>
      <c r="E471" s="10"/>
      <c r="F471" s="10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x14ac:dyDescent="0.3">
      <c r="A472" s="10"/>
      <c r="B472" s="10"/>
      <c r="C472" s="10"/>
      <c r="D472" s="10"/>
      <c r="E472" s="10"/>
      <c r="F472" s="10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x14ac:dyDescent="0.3">
      <c r="A473" s="10"/>
      <c r="B473" s="10"/>
      <c r="C473" s="10"/>
      <c r="D473" s="10"/>
      <c r="E473" s="10"/>
      <c r="F473" s="10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x14ac:dyDescent="0.3">
      <c r="A474" s="10"/>
      <c r="B474" s="10"/>
      <c r="C474" s="10"/>
      <c r="D474" s="10"/>
      <c r="E474" s="10"/>
      <c r="F474" s="10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x14ac:dyDescent="0.3">
      <c r="A475" s="10"/>
      <c r="B475" s="10"/>
      <c r="C475" s="10"/>
      <c r="D475" s="10"/>
      <c r="E475" s="10"/>
      <c r="F475" s="10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x14ac:dyDescent="0.3">
      <c r="A476" s="10"/>
      <c r="B476" s="10"/>
      <c r="C476" s="10"/>
      <c r="D476" s="10"/>
      <c r="E476" s="10"/>
      <c r="F476" s="10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x14ac:dyDescent="0.3">
      <c r="A477" s="10"/>
      <c r="B477" s="10"/>
      <c r="C477" s="10"/>
      <c r="D477" s="10"/>
      <c r="E477" s="10"/>
      <c r="F477" s="10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x14ac:dyDescent="0.3">
      <c r="A478" s="10"/>
      <c r="B478" s="10"/>
      <c r="C478" s="10"/>
      <c r="D478" s="10"/>
      <c r="E478" s="10"/>
      <c r="F478" s="10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x14ac:dyDescent="0.3">
      <c r="A479" s="10"/>
      <c r="B479" s="10"/>
      <c r="C479" s="10"/>
      <c r="D479" s="10"/>
      <c r="E479" s="10"/>
      <c r="F479" s="10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x14ac:dyDescent="0.3">
      <c r="A480" s="10"/>
      <c r="B480" s="10"/>
      <c r="C480" s="10"/>
      <c r="D480" s="10"/>
      <c r="E480" s="10"/>
      <c r="F480" s="10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x14ac:dyDescent="0.3">
      <c r="A481" s="10"/>
      <c r="B481" s="10"/>
      <c r="C481" s="10"/>
      <c r="D481" s="10"/>
      <c r="E481" s="10"/>
      <c r="F481" s="10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x14ac:dyDescent="0.3">
      <c r="A482" s="10"/>
      <c r="B482" s="10"/>
      <c r="C482" s="10"/>
      <c r="D482" s="10"/>
      <c r="E482" s="10"/>
      <c r="F482" s="10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x14ac:dyDescent="0.3">
      <c r="A483" s="10"/>
      <c r="B483" s="10"/>
      <c r="C483" s="10"/>
      <c r="D483" s="10"/>
      <c r="E483" s="10"/>
      <c r="F483" s="10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x14ac:dyDescent="0.3">
      <c r="A484" s="10"/>
      <c r="B484" s="10"/>
      <c r="C484" s="10"/>
      <c r="D484" s="10"/>
      <c r="E484" s="10"/>
      <c r="F484" s="10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x14ac:dyDescent="0.3">
      <c r="A485" s="10"/>
      <c r="B485" s="10"/>
      <c r="C485" s="10"/>
      <c r="D485" s="10"/>
      <c r="E485" s="10"/>
      <c r="F485" s="10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x14ac:dyDescent="0.3">
      <c r="A486" s="10"/>
      <c r="B486" s="10"/>
      <c r="C486" s="10"/>
      <c r="D486" s="10"/>
      <c r="E486" s="10"/>
      <c r="F486" s="10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x14ac:dyDescent="0.3">
      <c r="A487" s="10"/>
      <c r="B487" s="10"/>
      <c r="C487" s="10"/>
      <c r="D487" s="10"/>
      <c r="E487" s="10"/>
      <c r="F487" s="10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x14ac:dyDescent="0.3">
      <c r="A488" s="10"/>
      <c r="B488" s="10"/>
      <c r="C488" s="10"/>
      <c r="D488" s="10"/>
      <c r="E488" s="10"/>
      <c r="F488" s="10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x14ac:dyDescent="0.3">
      <c r="A489" s="10"/>
      <c r="B489" s="10"/>
      <c r="C489" s="10"/>
      <c r="D489" s="10"/>
      <c r="E489" s="10"/>
      <c r="F489" s="10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x14ac:dyDescent="0.3">
      <c r="A490" s="10"/>
      <c r="B490" s="10"/>
      <c r="C490" s="10"/>
      <c r="D490" s="10"/>
      <c r="E490" s="10"/>
      <c r="F490" s="10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x14ac:dyDescent="0.3">
      <c r="A491" s="10"/>
      <c r="B491" s="10"/>
      <c r="C491" s="10"/>
      <c r="D491" s="10"/>
      <c r="E491" s="10"/>
      <c r="F491" s="10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x14ac:dyDescent="0.3">
      <c r="A492" s="10"/>
      <c r="B492" s="10"/>
      <c r="C492" s="10"/>
      <c r="D492" s="10"/>
      <c r="E492" s="10"/>
      <c r="F492" s="10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x14ac:dyDescent="0.3">
      <c r="A493" s="10"/>
      <c r="B493" s="10"/>
      <c r="C493" s="10"/>
      <c r="D493" s="10"/>
      <c r="E493" s="10"/>
      <c r="F493" s="10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x14ac:dyDescent="0.3">
      <c r="A494" s="10"/>
      <c r="B494" s="10"/>
      <c r="C494" s="10"/>
      <c r="D494" s="10"/>
      <c r="E494" s="10"/>
      <c r="F494" s="10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x14ac:dyDescent="0.3">
      <c r="A495" s="10"/>
      <c r="B495" s="10"/>
      <c r="C495" s="10"/>
      <c r="D495" s="10"/>
      <c r="E495" s="10"/>
      <c r="F495" s="10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x14ac:dyDescent="0.3">
      <c r="A496" s="10"/>
      <c r="B496" s="10"/>
      <c r="C496" s="10"/>
      <c r="D496" s="10"/>
      <c r="E496" s="10"/>
      <c r="F496" s="10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x14ac:dyDescent="0.3">
      <c r="A497" s="10"/>
      <c r="B497" s="10"/>
      <c r="C497" s="10"/>
      <c r="D497" s="10"/>
      <c r="E497" s="10"/>
      <c r="F497" s="10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x14ac:dyDescent="0.3">
      <c r="A498" s="10"/>
      <c r="B498" s="10"/>
      <c r="C498" s="10"/>
      <c r="D498" s="10"/>
      <c r="E498" s="10"/>
      <c r="F498" s="10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x14ac:dyDescent="0.3">
      <c r="A499" s="10"/>
      <c r="B499" s="10"/>
      <c r="C499" s="10"/>
      <c r="D499" s="10"/>
      <c r="E499" s="10"/>
      <c r="F499" s="10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x14ac:dyDescent="0.3">
      <c r="A500" s="10"/>
      <c r="B500" s="10"/>
      <c r="C500" s="10"/>
      <c r="D500" s="10"/>
      <c r="E500" s="10"/>
      <c r="F500" s="10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x14ac:dyDescent="0.3">
      <c r="A501" s="10"/>
      <c r="B501" s="10"/>
      <c r="C501" s="10"/>
      <c r="D501" s="10"/>
      <c r="E501" s="10"/>
      <c r="F501" s="10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x14ac:dyDescent="0.3">
      <c r="A502" s="10"/>
      <c r="B502" s="10"/>
      <c r="C502" s="10"/>
      <c r="D502" s="10"/>
      <c r="E502" s="10"/>
      <c r="F502" s="10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x14ac:dyDescent="0.3">
      <c r="A503" s="10"/>
      <c r="B503" s="10"/>
      <c r="C503" s="10"/>
      <c r="D503" s="10"/>
      <c r="E503" s="10"/>
      <c r="F503" s="10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x14ac:dyDescent="0.3">
      <c r="A504" s="10"/>
      <c r="B504" s="10"/>
      <c r="C504" s="10"/>
      <c r="D504" s="10"/>
      <c r="E504" s="10"/>
      <c r="F504" s="10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x14ac:dyDescent="0.3">
      <c r="A505" s="10"/>
      <c r="B505" s="10"/>
      <c r="C505" s="10"/>
      <c r="D505" s="10"/>
      <c r="E505" s="10"/>
      <c r="F505" s="10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x14ac:dyDescent="0.3">
      <c r="A506" s="10"/>
      <c r="B506" s="10"/>
      <c r="C506" s="10"/>
      <c r="D506" s="10"/>
      <c r="E506" s="10"/>
      <c r="F506" s="10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x14ac:dyDescent="0.3">
      <c r="A507" s="10"/>
      <c r="B507" s="10"/>
      <c r="C507" s="10"/>
      <c r="D507" s="10"/>
      <c r="E507" s="10"/>
      <c r="F507" s="10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x14ac:dyDescent="0.3">
      <c r="A508" s="10"/>
      <c r="B508" s="10"/>
      <c r="C508" s="10"/>
      <c r="D508" s="10"/>
      <c r="E508" s="10"/>
      <c r="F508" s="10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x14ac:dyDescent="0.3">
      <c r="A509" s="10"/>
      <c r="B509" s="10"/>
      <c r="C509" s="10"/>
      <c r="D509" s="10"/>
      <c r="E509" s="10"/>
      <c r="F509" s="10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x14ac:dyDescent="0.3">
      <c r="A510" s="10"/>
      <c r="B510" s="10"/>
      <c r="C510" s="10"/>
      <c r="D510" s="10"/>
      <c r="E510" s="10"/>
      <c r="F510" s="10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x14ac:dyDescent="0.3">
      <c r="A511" s="10"/>
      <c r="B511" s="10"/>
      <c r="C511" s="10"/>
      <c r="D511" s="10"/>
      <c r="E511" s="10"/>
      <c r="F511" s="10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x14ac:dyDescent="0.3">
      <c r="A512" s="10"/>
      <c r="B512" s="10"/>
      <c r="C512" s="10"/>
      <c r="D512" s="10"/>
      <c r="E512" s="10"/>
      <c r="F512" s="10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x14ac:dyDescent="0.3">
      <c r="A513" s="10"/>
      <c r="B513" s="10"/>
      <c r="C513" s="10"/>
      <c r="D513" s="10"/>
      <c r="E513" s="10"/>
      <c r="F513" s="10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x14ac:dyDescent="0.3">
      <c r="A514" s="10"/>
      <c r="B514" s="10"/>
      <c r="C514" s="10"/>
      <c r="D514" s="10"/>
      <c r="E514" s="10"/>
      <c r="F514" s="10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x14ac:dyDescent="0.3">
      <c r="A515" s="10"/>
      <c r="B515" s="10"/>
      <c r="C515" s="10"/>
      <c r="D515" s="10"/>
      <c r="E515" s="10"/>
      <c r="F515" s="10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x14ac:dyDescent="0.3">
      <c r="A516" s="10"/>
      <c r="B516" s="10"/>
      <c r="C516" s="10"/>
      <c r="D516" s="10"/>
      <c r="E516" s="10"/>
      <c r="F516" s="10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x14ac:dyDescent="0.3">
      <c r="A517" s="10"/>
      <c r="B517" s="10"/>
      <c r="C517" s="10"/>
      <c r="D517" s="10"/>
      <c r="E517" s="10"/>
      <c r="F517" s="10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x14ac:dyDescent="0.3">
      <c r="A518" s="10"/>
      <c r="B518" s="10"/>
      <c r="C518" s="10"/>
      <c r="D518" s="10"/>
      <c r="E518" s="10"/>
      <c r="F518" s="10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x14ac:dyDescent="0.3">
      <c r="A519" s="10"/>
      <c r="B519" s="10"/>
      <c r="C519" s="10"/>
      <c r="D519" s="10"/>
      <c r="E519" s="10"/>
      <c r="F519" s="10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x14ac:dyDescent="0.3">
      <c r="A520" s="10"/>
      <c r="B520" s="10"/>
      <c r="C520" s="10"/>
      <c r="D520" s="10"/>
      <c r="E520" s="10"/>
      <c r="F520" s="10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x14ac:dyDescent="0.3">
      <c r="A521" s="10"/>
      <c r="B521" s="10"/>
      <c r="C521" s="10"/>
      <c r="D521" s="10"/>
      <c r="E521" s="10"/>
      <c r="F521" s="10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x14ac:dyDescent="0.3">
      <c r="A522" s="10"/>
      <c r="B522" s="10"/>
      <c r="C522" s="10"/>
      <c r="D522" s="10"/>
      <c r="E522" s="10"/>
      <c r="F522" s="10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x14ac:dyDescent="0.3">
      <c r="A523" s="10"/>
      <c r="B523" s="10"/>
      <c r="C523" s="10"/>
      <c r="D523" s="10"/>
      <c r="E523" s="10"/>
      <c r="F523" s="10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x14ac:dyDescent="0.3">
      <c r="A524" s="10"/>
      <c r="B524" s="10"/>
      <c r="C524" s="10"/>
      <c r="D524" s="10"/>
      <c r="E524" s="10"/>
      <c r="F524" s="10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x14ac:dyDescent="0.3">
      <c r="A525" s="10"/>
      <c r="B525" s="10"/>
      <c r="C525" s="10"/>
      <c r="D525" s="10"/>
      <c r="E525" s="10"/>
      <c r="F525" s="10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x14ac:dyDescent="0.3">
      <c r="A526" s="10"/>
      <c r="B526" s="10"/>
      <c r="C526" s="10"/>
      <c r="D526" s="10"/>
      <c r="E526" s="10"/>
      <c r="F526" s="10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x14ac:dyDescent="0.3">
      <c r="A527" s="10"/>
      <c r="B527" s="10"/>
      <c r="C527" s="10"/>
      <c r="D527" s="10"/>
      <c r="E527" s="10"/>
      <c r="F527" s="10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x14ac:dyDescent="0.3">
      <c r="A528" s="10"/>
      <c r="B528" s="10"/>
      <c r="C528" s="10"/>
      <c r="D528" s="10"/>
      <c r="E528" s="10"/>
      <c r="F528" s="10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x14ac:dyDescent="0.3">
      <c r="A529" s="10"/>
      <c r="B529" s="10"/>
      <c r="C529" s="10"/>
      <c r="D529" s="10"/>
      <c r="E529" s="10"/>
      <c r="F529" s="10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x14ac:dyDescent="0.3">
      <c r="A530" s="10"/>
      <c r="B530" s="10"/>
      <c r="C530" s="10"/>
      <c r="D530" s="10"/>
      <c r="E530" s="10"/>
      <c r="F530" s="10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x14ac:dyDescent="0.3">
      <c r="A531" s="10"/>
      <c r="B531" s="10"/>
      <c r="C531" s="10"/>
      <c r="D531" s="10"/>
      <c r="E531" s="10"/>
      <c r="F531" s="10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x14ac:dyDescent="0.3">
      <c r="A532" s="10"/>
      <c r="B532" s="10"/>
      <c r="C532" s="10"/>
      <c r="D532" s="10"/>
      <c r="E532" s="10"/>
      <c r="F532" s="10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x14ac:dyDescent="0.3">
      <c r="A533" s="10"/>
      <c r="B533" s="10"/>
      <c r="C533" s="10"/>
      <c r="D533" s="10"/>
      <c r="E533" s="10"/>
      <c r="F533" s="10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x14ac:dyDescent="0.3">
      <c r="A534" s="10"/>
      <c r="B534" s="10"/>
      <c r="C534" s="10"/>
      <c r="D534" s="10"/>
      <c r="E534" s="10"/>
      <c r="F534" s="10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x14ac:dyDescent="0.3">
      <c r="A535" s="10"/>
      <c r="B535" s="10"/>
      <c r="C535" s="10"/>
      <c r="D535" s="10"/>
      <c r="E535" s="10"/>
      <c r="F535" s="10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x14ac:dyDescent="0.3">
      <c r="A536" s="10"/>
      <c r="B536" s="10"/>
      <c r="C536" s="10"/>
      <c r="D536" s="10"/>
      <c r="E536" s="10"/>
      <c r="F536" s="10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x14ac:dyDescent="0.3">
      <c r="A537" s="10"/>
      <c r="B537" s="10"/>
      <c r="C537" s="10"/>
      <c r="D537" s="10"/>
      <c r="E537" s="10"/>
      <c r="F537" s="10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x14ac:dyDescent="0.3">
      <c r="A538" s="10"/>
      <c r="B538" s="10"/>
      <c r="C538" s="10"/>
      <c r="D538" s="10"/>
      <c r="E538" s="10"/>
      <c r="F538" s="10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x14ac:dyDescent="0.3">
      <c r="A539" s="10"/>
      <c r="B539" s="10"/>
      <c r="C539" s="10"/>
      <c r="D539" s="10"/>
      <c r="E539" s="10"/>
      <c r="F539" s="10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x14ac:dyDescent="0.3">
      <c r="A540" s="10"/>
      <c r="B540" s="10"/>
      <c r="C540" s="10"/>
      <c r="D540" s="10"/>
      <c r="E540" s="10"/>
      <c r="F540" s="10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x14ac:dyDescent="0.3">
      <c r="A541" s="10"/>
      <c r="B541" s="10"/>
      <c r="C541" s="10"/>
      <c r="D541" s="10"/>
      <c r="E541" s="10"/>
      <c r="F541" s="10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x14ac:dyDescent="0.3">
      <c r="A542" s="10"/>
      <c r="B542" s="10"/>
      <c r="C542" s="10"/>
      <c r="D542" s="10"/>
      <c r="E542" s="10"/>
      <c r="F542" s="10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x14ac:dyDescent="0.3">
      <c r="A543" s="10"/>
      <c r="B543" s="10"/>
      <c r="C543" s="10"/>
      <c r="D543" s="10"/>
      <c r="E543" s="10"/>
      <c r="F543" s="10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x14ac:dyDescent="0.3">
      <c r="A544" s="10"/>
      <c r="B544" s="10"/>
      <c r="C544" s="10"/>
      <c r="D544" s="10"/>
      <c r="E544" s="10"/>
      <c r="F544" s="10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x14ac:dyDescent="0.3">
      <c r="A545" s="10"/>
      <c r="B545" s="10"/>
      <c r="C545" s="10"/>
      <c r="D545" s="10"/>
      <c r="E545" s="10"/>
      <c r="F545" s="10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x14ac:dyDescent="0.3">
      <c r="A546" s="10"/>
      <c r="B546" s="10"/>
      <c r="C546" s="10"/>
      <c r="D546" s="10"/>
      <c r="E546" s="10"/>
      <c r="F546" s="10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x14ac:dyDescent="0.3">
      <c r="A547" s="10"/>
      <c r="B547" s="10"/>
      <c r="C547" s="10"/>
      <c r="D547" s="10"/>
      <c r="E547" s="10"/>
      <c r="F547" s="10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x14ac:dyDescent="0.3">
      <c r="A548" s="10"/>
      <c r="B548" s="10"/>
      <c r="C548" s="10"/>
      <c r="D548" s="10"/>
      <c r="E548" s="10"/>
      <c r="F548" s="10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x14ac:dyDescent="0.3">
      <c r="A549" s="10"/>
      <c r="B549" s="10"/>
      <c r="C549" s="10"/>
      <c r="D549" s="10"/>
      <c r="E549" s="10"/>
      <c r="F549" s="10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x14ac:dyDescent="0.3">
      <c r="A550" s="10"/>
      <c r="B550" s="10"/>
      <c r="C550" s="10"/>
      <c r="D550" s="10"/>
      <c r="E550" s="10"/>
      <c r="F550" s="10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x14ac:dyDescent="0.3">
      <c r="A551" s="10"/>
      <c r="B551" s="10"/>
      <c r="C551" s="10"/>
      <c r="D551" s="10"/>
      <c r="E551" s="10"/>
      <c r="F551" s="10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x14ac:dyDescent="0.3">
      <c r="A552" s="10"/>
      <c r="B552" s="10"/>
      <c r="C552" s="10"/>
      <c r="D552" s="10"/>
      <c r="E552" s="10"/>
      <c r="F552" s="10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x14ac:dyDescent="0.3">
      <c r="A553" s="10"/>
      <c r="B553" s="10"/>
      <c r="C553" s="10"/>
      <c r="D553" s="10"/>
      <c r="E553" s="10"/>
      <c r="F553" s="10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x14ac:dyDescent="0.3">
      <c r="A554" s="10"/>
      <c r="B554" s="10"/>
      <c r="C554" s="10"/>
      <c r="D554" s="10"/>
      <c r="E554" s="10"/>
      <c r="F554" s="10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x14ac:dyDescent="0.3">
      <c r="A555" s="10"/>
      <c r="B555" s="10"/>
      <c r="C555" s="10"/>
      <c r="D555" s="10"/>
      <c r="E555" s="10"/>
      <c r="F555" s="10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x14ac:dyDescent="0.3">
      <c r="A556" s="10"/>
      <c r="B556" s="10"/>
      <c r="C556" s="10"/>
      <c r="D556" s="10"/>
      <c r="E556" s="10"/>
      <c r="F556" s="10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x14ac:dyDescent="0.3">
      <c r="A557" s="10"/>
      <c r="B557" s="10"/>
      <c r="C557" s="10"/>
      <c r="D557" s="10"/>
      <c r="E557" s="10"/>
      <c r="F557" s="10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x14ac:dyDescent="0.3">
      <c r="A558" s="10"/>
      <c r="B558" s="10"/>
      <c r="C558" s="10"/>
      <c r="D558" s="10"/>
      <c r="E558" s="10"/>
      <c r="F558" s="10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x14ac:dyDescent="0.3">
      <c r="A559" s="10"/>
      <c r="B559" s="10"/>
      <c r="C559" s="10"/>
      <c r="D559" s="10"/>
      <c r="E559" s="10"/>
      <c r="F559" s="10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x14ac:dyDescent="0.3">
      <c r="A560" s="10"/>
      <c r="B560" s="10"/>
      <c r="C560" s="10"/>
      <c r="D560" s="10"/>
      <c r="E560" s="10"/>
      <c r="F560" s="10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x14ac:dyDescent="0.3">
      <c r="A561" s="10"/>
      <c r="B561" s="10"/>
      <c r="C561" s="10"/>
      <c r="D561" s="10"/>
      <c r="E561" s="10"/>
      <c r="F561" s="10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x14ac:dyDescent="0.3">
      <c r="A562" s="10"/>
      <c r="B562" s="10"/>
      <c r="C562" s="10"/>
      <c r="D562" s="10"/>
      <c r="E562" s="10"/>
      <c r="F562" s="10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x14ac:dyDescent="0.3">
      <c r="A563" s="10"/>
      <c r="B563" s="10"/>
      <c r="C563" s="10"/>
      <c r="D563" s="10"/>
      <c r="E563" s="10"/>
      <c r="F563" s="10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x14ac:dyDescent="0.3">
      <c r="A564" s="10"/>
      <c r="B564" s="10"/>
      <c r="C564" s="10"/>
      <c r="D564" s="10"/>
      <c r="E564" s="10"/>
      <c r="F564" s="10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x14ac:dyDescent="0.3">
      <c r="A565" s="10"/>
      <c r="B565" s="10"/>
      <c r="C565" s="10"/>
      <c r="D565" s="10"/>
      <c r="E565" s="10"/>
      <c r="F565" s="10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x14ac:dyDescent="0.3">
      <c r="A566" s="10"/>
      <c r="B566" s="10"/>
      <c r="C566" s="10"/>
      <c r="D566" s="10"/>
      <c r="E566" s="10"/>
      <c r="F566" s="10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x14ac:dyDescent="0.3">
      <c r="A567" s="10"/>
      <c r="B567" s="10"/>
      <c r="C567" s="10"/>
      <c r="D567" s="10"/>
      <c r="E567" s="10"/>
      <c r="F567" s="10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x14ac:dyDescent="0.3">
      <c r="A568" s="10"/>
      <c r="B568" s="10"/>
      <c r="C568" s="10"/>
      <c r="D568" s="10"/>
      <c r="E568" s="10"/>
      <c r="F568" s="10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x14ac:dyDescent="0.3">
      <c r="A569" s="10"/>
      <c r="B569" s="10"/>
      <c r="C569" s="10"/>
      <c r="D569" s="10"/>
      <c r="E569" s="10"/>
      <c r="F569" s="10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x14ac:dyDescent="0.3">
      <c r="A570" s="10"/>
      <c r="B570" s="10"/>
      <c r="C570" s="10"/>
      <c r="D570" s="10"/>
      <c r="E570" s="10"/>
      <c r="F570" s="10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x14ac:dyDescent="0.3">
      <c r="A571" s="10"/>
      <c r="B571" s="10"/>
      <c r="C571" s="10"/>
      <c r="D571" s="10"/>
      <c r="E571" s="10"/>
      <c r="F571" s="10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x14ac:dyDescent="0.3">
      <c r="A572" s="10"/>
      <c r="B572" s="10"/>
      <c r="C572" s="10"/>
      <c r="D572" s="10"/>
      <c r="E572" s="10"/>
      <c r="F572" s="10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x14ac:dyDescent="0.3">
      <c r="A573" s="10"/>
      <c r="B573" s="10"/>
      <c r="C573" s="10"/>
      <c r="D573" s="10"/>
      <c r="E573" s="10"/>
      <c r="F573" s="10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x14ac:dyDescent="0.3">
      <c r="A574" s="10"/>
      <c r="B574" s="10"/>
      <c r="C574" s="10"/>
      <c r="D574" s="10"/>
      <c r="E574" s="10"/>
      <c r="F574" s="10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x14ac:dyDescent="0.3">
      <c r="A575" s="10"/>
      <c r="B575" s="10"/>
      <c r="C575" s="10"/>
      <c r="D575" s="10"/>
      <c r="E575" s="10"/>
      <c r="F575" s="10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x14ac:dyDescent="0.3">
      <c r="A576" s="10"/>
      <c r="B576" s="10"/>
      <c r="C576" s="10"/>
      <c r="D576" s="10"/>
      <c r="E576" s="10"/>
      <c r="F576" s="10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x14ac:dyDescent="0.3">
      <c r="A577" s="10"/>
      <c r="B577" s="10"/>
      <c r="C577" s="10"/>
      <c r="D577" s="10"/>
      <c r="E577" s="10"/>
      <c r="F577" s="10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x14ac:dyDescent="0.3">
      <c r="A578" s="10"/>
      <c r="B578" s="10"/>
      <c r="C578" s="10"/>
      <c r="D578" s="10"/>
      <c r="E578" s="10"/>
      <c r="F578" s="10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x14ac:dyDescent="0.3">
      <c r="A579" s="10"/>
      <c r="B579" s="10"/>
      <c r="C579" s="10"/>
      <c r="D579" s="10"/>
      <c r="E579" s="10"/>
      <c r="F579" s="10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x14ac:dyDescent="0.3">
      <c r="A580" s="10"/>
      <c r="B580" s="10"/>
      <c r="C580" s="10"/>
      <c r="D580" s="10"/>
      <c r="E580" s="10"/>
      <c r="F580" s="10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x14ac:dyDescent="0.3">
      <c r="A581" s="10"/>
      <c r="B581" s="10"/>
      <c r="C581" s="10"/>
      <c r="D581" s="10"/>
      <c r="E581" s="10"/>
      <c r="F581" s="10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x14ac:dyDescent="0.3">
      <c r="A582" s="10"/>
      <c r="B582" s="10"/>
      <c r="C582" s="10"/>
      <c r="D582" s="10"/>
      <c r="E582" s="10"/>
      <c r="F582" s="10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x14ac:dyDescent="0.3">
      <c r="A583" s="10"/>
      <c r="B583" s="10"/>
      <c r="C583" s="10"/>
      <c r="D583" s="10"/>
      <c r="E583" s="10"/>
      <c r="F583" s="10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x14ac:dyDescent="0.3">
      <c r="A584" s="10"/>
      <c r="B584" s="10"/>
      <c r="C584" s="10"/>
      <c r="D584" s="10"/>
      <c r="E584" s="10"/>
      <c r="F584" s="10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x14ac:dyDescent="0.3">
      <c r="A585" s="10"/>
      <c r="B585" s="10"/>
      <c r="C585" s="10"/>
      <c r="D585" s="10"/>
      <c r="E585" s="10"/>
      <c r="F585" s="10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x14ac:dyDescent="0.3">
      <c r="A586" s="10"/>
      <c r="B586" s="10"/>
      <c r="C586" s="10"/>
      <c r="D586" s="10"/>
      <c r="E586" s="10"/>
      <c r="F586" s="10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x14ac:dyDescent="0.3">
      <c r="A587" s="10"/>
      <c r="B587" s="10"/>
      <c r="C587" s="10"/>
      <c r="D587" s="10"/>
      <c r="E587" s="10"/>
      <c r="F587" s="10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x14ac:dyDescent="0.3">
      <c r="A588" s="10"/>
      <c r="B588" s="10"/>
      <c r="C588" s="10"/>
      <c r="D588" s="10"/>
      <c r="E588" s="10"/>
      <c r="F588" s="10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x14ac:dyDescent="0.3">
      <c r="A589" s="10"/>
      <c r="B589" s="10"/>
      <c r="C589" s="10"/>
      <c r="D589" s="10"/>
      <c r="E589" s="10"/>
      <c r="F589" s="10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x14ac:dyDescent="0.3">
      <c r="A590" s="10"/>
      <c r="B590" s="10"/>
      <c r="C590" s="10"/>
      <c r="D590" s="10"/>
      <c r="E590" s="10"/>
      <c r="F590" s="10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x14ac:dyDescent="0.3">
      <c r="A591" s="10"/>
      <c r="B591" s="10"/>
      <c r="C591" s="10"/>
      <c r="D591" s="10"/>
      <c r="E591" s="10"/>
      <c r="F591" s="10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x14ac:dyDescent="0.3">
      <c r="A592" s="10"/>
      <c r="B592" s="10"/>
      <c r="C592" s="10"/>
      <c r="D592" s="10"/>
      <c r="E592" s="10"/>
      <c r="F592" s="10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x14ac:dyDescent="0.3">
      <c r="A593" s="10"/>
      <c r="B593" s="10"/>
      <c r="C593" s="10"/>
      <c r="D593" s="10"/>
      <c r="E593" s="10"/>
      <c r="F593" s="10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x14ac:dyDescent="0.3">
      <c r="A594" s="10"/>
      <c r="B594" s="10"/>
      <c r="C594" s="10"/>
      <c r="D594" s="10"/>
      <c r="E594" s="10"/>
      <c r="F594" s="10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x14ac:dyDescent="0.3">
      <c r="A595" s="10"/>
      <c r="B595" s="10"/>
      <c r="C595" s="10"/>
      <c r="D595" s="10"/>
      <c r="E595" s="10"/>
      <c r="F595" s="10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x14ac:dyDescent="0.3">
      <c r="A596" s="10"/>
      <c r="B596" s="10"/>
      <c r="C596" s="10"/>
      <c r="D596" s="10"/>
      <c r="E596" s="10"/>
      <c r="F596" s="10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x14ac:dyDescent="0.3">
      <c r="A597" s="10"/>
      <c r="B597" s="10"/>
      <c r="C597" s="10"/>
      <c r="D597" s="10"/>
      <c r="E597" s="10"/>
      <c r="F597" s="10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x14ac:dyDescent="0.3">
      <c r="A598" s="10"/>
      <c r="B598" s="10"/>
      <c r="C598" s="10"/>
      <c r="D598" s="10"/>
      <c r="E598" s="10"/>
      <c r="F598" s="10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x14ac:dyDescent="0.3">
      <c r="A599" s="10"/>
      <c r="B599" s="10"/>
      <c r="C599" s="10"/>
      <c r="D599" s="10"/>
      <c r="E599" s="10"/>
      <c r="F599" s="10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x14ac:dyDescent="0.3">
      <c r="A600" s="10"/>
      <c r="B600" s="10"/>
      <c r="C600" s="10"/>
      <c r="D600" s="10"/>
      <c r="E600" s="10"/>
      <c r="F600" s="10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x14ac:dyDescent="0.3">
      <c r="A601" s="10"/>
      <c r="B601" s="10"/>
      <c r="C601" s="10"/>
      <c r="D601" s="10"/>
      <c r="E601" s="10"/>
      <c r="F601" s="10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x14ac:dyDescent="0.3">
      <c r="A602" s="10"/>
      <c r="B602" s="10"/>
      <c r="C602" s="10"/>
      <c r="D602" s="10"/>
      <c r="E602" s="10"/>
      <c r="F602" s="10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x14ac:dyDescent="0.3">
      <c r="A603" s="10"/>
      <c r="B603" s="10"/>
      <c r="C603" s="10"/>
      <c r="D603" s="10"/>
      <c r="E603" s="10"/>
      <c r="F603" s="10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x14ac:dyDescent="0.3">
      <c r="A604" s="10"/>
      <c r="B604" s="10"/>
      <c r="C604" s="10"/>
      <c r="D604" s="10"/>
      <c r="E604" s="10"/>
      <c r="F604" s="10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x14ac:dyDescent="0.3">
      <c r="A605" s="10"/>
      <c r="B605" s="10"/>
      <c r="C605" s="10"/>
      <c r="D605" s="10"/>
      <c r="E605" s="10"/>
      <c r="F605" s="10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x14ac:dyDescent="0.3">
      <c r="A606" s="10"/>
      <c r="B606" s="10"/>
      <c r="C606" s="10"/>
      <c r="D606" s="10"/>
      <c r="E606" s="10"/>
      <c r="F606" s="10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x14ac:dyDescent="0.3">
      <c r="A607" s="10"/>
      <c r="B607" s="10"/>
      <c r="C607" s="10"/>
      <c r="D607" s="10"/>
      <c r="E607" s="10"/>
      <c r="F607" s="10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x14ac:dyDescent="0.3">
      <c r="A608" s="10"/>
      <c r="B608" s="10"/>
      <c r="C608" s="10"/>
      <c r="D608" s="10"/>
      <c r="E608" s="10"/>
      <c r="F608" s="10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x14ac:dyDescent="0.3">
      <c r="A609" s="10"/>
      <c r="B609" s="10"/>
      <c r="C609" s="10"/>
      <c r="D609" s="10"/>
      <c r="E609" s="10"/>
      <c r="F609" s="10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x14ac:dyDescent="0.3">
      <c r="A610" s="10"/>
      <c r="B610" s="10"/>
      <c r="C610" s="10"/>
      <c r="D610" s="10"/>
      <c r="E610" s="10"/>
      <c r="F610" s="10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x14ac:dyDescent="0.3">
      <c r="A611" s="10"/>
      <c r="B611" s="10"/>
      <c r="C611" s="10"/>
      <c r="D611" s="10"/>
      <c r="E611" s="10"/>
      <c r="F611" s="10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x14ac:dyDescent="0.3">
      <c r="A612" s="10"/>
      <c r="B612" s="10"/>
      <c r="C612" s="10"/>
      <c r="D612" s="10"/>
      <c r="E612" s="10"/>
      <c r="F612" s="10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x14ac:dyDescent="0.3">
      <c r="A613" s="10"/>
      <c r="B613" s="10"/>
      <c r="C613" s="10"/>
      <c r="D613" s="10"/>
      <c r="E613" s="10"/>
      <c r="F613" s="10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x14ac:dyDescent="0.3">
      <c r="A614" s="10"/>
      <c r="B614" s="10"/>
      <c r="C614" s="10"/>
      <c r="D614" s="10"/>
      <c r="E614" s="10"/>
      <c r="F614" s="10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x14ac:dyDescent="0.3">
      <c r="A615" s="10"/>
      <c r="B615" s="10"/>
      <c r="C615" s="10"/>
      <c r="D615" s="10"/>
      <c r="E615" s="10"/>
      <c r="F615" s="10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x14ac:dyDescent="0.3">
      <c r="A616" s="10"/>
      <c r="B616" s="10"/>
      <c r="C616" s="10"/>
      <c r="D616" s="10"/>
      <c r="E616" s="10"/>
      <c r="F616" s="10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x14ac:dyDescent="0.3">
      <c r="A617" s="10"/>
      <c r="B617" s="10"/>
      <c r="C617" s="10"/>
      <c r="D617" s="10"/>
      <c r="E617" s="10"/>
      <c r="F617" s="10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x14ac:dyDescent="0.3">
      <c r="A618" s="10"/>
      <c r="B618" s="10"/>
      <c r="C618" s="10"/>
      <c r="D618" s="10"/>
      <c r="E618" s="10"/>
      <c r="F618" s="10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x14ac:dyDescent="0.3">
      <c r="A619" s="10"/>
      <c r="B619" s="10"/>
      <c r="C619" s="10"/>
      <c r="D619" s="10"/>
      <c r="E619" s="10"/>
      <c r="F619" s="10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x14ac:dyDescent="0.3">
      <c r="A620" s="10"/>
      <c r="B620" s="10"/>
      <c r="C620" s="10"/>
      <c r="D620" s="10"/>
      <c r="E620" s="10"/>
      <c r="F620" s="10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x14ac:dyDescent="0.3">
      <c r="A621" s="10"/>
      <c r="B621" s="10"/>
      <c r="C621" s="10"/>
      <c r="D621" s="10"/>
      <c r="E621" s="10"/>
      <c r="F621" s="10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x14ac:dyDescent="0.3">
      <c r="A622" s="10"/>
      <c r="B622" s="10"/>
      <c r="C622" s="10"/>
      <c r="D622" s="10"/>
      <c r="E622" s="10"/>
      <c r="F622" s="10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x14ac:dyDescent="0.3">
      <c r="A623" s="10"/>
      <c r="B623" s="10"/>
      <c r="C623" s="10"/>
      <c r="D623" s="10"/>
      <c r="E623" s="10"/>
      <c r="F623" s="10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x14ac:dyDescent="0.3">
      <c r="A624" s="10"/>
      <c r="B624" s="10"/>
      <c r="C624" s="10"/>
      <c r="D624" s="10"/>
      <c r="E624" s="10"/>
      <c r="F624" s="10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x14ac:dyDescent="0.3">
      <c r="A625" s="10"/>
      <c r="B625" s="10"/>
      <c r="C625" s="10"/>
      <c r="D625" s="10"/>
      <c r="E625" s="10"/>
      <c r="F625" s="10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x14ac:dyDescent="0.3">
      <c r="A626" s="10"/>
      <c r="B626" s="10"/>
      <c r="C626" s="10"/>
      <c r="D626" s="10"/>
      <c r="E626" s="10"/>
      <c r="F626" s="10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x14ac:dyDescent="0.3">
      <c r="A627" s="10"/>
      <c r="B627" s="10"/>
      <c r="C627" s="10"/>
      <c r="D627" s="10"/>
      <c r="E627" s="10"/>
      <c r="F627" s="10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x14ac:dyDescent="0.3">
      <c r="A628" s="10"/>
      <c r="B628" s="10"/>
      <c r="C628" s="10"/>
      <c r="D628" s="10"/>
      <c r="E628" s="10"/>
      <c r="F628" s="10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x14ac:dyDescent="0.3">
      <c r="A629" s="10"/>
      <c r="B629" s="10"/>
      <c r="C629" s="10"/>
      <c r="D629" s="10"/>
      <c r="E629" s="10"/>
      <c r="F629" s="10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x14ac:dyDescent="0.3">
      <c r="A630" s="10"/>
      <c r="B630" s="10"/>
      <c r="C630" s="10"/>
      <c r="D630" s="10"/>
      <c r="E630" s="10"/>
      <c r="F630" s="10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x14ac:dyDescent="0.3">
      <c r="A631" s="10"/>
      <c r="B631" s="10"/>
      <c r="C631" s="10"/>
      <c r="D631" s="10"/>
      <c r="E631" s="10"/>
      <c r="F631" s="10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x14ac:dyDescent="0.3">
      <c r="A632" s="10"/>
      <c r="B632" s="10"/>
      <c r="C632" s="10"/>
      <c r="D632" s="10"/>
      <c r="E632" s="10"/>
      <c r="F632" s="10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x14ac:dyDescent="0.3">
      <c r="A633" s="10"/>
      <c r="B633" s="10"/>
      <c r="C633" s="10"/>
      <c r="D633" s="10"/>
      <c r="E633" s="10"/>
      <c r="F633" s="10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x14ac:dyDescent="0.3">
      <c r="A634" s="10"/>
      <c r="B634" s="10"/>
      <c r="C634" s="10"/>
      <c r="D634" s="10"/>
      <c r="E634" s="10"/>
      <c r="F634" s="10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x14ac:dyDescent="0.3">
      <c r="A635" s="10"/>
      <c r="B635" s="10"/>
      <c r="C635" s="10"/>
      <c r="D635" s="10"/>
      <c r="E635" s="10"/>
      <c r="F635" s="10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x14ac:dyDescent="0.3">
      <c r="A636" s="10"/>
      <c r="B636" s="10"/>
      <c r="C636" s="10"/>
      <c r="D636" s="10"/>
      <c r="E636" s="10"/>
      <c r="F636" s="10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x14ac:dyDescent="0.3">
      <c r="A637" s="10"/>
      <c r="B637" s="10"/>
      <c r="C637" s="10"/>
      <c r="D637" s="10"/>
      <c r="E637" s="10"/>
      <c r="F637" s="10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x14ac:dyDescent="0.3">
      <c r="A638" s="10"/>
      <c r="B638" s="10"/>
      <c r="C638" s="10"/>
      <c r="D638" s="10"/>
      <c r="E638" s="10"/>
      <c r="F638" s="10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x14ac:dyDescent="0.3">
      <c r="A639" s="10"/>
      <c r="B639" s="10"/>
      <c r="C639" s="10"/>
      <c r="D639" s="10"/>
      <c r="E639" s="10"/>
      <c r="F639" s="10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x14ac:dyDescent="0.3">
      <c r="A640" s="10"/>
      <c r="B640" s="10"/>
      <c r="C640" s="10"/>
      <c r="D640" s="10"/>
      <c r="E640" s="10"/>
      <c r="F640" s="10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x14ac:dyDescent="0.3">
      <c r="A641" s="10"/>
      <c r="B641" s="10"/>
      <c r="C641" s="10"/>
      <c r="D641" s="10"/>
      <c r="E641" s="10"/>
      <c r="F641" s="10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x14ac:dyDescent="0.3">
      <c r="A642" s="10"/>
      <c r="B642" s="10"/>
      <c r="C642" s="10"/>
      <c r="D642" s="10"/>
      <c r="E642" s="10"/>
      <c r="F642" s="10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x14ac:dyDescent="0.3">
      <c r="A643" s="10"/>
      <c r="B643" s="10"/>
      <c r="C643" s="10"/>
      <c r="D643" s="10"/>
      <c r="E643" s="10"/>
      <c r="F643" s="10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x14ac:dyDescent="0.3">
      <c r="A644" s="10"/>
      <c r="B644" s="10"/>
      <c r="C644" s="10"/>
      <c r="D644" s="10"/>
      <c r="E644" s="10"/>
      <c r="F644" s="10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x14ac:dyDescent="0.3">
      <c r="A645" s="10"/>
      <c r="B645" s="10"/>
      <c r="C645" s="10"/>
      <c r="D645" s="10"/>
      <c r="E645" s="10"/>
      <c r="F645" s="10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x14ac:dyDescent="0.3">
      <c r="A646" s="10"/>
      <c r="B646" s="10"/>
      <c r="C646" s="10"/>
      <c r="D646" s="10"/>
      <c r="E646" s="10"/>
      <c r="F646" s="10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x14ac:dyDescent="0.3">
      <c r="A647" s="10"/>
      <c r="B647" s="10"/>
      <c r="C647" s="10"/>
      <c r="D647" s="10"/>
      <c r="E647" s="10"/>
      <c r="F647" s="10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x14ac:dyDescent="0.3">
      <c r="A648" s="10"/>
      <c r="B648" s="10"/>
      <c r="C648" s="10"/>
      <c r="D648" s="10"/>
      <c r="E648" s="10"/>
      <c r="F648" s="10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x14ac:dyDescent="0.3">
      <c r="A649" s="10"/>
      <c r="B649" s="10"/>
      <c r="C649" s="10"/>
      <c r="D649" s="10"/>
      <c r="E649" s="10"/>
      <c r="F649" s="10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x14ac:dyDescent="0.3">
      <c r="A650" s="10"/>
      <c r="B650" s="10"/>
      <c r="C650" s="10"/>
      <c r="D650" s="10"/>
      <c r="E650" s="10"/>
      <c r="F650" s="10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x14ac:dyDescent="0.3">
      <c r="A651" s="10"/>
      <c r="B651" s="10"/>
      <c r="C651" s="10"/>
      <c r="D651" s="10"/>
      <c r="E651" s="10"/>
      <c r="F651" s="10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x14ac:dyDescent="0.3">
      <c r="A652" s="10"/>
      <c r="B652" s="10"/>
      <c r="C652" s="10"/>
      <c r="D652" s="10"/>
      <c r="E652" s="10"/>
      <c r="F652" s="10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x14ac:dyDescent="0.3">
      <c r="A653" s="10"/>
      <c r="B653" s="10"/>
      <c r="C653" s="10"/>
      <c r="D653" s="10"/>
      <c r="E653" s="10"/>
      <c r="F653" s="10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x14ac:dyDescent="0.3">
      <c r="A654" s="10"/>
      <c r="B654" s="10"/>
      <c r="C654" s="10"/>
      <c r="D654" s="10"/>
      <c r="E654" s="10"/>
      <c r="F654" s="10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x14ac:dyDescent="0.3">
      <c r="A655" s="10"/>
      <c r="B655" s="10"/>
      <c r="C655" s="10"/>
      <c r="D655" s="10"/>
      <c r="E655" s="10"/>
      <c r="F655" s="10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x14ac:dyDescent="0.3">
      <c r="A656" s="10"/>
      <c r="B656" s="10"/>
      <c r="C656" s="10"/>
      <c r="D656" s="10"/>
      <c r="E656" s="10"/>
      <c r="F656" s="10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x14ac:dyDescent="0.3">
      <c r="A657" s="10"/>
      <c r="B657" s="10"/>
      <c r="C657" s="10"/>
      <c r="D657" s="10"/>
      <c r="E657" s="10"/>
      <c r="F657" s="10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x14ac:dyDescent="0.3">
      <c r="A658" s="10"/>
      <c r="B658" s="10"/>
      <c r="C658" s="10"/>
      <c r="D658" s="10"/>
      <c r="E658" s="10"/>
      <c r="F658" s="10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x14ac:dyDescent="0.3">
      <c r="A659" s="10"/>
      <c r="B659" s="10"/>
      <c r="C659" s="10"/>
      <c r="D659" s="10"/>
      <c r="E659" s="10"/>
      <c r="F659" s="10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x14ac:dyDescent="0.3">
      <c r="A660" s="10"/>
      <c r="B660" s="10"/>
      <c r="C660" s="10"/>
      <c r="D660" s="10"/>
      <c r="E660" s="10"/>
      <c r="F660" s="10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x14ac:dyDescent="0.3">
      <c r="A661" s="10"/>
      <c r="B661" s="10"/>
      <c r="C661" s="10"/>
      <c r="D661" s="10"/>
      <c r="E661" s="10"/>
      <c r="F661" s="10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x14ac:dyDescent="0.3">
      <c r="A662" s="10"/>
      <c r="B662" s="10"/>
      <c r="C662" s="10"/>
      <c r="D662" s="10"/>
      <c r="E662" s="10"/>
      <c r="F662" s="10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x14ac:dyDescent="0.3">
      <c r="A663" s="10"/>
      <c r="B663" s="10"/>
      <c r="C663" s="10"/>
      <c r="D663" s="10"/>
      <c r="E663" s="10"/>
      <c r="F663" s="10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x14ac:dyDescent="0.3">
      <c r="A664" s="10"/>
      <c r="B664" s="10"/>
      <c r="C664" s="10"/>
      <c r="D664" s="10"/>
      <c r="E664" s="10"/>
      <c r="F664" s="10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x14ac:dyDescent="0.3">
      <c r="A665" s="10"/>
      <c r="B665" s="10"/>
      <c r="C665" s="10"/>
      <c r="D665" s="10"/>
      <c r="E665" s="10"/>
      <c r="F665" s="10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x14ac:dyDescent="0.3">
      <c r="A666" s="10"/>
      <c r="B666" s="10"/>
      <c r="C666" s="10"/>
      <c r="D666" s="10"/>
      <c r="E666" s="10"/>
      <c r="F666" s="10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x14ac:dyDescent="0.3">
      <c r="A667" s="10"/>
      <c r="B667" s="10"/>
      <c r="C667" s="10"/>
      <c r="D667" s="10"/>
      <c r="E667" s="10"/>
      <c r="F667" s="10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x14ac:dyDescent="0.3">
      <c r="A668" s="10"/>
      <c r="B668" s="10"/>
      <c r="C668" s="10"/>
      <c r="D668" s="10"/>
      <c r="E668" s="10"/>
      <c r="F668" s="10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x14ac:dyDescent="0.3">
      <c r="A669" s="10"/>
      <c r="B669" s="10"/>
      <c r="C669" s="10"/>
      <c r="D669" s="10"/>
      <c r="E669" s="10"/>
      <c r="F669" s="10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x14ac:dyDescent="0.3">
      <c r="A670" s="10"/>
      <c r="B670" s="10"/>
      <c r="C670" s="10"/>
      <c r="D670" s="10"/>
      <c r="E670" s="10"/>
      <c r="F670" s="10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x14ac:dyDescent="0.3">
      <c r="A671" s="10"/>
      <c r="B671" s="10"/>
      <c r="C671" s="10"/>
      <c r="D671" s="10"/>
      <c r="E671" s="10"/>
      <c r="F671" s="10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x14ac:dyDescent="0.3">
      <c r="A672" s="10"/>
      <c r="B672" s="10"/>
      <c r="C672" s="10"/>
      <c r="D672" s="10"/>
      <c r="E672" s="10"/>
      <c r="F672" s="10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x14ac:dyDescent="0.3">
      <c r="A673" s="10"/>
      <c r="B673" s="10"/>
      <c r="C673" s="10"/>
      <c r="D673" s="10"/>
      <c r="E673" s="10"/>
      <c r="F673" s="10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x14ac:dyDescent="0.3">
      <c r="A674" s="10"/>
      <c r="B674" s="10"/>
      <c r="C674" s="10"/>
      <c r="D674" s="10"/>
      <c r="E674" s="10"/>
      <c r="F674" s="10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x14ac:dyDescent="0.3">
      <c r="A675" s="10"/>
      <c r="B675" s="10"/>
      <c r="C675" s="10"/>
      <c r="D675" s="10"/>
      <c r="E675" s="10"/>
      <c r="F675" s="10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x14ac:dyDescent="0.3">
      <c r="A676" s="10"/>
      <c r="B676" s="10"/>
      <c r="C676" s="10"/>
      <c r="D676" s="10"/>
      <c r="E676" s="10"/>
      <c r="F676" s="10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x14ac:dyDescent="0.3">
      <c r="A677" s="10"/>
      <c r="B677" s="10"/>
      <c r="C677" s="10"/>
      <c r="D677" s="10"/>
      <c r="E677" s="10"/>
      <c r="F677" s="10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x14ac:dyDescent="0.3">
      <c r="A678" s="10"/>
      <c r="B678" s="10"/>
      <c r="C678" s="10"/>
      <c r="D678" s="10"/>
      <c r="E678" s="10"/>
      <c r="F678" s="10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x14ac:dyDescent="0.3">
      <c r="A679" s="10"/>
      <c r="B679" s="10"/>
      <c r="C679" s="10"/>
      <c r="D679" s="10"/>
      <c r="E679" s="10"/>
      <c r="F679" s="10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x14ac:dyDescent="0.3">
      <c r="A680" s="10"/>
      <c r="B680" s="10"/>
      <c r="C680" s="10"/>
      <c r="D680" s="10"/>
      <c r="E680" s="10"/>
      <c r="F680" s="10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x14ac:dyDescent="0.3">
      <c r="A681" s="10"/>
      <c r="B681" s="10"/>
      <c r="C681" s="10"/>
      <c r="D681" s="10"/>
      <c r="E681" s="10"/>
      <c r="F681" s="10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x14ac:dyDescent="0.3">
      <c r="A682" s="10"/>
      <c r="B682" s="10"/>
      <c r="C682" s="10"/>
      <c r="D682" s="10"/>
      <c r="E682" s="10"/>
      <c r="F682" s="10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x14ac:dyDescent="0.3">
      <c r="A683" s="10"/>
      <c r="B683" s="10"/>
      <c r="C683" s="10"/>
      <c r="D683" s="10"/>
      <c r="E683" s="10"/>
      <c r="F683" s="10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x14ac:dyDescent="0.3">
      <c r="A684" s="10"/>
      <c r="B684" s="10"/>
      <c r="C684" s="10"/>
      <c r="D684" s="10"/>
      <c r="E684" s="10"/>
      <c r="F684" s="10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x14ac:dyDescent="0.3">
      <c r="A685" s="10"/>
      <c r="B685" s="10"/>
      <c r="C685" s="10"/>
      <c r="D685" s="10"/>
      <c r="E685" s="10"/>
      <c r="F685" s="10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x14ac:dyDescent="0.3">
      <c r="A686" s="10"/>
      <c r="B686" s="10"/>
      <c r="C686" s="10"/>
      <c r="D686" s="10"/>
      <c r="E686" s="10"/>
      <c r="F686" s="10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x14ac:dyDescent="0.3">
      <c r="A687" s="10"/>
      <c r="B687" s="10"/>
      <c r="C687" s="10"/>
      <c r="D687" s="10"/>
      <c r="E687" s="10"/>
      <c r="F687" s="10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x14ac:dyDescent="0.3">
      <c r="A688" s="10"/>
      <c r="B688" s="10"/>
      <c r="C688" s="10"/>
      <c r="D688" s="10"/>
      <c r="E688" s="10"/>
      <c r="F688" s="10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x14ac:dyDescent="0.3">
      <c r="A689" s="10"/>
      <c r="B689" s="10"/>
      <c r="C689" s="10"/>
      <c r="D689" s="10"/>
      <c r="E689" s="10"/>
      <c r="F689" s="10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x14ac:dyDescent="0.3">
      <c r="A690" s="10"/>
      <c r="B690" s="10"/>
      <c r="C690" s="10"/>
      <c r="D690" s="10"/>
      <c r="E690" s="10"/>
      <c r="F690" s="10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x14ac:dyDescent="0.3">
      <c r="A691" s="10"/>
      <c r="B691" s="10"/>
      <c r="C691" s="10"/>
      <c r="D691" s="10"/>
      <c r="E691" s="10"/>
      <c r="F691" s="10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x14ac:dyDescent="0.3">
      <c r="A692" s="10"/>
      <c r="B692" s="10"/>
      <c r="C692" s="10"/>
      <c r="D692" s="10"/>
      <c r="E692" s="10"/>
      <c r="F692" s="10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x14ac:dyDescent="0.3">
      <c r="A693" s="10"/>
      <c r="B693" s="10"/>
      <c r="C693" s="10"/>
      <c r="D693" s="10"/>
      <c r="E693" s="10"/>
      <c r="F693" s="10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x14ac:dyDescent="0.3">
      <c r="A694" s="10"/>
      <c r="B694" s="10"/>
      <c r="C694" s="10"/>
      <c r="D694" s="10"/>
      <c r="E694" s="10"/>
      <c r="F694" s="10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x14ac:dyDescent="0.3">
      <c r="A695" s="10"/>
      <c r="B695" s="10"/>
      <c r="C695" s="10"/>
      <c r="D695" s="10"/>
      <c r="E695" s="10"/>
      <c r="F695" s="10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x14ac:dyDescent="0.3">
      <c r="A696" s="10"/>
      <c r="B696" s="10"/>
      <c r="C696" s="10"/>
      <c r="D696" s="10"/>
      <c r="E696" s="10"/>
      <c r="F696" s="10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x14ac:dyDescent="0.3">
      <c r="A697" s="10"/>
      <c r="B697" s="10"/>
      <c r="C697" s="10"/>
      <c r="D697" s="10"/>
      <c r="E697" s="10"/>
      <c r="F697" s="10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x14ac:dyDescent="0.3">
      <c r="A698" s="10"/>
      <c r="B698" s="10"/>
      <c r="C698" s="10"/>
      <c r="D698" s="10"/>
      <c r="E698" s="10"/>
      <c r="F698" s="10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x14ac:dyDescent="0.3">
      <c r="A699" s="10"/>
      <c r="B699" s="10"/>
      <c r="C699" s="10"/>
      <c r="D699" s="10"/>
      <c r="E699" s="10"/>
      <c r="F699" s="10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x14ac:dyDescent="0.3">
      <c r="A700" s="10"/>
      <c r="B700" s="10"/>
      <c r="C700" s="10"/>
      <c r="D700" s="10"/>
      <c r="E700" s="10"/>
      <c r="F700" s="10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x14ac:dyDescent="0.3">
      <c r="A701" s="10"/>
      <c r="B701" s="10"/>
      <c r="C701" s="10"/>
      <c r="D701" s="10"/>
      <c r="E701" s="10"/>
      <c r="F701" s="10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x14ac:dyDescent="0.3">
      <c r="A702" s="10"/>
      <c r="B702" s="10"/>
      <c r="C702" s="10"/>
      <c r="D702" s="10"/>
      <c r="E702" s="10"/>
      <c r="F702" s="10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x14ac:dyDescent="0.3">
      <c r="A703" s="10"/>
      <c r="B703" s="10"/>
      <c r="C703" s="10"/>
      <c r="D703" s="10"/>
      <c r="E703" s="10"/>
      <c r="F703" s="10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x14ac:dyDescent="0.3">
      <c r="A704" s="10"/>
      <c r="B704" s="10"/>
      <c r="C704" s="10"/>
      <c r="D704" s="10"/>
      <c r="E704" s="10"/>
      <c r="F704" s="10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x14ac:dyDescent="0.3">
      <c r="A705" s="10"/>
      <c r="B705" s="10"/>
      <c r="C705" s="10"/>
      <c r="D705" s="10"/>
      <c r="E705" s="10"/>
      <c r="F705" s="10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x14ac:dyDescent="0.3">
      <c r="A706" s="10"/>
      <c r="B706" s="10"/>
      <c r="C706" s="10"/>
      <c r="D706" s="10"/>
      <c r="E706" s="10"/>
      <c r="F706" s="10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x14ac:dyDescent="0.3">
      <c r="A707" s="10"/>
      <c r="B707" s="10"/>
      <c r="C707" s="10"/>
      <c r="D707" s="10"/>
      <c r="E707" s="10"/>
      <c r="F707" s="10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x14ac:dyDescent="0.3">
      <c r="A708" s="10"/>
      <c r="B708" s="10"/>
      <c r="C708" s="10"/>
      <c r="D708" s="10"/>
      <c r="E708" s="10"/>
      <c r="F708" s="10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x14ac:dyDescent="0.3">
      <c r="A709" s="10"/>
      <c r="B709" s="10"/>
      <c r="C709" s="10"/>
      <c r="D709" s="10"/>
      <c r="E709" s="10"/>
      <c r="F709" s="10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x14ac:dyDescent="0.3">
      <c r="A710" s="10"/>
      <c r="B710" s="10"/>
      <c r="C710" s="10"/>
      <c r="D710" s="10"/>
      <c r="E710" s="10"/>
      <c r="F710" s="10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x14ac:dyDescent="0.3">
      <c r="A711" s="10"/>
      <c r="B711" s="10"/>
      <c r="C711" s="10"/>
      <c r="D711" s="10"/>
      <c r="E711" s="10"/>
      <c r="F711" s="10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x14ac:dyDescent="0.3">
      <c r="A712" s="10"/>
      <c r="B712" s="10"/>
      <c r="C712" s="10"/>
      <c r="D712" s="10"/>
      <c r="E712" s="10"/>
      <c r="F712" s="10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x14ac:dyDescent="0.3">
      <c r="A713" s="10"/>
      <c r="B713" s="10"/>
      <c r="C713" s="10"/>
      <c r="D713" s="10"/>
      <c r="E713" s="10"/>
      <c r="F713" s="10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x14ac:dyDescent="0.3">
      <c r="A714" s="10"/>
      <c r="B714" s="10"/>
      <c r="C714" s="10"/>
      <c r="D714" s="10"/>
      <c r="E714" s="10"/>
      <c r="F714" s="10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x14ac:dyDescent="0.3">
      <c r="A715" s="10"/>
      <c r="B715" s="10"/>
      <c r="C715" s="10"/>
      <c r="D715" s="10"/>
      <c r="E715" s="10"/>
      <c r="F715" s="10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x14ac:dyDescent="0.3">
      <c r="A716" s="10"/>
      <c r="B716" s="10"/>
      <c r="C716" s="10"/>
      <c r="D716" s="10"/>
      <c r="E716" s="10"/>
      <c r="F716" s="10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x14ac:dyDescent="0.3">
      <c r="A717" s="10"/>
      <c r="B717" s="10"/>
      <c r="C717" s="10"/>
      <c r="D717" s="10"/>
      <c r="E717" s="10"/>
      <c r="F717" s="10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x14ac:dyDescent="0.3">
      <c r="A718" s="10"/>
      <c r="B718" s="10"/>
      <c r="C718" s="10"/>
      <c r="D718" s="10"/>
      <c r="E718" s="10"/>
      <c r="F718" s="10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x14ac:dyDescent="0.3">
      <c r="A719" s="10"/>
      <c r="B719" s="10"/>
      <c r="C719" s="10"/>
      <c r="D719" s="10"/>
      <c r="E719" s="10"/>
      <c r="F719" s="10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x14ac:dyDescent="0.3">
      <c r="A720" s="10"/>
      <c r="B720" s="10"/>
      <c r="C720" s="10"/>
      <c r="D720" s="10"/>
      <c r="E720" s="10"/>
      <c r="F720" s="10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x14ac:dyDescent="0.3">
      <c r="A721" s="10"/>
      <c r="B721" s="10"/>
      <c r="C721" s="10"/>
      <c r="D721" s="10"/>
      <c r="E721" s="10"/>
      <c r="F721" s="10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x14ac:dyDescent="0.3">
      <c r="A722" s="10"/>
      <c r="B722" s="10"/>
      <c r="C722" s="10"/>
      <c r="D722" s="10"/>
      <c r="E722" s="10"/>
      <c r="F722" s="10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x14ac:dyDescent="0.3">
      <c r="A723" s="10"/>
      <c r="B723" s="10"/>
      <c r="C723" s="10"/>
      <c r="D723" s="10"/>
      <c r="E723" s="10"/>
      <c r="F723" s="10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x14ac:dyDescent="0.3">
      <c r="A724" s="10"/>
      <c r="B724" s="10"/>
      <c r="C724" s="10"/>
      <c r="D724" s="10"/>
      <c r="E724" s="10"/>
      <c r="F724" s="10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x14ac:dyDescent="0.3">
      <c r="A725" s="10"/>
      <c r="B725" s="10"/>
      <c r="C725" s="10"/>
      <c r="D725" s="10"/>
      <c r="E725" s="10"/>
      <c r="F725" s="10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x14ac:dyDescent="0.3">
      <c r="A726" s="10"/>
      <c r="B726" s="10"/>
      <c r="C726" s="10"/>
      <c r="D726" s="10"/>
      <c r="E726" s="10"/>
      <c r="F726" s="10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x14ac:dyDescent="0.3">
      <c r="A727" s="10"/>
      <c r="B727" s="10"/>
      <c r="C727" s="10"/>
      <c r="D727" s="10"/>
      <c r="E727" s="10"/>
      <c r="F727" s="10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x14ac:dyDescent="0.3">
      <c r="A728" s="10"/>
      <c r="B728" s="10"/>
      <c r="C728" s="10"/>
      <c r="D728" s="10"/>
      <c r="E728" s="10"/>
      <c r="F728" s="10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x14ac:dyDescent="0.3">
      <c r="A729" s="10"/>
      <c r="B729" s="10"/>
      <c r="C729" s="10"/>
      <c r="D729" s="10"/>
      <c r="E729" s="10"/>
      <c r="F729" s="10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x14ac:dyDescent="0.3">
      <c r="A730" s="10"/>
      <c r="B730" s="10"/>
      <c r="C730" s="10"/>
      <c r="D730" s="10"/>
      <c r="E730" s="10"/>
      <c r="F730" s="10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x14ac:dyDescent="0.3">
      <c r="A731" s="10"/>
      <c r="B731" s="10"/>
      <c r="C731" s="10"/>
      <c r="D731" s="10"/>
      <c r="E731" s="10"/>
      <c r="F731" s="10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x14ac:dyDescent="0.3">
      <c r="A732" s="10"/>
      <c r="B732" s="10"/>
      <c r="C732" s="10"/>
      <c r="D732" s="10"/>
      <c r="E732" s="10"/>
      <c r="F732" s="10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x14ac:dyDescent="0.3">
      <c r="A733" s="10"/>
      <c r="B733" s="10"/>
      <c r="C733" s="10"/>
      <c r="D733" s="10"/>
      <c r="E733" s="10"/>
      <c r="F733" s="10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x14ac:dyDescent="0.3">
      <c r="A734" s="10"/>
      <c r="B734" s="10"/>
      <c r="C734" s="10"/>
      <c r="D734" s="10"/>
      <c r="E734" s="10"/>
      <c r="F734" s="10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x14ac:dyDescent="0.3">
      <c r="A735" s="10"/>
      <c r="B735" s="10"/>
      <c r="C735" s="10"/>
      <c r="D735" s="10"/>
      <c r="E735" s="10"/>
      <c r="F735" s="10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x14ac:dyDescent="0.3">
      <c r="A736" s="10"/>
      <c r="B736" s="10"/>
      <c r="C736" s="10"/>
      <c r="D736" s="10"/>
      <c r="E736" s="10"/>
      <c r="F736" s="10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x14ac:dyDescent="0.3">
      <c r="A737" s="10"/>
      <c r="B737" s="10"/>
      <c r="C737" s="10"/>
      <c r="D737" s="10"/>
      <c r="E737" s="10"/>
      <c r="F737" s="10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x14ac:dyDescent="0.3">
      <c r="A738" s="10"/>
      <c r="B738" s="10"/>
      <c r="C738" s="10"/>
      <c r="D738" s="10"/>
      <c r="E738" s="10"/>
      <c r="F738" s="10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x14ac:dyDescent="0.3">
      <c r="A739" s="10"/>
      <c r="B739" s="10"/>
      <c r="C739" s="10"/>
      <c r="D739" s="10"/>
      <c r="E739" s="10"/>
      <c r="F739" s="10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x14ac:dyDescent="0.3">
      <c r="A740" s="10"/>
      <c r="B740" s="10"/>
      <c r="C740" s="10"/>
      <c r="D740" s="10"/>
      <c r="E740" s="10"/>
      <c r="F740" s="10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x14ac:dyDescent="0.3">
      <c r="A741" s="10"/>
      <c r="B741" s="10"/>
      <c r="C741" s="10"/>
      <c r="D741" s="10"/>
      <c r="E741" s="10"/>
      <c r="F741" s="10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x14ac:dyDescent="0.3">
      <c r="A742" s="10"/>
      <c r="B742" s="10"/>
      <c r="C742" s="10"/>
      <c r="D742" s="10"/>
      <c r="E742" s="10"/>
      <c r="F742" s="10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x14ac:dyDescent="0.3">
      <c r="A743" s="10"/>
      <c r="B743" s="10"/>
      <c r="C743" s="10"/>
      <c r="D743" s="10"/>
      <c r="E743" s="10"/>
      <c r="F743" s="10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x14ac:dyDescent="0.3">
      <c r="A744" s="10"/>
      <c r="B744" s="10"/>
      <c r="C744" s="10"/>
      <c r="D744" s="10"/>
      <c r="E744" s="10"/>
      <c r="F744" s="10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x14ac:dyDescent="0.3">
      <c r="A745" s="10"/>
      <c r="B745" s="10"/>
      <c r="C745" s="10"/>
      <c r="D745" s="10"/>
      <c r="E745" s="10"/>
      <c r="F745" s="10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x14ac:dyDescent="0.3">
      <c r="A746" s="10"/>
      <c r="B746" s="10"/>
      <c r="C746" s="10"/>
      <c r="D746" s="10"/>
      <c r="E746" s="10"/>
      <c r="F746" s="10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x14ac:dyDescent="0.3">
      <c r="A747" s="10"/>
      <c r="B747" s="10"/>
      <c r="C747" s="10"/>
      <c r="D747" s="10"/>
      <c r="E747" s="10"/>
      <c r="F747" s="10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x14ac:dyDescent="0.3">
      <c r="A748" s="10"/>
      <c r="B748" s="10"/>
      <c r="C748" s="10"/>
      <c r="D748" s="10"/>
      <c r="E748" s="10"/>
      <c r="F748" s="10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x14ac:dyDescent="0.3">
      <c r="A749" s="10"/>
      <c r="B749" s="10"/>
      <c r="C749" s="10"/>
      <c r="D749" s="10"/>
      <c r="E749" s="10"/>
      <c r="F749" s="10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x14ac:dyDescent="0.3">
      <c r="A750" s="10"/>
      <c r="B750" s="10"/>
      <c r="C750" s="10"/>
      <c r="D750" s="10"/>
      <c r="E750" s="10"/>
      <c r="F750" s="10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x14ac:dyDescent="0.3">
      <c r="A751" s="10"/>
      <c r="B751" s="10"/>
      <c r="C751" s="10"/>
      <c r="D751" s="10"/>
      <c r="E751" s="10"/>
      <c r="F751" s="10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x14ac:dyDescent="0.3">
      <c r="A752" s="10"/>
      <c r="B752" s="10"/>
      <c r="C752" s="10"/>
      <c r="D752" s="10"/>
      <c r="E752" s="10"/>
      <c r="F752" s="10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x14ac:dyDescent="0.3">
      <c r="A753" s="10"/>
      <c r="B753" s="10"/>
      <c r="C753" s="10"/>
      <c r="D753" s="10"/>
      <c r="E753" s="10"/>
      <c r="F753" s="10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x14ac:dyDescent="0.3">
      <c r="A754" s="10"/>
      <c r="B754" s="10"/>
      <c r="C754" s="10"/>
      <c r="D754" s="10"/>
      <c r="E754" s="10"/>
      <c r="F754" s="10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x14ac:dyDescent="0.3">
      <c r="A755" s="10"/>
      <c r="B755" s="10"/>
      <c r="C755" s="10"/>
      <c r="D755" s="10"/>
      <c r="E755" s="10"/>
      <c r="F755" s="10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x14ac:dyDescent="0.3">
      <c r="A756" s="10"/>
      <c r="B756" s="10"/>
      <c r="C756" s="10"/>
      <c r="D756" s="10"/>
      <c r="E756" s="10"/>
      <c r="F756" s="10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x14ac:dyDescent="0.3">
      <c r="A757" s="10"/>
      <c r="B757" s="10"/>
      <c r="C757" s="10"/>
      <c r="D757" s="10"/>
      <c r="E757" s="10"/>
      <c r="F757" s="10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x14ac:dyDescent="0.3">
      <c r="A758" s="10"/>
      <c r="B758" s="10"/>
      <c r="C758" s="10"/>
      <c r="D758" s="10"/>
      <c r="E758" s="10"/>
      <c r="F758" s="10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x14ac:dyDescent="0.3">
      <c r="A759" s="10"/>
      <c r="B759" s="10"/>
      <c r="C759" s="10"/>
      <c r="D759" s="10"/>
      <c r="E759" s="10"/>
      <c r="F759" s="10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x14ac:dyDescent="0.3">
      <c r="A760" s="10"/>
      <c r="B760" s="10"/>
      <c r="C760" s="10"/>
      <c r="D760" s="10"/>
      <c r="E760" s="10"/>
      <c r="F760" s="10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x14ac:dyDescent="0.3">
      <c r="A761" s="10"/>
      <c r="B761" s="10"/>
      <c r="C761" s="10"/>
      <c r="D761" s="10"/>
      <c r="E761" s="10"/>
      <c r="F761" s="10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x14ac:dyDescent="0.3">
      <c r="A762" s="10"/>
      <c r="B762" s="10"/>
      <c r="C762" s="10"/>
      <c r="D762" s="10"/>
      <c r="E762" s="10"/>
      <c r="F762" s="10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x14ac:dyDescent="0.3">
      <c r="A763" s="10"/>
      <c r="B763" s="10"/>
      <c r="C763" s="10"/>
      <c r="D763" s="10"/>
      <c r="E763" s="10"/>
      <c r="F763" s="10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x14ac:dyDescent="0.3">
      <c r="A764" s="10"/>
      <c r="B764" s="10"/>
      <c r="C764" s="10"/>
      <c r="D764" s="10"/>
      <c r="E764" s="10"/>
      <c r="F764" s="10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x14ac:dyDescent="0.3">
      <c r="A765" s="10"/>
      <c r="B765" s="10"/>
      <c r="C765" s="10"/>
      <c r="D765" s="10"/>
      <c r="E765" s="10"/>
      <c r="F765" s="10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x14ac:dyDescent="0.3">
      <c r="A766" s="10"/>
      <c r="B766" s="10"/>
      <c r="C766" s="10"/>
      <c r="D766" s="10"/>
      <c r="E766" s="10"/>
      <c r="F766" s="10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x14ac:dyDescent="0.3">
      <c r="A767" s="10"/>
      <c r="B767" s="10"/>
      <c r="C767" s="10"/>
      <c r="D767" s="10"/>
      <c r="E767" s="10"/>
      <c r="F767" s="10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x14ac:dyDescent="0.3">
      <c r="A768" s="10"/>
      <c r="B768" s="10"/>
      <c r="C768" s="10"/>
      <c r="D768" s="10"/>
      <c r="E768" s="10"/>
      <c r="F768" s="10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x14ac:dyDescent="0.3">
      <c r="A769" s="10"/>
      <c r="B769" s="10"/>
      <c r="C769" s="10"/>
      <c r="D769" s="10"/>
      <c r="E769" s="10"/>
      <c r="F769" s="10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x14ac:dyDescent="0.3">
      <c r="A770" s="10"/>
      <c r="B770" s="10"/>
      <c r="C770" s="10"/>
      <c r="D770" s="10"/>
      <c r="E770" s="10"/>
      <c r="F770" s="10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x14ac:dyDescent="0.3">
      <c r="A771" s="10"/>
      <c r="B771" s="10"/>
      <c r="C771" s="10"/>
      <c r="D771" s="10"/>
      <c r="E771" s="10"/>
      <c r="F771" s="10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x14ac:dyDescent="0.3">
      <c r="A772" s="10"/>
      <c r="B772" s="10"/>
      <c r="C772" s="10"/>
      <c r="D772" s="10"/>
      <c r="E772" s="10"/>
      <c r="F772" s="10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x14ac:dyDescent="0.3">
      <c r="A773" s="10"/>
      <c r="B773" s="10"/>
      <c r="C773" s="10"/>
      <c r="D773" s="10"/>
      <c r="E773" s="10"/>
      <c r="F773" s="10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x14ac:dyDescent="0.3">
      <c r="A774" s="10"/>
      <c r="B774" s="10"/>
      <c r="C774" s="10"/>
      <c r="D774" s="10"/>
      <c r="E774" s="10"/>
      <c r="F774" s="10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x14ac:dyDescent="0.3">
      <c r="A775" s="10"/>
      <c r="B775" s="10"/>
      <c r="C775" s="10"/>
      <c r="D775" s="10"/>
      <c r="E775" s="10"/>
      <c r="F775" s="10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x14ac:dyDescent="0.3">
      <c r="A776" s="10"/>
      <c r="B776" s="10"/>
      <c r="C776" s="10"/>
      <c r="D776" s="10"/>
      <c r="E776" s="10"/>
      <c r="F776" s="10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x14ac:dyDescent="0.3">
      <c r="A777" s="10"/>
      <c r="B777" s="10"/>
      <c r="C777" s="10"/>
      <c r="D777" s="10"/>
      <c r="E777" s="10"/>
      <c r="F777" s="10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x14ac:dyDescent="0.3">
      <c r="A778" s="10"/>
      <c r="B778" s="10"/>
      <c r="C778" s="10"/>
      <c r="D778" s="10"/>
      <c r="E778" s="10"/>
      <c r="F778" s="10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x14ac:dyDescent="0.3">
      <c r="A779" s="10"/>
      <c r="B779" s="10"/>
      <c r="C779" s="10"/>
      <c r="D779" s="10"/>
      <c r="E779" s="10"/>
      <c r="F779" s="10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x14ac:dyDescent="0.3">
      <c r="A780" s="10"/>
      <c r="B780" s="10"/>
      <c r="C780" s="10"/>
      <c r="D780" s="10"/>
      <c r="E780" s="10"/>
      <c r="F780" s="10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x14ac:dyDescent="0.3">
      <c r="A781" s="10"/>
      <c r="B781" s="10"/>
      <c r="C781" s="10"/>
      <c r="D781" s="10"/>
      <c r="E781" s="10"/>
      <c r="F781" s="10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x14ac:dyDescent="0.3">
      <c r="A782" s="10"/>
      <c r="B782" s="10"/>
      <c r="C782" s="10"/>
      <c r="D782" s="10"/>
      <c r="E782" s="10"/>
      <c r="F782" s="10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x14ac:dyDescent="0.3">
      <c r="A783" s="10"/>
      <c r="B783" s="10"/>
      <c r="C783" s="10"/>
      <c r="D783" s="10"/>
      <c r="E783" s="10"/>
      <c r="F783" s="10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x14ac:dyDescent="0.3">
      <c r="A784" s="10"/>
      <c r="B784" s="10"/>
      <c r="C784" s="10"/>
      <c r="D784" s="10"/>
      <c r="E784" s="10"/>
      <c r="F784" s="10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x14ac:dyDescent="0.3">
      <c r="A785" s="10"/>
      <c r="B785" s="10"/>
      <c r="C785" s="10"/>
      <c r="D785" s="10"/>
      <c r="E785" s="10"/>
      <c r="F785" s="10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x14ac:dyDescent="0.3">
      <c r="A786" s="10"/>
      <c r="B786" s="10"/>
      <c r="C786" s="10"/>
      <c r="D786" s="10"/>
      <c r="E786" s="10"/>
      <c r="F786" s="10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x14ac:dyDescent="0.3">
      <c r="A787" s="10"/>
      <c r="B787" s="10"/>
      <c r="C787" s="10"/>
      <c r="D787" s="10"/>
      <c r="E787" s="10"/>
      <c r="F787" s="10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x14ac:dyDescent="0.3">
      <c r="A788" s="10"/>
      <c r="B788" s="10"/>
      <c r="C788" s="10"/>
      <c r="D788" s="10"/>
      <c r="E788" s="10"/>
      <c r="F788" s="10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x14ac:dyDescent="0.3">
      <c r="A789" s="10"/>
      <c r="B789" s="10"/>
      <c r="C789" s="10"/>
      <c r="D789" s="10"/>
      <c r="E789" s="10"/>
      <c r="F789" s="10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x14ac:dyDescent="0.3">
      <c r="A790" s="10"/>
      <c r="B790" s="10"/>
      <c r="C790" s="10"/>
      <c r="D790" s="10"/>
      <c r="E790" s="10"/>
      <c r="F790" s="10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x14ac:dyDescent="0.3">
      <c r="A791" s="10"/>
      <c r="B791" s="10"/>
      <c r="C791" s="10"/>
      <c r="D791" s="10"/>
      <c r="E791" s="10"/>
      <c r="F791" s="10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x14ac:dyDescent="0.3">
      <c r="A792" s="10"/>
      <c r="B792" s="10"/>
      <c r="C792" s="10"/>
      <c r="D792" s="10"/>
      <c r="E792" s="10"/>
      <c r="F792" s="10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x14ac:dyDescent="0.3">
      <c r="A793" s="10"/>
      <c r="B793" s="10"/>
      <c r="C793" s="10"/>
      <c r="D793" s="10"/>
      <c r="E793" s="10"/>
      <c r="F793" s="10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x14ac:dyDescent="0.3">
      <c r="A794" s="10"/>
      <c r="B794" s="10"/>
      <c r="C794" s="10"/>
      <c r="D794" s="10"/>
      <c r="E794" s="10"/>
      <c r="F794" s="10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x14ac:dyDescent="0.3">
      <c r="A795" s="10"/>
      <c r="B795" s="10"/>
      <c r="C795" s="10"/>
      <c r="D795" s="10"/>
      <c r="E795" s="10"/>
      <c r="F795" s="10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x14ac:dyDescent="0.3">
      <c r="A796" s="10"/>
      <c r="B796" s="10"/>
      <c r="C796" s="10"/>
      <c r="D796" s="10"/>
      <c r="E796" s="10"/>
      <c r="F796" s="10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x14ac:dyDescent="0.3">
      <c r="A797" s="10"/>
      <c r="B797" s="10"/>
      <c r="C797" s="10"/>
      <c r="D797" s="10"/>
      <c r="E797" s="10"/>
      <c r="F797" s="10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x14ac:dyDescent="0.3">
      <c r="A798" s="10"/>
      <c r="B798" s="10"/>
      <c r="C798" s="10"/>
      <c r="D798" s="10"/>
      <c r="E798" s="10"/>
      <c r="F798" s="10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x14ac:dyDescent="0.3">
      <c r="A799" s="10"/>
      <c r="B799" s="10"/>
      <c r="C799" s="10"/>
      <c r="D799" s="10"/>
      <c r="E799" s="10"/>
      <c r="F799" s="10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x14ac:dyDescent="0.3">
      <c r="A800" s="10"/>
      <c r="B800" s="10"/>
      <c r="C800" s="10"/>
      <c r="D800" s="10"/>
      <c r="E800" s="10"/>
      <c r="F800" s="10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x14ac:dyDescent="0.3">
      <c r="A801" s="10"/>
      <c r="B801" s="10"/>
      <c r="C801" s="10"/>
      <c r="D801" s="10"/>
      <c r="E801" s="10"/>
      <c r="F801" s="10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x14ac:dyDescent="0.3">
      <c r="A802" s="10"/>
      <c r="B802" s="10"/>
      <c r="C802" s="10"/>
      <c r="D802" s="10"/>
      <c r="E802" s="10"/>
      <c r="F802" s="10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x14ac:dyDescent="0.3">
      <c r="A803" s="10"/>
      <c r="B803" s="10"/>
      <c r="C803" s="10"/>
      <c r="D803" s="10"/>
      <c r="E803" s="10"/>
      <c r="F803" s="10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x14ac:dyDescent="0.3">
      <c r="A804" s="10"/>
      <c r="B804" s="10"/>
      <c r="C804" s="10"/>
      <c r="D804" s="10"/>
      <c r="E804" s="10"/>
      <c r="F804" s="10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x14ac:dyDescent="0.3">
      <c r="A805" s="10"/>
      <c r="B805" s="10"/>
      <c r="C805" s="10"/>
      <c r="D805" s="10"/>
      <c r="E805" s="10"/>
      <c r="F805" s="10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x14ac:dyDescent="0.3">
      <c r="A806" s="10"/>
      <c r="B806" s="10"/>
      <c r="C806" s="10"/>
      <c r="D806" s="10"/>
      <c r="E806" s="10"/>
      <c r="F806" s="10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x14ac:dyDescent="0.3">
      <c r="A807" s="10"/>
      <c r="B807" s="10"/>
      <c r="C807" s="10"/>
      <c r="D807" s="10"/>
      <c r="E807" s="10"/>
      <c r="F807" s="10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x14ac:dyDescent="0.3">
      <c r="A808" s="10"/>
      <c r="B808" s="10"/>
      <c r="C808" s="10"/>
      <c r="D808" s="10"/>
      <c r="E808" s="10"/>
      <c r="F808" s="10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x14ac:dyDescent="0.3">
      <c r="A809" s="10"/>
      <c r="B809" s="10"/>
      <c r="C809" s="10"/>
      <c r="D809" s="10"/>
      <c r="E809" s="10"/>
      <c r="F809" s="10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x14ac:dyDescent="0.3">
      <c r="A810" s="10"/>
      <c r="B810" s="10"/>
      <c r="C810" s="10"/>
      <c r="D810" s="10"/>
      <c r="E810" s="10"/>
      <c r="F810" s="10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x14ac:dyDescent="0.3">
      <c r="A811" s="10"/>
      <c r="B811" s="10"/>
      <c r="C811" s="10"/>
      <c r="D811" s="10"/>
      <c r="E811" s="10"/>
      <c r="F811" s="10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x14ac:dyDescent="0.3">
      <c r="A812" s="10"/>
      <c r="B812" s="10"/>
      <c r="C812" s="10"/>
      <c r="D812" s="10"/>
      <c r="E812" s="10"/>
      <c r="F812" s="10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x14ac:dyDescent="0.3">
      <c r="A813" s="10"/>
      <c r="B813" s="10"/>
      <c r="C813" s="10"/>
      <c r="D813" s="10"/>
      <c r="E813" s="10"/>
      <c r="F813" s="10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x14ac:dyDescent="0.3">
      <c r="A814" s="10"/>
      <c r="B814" s="10"/>
      <c r="C814" s="10"/>
      <c r="D814" s="10"/>
      <c r="E814" s="10"/>
      <c r="F814" s="10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x14ac:dyDescent="0.3">
      <c r="A815" s="10"/>
      <c r="B815" s="10"/>
      <c r="C815" s="10"/>
      <c r="D815" s="10"/>
      <c r="E815" s="10"/>
      <c r="F815" s="10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x14ac:dyDescent="0.3">
      <c r="A816" s="10"/>
      <c r="B816" s="10"/>
      <c r="C816" s="10"/>
      <c r="D816" s="10"/>
      <c r="E816" s="10"/>
      <c r="F816" s="10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x14ac:dyDescent="0.3">
      <c r="A817" s="10"/>
      <c r="B817" s="10"/>
      <c r="C817" s="10"/>
      <c r="D817" s="10"/>
      <c r="E817" s="10"/>
      <c r="F817" s="10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x14ac:dyDescent="0.3">
      <c r="A818" s="10"/>
      <c r="B818" s="10"/>
      <c r="C818" s="10"/>
      <c r="D818" s="10"/>
      <c r="E818" s="10"/>
      <c r="F818" s="10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x14ac:dyDescent="0.3">
      <c r="A819" s="10"/>
      <c r="B819" s="10"/>
      <c r="C819" s="10"/>
      <c r="D819" s="10"/>
      <c r="E819" s="10"/>
      <c r="F819" s="10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x14ac:dyDescent="0.3">
      <c r="A820" s="10"/>
      <c r="B820" s="10"/>
      <c r="C820" s="10"/>
      <c r="D820" s="10"/>
      <c r="E820" s="10"/>
      <c r="F820" s="10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x14ac:dyDescent="0.3">
      <c r="A821" s="10"/>
      <c r="B821" s="10"/>
      <c r="C821" s="10"/>
      <c r="D821" s="10"/>
      <c r="E821" s="10"/>
      <c r="F821" s="10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x14ac:dyDescent="0.3">
      <c r="A822" s="10"/>
      <c r="B822" s="10"/>
      <c r="C822" s="10"/>
      <c r="D822" s="10"/>
      <c r="E822" s="10"/>
      <c r="F822" s="10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x14ac:dyDescent="0.3">
      <c r="A823" s="10"/>
      <c r="B823" s="10"/>
      <c r="C823" s="10"/>
      <c r="D823" s="10"/>
      <c r="E823" s="10"/>
      <c r="F823" s="10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x14ac:dyDescent="0.3">
      <c r="A824" s="10"/>
      <c r="B824" s="10"/>
      <c r="C824" s="10"/>
      <c r="D824" s="10"/>
      <c r="E824" s="10"/>
      <c r="F824" s="10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x14ac:dyDescent="0.3">
      <c r="A825" s="10"/>
      <c r="B825" s="10"/>
      <c r="C825" s="10"/>
      <c r="D825" s="10"/>
      <c r="E825" s="10"/>
      <c r="F825" s="10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x14ac:dyDescent="0.3">
      <c r="A826" s="10"/>
      <c r="B826" s="10"/>
      <c r="C826" s="10"/>
      <c r="D826" s="10"/>
      <c r="E826" s="10"/>
      <c r="F826" s="10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x14ac:dyDescent="0.3">
      <c r="A827" s="10"/>
      <c r="B827" s="10"/>
      <c r="C827" s="10"/>
      <c r="D827" s="10"/>
      <c r="E827" s="10"/>
      <c r="F827" s="10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x14ac:dyDescent="0.3">
      <c r="A828" s="10"/>
      <c r="B828" s="10"/>
      <c r="C828" s="10"/>
      <c r="D828" s="10"/>
      <c r="E828" s="10"/>
      <c r="F828" s="10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x14ac:dyDescent="0.3">
      <c r="A829" s="10"/>
      <c r="B829" s="10"/>
      <c r="C829" s="10"/>
      <c r="D829" s="10"/>
      <c r="E829" s="10"/>
      <c r="F829" s="10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x14ac:dyDescent="0.3">
      <c r="A830" s="10"/>
      <c r="B830" s="10"/>
      <c r="C830" s="10"/>
      <c r="D830" s="10"/>
      <c r="E830" s="10"/>
      <c r="F830" s="10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x14ac:dyDescent="0.3">
      <c r="A831" s="10"/>
      <c r="B831" s="10"/>
      <c r="C831" s="10"/>
      <c r="D831" s="10"/>
      <c r="E831" s="10"/>
      <c r="F831" s="10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x14ac:dyDescent="0.3">
      <c r="A832" s="10"/>
      <c r="B832" s="10"/>
      <c r="C832" s="10"/>
      <c r="D832" s="10"/>
      <c r="E832" s="10"/>
      <c r="F832" s="10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x14ac:dyDescent="0.3">
      <c r="A833" s="10"/>
      <c r="B833" s="10"/>
      <c r="C833" s="10"/>
      <c r="D833" s="10"/>
      <c r="E833" s="10"/>
      <c r="F833" s="10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x14ac:dyDescent="0.3">
      <c r="A834" s="10"/>
      <c r="B834" s="10"/>
      <c r="C834" s="10"/>
      <c r="D834" s="10"/>
      <c r="E834" s="10"/>
      <c r="F834" s="10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x14ac:dyDescent="0.3">
      <c r="A835" s="10"/>
      <c r="B835" s="10"/>
      <c r="C835" s="10"/>
      <c r="D835" s="10"/>
      <c r="E835" s="10"/>
      <c r="F835" s="10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x14ac:dyDescent="0.3">
      <c r="A836" s="10"/>
      <c r="B836" s="10"/>
      <c r="C836" s="10"/>
      <c r="D836" s="10"/>
      <c r="E836" s="10"/>
      <c r="F836" s="10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x14ac:dyDescent="0.3">
      <c r="A837" s="10"/>
      <c r="B837" s="10"/>
      <c r="C837" s="10"/>
      <c r="D837" s="10"/>
      <c r="E837" s="10"/>
      <c r="F837" s="10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x14ac:dyDescent="0.3">
      <c r="A838" s="10"/>
      <c r="B838" s="10"/>
      <c r="C838" s="10"/>
      <c r="D838" s="10"/>
      <c r="E838" s="10"/>
      <c r="F838" s="10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x14ac:dyDescent="0.3">
      <c r="A839" s="10"/>
      <c r="B839" s="10"/>
      <c r="C839" s="10"/>
      <c r="D839" s="10"/>
      <c r="E839" s="10"/>
      <c r="F839" s="10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x14ac:dyDescent="0.3">
      <c r="A840" s="10"/>
      <c r="B840" s="10"/>
      <c r="C840" s="10"/>
      <c r="D840" s="10"/>
      <c r="E840" s="10"/>
      <c r="F840" s="10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x14ac:dyDescent="0.3">
      <c r="A841" s="10"/>
      <c r="B841" s="10"/>
      <c r="C841" s="10"/>
      <c r="D841" s="10"/>
      <c r="E841" s="10"/>
      <c r="F841" s="10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x14ac:dyDescent="0.3">
      <c r="A842" s="10"/>
      <c r="B842" s="10"/>
      <c r="C842" s="10"/>
      <c r="D842" s="10"/>
      <c r="E842" s="10"/>
      <c r="F842" s="10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x14ac:dyDescent="0.3">
      <c r="A843" s="10"/>
      <c r="B843" s="10"/>
      <c r="C843" s="10"/>
      <c r="D843" s="10"/>
      <c r="E843" s="10"/>
      <c r="F843" s="10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x14ac:dyDescent="0.3">
      <c r="A844" s="10"/>
      <c r="B844" s="10"/>
      <c r="C844" s="10"/>
      <c r="D844" s="10"/>
      <c r="E844" s="10"/>
      <c r="F844" s="10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x14ac:dyDescent="0.3">
      <c r="A845" s="10"/>
      <c r="B845" s="10"/>
      <c r="C845" s="10"/>
      <c r="D845" s="10"/>
      <c r="E845" s="10"/>
      <c r="F845" s="10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x14ac:dyDescent="0.3">
      <c r="A846" s="10"/>
      <c r="B846" s="10"/>
      <c r="C846" s="10"/>
      <c r="D846" s="10"/>
      <c r="E846" s="10"/>
      <c r="F846" s="10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x14ac:dyDescent="0.3">
      <c r="A847" s="10"/>
      <c r="B847" s="10"/>
      <c r="C847" s="10"/>
      <c r="D847" s="10"/>
      <c r="E847" s="10"/>
      <c r="F847" s="10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x14ac:dyDescent="0.3">
      <c r="A848" s="10"/>
      <c r="B848" s="10"/>
      <c r="C848" s="10"/>
      <c r="D848" s="10"/>
      <c r="E848" s="10"/>
      <c r="F848" s="10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x14ac:dyDescent="0.3">
      <c r="A849" s="10"/>
      <c r="B849" s="10"/>
      <c r="C849" s="10"/>
      <c r="D849" s="10"/>
      <c r="E849" s="10"/>
      <c r="F849" s="10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x14ac:dyDescent="0.3">
      <c r="A850" s="10"/>
      <c r="B850" s="10"/>
      <c r="C850" s="10"/>
      <c r="D850" s="10"/>
      <c r="E850" s="10"/>
      <c r="F850" s="10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x14ac:dyDescent="0.3">
      <c r="A851" s="10"/>
      <c r="B851" s="10"/>
      <c r="C851" s="10"/>
      <c r="D851" s="10"/>
      <c r="E851" s="10"/>
      <c r="F851" s="10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x14ac:dyDescent="0.3">
      <c r="A852" s="10"/>
      <c r="B852" s="10"/>
      <c r="C852" s="10"/>
      <c r="D852" s="10"/>
      <c r="E852" s="10"/>
      <c r="F852" s="10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x14ac:dyDescent="0.3">
      <c r="A853" s="10"/>
      <c r="B853" s="10"/>
      <c r="C853" s="10"/>
      <c r="D853" s="10"/>
      <c r="E853" s="10"/>
      <c r="F853" s="10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x14ac:dyDescent="0.3">
      <c r="A854" s="10"/>
      <c r="B854" s="10"/>
      <c r="C854" s="10"/>
      <c r="D854" s="10"/>
      <c r="E854" s="10"/>
      <c r="F854" s="10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x14ac:dyDescent="0.3">
      <c r="A855" s="10"/>
      <c r="B855" s="10"/>
      <c r="C855" s="10"/>
      <c r="D855" s="10"/>
      <c r="E855" s="10"/>
      <c r="F855" s="10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x14ac:dyDescent="0.3">
      <c r="A856" s="10"/>
      <c r="B856" s="10"/>
      <c r="C856" s="10"/>
      <c r="D856" s="10"/>
      <c r="E856" s="10"/>
      <c r="F856" s="10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x14ac:dyDescent="0.3">
      <c r="A857" s="10"/>
      <c r="B857" s="10"/>
      <c r="C857" s="10"/>
      <c r="D857" s="10"/>
      <c r="E857" s="10"/>
      <c r="F857" s="10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x14ac:dyDescent="0.3">
      <c r="A858" s="10"/>
      <c r="B858" s="10"/>
      <c r="C858" s="10"/>
      <c r="D858" s="10"/>
      <c r="E858" s="10"/>
      <c r="F858" s="10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x14ac:dyDescent="0.3">
      <c r="A859" s="10"/>
      <c r="B859" s="10"/>
      <c r="C859" s="10"/>
      <c r="D859" s="10"/>
      <c r="E859" s="10"/>
      <c r="F859" s="10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x14ac:dyDescent="0.3">
      <c r="A860" s="10"/>
      <c r="B860" s="10"/>
      <c r="C860" s="10"/>
      <c r="D860" s="10"/>
      <c r="E860" s="10"/>
      <c r="F860" s="10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x14ac:dyDescent="0.3">
      <c r="A861" s="10"/>
      <c r="B861" s="10"/>
      <c r="C861" s="10"/>
      <c r="D861" s="10"/>
      <c r="E861" s="10"/>
      <c r="F861" s="10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x14ac:dyDescent="0.3">
      <c r="A862" s="10"/>
      <c r="B862" s="10"/>
      <c r="C862" s="10"/>
      <c r="D862" s="10"/>
      <c r="E862" s="10"/>
      <c r="F862" s="10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x14ac:dyDescent="0.3">
      <c r="A863" s="10"/>
      <c r="B863" s="10"/>
      <c r="C863" s="10"/>
      <c r="D863" s="10"/>
      <c r="E863" s="10"/>
      <c r="F863" s="10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x14ac:dyDescent="0.3">
      <c r="A864" s="10"/>
      <c r="B864" s="10"/>
      <c r="C864" s="10"/>
      <c r="D864" s="10"/>
      <c r="E864" s="10"/>
      <c r="F864" s="10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x14ac:dyDescent="0.3">
      <c r="A865" s="10"/>
      <c r="B865" s="10"/>
      <c r="C865" s="10"/>
      <c r="D865" s="10"/>
      <c r="E865" s="10"/>
      <c r="F865" s="10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x14ac:dyDescent="0.3">
      <c r="A866" s="10"/>
      <c r="B866" s="10"/>
      <c r="C866" s="10"/>
      <c r="D866" s="10"/>
      <c r="E866" s="10"/>
      <c r="F866" s="10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x14ac:dyDescent="0.3">
      <c r="A867" s="10"/>
      <c r="B867" s="10"/>
      <c r="C867" s="10"/>
      <c r="D867" s="10"/>
      <c r="E867" s="10"/>
      <c r="F867" s="10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x14ac:dyDescent="0.3">
      <c r="A868" s="10"/>
      <c r="B868" s="10"/>
      <c r="C868" s="10"/>
      <c r="D868" s="10"/>
      <c r="E868" s="10"/>
      <c r="F868" s="10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x14ac:dyDescent="0.3">
      <c r="A869" s="10"/>
      <c r="B869" s="10"/>
      <c r="C869" s="10"/>
      <c r="D869" s="10"/>
      <c r="E869" s="10"/>
      <c r="F869" s="10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x14ac:dyDescent="0.3">
      <c r="A870" s="10"/>
      <c r="B870" s="10"/>
      <c r="C870" s="10"/>
      <c r="D870" s="10"/>
      <c r="E870" s="10"/>
      <c r="F870" s="10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x14ac:dyDescent="0.3">
      <c r="A871" s="10"/>
      <c r="B871" s="10"/>
      <c r="C871" s="10"/>
      <c r="D871" s="10"/>
      <c r="E871" s="10"/>
      <c r="F871" s="10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x14ac:dyDescent="0.3">
      <c r="A872" s="10"/>
      <c r="B872" s="10"/>
      <c r="C872" s="10"/>
      <c r="D872" s="10"/>
      <c r="E872" s="10"/>
      <c r="F872" s="10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x14ac:dyDescent="0.3">
      <c r="A873" s="10"/>
      <c r="B873" s="10"/>
      <c r="C873" s="10"/>
      <c r="D873" s="10"/>
      <c r="E873" s="10"/>
      <c r="F873" s="10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x14ac:dyDescent="0.3">
      <c r="A874" s="10"/>
      <c r="B874" s="10"/>
      <c r="C874" s="10"/>
      <c r="D874" s="10"/>
      <c r="E874" s="10"/>
      <c r="F874" s="10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x14ac:dyDescent="0.3">
      <c r="A875" s="10"/>
      <c r="B875" s="10"/>
      <c r="C875" s="10"/>
      <c r="D875" s="10"/>
      <c r="E875" s="10"/>
      <c r="F875" s="10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x14ac:dyDescent="0.3">
      <c r="A876" s="10"/>
      <c r="B876" s="10"/>
      <c r="C876" s="10"/>
      <c r="D876" s="10"/>
      <c r="E876" s="10"/>
      <c r="F876" s="10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x14ac:dyDescent="0.3">
      <c r="A877" s="10"/>
      <c r="B877" s="10"/>
      <c r="C877" s="10"/>
      <c r="D877" s="10"/>
      <c r="E877" s="10"/>
      <c r="F877" s="10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x14ac:dyDescent="0.3">
      <c r="A878" s="10"/>
      <c r="B878" s="10"/>
      <c r="C878" s="10"/>
      <c r="D878" s="10"/>
      <c r="E878" s="10"/>
      <c r="F878" s="10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x14ac:dyDescent="0.3">
      <c r="A879" s="10"/>
      <c r="B879" s="10"/>
      <c r="C879" s="10"/>
      <c r="D879" s="10"/>
      <c r="E879" s="10"/>
      <c r="F879" s="10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x14ac:dyDescent="0.3">
      <c r="A880" s="10"/>
      <c r="B880" s="10"/>
      <c r="C880" s="10"/>
      <c r="D880" s="10"/>
      <c r="E880" s="10"/>
      <c r="F880" s="10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x14ac:dyDescent="0.3">
      <c r="A881" s="10"/>
      <c r="B881" s="10"/>
      <c r="C881" s="10"/>
      <c r="D881" s="10"/>
      <c r="E881" s="10"/>
      <c r="F881" s="10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x14ac:dyDescent="0.3">
      <c r="A882" s="10"/>
      <c r="B882" s="10"/>
      <c r="C882" s="10"/>
      <c r="D882" s="10"/>
      <c r="E882" s="10"/>
      <c r="F882" s="10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x14ac:dyDescent="0.3">
      <c r="A883" s="10"/>
      <c r="B883" s="10"/>
      <c r="C883" s="10"/>
      <c r="D883" s="10"/>
      <c r="E883" s="10"/>
      <c r="F883" s="10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x14ac:dyDescent="0.3">
      <c r="A884" s="10"/>
      <c r="B884" s="10"/>
      <c r="C884" s="10"/>
      <c r="D884" s="10"/>
      <c r="E884" s="10"/>
      <c r="F884" s="10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x14ac:dyDescent="0.3">
      <c r="A885" s="10"/>
      <c r="B885" s="10"/>
      <c r="C885" s="10"/>
      <c r="D885" s="10"/>
      <c r="E885" s="10"/>
      <c r="F885" s="10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x14ac:dyDescent="0.3">
      <c r="A886" s="10"/>
      <c r="B886" s="10"/>
      <c r="C886" s="10"/>
      <c r="D886" s="10"/>
      <c r="E886" s="10"/>
      <c r="F886" s="10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x14ac:dyDescent="0.3">
      <c r="A887" s="10"/>
      <c r="B887" s="10"/>
      <c r="C887" s="10"/>
      <c r="D887" s="10"/>
      <c r="E887" s="10"/>
      <c r="F887" s="10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x14ac:dyDescent="0.3">
      <c r="A888" s="10"/>
      <c r="B888" s="10"/>
      <c r="C888" s="10"/>
      <c r="D888" s="10"/>
      <c r="E888" s="10"/>
      <c r="F888" s="10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x14ac:dyDescent="0.3">
      <c r="A889" s="10"/>
      <c r="B889" s="10"/>
      <c r="C889" s="10"/>
      <c r="D889" s="10"/>
      <c r="E889" s="10"/>
      <c r="F889" s="10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x14ac:dyDescent="0.3">
      <c r="A890" s="10"/>
      <c r="B890" s="10"/>
      <c r="C890" s="10"/>
      <c r="D890" s="10"/>
      <c r="E890" s="10"/>
      <c r="F890" s="10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x14ac:dyDescent="0.3">
      <c r="A891" s="10"/>
      <c r="B891" s="10"/>
      <c r="C891" s="10"/>
      <c r="D891" s="10"/>
      <c r="E891" s="10"/>
      <c r="F891" s="10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x14ac:dyDescent="0.3">
      <c r="A892" s="10"/>
      <c r="B892" s="10"/>
      <c r="C892" s="10"/>
      <c r="D892" s="10"/>
      <c r="E892" s="10"/>
      <c r="F892" s="10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x14ac:dyDescent="0.3">
      <c r="A893" s="10"/>
      <c r="B893" s="10"/>
      <c r="C893" s="10"/>
      <c r="D893" s="10"/>
      <c r="E893" s="10"/>
      <c r="F893" s="10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x14ac:dyDescent="0.3">
      <c r="A894" s="10"/>
      <c r="B894" s="10"/>
      <c r="C894" s="10"/>
      <c r="D894" s="10"/>
      <c r="E894" s="10"/>
      <c r="F894" s="10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x14ac:dyDescent="0.3">
      <c r="A895" s="10"/>
      <c r="B895" s="10"/>
      <c r="C895" s="10"/>
      <c r="D895" s="10"/>
      <c r="E895" s="10"/>
      <c r="F895" s="10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x14ac:dyDescent="0.3">
      <c r="A896" s="10"/>
      <c r="B896" s="10"/>
      <c r="C896" s="10"/>
      <c r="D896" s="10"/>
      <c r="E896" s="10"/>
      <c r="F896" s="10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x14ac:dyDescent="0.3">
      <c r="A897" s="10"/>
      <c r="B897" s="10"/>
      <c r="C897" s="10"/>
      <c r="D897" s="10"/>
      <c r="E897" s="10"/>
      <c r="F897" s="10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x14ac:dyDescent="0.3">
      <c r="A898" s="10"/>
      <c r="B898" s="10"/>
      <c r="C898" s="10"/>
      <c r="D898" s="10"/>
      <c r="E898" s="10"/>
      <c r="F898" s="10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x14ac:dyDescent="0.3">
      <c r="A899" s="10"/>
      <c r="B899" s="10"/>
      <c r="C899" s="10"/>
      <c r="D899" s="10"/>
      <c r="E899" s="10"/>
      <c r="F899" s="10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x14ac:dyDescent="0.3">
      <c r="A900" s="10"/>
      <c r="B900" s="10"/>
      <c r="C900" s="10"/>
      <c r="D900" s="10"/>
      <c r="E900" s="10"/>
      <c r="F900" s="10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x14ac:dyDescent="0.3">
      <c r="A901" s="10"/>
      <c r="B901" s="10"/>
      <c r="C901" s="10"/>
      <c r="D901" s="10"/>
      <c r="E901" s="10"/>
      <c r="F901" s="10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x14ac:dyDescent="0.3">
      <c r="A902" s="10"/>
      <c r="B902" s="10"/>
      <c r="C902" s="10"/>
      <c r="D902" s="10"/>
      <c r="E902" s="10"/>
      <c r="F902" s="10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x14ac:dyDescent="0.3">
      <c r="A903" s="10"/>
      <c r="B903" s="10"/>
      <c r="C903" s="10"/>
      <c r="D903" s="10"/>
      <c r="E903" s="10"/>
      <c r="F903" s="10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x14ac:dyDescent="0.3">
      <c r="A904" s="10"/>
      <c r="B904" s="10"/>
      <c r="C904" s="10"/>
      <c r="D904" s="10"/>
      <c r="E904" s="10"/>
      <c r="F904" s="10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x14ac:dyDescent="0.3">
      <c r="A905" s="10"/>
      <c r="B905" s="10"/>
      <c r="C905" s="10"/>
      <c r="D905" s="10"/>
      <c r="E905" s="10"/>
      <c r="F905" s="10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x14ac:dyDescent="0.3">
      <c r="A906" s="10"/>
      <c r="B906" s="10"/>
      <c r="C906" s="10"/>
      <c r="D906" s="10"/>
      <c r="E906" s="10"/>
      <c r="F906" s="10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x14ac:dyDescent="0.3">
      <c r="A907" s="10"/>
      <c r="B907" s="10"/>
      <c r="C907" s="10"/>
      <c r="D907" s="10"/>
      <c r="E907" s="10"/>
      <c r="F907" s="10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x14ac:dyDescent="0.3">
      <c r="A908" s="10"/>
      <c r="B908" s="10"/>
      <c r="C908" s="10"/>
      <c r="D908" s="10"/>
      <c r="E908" s="10"/>
      <c r="F908" s="10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x14ac:dyDescent="0.3">
      <c r="A909" s="10"/>
      <c r="B909" s="10"/>
      <c r="C909" s="10"/>
      <c r="D909" s="10"/>
      <c r="E909" s="10"/>
      <c r="F909" s="10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x14ac:dyDescent="0.3">
      <c r="A910" s="10"/>
      <c r="B910" s="10"/>
      <c r="C910" s="10"/>
      <c r="D910" s="10"/>
      <c r="E910" s="10"/>
      <c r="F910" s="10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x14ac:dyDescent="0.3">
      <c r="A911" s="10"/>
      <c r="B911" s="10"/>
      <c r="C911" s="10"/>
      <c r="D911" s="10"/>
      <c r="E911" s="10"/>
      <c r="F911" s="10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x14ac:dyDescent="0.3">
      <c r="A912" s="10"/>
      <c r="B912" s="10"/>
      <c r="C912" s="10"/>
      <c r="D912" s="10"/>
      <c r="E912" s="10"/>
      <c r="F912" s="10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x14ac:dyDescent="0.3">
      <c r="A913" s="10"/>
      <c r="B913" s="10"/>
      <c r="C913" s="10"/>
      <c r="D913" s="10"/>
      <c r="E913" s="10"/>
      <c r="F913" s="10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x14ac:dyDescent="0.3">
      <c r="A914" s="10"/>
      <c r="B914" s="10"/>
      <c r="C914" s="10"/>
      <c r="D914" s="10"/>
      <c r="E914" s="10"/>
      <c r="F914" s="10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x14ac:dyDescent="0.3">
      <c r="A915" s="10"/>
      <c r="B915" s="10"/>
      <c r="C915" s="10"/>
      <c r="D915" s="10"/>
      <c r="E915" s="10"/>
      <c r="F915" s="10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x14ac:dyDescent="0.3">
      <c r="A916" s="10"/>
      <c r="B916" s="10"/>
      <c r="C916" s="10"/>
      <c r="D916" s="10"/>
      <c r="E916" s="10"/>
      <c r="F916" s="10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x14ac:dyDescent="0.3">
      <c r="A917" s="10"/>
      <c r="B917" s="10"/>
      <c r="C917" s="10"/>
      <c r="D917" s="10"/>
      <c r="E917" s="10"/>
      <c r="F917" s="10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x14ac:dyDescent="0.3">
      <c r="A918" s="10"/>
      <c r="B918" s="10"/>
      <c r="C918" s="10"/>
      <c r="D918" s="10"/>
      <c r="E918" s="10"/>
      <c r="F918" s="10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x14ac:dyDescent="0.3">
      <c r="A919" s="10"/>
      <c r="B919" s="10"/>
      <c r="C919" s="10"/>
      <c r="D919" s="10"/>
      <c r="E919" s="10"/>
      <c r="F919" s="10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x14ac:dyDescent="0.3">
      <c r="A920" s="10"/>
      <c r="B920" s="10"/>
      <c r="C920" s="10"/>
      <c r="D920" s="10"/>
      <c r="E920" s="10"/>
      <c r="F920" s="10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x14ac:dyDescent="0.3">
      <c r="A921" s="10"/>
      <c r="B921" s="10"/>
      <c r="C921" s="10"/>
      <c r="D921" s="10"/>
      <c r="E921" s="10"/>
      <c r="F921" s="10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x14ac:dyDescent="0.3">
      <c r="A922" s="10"/>
      <c r="B922" s="10"/>
      <c r="C922" s="10"/>
      <c r="D922" s="10"/>
      <c r="E922" s="10"/>
      <c r="F922" s="10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x14ac:dyDescent="0.3">
      <c r="A923" s="10"/>
      <c r="B923" s="10"/>
      <c r="C923" s="10"/>
      <c r="D923" s="10"/>
      <c r="E923" s="10"/>
      <c r="F923" s="10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x14ac:dyDescent="0.3">
      <c r="A924" s="10"/>
      <c r="B924" s="10"/>
      <c r="C924" s="10"/>
      <c r="D924" s="10"/>
      <c r="E924" s="10"/>
      <c r="F924" s="10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x14ac:dyDescent="0.3">
      <c r="A925" s="10"/>
      <c r="B925" s="10"/>
      <c r="C925" s="10"/>
      <c r="D925" s="10"/>
      <c r="E925" s="10"/>
      <c r="F925" s="10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x14ac:dyDescent="0.3">
      <c r="A926" s="10"/>
      <c r="B926" s="10"/>
      <c r="C926" s="10"/>
      <c r="D926" s="10"/>
      <c r="E926" s="10"/>
      <c r="F926" s="10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x14ac:dyDescent="0.3">
      <c r="A927" s="10"/>
      <c r="B927" s="10"/>
      <c r="C927" s="10"/>
      <c r="D927" s="10"/>
      <c r="E927" s="10"/>
      <c r="F927" s="10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x14ac:dyDescent="0.3">
      <c r="A928" s="10"/>
      <c r="B928" s="10"/>
      <c r="C928" s="10"/>
      <c r="D928" s="10"/>
      <c r="E928" s="10"/>
      <c r="F928" s="10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x14ac:dyDescent="0.3">
      <c r="A929" s="10"/>
      <c r="B929" s="10"/>
      <c r="C929" s="10"/>
      <c r="D929" s="10"/>
      <c r="E929" s="10"/>
      <c r="F929" s="10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x14ac:dyDescent="0.3">
      <c r="A930" s="10"/>
      <c r="B930" s="10"/>
      <c r="C930" s="10"/>
      <c r="D930" s="10"/>
      <c r="E930" s="10"/>
      <c r="F930" s="10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x14ac:dyDescent="0.3">
      <c r="A931" s="10"/>
      <c r="B931" s="10"/>
      <c r="C931" s="10"/>
      <c r="D931" s="10"/>
      <c r="E931" s="10"/>
      <c r="F931" s="10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x14ac:dyDescent="0.3">
      <c r="A932" s="10"/>
      <c r="B932" s="10"/>
      <c r="C932" s="10"/>
      <c r="D932" s="10"/>
      <c r="E932" s="10"/>
      <c r="F932" s="10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x14ac:dyDescent="0.3">
      <c r="A933" s="10"/>
      <c r="B933" s="10"/>
      <c r="C933" s="10"/>
      <c r="D933" s="10"/>
      <c r="E933" s="10"/>
      <c r="F933" s="10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x14ac:dyDescent="0.3">
      <c r="A934" s="10"/>
      <c r="B934" s="10"/>
      <c r="C934" s="10"/>
      <c r="D934" s="10"/>
      <c r="E934" s="10"/>
      <c r="F934" s="10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x14ac:dyDescent="0.3">
      <c r="A935" s="10"/>
      <c r="B935" s="10"/>
      <c r="C935" s="10"/>
      <c r="D935" s="10"/>
      <c r="E935" s="10"/>
      <c r="F935" s="10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x14ac:dyDescent="0.3">
      <c r="A936" s="10"/>
      <c r="B936" s="10"/>
      <c r="C936" s="10"/>
      <c r="D936" s="10"/>
      <c r="E936" s="10"/>
      <c r="F936" s="10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x14ac:dyDescent="0.3">
      <c r="A937" s="10"/>
      <c r="B937" s="10"/>
      <c r="C937" s="10"/>
      <c r="D937" s="10"/>
      <c r="E937" s="10"/>
      <c r="F937" s="10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x14ac:dyDescent="0.3">
      <c r="A938" s="10"/>
      <c r="B938" s="10"/>
      <c r="C938" s="10"/>
      <c r="D938" s="10"/>
      <c r="E938" s="10"/>
      <c r="F938" s="10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x14ac:dyDescent="0.3">
      <c r="A939" s="10"/>
      <c r="B939" s="10"/>
      <c r="C939" s="10"/>
      <c r="D939" s="10"/>
      <c r="E939" s="10"/>
      <c r="F939" s="10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x14ac:dyDescent="0.3">
      <c r="A940" s="10"/>
      <c r="B940" s="10"/>
      <c r="C940" s="10"/>
      <c r="D940" s="10"/>
      <c r="E940" s="10"/>
      <c r="F940" s="10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x14ac:dyDescent="0.3">
      <c r="A941" s="10"/>
      <c r="B941" s="10"/>
      <c r="C941" s="10"/>
      <c r="D941" s="10"/>
      <c r="E941" s="10"/>
      <c r="F941" s="10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x14ac:dyDescent="0.3">
      <c r="A942" s="10"/>
      <c r="B942" s="10"/>
      <c r="C942" s="10"/>
      <c r="D942" s="10"/>
      <c r="E942" s="10"/>
      <c r="F942" s="10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x14ac:dyDescent="0.3">
      <c r="A943" s="10"/>
      <c r="B943" s="10"/>
      <c r="C943" s="10"/>
      <c r="D943" s="10"/>
      <c r="E943" s="10"/>
      <c r="F943" s="10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x14ac:dyDescent="0.3">
      <c r="A944" s="10"/>
      <c r="B944" s="10"/>
      <c r="C944" s="10"/>
      <c r="D944" s="10"/>
      <c r="E944" s="10"/>
      <c r="F944" s="10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x14ac:dyDescent="0.3">
      <c r="A945" s="10"/>
      <c r="B945" s="10"/>
      <c r="C945" s="10"/>
      <c r="D945" s="10"/>
      <c r="E945" s="10"/>
      <c r="F945" s="10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x14ac:dyDescent="0.3">
      <c r="A946" s="10"/>
      <c r="B946" s="10"/>
      <c r="C946" s="10"/>
      <c r="D946" s="10"/>
      <c r="E946" s="10"/>
      <c r="F946" s="10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x14ac:dyDescent="0.3">
      <c r="A947" s="10"/>
      <c r="B947" s="10"/>
      <c r="C947" s="10"/>
      <c r="D947" s="10"/>
      <c r="E947" s="10"/>
      <c r="F947" s="10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x14ac:dyDescent="0.3">
      <c r="A948" s="10"/>
      <c r="B948" s="10"/>
      <c r="C948" s="10"/>
      <c r="D948" s="10"/>
      <c r="E948" s="10"/>
      <c r="F948" s="10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x14ac:dyDescent="0.3">
      <c r="A949" s="10"/>
      <c r="B949" s="10"/>
      <c r="C949" s="10"/>
      <c r="D949" s="10"/>
      <c r="E949" s="10"/>
      <c r="F949" s="10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x14ac:dyDescent="0.3">
      <c r="A950" s="10"/>
      <c r="B950" s="10"/>
      <c r="C950" s="10"/>
      <c r="D950" s="10"/>
      <c r="E950" s="10"/>
      <c r="F950" s="10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x14ac:dyDescent="0.3">
      <c r="A951" s="10"/>
      <c r="B951" s="10"/>
      <c r="C951" s="10"/>
      <c r="D951" s="10"/>
      <c r="E951" s="10"/>
      <c r="F951" s="10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x14ac:dyDescent="0.3">
      <c r="A952" s="10"/>
      <c r="B952" s="10"/>
      <c r="C952" s="10"/>
      <c r="D952" s="10"/>
      <c r="E952" s="10"/>
      <c r="F952" s="10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x14ac:dyDescent="0.3">
      <c r="A953" s="10"/>
      <c r="B953" s="10"/>
      <c r="C953" s="10"/>
      <c r="D953" s="10"/>
      <c r="E953" s="10"/>
      <c r="F953" s="10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x14ac:dyDescent="0.3">
      <c r="A954" s="10"/>
      <c r="B954" s="10"/>
      <c r="C954" s="10"/>
      <c r="D954" s="10"/>
      <c r="E954" s="10"/>
      <c r="F954" s="10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x14ac:dyDescent="0.3">
      <c r="A955" s="10"/>
      <c r="B955" s="10"/>
      <c r="C955" s="10"/>
      <c r="D955" s="10"/>
      <c r="E955" s="10"/>
      <c r="F955" s="10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x14ac:dyDescent="0.3">
      <c r="A956" s="10"/>
      <c r="B956" s="10"/>
      <c r="C956" s="10"/>
      <c r="D956" s="10"/>
      <c r="E956" s="10"/>
      <c r="F956" s="10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x14ac:dyDescent="0.3">
      <c r="A957" s="10"/>
      <c r="B957" s="10"/>
      <c r="C957" s="10"/>
      <c r="D957" s="10"/>
      <c r="E957" s="10"/>
      <c r="F957" s="10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x14ac:dyDescent="0.3">
      <c r="A958" s="10"/>
      <c r="B958" s="10"/>
      <c r="C958" s="10"/>
      <c r="D958" s="10"/>
      <c r="E958" s="10"/>
      <c r="F958" s="10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x14ac:dyDescent="0.3">
      <c r="A959" s="10"/>
      <c r="B959" s="10"/>
      <c r="C959" s="10"/>
      <c r="D959" s="10"/>
      <c r="E959" s="10"/>
      <c r="F959" s="10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x14ac:dyDescent="0.3">
      <c r="A960" s="10"/>
      <c r="B960" s="10"/>
      <c r="C960" s="10"/>
      <c r="D960" s="10"/>
      <c r="E960" s="10"/>
      <c r="F960" s="10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x14ac:dyDescent="0.3">
      <c r="A961" s="10"/>
      <c r="B961" s="10"/>
      <c r="C961" s="10"/>
      <c r="D961" s="10"/>
      <c r="E961" s="10"/>
      <c r="F961" s="10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x14ac:dyDescent="0.3">
      <c r="A962" s="10"/>
      <c r="B962" s="10"/>
      <c r="C962" s="10"/>
      <c r="D962" s="10"/>
      <c r="E962" s="10"/>
      <c r="F962" s="10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x14ac:dyDescent="0.3">
      <c r="A963" s="10"/>
      <c r="B963" s="10"/>
      <c r="C963" s="10"/>
      <c r="D963" s="10"/>
      <c r="E963" s="10"/>
      <c r="F963" s="10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x14ac:dyDescent="0.3">
      <c r="A964" s="10"/>
      <c r="B964" s="10"/>
      <c r="C964" s="10"/>
      <c r="D964" s="10"/>
      <c r="E964" s="10"/>
      <c r="F964" s="10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x14ac:dyDescent="0.3">
      <c r="A965" s="10"/>
      <c r="B965" s="10"/>
      <c r="C965" s="10"/>
      <c r="D965" s="10"/>
      <c r="E965" s="10"/>
      <c r="F965" s="10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x14ac:dyDescent="0.3">
      <c r="A966" s="10"/>
      <c r="B966" s="10"/>
      <c r="C966" s="10"/>
      <c r="D966" s="10"/>
      <c r="E966" s="10"/>
      <c r="F966" s="10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x14ac:dyDescent="0.3">
      <c r="A967" s="10"/>
      <c r="B967" s="10"/>
      <c r="C967" s="10"/>
      <c r="D967" s="10"/>
      <c r="E967" s="10"/>
      <c r="F967" s="10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x14ac:dyDescent="0.3">
      <c r="A968" s="10"/>
      <c r="B968" s="10"/>
      <c r="C968" s="10"/>
      <c r="D968" s="10"/>
      <c r="E968" s="10"/>
      <c r="F968" s="10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x14ac:dyDescent="0.3">
      <c r="A969" s="10"/>
      <c r="B969" s="10"/>
      <c r="C969" s="10"/>
      <c r="D969" s="10"/>
      <c r="E969" s="10"/>
      <c r="F969" s="10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x14ac:dyDescent="0.3">
      <c r="A970" s="10"/>
      <c r="B970" s="10"/>
      <c r="C970" s="10"/>
      <c r="D970" s="10"/>
      <c r="E970" s="10"/>
      <c r="F970" s="10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x14ac:dyDescent="0.3">
      <c r="A971" s="10"/>
      <c r="B971" s="10"/>
      <c r="C971" s="10"/>
      <c r="D971" s="10"/>
      <c r="E971" s="10"/>
      <c r="F971" s="10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 x14ac:dyDescent="0.3">
      <c r="A972" s="10"/>
      <c r="B972" s="10"/>
      <c r="C972" s="10"/>
      <c r="D972" s="10"/>
      <c r="E972" s="10"/>
      <c r="F972" s="10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 x14ac:dyDescent="0.3">
      <c r="A973" s="10"/>
      <c r="B973" s="10"/>
      <c r="C973" s="10"/>
      <c r="D973" s="10"/>
      <c r="E973" s="10"/>
      <c r="F973" s="10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 x14ac:dyDescent="0.3">
      <c r="A974" s="10"/>
      <c r="B974" s="10"/>
      <c r="C974" s="10"/>
      <c r="D974" s="10"/>
      <c r="E974" s="10"/>
      <c r="F974" s="10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 x14ac:dyDescent="0.3">
      <c r="A975" s="10"/>
      <c r="B975" s="10"/>
      <c r="C975" s="10"/>
      <c r="D975" s="10"/>
      <c r="E975" s="10"/>
      <c r="F975" s="10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 x14ac:dyDescent="0.3">
      <c r="A976" s="10"/>
      <c r="B976" s="10"/>
      <c r="C976" s="10"/>
      <c r="D976" s="10"/>
      <c r="E976" s="10"/>
      <c r="F976" s="10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 x14ac:dyDescent="0.3">
      <c r="A977" s="10"/>
      <c r="B977" s="10"/>
      <c r="C977" s="10"/>
      <c r="D977" s="10"/>
      <c r="E977" s="10"/>
      <c r="F977" s="10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 x14ac:dyDescent="0.3">
      <c r="A978" s="10"/>
      <c r="B978" s="10"/>
      <c r="C978" s="10"/>
      <c r="D978" s="10"/>
      <c r="E978" s="10"/>
      <c r="F978" s="10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 x14ac:dyDescent="0.3">
      <c r="A979" s="10"/>
      <c r="B979" s="10"/>
      <c r="C979" s="10"/>
      <c r="D979" s="10"/>
      <c r="E979" s="10"/>
      <c r="F979" s="10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 x14ac:dyDescent="0.3">
      <c r="A980" s="10"/>
      <c r="B980" s="10"/>
      <c r="C980" s="10"/>
      <c r="D980" s="10"/>
      <c r="E980" s="10"/>
      <c r="F980" s="10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 x14ac:dyDescent="0.3">
      <c r="A981" s="10"/>
      <c r="B981" s="10"/>
      <c r="C981" s="10"/>
      <c r="D981" s="10"/>
      <c r="E981" s="10"/>
      <c r="F981" s="10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 x14ac:dyDescent="0.3">
      <c r="A982" s="10"/>
      <c r="B982" s="10"/>
      <c r="C982" s="10"/>
      <c r="D982" s="10"/>
      <c r="E982" s="10"/>
      <c r="F982" s="10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 x14ac:dyDescent="0.3">
      <c r="A983" s="10"/>
      <c r="B983" s="10"/>
      <c r="C983" s="10"/>
      <c r="D983" s="10"/>
      <c r="E983" s="10"/>
      <c r="F983" s="10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 x14ac:dyDescent="0.3">
      <c r="A984" s="10"/>
      <c r="B984" s="10"/>
      <c r="C984" s="10"/>
      <c r="D984" s="10"/>
      <c r="E984" s="10"/>
      <c r="F984" s="10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 x14ac:dyDescent="0.3">
      <c r="A985" s="10"/>
      <c r="B985" s="10"/>
      <c r="C985" s="10"/>
      <c r="D985" s="10"/>
      <c r="E985" s="10"/>
      <c r="F985" s="10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 x14ac:dyDescent="0.3">
      <c r="A986" s="10"/>
      <c r="B986" s="10"/>
      <c r="C986" s="10"/>
      <c r="D986" s="10"/>
      <c r="E986" s="10"/>
      <c r="F986" s="10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 x14ac:dyDescent="0.3">
      <c r="A987" s="10"/>
      <c r="B987" s="10"/>
      <c r="C987" s="10"/>
      <c r="D987" s="10"/>
      <c r="E987" s="10"/>
      <c r="F987" s="10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 x14ac:dyDescent="0.3">
      <c r="A988" s="10"/>
      <c r="B988" s="10"/>
      <c r="C988" s="10"/>
      <c r="D988" s="10"/>
      <c r="E988" s="10"/>
      <c r="F988" s="10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 x14ac:dyDescent="0.3">
      <c r="A989" s="10"/>
      <c r="B989" s="10"/>
      <c r="C989" s="10"/>
      <c r="D989" s="10"/>
      <c r="E989" s="10"/>
      <c r="F989" s="10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 x14ac:dyDescent="0.3">
      <c r="A990" s="10"/>
      <c r="B990" s="10"/>
      <c r="C990" s="10"/>
      <c r="D990" s="10"/>
      <c r="E990" s="10"/>
      <c r="F990" s="10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 x14ac:dyDescent="0.3">
      <c r="A991" s="10"/>
      <c r="B991" s="10"/>
      <c r="C991" s="10"/>
      <c r="D991" s="10"/>
      <c r="E991" s="10"/>
      <c r="F991" s="10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 x14ac:dyDescent="0.3">
      <c r="A992" s="10"/>
      <c r="B992" s="10"/>
      <c r="C992" s="10"/>
      <c r="D992" s="10"/>
      <c r="E992" s="10"/>
      <c r="F992" s="10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 x14ac:dyDescent="0.3">
      <c r="A993" s="10"/>
      <c r="B993" s="10"/>
      <c r="C993" s="10"/>
      <c r="D993" s="10"/>
      <c r="E993" s="10"/>
      <c r="F993" s="10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 x14ac:dyDescent="0.3">
      <c r="A994" s="10"/>
      <c r="B994" s="10"/>
      <c r="C994" s="10"/>
      <c r="D994" s="10"/>
      <c r="E994" s="10"/>
      <c r="F994" s="10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 x14ac:dyDescent="0.3">
      <c r="A995" s="10"/>
      <c r="B995" s="10"/>
      <c r="C995" s="10"/>
      <c r="D995" s="10"/>
      <c r="E995" s="10"/>
      <c r="F995" s="10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1:27" x14ac:dyDescent="0.3">
      <c r="A996" s="10"/>
      <c r="B996" s="10"/>
      <c r="C996" s="10"/>
      <c r="D996" s="10"/>
      <c r="E996" s="10"/>
      <c r="F996" s="10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1:27" x14ac:dyDescent="0.3">
      <c r="A997" s="10"/>
      <c r="B997" s="10"/>
      <c r="C997" s="10"/>
      <c r="D997" s="10"/>
      <c r="E997" s="10"/>
      <c r="F997" s="10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1:27" x14ac:dyDescent="0.3">
      <c r="A998" s="10"/>
      <c r="B998" s="10"/>
      <c r="C998" s="10"/>
      <c r="D998" s="10"/>
      <c r="E998" s="10"/>
      <c r="F998" s="10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spans="1:27" x14ac:dyDescent="0.3">
      <c r="A999" s="10"/>
      <c r="B999" s="10"/>
      <c r="C999" s="10"/>
      <c r="D999" s="10"/>
      <c r="E999" s="10"/>
      <c r="F999" s="10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spans="1:27" x14ac:dyDescent="0.3">
      <c r="A1000" s="10"/>
      <c r="B1000" s="10"/>
      <c r="C1000" s="10"/>
      <c r="D1000" s="10"/>
      <c r="E1000" s="10"/>
      <c r="F1000" s="10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spans="1:27" x14ac:dyDescent="0.3">
      <c r="A1001" s="10"/>
      <c r="B1001" s="10"/>
      <c r="C1001" s="10"/>
      <c r="D1001" s="10"/>
      <c r="E1001" s="10"/>
      <c r="F1001" s="10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 spans="1:27" x14ac:dyDescent="0.3">
      <c r="A1002" s="10"/>
      <c r="B1002" s="10"/>
      <c r="C1002" s="10"/>
      <c r="D1002" s="10"/>
      <c r="E1002" s="10"/>
      <c r="F1002" s="10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 spans="1:27" x14ac:dyDescent="0.3">
      <c r="A1003" s="10"/>
      <c r="B1003" s="10"/>
      <c r="C1003" s="10"/>
      <c r="D1003" s="10"/>
      <c r="E1003" s="10"/>
      <c r="F1003" s="10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 spans="1:27" x14ac:dyDescent="0.3">
      <c r="A1004" s="10"/>
      <c r="B1004" s="10"/>
      <c r="C1004" s="10"/>
      <c r="D1004" s="10"/>
      <c r="E1004" s="10"/>
      <c r="F1004" s="10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 spans="1:27" x14ac:dyDescent="0.3">
      <c r="A1005" s="10"/>
      <c r="B1005" s="10"/>
      <c r="C1005" s="10"/>
      <c r="D1005" s="10"/>
      <c r="E1005" s="10"/>
      <c r="F1005" s="10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 spans="1:27" x14ac:dyDescent="0.3">
      <c r="A1006" s="10"/>
      <c r="B1006" s="10"/>
      <c r="C1006" s="10"/>
      <c r="D1006" s="10"/>
      <c r="E1006" s="10"/>
      <c r="F1006" s="10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  <row r="1007" spans="1:27" x14ac:dyDescent="0.3">
      <c r="A1007" s="10"/>
      <c r="B1007" s="10"/>
      <c r="C1007" s="10"/>
      <c r="D1007" s="10"/>
      <c r="E1007" s="10"/>
      <c r="F1007" s="10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</row>
    <row r="1008" spans="1:27" x14ac:dyDescent="0.3">
      <c r="A1008" s="10"/>
      <c r="B1008" s="10"/>
      <c r="C1008" s="10"/>
      <c r="D1008" s="10"/>
      <c r="E1008" s="10"/>
      <c r="F1008" s="10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</row>
    <row r="1009" spans="1:27" x14ac:dyDescent="0.3">
      <c r="A1009" s="10"/>
      <c r="B1009" s="10"/>
      <c r="C1009" s="10"/>
      <c r="D1009" s="10"/>
      <c r="E1009" s="10"/>
      <c r="F1009" s="10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</row>
    <row r="1010" spans="1:27" x14ac:dyDescent="0.3">
      <c r="A1010" s="10"/>
      <c r="B1010" s="10"/>
      <c r="C1010" s="10"/>
      <c r="D1010" s="10"/>
      <c r="E1010" s="10"/>
      <c r="F1010" s="10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</row>
    <row r="1011" spans="1:27" x14ac:dyDescent="0.3">
      <c r="A1011" s="10"/>
      <c r="B1011" s="10"/>
      <c r="C1011" s="10"/>
      <c r="D1011" s="10"/>
      <c r="E1011" s="10"/>
      <c r="F1011" s="10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</row>
    <row r="1012" spans="1:27" x14ac:dyDescent="0.3">
      <c r="A1012" s="10"/>
      <c r="B1012" s="10"/>
      <c r="C1012" s="10"/>
      <c r="D1012" s="10"/>
      <c r="E1012" s="10"/>
      <c r="F1012" s="10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</row>
    <row r="1013" spans="1:27" x14ac:dyDescent="0.3">
      <c r="A1013" s="10"/>
      <c r="B1013" s="10"/>
      <c r="C1013" s="10"/>
      <c r="D1013" s="10"/>
      <c r="E1013" s="10"/>
      <c r="F1013" s="10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</row>
    <row r="1014" spans="1:27" x14ac:dyDescent="0.3">
      <c r="A1014" s="10"/>
      <c r="B1014" s="10"/>
      <c r="C1014" s="10"/>
      <c r="D1014" s="10"/>
      <c r="E1014" s="10"/>
      <c r="F1014" s="10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</row>
    <row r="1015" spans="1:27" x14ac:dyDescent="0.3">
      <c r="A1015" s="10"/>
      <c r="B1015" s="10"/>
      <c r="C1015" s="10"/>
      <c r="D1015" s="10"/>
      <c r="E1015" s="10"/>
      <c r="F1015" s="10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</row>
    <row r="1016" spans="1:27" x14ac:dyDescent="0.3">
      <c r="A1016" s="10"/>
      <c r="B1016" s="10"/>
      <c r="C1016" s="10"/>
      <c r="D1016" s="10"/>
      <c r="E1016" s="10"/>
      <c r="F1016" s="10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</row>
    <row r="1017" spans="1:27" x14ac:dyDescent="0.3">
      <c r="A1017" s="10"/>
      <c r="B1017" s="10"/>
      <c r="C1017" s="10"/>
      <c r="D1017" s="10"/>
      <c r="E1017" s="10"/>
      <c r="F1017" s="10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</row>
    <row r="1018" spans="1:27" x14ac:dyDescent="0.3">
      <c r="A1018" s="10"/>
      <c r="B1018" s="10"/>
      <c r="C1018" s="10"/>
      <c r="D1018" s="10"/>
      <c r="E1018" s="10"/>
      <c r="F1018" s="10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</row>
    <row r="1019" spans="1:27" x14ac:dyDescent="0.3">
      <c r="A1019" s="10"/>
      <c r="B1019" s="10"/>
      <c r="C1019" s="10"/>
      <c r="D1019" s="10"/>
      <c r="E1019" s="10"/>
      <c r="F1019" s="10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</row>
    <row r="1020" spans="1:27" x14ac:dyDescent="0.3">
      <c r="A1020" s="10"/>
      <c r="B1020" s="10"/>
      <c r="C1020" s="10"/>
      <c r="D1020" s="10"/>
      <c r="E1020" s="10"/>
      <c r="F1020" s="10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</row>
    <row r="1021" spans="1:27" x14ac:dyDescent="0.3">
      <c r="A1021" s="10"/>
      <c r="B1021" s="10"/>
      <c r="C1021" s="10"/>
      <c r="D1021" s="10"/>
      <c r="E1021" s="10"/>
      <c r="F1021" s="10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</row>
    <row r="1022" spans="1:27" x14ac:dyDescent="0.3">
      <c r="A1022" s="10"/>
      <c r="B1022" s="10"/>
      <c r="C1022" s="10"/>
      <c r="D1022" s="10"/>
      <c r="E1022" s="10"/>
      <c r="F1022" s="10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</row>
    <row r="1023" spans="1:27" x14ac:dyDescent="0.3">
      <c r="A1023" s="10"/>
      <c r="B1023" s="10"/>
      <c r="C1023" s="10"/>
      <c r="D1023" s="10"/>
      <c r="E1023" s="10"/>
      <c r="F1023" s="10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</row>
    <row r="1024" spans="1:27" x14ac:dyDescent="0.3">
      <c r="A1024" s="10"/>
      <c r="B1024" s="10"/>
      <c r="C1024" s="10"/>
      <c r="D1024" s="10"/>
      <c r="E1024" s="10"/>
      <c r="F1024" s="10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</row>
    <row r="1025" spans="1:27" x14ac:dyDescent="0.3">
      <c r="A1025" s="10"/>
      <c r="B1025" s="10"/>
      <c r="C1025" s="10"/>
      <c r="D1025" s="10"/>
      <c r="E1025" s="10"/>
      <c r="F1025" s="10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</row>
    <row r="1026" spans="1:27" x14ac:dyDescent="0.3">
      <c r="A1026" s="10"/>
      <c r="B1026" s="10"/>
      <c r="C1026" s="10"/>
      <c r="D1026" s="10"/>
      <c r="E1026" s="10"/>
      <c r="F1026" s="10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</row>
    <row r="1027" spans="1:27" x14ac:dyDescent="0.3">
      <c r="A1027" s="10"/>
      <c r="B1027" s="10"/>
      <c r="C1027" s="10"/>
      <c r="D1027" s="10"/>
      <c r="E1027" s="10"/>
      <c r="F1027" s="10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</row>
    <row r="1028" spans="1:27" x14ac:dyDescent="0.3">
      <c r="A1028" s="10"/>
      <c r="B1028" s="10"/>
      <c r="C1028" s="10"/>
      <c r="D1028" s="10"/>
      <c r="E1028" s="10"/>
      <c r="F1028" s="10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</row>
    <row r="1029" spans="1:27" x14ac:dyDescent="0.3">
      <c r="A1029" s="10"/>
      <c r="B1029" s="10"/>
      <c r="C1029" s="10"/>
      <c r="D1029" s="10"/>
      <c r="E1029" s="10"/>
      <c r="F1029" s="10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</row>
    <row r="1030" spans="1:27" x14ac:dyDescent="0.3">
      <c r="A1030" s="10"/>
      <c r="B1030" s="10"/>
      <c r="C1030" s="10"/>
      <c r="D1030" s="10"/>
      <c r="E1030" s="10"/>
      <c r="F1030" s="10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</row>
    <row r="1031" spans="1:27" x14ac:dyDescent="0.3">
      <c r="A1031" s="10"/>
      <c r="B1031" s="10"/>
      <c r="C1031" s="10"/>
      <c r="D1031" s="10"/>
      <c r="E1031" s="10"/>
      <c r="F1031" s="10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</row>
    <row r="1032" spans="1:27" x14ac:dyDescent="0.3">
      <c r="A1032" s="10"/>
      <c r="B1032" s="10"/>
      <c r="C1032" s="10"/>
      <c r="D1032" s="10"/>
      <c r="E1032" s="10"/>
      <c r="F1032" s="10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</row>
    <row r="1033" spans="1:27" x14ac:dyDescent="0.3">
      <c r="A1033" s="10"/>
      <c r="B1033" s="10"/>
      <c r="C1033" s="10"/>
      <c r="D1033" s="10"/>
      <c r="E1033" s="10"/>
      <c r="F1033" s="10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</row>
    <row r="1034" spans="1:27" x14ac:dyDescent="0.3">
      <c r="A1034" s="10"/>
      <c r="B1034" s="10"/>
      <c r="C1034" s="10"/>
      <c r="D1034" s="10"/>
      <c r="E1034" s="10"/>
      <c r="F1034" s="10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</row>
    <row r="1035" spans="1:27" x14ac:dyDescent="0.3">
      <c r="A1035" s="10"/>
      <c r="B1035" s="10"/>
      <c r="C1035" s="10"/>
      <c r="D1035" s="10"/>
      <c r="E1035" s="10"/>
      <c r="F1035" s="10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</row>
    <row r="1036" spans="1:27" x14ac:dyDescent="0.3">
      <c r="A1036" s="10"/>
      <c r="B1036" s="10"/>
      <c r="C1036" s="10"/>
      <c r="D1036" s="10"/>
      <c r="E1036" s="10"/>
      <c r="F1036" s="10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</row>
    <row r="1037" spans="1:27" x14ac:dyDescent="0.3">
      <c r="A1037" s="10"/>
      <c r="B1037" s="10"/>
      <c r="C1037" s="10"/>
      <c r="D1037" s="10"/>
      <c r="E1037" s="10"/>
      <c r="F1037" s="10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</row>
    <row r="1038" spans="1:27" x14ac:dyDescent="0.3">
      <c r="A1038" s="10"/>
      <c r="B1038" s="10"/>
      <c r="C1038" s="10"/>
      <c r="D1038" s="10"/>
      <c r="E1038" s="10"/>
      <c r="F1038" s="10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</row>
    <row r="1039" spans="1:27" x14ac:dyDescent="0.3">
      <c r="A1039" s="10"/>
      <c r="B1039" s="10"/>
      <c r="C1039" s="10"/>
      <c r="D1039" s="10"/>
      <c r="E1039" s="10"/>
      <c r="F1039" s="10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</row>
    <row r="1040" spans="1:27" x14ac:dyDescent="0.3">
      <c r="A1040" s="10"/>
      <c r="B1040" s="10"/>
      <c r="C1040" s="10"/>
      <c r="D1040" s="10"/>
      <c r="E1040" s="10"/>
      <c r="F1040" s="10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</row>
    <row r="1041" spans="1:27" x14ac:dyDescent="0.3">
      <c r="A1041" s="10"/>
      <c r="B1041" s="10"/>
      <c r="C1041" s="10"/>
      <c r="D1041" s="10"/>
      <c r="E1041" s="10"/>
      <c r="F1041" s="10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</row>
    <row r="1042" spans="1:27" x14ac:dyDescent="0.3">
      <c r="A1042" s="10"/>
      <c r="B1042" s="10"/>
      <c r="C1042" s="10"/>
      <c r="D1042" s="10"/>
      <c r="E1042" s="10"/>
      <c r="F1042" s="10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</row>
    <row r="1043" spans="1:27" x14ac:dyDescent="0.3">
      <c r="A1043" s="10"/>
      <c r="B1043" s="10"/>
      <c r="C1043" s="10"/>
      <c r="D1043" s="10"/>
      <c r="E1043" s="10"/>
      <c r="F1043" s="10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</row>
    <row r="1044" spans="1:27" x14ac:dyDescent="0.3">
      <c r="A1044" s="10"/>
      <c r="B1044" s="10"/>
      <c r="C1044" s="10"/>
      <c r="D1044" s="10"/>
      <c r="E1044" s="10"/>
      <c r="F1044" s="10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</row>
    <row r="1045" spans="1:27" x14ac:dyDescent="0.3">
      <c r="A1045" s="10"/>
      <c r="B1045" s="10"/>
      <c r="C1045" s="10"/>
      <c r="D1045" s="10"/>
      <c r="E1045" s="10"/>
      <c r="F1045" s="10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</row>
    <row r="1046" spans="1:27" x14ac:dyDescent="0.3">
      <c r="A1046" s="10"/>
      <c r="B1046" s="10"/>
      <c r="C1046" s="10"/>
      <c r="D1046" s="10"/>
      <c r="E1046" s="10"/>
      <c r="F1046" s="10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</row>
    <row r="1047" spans="1:27" x14ac:dyDescent="0.3">
      <c r="A1047" s="10"/>
      <c r="B1047" s="10"/>
      <c r="C1047" s="10"/>
      <c r="D1047" s="10"/>
      <c r="E1047" s="10"/>
      <c r="F1047" s="10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</row>
    <row r="1048" spans="1:27" x14ac:dyDescent="0.3">
      <c r="A1048" s="10"/>
      <c r="B1048" s="10"/>
      <c r="C1048" s="10"/>
      <c r="D1048" s="10"/>
      <c r="E1048" s="10"/>
      <c r="F1048" s="10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</row>
    <row r="1049" spans="1:27" x14ac:dyDescent="0.3">
      <c r="A1049" s="10"/>
      <c r="B1049" s="10"/>
      <c r="C1049" s="10"/>
      <c r="D1049" s="10"/>
      <c r="E1049" s="10"/>
      <c r="F1049" s="10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</row>
    <row r="1050" spans="1:27" x14ac:dyDescent="0.3">
      <c r="A1050" s="10"/>
      <c r="B1050" s="10"/>
      <c r="C1050" s="10"/>
      <c r="D1050" s="10"/>
      <c r="E1050" s="10"/>
      <c r="F1050" s="10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</row>
    <row r="1051" spans="1:27" x14ac:dyDescent="0.3">
      <c r="A1051" s="10"/>
      <c r="B1051" s="10"/>
      <c r="C1051" s="10"/>
      <c r="D1051" s="10"/>
      <c r="E1051" s="10"/>
      <c r="F1051" s="10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</row>
    <row r="1052" spans="1:27" x14ac:dyDescent="0.3">
      <c r="A1052" s="10"/>
      <c r="B1052" s="10"/>
      <c r="C1052" s="10"/>
      <c r="D1052" s="10"/>
      <c r="E1052" s="10"/>
      <c r="F1052" s="10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</row>
    <row r="1053" spans="1:27" x14ac:dyDescent="0.3">
      <c r="A1053" s="10"/>
      <c r="B1053" s="10"/>
      <c r="C1053" s="10"/>
      <c r="D1053" s="10"/>
      <c r="E1053" s="10"/>
      <c r="F1053" s="10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</row>
    <row r="1054" spans="1:27" x14ac:dyDescent="0.3">
      <c r="A1054" s="10"/>
      <c r="B1054" s="10"/>
      <c r="C1054" s="10"/>
      <c r="D1054" s="10"/>
      <c r="E1054" s="10"/>
      <c r="F1054" s="10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</row>
    <row r="1055" spans="1:27" x14ac:dyDescent="0.3">
      <c r="A1055" s="10"/>
      <c r="B1055" s="10"/>
      <c r="C1055" s="10"/>
      <c r="D1055" s="10"/>
      <c r="E1055" s="10"/>
      <c r="F1055" s="10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</row>
    <row r="1056" spans="1:27" x14ac:dyDescent="0.3">
      <c r="A1056" s="10"/>
      <c r="B1056" s="10"/>
      <c r="C1056" s="10"/>
      <c r="D1056" s="10"/>
      <c r="E1056" s="10"/>
      <c r="F1056" s="10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</row>
    <row r="1057" spans="1:27" x14ac:dyDescent="0.3">
      <c r="A1057" s="10"/>
      <c r="B1057" s="10"/>
      <c r="C1057" s="10"/>
      <c r="D1057" s="10"/>
      <c r="E1057" s="10"/>
      <c r="F1057" s="10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</row>
    <row r="1058" spans="1:27" x14ac:dyDescent="0.3">
      <c r="A1058" s="10"/>
      <c r="B1058" s="10"/>
      <c r="C1058" s="10"/>
      <c r="D1058" s="10"/>
      <c r="E1058" s="10"/>
      <c r="F1058" s="10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</row>
    <row r="1059" spans="1:27" x14ac:dyDescent="0.3">
      <c r="A1059" s="10"/>
      <c r="B1059" s="10"/>
      <c r="C1059" s="10"/>
      <c r="D1059" s="10"/>
      <c r="E1059" s="10"/>
      <c r="F1059" s="10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</row>
    <row r="1060" spans="1:27" x14ac:dyDescent="0.3">
      <c r="A1060" s="10"/>
      <c r="B1060" s="10"/>
      <c r="C1060" s="10"/>
      <c r="D1060" s="10"/>
      <c r="E1060" s="10"/>
      <c r="F1060" s="10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</row>
    <row r="1061" spans="1:27" x14ac:dyDescent="0.3">
      <c r="A1061" s="10"/>
      <c r="B1061" s="10"/>
      <c r="C1061" s="10"/>
      <c r="D1061" s="10"/>
      <c r="E1061" s="10"/>
      <c r="F1061" s="10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</row>
    <row r="1062" spans="1:27" x14ac:dyDescent="0.3">
      <c r="A1062" s="10"/>
      <c r="B1062" s="10"/>
      <c r="C1062" s="10"/>
      <c r="D1062" s="10"/>
      <c r="E1062" s="10"/>
      <c r="F1062" s="10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</row>
    <row r="1063" spans="1:27" x14ac:dyDescent="0.3">
      <c r="A1063" s="10"/>
      <c r="B1063" s="10"/>
      <c r="C1063" s="10"/>
      <c r="D1063" s="10"/>
      <c r="E1063" s="10"/>
      <c r="F1063" s="10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</row>
    <row r="1064" spans="1:27" x14ac:dyDescent="0.3">
      <c r="A1064" s="10"/>
      <c r="B1064" s="10"/>
      <c r="C1064" s="10"/>
      <c r="D1064" s="10"/>
      <c r="E1064" s="10"/>
      <c r="F1064" s="10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</row>
    <row r="1065" spans="1:27" x14ac:dyDescent="0.3">
      <c r="A1065" s="10"/>
      <c r="B1065" s="10"/>
      <c r="C1065" s="10"/>
      <c r="D1065" s="10"/>
      <c r="E1065" s="10"/>
      <c r="F1065" s="10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</row>
    <row r="1066" spans="1:27" x14ac:dyDescent="0.3">
      <c r="A1066" s="10"/>
      <c r="B1066" s="10"/>
      <c r="C1066" s="10"/>
      <c r="D1066" s="10"/>
      <c r="E1066" s="10"/>
      <c r="F1066" s="10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</row>
    <row r="1067" spans="1:27" x14ac:dyDescent="0.3">
      <c r="A1067" s="10"/>
      <c r="B1067" s="10"/>
      <c r="C1067" s="10"/>
      <c r="D1067" s="10"/>
      <c r="E1067" s="10"/>
      <c r="F1067" s="10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</row>
    <row r="1068" spans="1:27" x14ac:dyDescent="0.3">
      <c r="A1068" s="10"/>
      <c r="B1068" s="10"/>
      <c r="C1068" s="10"/>
      <c r="D1068" s="10"/>
      <c r="E1068" s="10"/>
      <c r="F1068" s="10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</row>
    <row r="1069" spans="1:27" x14ac:dyDescent="0.3">
      <c r="A1069" s="10"/>
      <c r="B1069" s="10"/>
      <c r="C1069" s="10"/>
      <c r="D1069" s="10"/>
      <c r="E1069" s="10"/>
      <c r="F1069" s="10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</row>
    <row r="1070" spans="1:27" x14ac:dyDescent="0.3">
      <c r="A1070" s="10"/>
      <c r="B1070" s="10"/>
      <c r="C1070" s="10"/>
      <c r="D1070" s="10"/>
      <c r="E1070" s="10"/>
      <c r="F1070" s="10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</row>
    <row r="1071" spans="1:27" x14ac:dyDescent="0.3">
      <c r="A1071" s="10"/>
      <c r="B1071" s="10"/>
      <c r="C1071" s="10"/>
      <c r="D1071" s="10"/>
      <c r="E1071" s="10"/>
      <c r="F1071" s="10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</row>
    <row r="1072" spans="1:27" x14ac:dyDescent="0.3">
      <c r="A1072" s="10"/>
      <c r="B1072" s="10"/>
      <c r="C1072" s="10"/>
      <c r="D1072" s="10"/>
      <c r="E1072" s="10"/>
      <c r="F1072" s="10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</row>
    <row r="1073" spans="1:27" x14ac:dyDescent="0.3">
      <c r="A1073" s="10"/>
      <c r="B1073" s="10"/>
      <c r="C1073" s="10"/>
      <c r="D1073" s="10"/>
      <c r="E1073" s="10"/>
      <c r="F1073" s="10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</row>
    <row r="1074" spans="1:27" x14ac:dyDescent="0.3">
      <c r="A1074" s="10"/>
      <c r="B1074" s="10"/>
      <c r="C1074" s="10"/>
      <c r="D1074" s="10"/>
      <c r="E1074" s="10"/>
      <c r="F1074" s="10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</row>
    <row r="1075" spans="1:27" x14ac:dyDescent="0.3">
      <c r="A1075" s="10"/>
      <c r="B1075" s="10"/>
      <c r="C1075" s="10"/>
      <c r="D1075" s="10"/>
      <c r="E1075" s="10"/>
      <c r="F1075" s="10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</row>
    <row r="1076" spans="1:27" x14ac:dyDescent="0.3">
      <c r="A1076" s="10"/>
      <c r="B1076" s="10"/>
      <c r="C1076" s="10"/>
      <c r="D1076" s="10"/>
      <c r="E1076" s="10"/>
      <c r="F1076" s="10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</row>
    <row r="1077" spans="1:27" x14ac:dyDescent="0.3">
      <c r="A1077" s="10"/>
      <c r="B1077" s="10"/>
      <c r="C1077" s="10"/>
      <c r="D1077" s="10"/>
      <c r="E1077" s="10"/>
      <c r="F1077" s="10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</row>
    <row r="1078" spans="1:27" x14ac:dyDescent="0.3">
      <c r="A1078" s="10"/>
      <c r="B1078" s="10"/>
      <c r="C1078" s="10"/>
      <c r="D1078" s="10"/>
      <c r="E1078" s="10"/>
      <c r="F1078" s="10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</row>
    <row r="1079" spans="1:27" x14ac:dyDescent="0.3">
      <c r="A1079" s="10"/>
      <c r="B1079" s="10"/>
      <c r="C1079" s="10"/>
      <c r="D1079" s="10"/>
      <c r="E1079" s="10"/>
      <c r="F1079" s="10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</row>
    <row r="1080" spans="1:27" x14ac:dyDescent="0.3">
      <c r="A1080" s="10"/>
      <c r="B1080" s="10"/>
      <c r="C1080" s="10"/>
      <c r="D1080" s="10"/>
      <c r="E1080" s="10"/>
      <c r="F1080" s="10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</row>
    <row r="1081" spans="1:27" x14ac:dyDescent="0.3">
      <c r="A1081" s="10"/>
      <c r="B1081" s="10"/>
      <c r="C1081" s="10"/>
      <c r="D1081" s="10"/>
      <c r="E1081" s="10"/>
      <c r="F1081" s="10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</row>
    <row r="1082" spans="1:27" x14ac:dyDescent="0.3">
      <c r="A1082" s="10"/>
      <c r="B1082" s="10"/>
      <c r="C1082" s="10"/>
      <c r="D1082" s="10"/>
      <c r="E1082" s="10"/>
      <c r="F1082" s="10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</row>
    <row r="1083" spans="1:27" x14ac:dyDescent="0.3">
      <c r="A1083" s="10"/>
      <c r="B1083" s="10"/>
      <c r="C1083" s="10"/>
      <c r="D1083" s="10"/>
      <c r="E1083" s="10"/>
      <c r="F1083" s="10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</row>
    <row r="1084" spans="1:27" x14ac:dyDescent="0.3">
      <c r="A1084" s="10"/>
      <c r="B1084" s="10"/>
      <c r="C1084" s="10"/>
      <c r="D1084" s="10"/>
      <c r="E1084" s="10"/>
      <c r="F1084" s="10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</row>
    <row r="1085" spans="1:27" x14ac:dyDescent="0.3">
      <c r="A1085" s="10"/>
      <c r="B1085" s="10"/>
      <c r="C1085" s="10"/>
      <c r="D1085" s="10"/>
      <c r="E1085" s="10"/>
      <c r="F1085" s="10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</row>
    <row r="1086" spans="1:27" x14ac:dyDescent="0.3">
      <c r="A1086" s="10"/>
      <c r="B1086" s="10"/>
      <c r="C1086" s="10"/>
      <c r="D1086" s="10"/>
      <c r="E1086" s="10"/>
      <c r="F1086" s="10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</row>
    <row r="1087" spans="1:27" x14ac:dyDescent="0.3">
      <c r="A1087" s="10"/>
      <c r="B1087" s="10"/>
      <c r="C1087" s="10"/>
      <c r="D1087" s="10"/>
      <c r="E1087" s="10"/>
      <c r="F1087" s="10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</row>
    <row r="1088" spans="1:27" x14ac:dyDescent="0.3">
      <c r="A1088" s="10"/>
      <c r="B1088" s="10"/>
      <c r="C1088" s="10"/>
      <c r="D1088" s="10"/>
      <c r="E1088" s="10"/>
      <c r="F1088" s="10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</row>
    <row r="1089" spans="1:27" x14ac:dyDescent="0.3">
      <c r="A1089" s="10"/>
      <c r="B1089" s="10"/>
      <c r="C1089" s="10"/>
      <c r="D1089" s="10"/>
      <c r="E1089" s="10"/>
      <c r="F1089" s="10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</row>
    <row r="1090" spans="1:27" x14ac:dyDescent="0.3">
      <c r="A1090" s="10"/>
      <c r="B1090" s="10"/>
      <c r="C1090" s="10"/>
      <c r="D1090" s="10"/>
      <c r="E1090" s="10"/>
      <c r="F1090" s="10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</row>
    <row r="1091" spans="1:27" x14ac:dyDescent="0.3">
      <c r="A1091" s="10"/>
      <c r="B1091" s="10"/>
      <c r="C1091" s="10"/>
      <c r="D1091" s="10"/>
      <c r="E1091" s="10"/>
      <c r="F1091" s="10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</row>
    <row r="1092" spans="1:27" x14ac:dyDescent="0.3">
      <c r="A1092" s="10"/>
      <c r="B1092" s="10"/>
      <c r="C1092" s="10"/>
      <c r="D1092" s="10"/>
      <c r="E1092" s="10"/>
      <c r="F1092" s="10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</row>
    <row r="1093" spans="1:27" x14ac:dyDescent="0.3">
      <c r="A1093" s="10"/>
      <c r="B1093" s="10"/>
      <c r="C1093" s="10"/>
      <c r="D1093" s="10"/>
      <c r="E1093" s="10"/>
      <c r="F1093" s="10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</row>
    <row r="1094" spans="1:27" x14ac:dyDescent="0.3">
      <c r="A1094" s="10"/>
      <c r="B1094" s="10"/>
      <c r="C1094" s="10"/>
      <c r="D1094" s="10"/>
      <c r="E1094" s="10"/>
      <c r="F1094" s="10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</row>
    <row r="1095" spans="1:27" x14ac:dyDescent="0.3">
      <c r="A1095" s="10"/>
      <c r="B1095" s="10"/>
      <c r="C1095" s="10"/>
      <c r="D1095" s="10"/>
      <c r="E1095" s="10"/>
      <c r="F1095" s="10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</row>
    <row r="1096" spans="1:27" x14ac:dyDescent="0.3">
      <c r="A1096" s="10"/>
      <c r="B1096" s="10"/>
      <c r="C1096" s="10"/>
      <c r="D1096" s="10"/>
      <c r="E1096" s="10"/>
      <c r="F1096" s="10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</row>
    <row r="1097" spans="1:27" x14ac:dyDescent="0.3">
      <c r="A1097" s="10"/>
      <c r="B1097" s="10"/>
      <c r="C1097" s="10"/>
      <c r="D1097" s="10"/>
      <c r="E1097" s="10"/>
      <c r="F1097" s="10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</row>
    <row r="1098" spans="1:27" x14ac:dyDescent="0.3">
      <c r="A1098" s="10"/>
      <c r="B1098" s="10"/>
      <c r="C1098" s="10"/>
      <c r="D1098" s="10"/>
      <c r="E1098" s="10"/>
      <c r="F1098" s="10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</row>
    <row r="1099" spans="1:27" x14ac:dyDescent="0.3">
      <c r="A1099" s="10"/>
      <c r="B1099" s="10"/>
      <c r="C1099" s="10"/>
      <c r="D1099" s="10"/>
      <c r="E1099" s="10"/>
      <c r="F1099" s="10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</row>
    <row r="1100" spans="1:27" x14ac:dyDescent="0.3">
      <c r="A1100" s="10"/>
      <c r="B1100" s="10"/>
      <c r="C1100" s="10"/>
      <c r="D1100" s="10"/>
      <c r="E1100" s="10"/>
      <c r="F1100" s="10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</row>
    <row r="1101" spans="1:27" x14ac:dyDescent="0.3">
      <c r="A1101" s="10"/>
      <c r="B1101" s="10"/>
      <c r="C1101" s="10"/>
      <c r="D1101" s="10"/>
      <c r="E1101" s="10"/>
      <c r="F1101" s="10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</row>
    <row r="1102" spans="1:27" x14ac:dyDescent="0.3">
      <c r="A1102" s="10"/>
      <c r="B1102" s="10"/>
      <c r="C1102" s="10"/>
      <c r="D1102" s="10"/>
      <c r="E1102" s="10"/>
      <c r="F1102" s="10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</row>
    <row r="1103" spans="1:27" x14ac:dyDescent="0.3">
      <c r="A1103" s="10"/>
      <c r="B1103" s="10"/>
      <c r="C1103" s="10"/>
      <c r="D1103" s="10"/>
      <c r="E1103" s="10"/>
      <c r="F1103" s="10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</row>
    <row r="1104" spans="1:27" x14ac:dyDescent="0.3">
      <c r="A1104" s="10"/>
      <c r="B1104" s="10"/>
      <c r="C1104" s="10"/>
      <c r="D1104" s="10"/>
      <c r="E1104" s="10"/>
      <c r="F1104" s="10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</row>
    <row r="1105" spans="1:27" x14ac:dyDescent="0.3">
      <c r="A1105" s="10"/>
      <c r="B1105" s="10"/>
      <c r="C1105" s="10"/>
      <c r="D1105" s="10"/>
      <c r="E1105" s="10"/>
      <c r="F1105" s="10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</row>
    <row r="1106" spans="1:27" x14ac:dyDescent="0.3">
      <c r="A1106" s="10"/>
      <c r="B1106" s="10"/>
      <c r="C1106" s="10"/>
      <c r="D1106" s="10"/>
      <c r="E1106" s="10"/>
      <c r="F1106" s="10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</row>
    <row r="1107" spans="1:27" x14ac:dyDescent="0.3">
      <c r="A1107" s="10"/>
      <c r="B1107" s="10"/>
      <c r="C1107" s="10"/>
      <c r="D1107" s="10"/>
      <c r="E1107" s="10"/>
      <c r="F1107" s="10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</row>
    <row r="1108" spans="1:27" x14ac:dyDescent="0.3">
      <c r="A1108" s="10"/>
      <c r="B1108" s="10"/>
      <c r="C1108" s="10"/>
      <c r="D1108" s="10"/>
      <c r="E1108" s="10"/>
      <c r="F1108" s="10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</row>
    <row r="1109" spans="1:27" x14ac:dyDescent="0.3">
      <c r="A1109" s="10"/>
      <c r="B1109" s="10"/>
      <c r="C1109" s="10"/>
      <c r="D1109" s="10"/>
      <c r="E1109" s="10"/>
      <c r="F1109" s="10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</row>
    <row r="1110" spans="1:27" x14ac:dyDescent="0.3">
      <c r="A1110" s="10"/>
      <c r="B1110" s="10"/>
      <c r="C1110" s="10"/>
      <c r="D1110" s="10"/>
      <c r="E1110" s="10"/>
      <c r="F1110" s="10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</row>
    <row r="1111" spans="1:27" x14ac:dyDescent="0.3">
      <c r="A1111" s="10"/>
      <c r="B1111" s="10"/>
      <c r="C1111" s="10"/>
      <c r="D1111" s="10"/>
      <c r="E1111" s="10"/>
      <c r="F1111" s="10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</row>
    <row r="1112" spans="1:27" x14ac:dyDescent="0.3">
      <c r="A1112" s="10"/>
      <c r="B1112" s="10"/>
      <c r="C1112" s="10"/>
      <c r="D1112" s="10"/>
      <c r="E1112" s="10"/>
      <c r="F1112" s="10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</row>
    <row r="1113" spans="1:27" x14ac:dyDescent="0.3">
      <c r="A1113" s="10"/>
      <c r="B1113" s="10"/>
      <c r="C1113" s="10"/>
      <c r="D1113" s="10"/>
      <c r="E1113" s="10"/>
      <c r="F1113" s="10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</row>
    <row r="1114" spans="1:27" x14ac:dyDescent="0.3">
      <c r="A1114" s="10"/>
      <c r="B1114" s="10"/>
      <c r="C1114" s="10"/>
      <c r="D1114" s="10"/>
      <c r="E1114" s="10"/>
      <c r="F1114" s="10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</row>
    <row r="1115" spans="1:27" x14ac:dyDescent="0.3">
      <c r="A1115" s="10"/>
      <c r="B1115" s="10"/>
      <c r="C1115" s="10"/>
      <c r="D1115" s="10"/>
      <c r="E1115" s="10"/>
      <c r="F1115" s="10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</row>
    <row r="1116" spans="1:27" x14ac:dyDescent="0.3">
      <c r="A1116" s="10"/>
      <c r="B1116" s="10"/>
      <c r="C1116" s="10"/>
      <c r="D1116" s="10"/>
      <c r="E1116" s="10"/>
      <c r="F1116" s="10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</row>
    <row r="1117" spans="1:27" x14ac:dyDescent="0.3">
      <c r="A1117" s="10"/>
      <c r="B1117" s="10"/>
      <c r="C1117" s="10"/>
      <c r="D1117" s="10"/>
      <c r="E1117" s="10"/>
      <c r="F1117" s="10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</row>
    <row r="1118" spans="1:27" x14ac:dyDescent="0.3">
      <c r="A1118" s="10"/>
      <c r="B1118" s="10"/>
      <c r="C1118" s="10"/>
      <c r="D1118" s="10"/>
      <c r="E1118" s="10"/>
      <c r="F1118" s="10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</row>
    <row r="1119" spans="1:27" x14ac:dyDescent="0.3">
      <c r="A1119" s="10"/>
      <c r="B1119" s="10"/>
      <c r="C1119" s="10"/>
      <c r="D1119" s="10"/>
      <c r="E1119" s="10"/>
      <c r="F1119" s="10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</row>
    <row r="1120" spans="1:27" x14ac:dyDescent="0.3">
      <c r="A1120" s="10"/>
      <c r="B1120" s="10"/>
      <c r="C1120" s="10"/>
      <c r="D1120" s="10"/>
      <c r="E1120" s="10"/>
      <c r="F1120" s="10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</row>
    <row r="1121" spans="1:27" x14ac:dyDescent="0.3">
      <c r="A1121" s="10"/>
      <c r="B1121" s="10"/>
      <c r="C1121" s="10"/>
      <c r="D1121" s="10"/>
      <c r="E1121" s="10"/>
      <c r="F1121" s="10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</row>
    <row r="1122" spans="1:27" x14ac:dyDescent="0.3">
      <c r="A1122" s="10"/>
      <c r="B1122" s="10"/>
      <c r="C1122" s="10"/>
      <c r="D1122" s="10"/>
      <c r="E1122" s="10"/>
      <c r="F1122" s="10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</row>
    <row r="1123" spans="1:27" x14ac:dyDescent="0.3">
      <c r="A1123" s="10"/>
      <c r="B1123" s="10"/>
      <c r="C1123" s="10"/>
      <c r="D1123" s="10"/>
      <c r="E1123" s="10"/>
      <c r="F1123" s="10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</row>
    <row r="1124" spans="1:27" x14ac:dyDescent="0.3">
      <c r="A1124" s="10"/>
      <c r="B1124" s="10"/>
      <c r="C1124" s="10"/>
      <c r="D1124" s="10"/>
      <c r="E1124" s="10"/>
      <c r="F1124" s="10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</row>
    <row r="1125" spans="1:27" x14ac:dyDescent="0.3">
      <c r="A1125" s="10"/>
      <c r="B1125" s="10"/>
      <c r="C1125" s="10"/>
      <c r="D1125" s="10"/>
      <c r="E1125" s="10"/>
      <c r="F1125" s="10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</row>
    <row r="1126" spans="1:27" x14ac:dyDescent="0.3">
      <c r="A1126" s="10"/>
      <c r="B1126" s="10"/>
      <c r="C1126" s="10"/>
      <c r="D1126" s="10"/>
      <c r="E1126" s="10"/>
      <c r="F1126" s="10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</row>
    <row r="1127" spans="1:27" x14ac:dyDescent="0.3">
      <c r="A1127" s="10"/>
      <c r="B1127" s="10"/>
      <c r="C1127" s="10"/>
      <c r="D1127" s="10"/>
      <c r="E1127" s="10"/>
      <c r="F1127" s="10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</row>
    <row r="1128" spans="1:27" x14ac:dyDescent="0.3">
      <c r="A1128" s="10"/>
      <c r="B1128" s="10"/>
      <c r="C1128" s="10"/>
      <c r="D1128" s="10"/>
      <c r="E1128" s="10"/>
      <c r="F1128" s="10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</row>
    <row r="1129" spans="1:27" x14ac:dyDescent="0.3">
      <c r="A1129" s="10"/>
      <c r="B1129" s="10"/>
      <c r="C1129" s="10"/>
      <c r="D1129" s="10"/>
      <c r="E1129" s="10"/>
      <c r="F1129" s="10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</row>
    <row r="1130" spans="1:27" x14ac:dyDescent="0.3">
      <c r="A1130" s="10"/>
      <c r="B1130" s="10"/>
      <c r="C1130" s="10"/>
      <c r="D1130" s="10"/>
      <c r="E1130" s="10"/>
      <c r="F1130" s="10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</row>
    <row r="1131" spans="1:27" x14ac:dyDescent="0.3">
      <c r="A1131" s="10"/>
      <c r="B1131" s="10"/>
      <c r="C1131" s="10"/>
      <c r="D1131" s="10"/>
      <c r="E1131" s="10"/>
      <c r="F1131" s="10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</row>
    <row r="1132" spans="1:27" x14ac:dyDescent="0.3">
      <c r="A1132" s="10"/>
      <c r="B1132" s="10"/>
      <c r="C1132" s="10"/>
      <c r="D1132" s="10"/>
      <c r="E1132" s="10"/>
      <c r="F1132" s="10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</row>
    <row r="1133" spans="1:27" x14ac:dyDescent="0.3">
      <c r="A1133" s="10"/>
      <c r="B1133" s="10"/>
      <c r="C1133" s="10"/>
      <c r="D1133" s="10"/>
      <c r="E1133" s="10"/>
      <c r="F1133" s="10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</row>
    <row r="1134" spans="1:27" x14ac:dyDescent="0.3">
      <c r="A1134" s="10"/>
      <c r="B1134" s="10"/>
      <c r="C1134" s="10"/>
      <c r="D1134" s="10"/>
      <c r="E1134" s="10"/>
      <c r="F1134" s="10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</row>
    <row r="1135" spans="1:27" x14ac:dyDescent="0.3">
      <c r="A1135" s="10"/>
      <c r="B1135" s="10"/>
      <c r="C1135" s="10"/>
      <c r="D1135" s="10"/>
      <c r="E1135" s="10"/>
      <c r="F1135" s="10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</row>
    <row r="1136" spans="1:27" x14ac:dyDescent="0.3">
      <c r="A1136" s="10"/>
      <c r="B1136" s="10"/>
      <c r="C1136" s="10"/>
      <c r="D1136" s="10"/>
      <c r="E1136" s="10"/>
      <c r="F1136" s="10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</row>
    <row r="1137" spans="1:27" x14ac:dyDescent="0.3">
      <c r="A1137" s="10"/>
      <c r="B1137" s="10"/>
      <c r="C1137" s="10"/>
      <c r="D1137" s="10"/>
      <c r="E1137" s="10"/>
      <c r="F1137" s="10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</row>
    <row r="1138" spans="1:27" x14ac:dyDescent="0.3">
      <c r="A1138" s="10"/>
      <c r="B1138" s="10"/>
      <c r="C1138" s="10"/>
      <c r="D1138" s="10"/>
      <c r="E1138" s="10"/>
      <c r="F1138" s="10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</row>
    <row r="1139" spans="1:27" x14ac:dyDescent="0.3">
      <c r="A1139" s="10"/>
      <c r="B1139" s="10"/>
      <c r="C1139" s="10"/>
      <c r="D1139" s="10"/>
      <c r="E1139" s="10"/>
      <c r="F1139" s="10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</row>
    <row r="1140" spans="1:27" x14ac:dyDescent="0.3">
      <c r="A1140" s="10"/>
      <c r="B1140" s="10"/>
      <c r="C1140" s="10"/>
      <c r="D1140" s="10"/>
      <c r="E1140" s="10"/>
      <c r="F1140" s="10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</row>
    <row r="1141" spans="1:27" x14ac:dyDescent="0.3">
      <c r="A1141" s="10"/>
      <c r="B1141" s="10"/>
      <c r="C1141" s="10"/>
      <c r="D1141" s="10"/>
      <c r="E1141" s="10"/>
      <c r="F1141" s="10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</row>
    <row r="1142" spans="1:27" x14ac:dyDescent="0.3">
      <c r="A1142" s="10"/>
      <c r="B1142" s="10"/>
      <c r="C1142" s="10"/>
      <c r="D1142" s="10"/>
      <c r="E1142" s="10"/>
      <c r="F1142" s="10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</row>
    <row r="1143" spans="1:27" x14ac:dyDescent="0.3">
      <c r="A1143" s="10"/>
      <c r="B1143" s="10"/>
      <c r="C1143" s="10"/>
      <c r="D1143" s="10"/>
      <c r="E1143" s="10"/>
      <c r="F1143" s="10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</row>
    <row r="1144" spans="1:27" x14ac:dyDescent="0.3">
      <c r="A1144" s="10"/>
      <c r="B1144" s="10"/>
      <c r="C1144" s="10"/>
      <c r="D1144" s="10"/>
      <c r="E1144" s="10"/>
      <c r="F1144" s="10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</row>
    <row r="1145" spans="1:27" x14ac:dyDescent="0.3">
      <c r="A1145" s="10"/>
      <c r="B1145" s="10"/>
      <c r="C1145" s="10"/>
      <c r="D1145" s="10"/>
      <c r="E1145" s="10"/>
      <c r="F1145" s="10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</row>
    <row r="1146" spans="1:27" x14ac:dyDescent="0.3">
      <c r="A1146" s="10"/>
      <c r="B1146" s="10"/>
      <c r="C1146" s="10"/>
      <c r="D1146" s="10"/>
      <c r="E1146" s="10"/>
      <c r="F1146" s="10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</row>
    <row r="1147" spans="1:27" x14ac:dyDescent="0.3">
      <c r="A1147" s="10"/>
      <c r="B1147" s="10"/>
      <c r="C1147" s="10"/>
      <c r="D1147" s="10"/>
      <c r="E1147" s="10"/>
      <c r="F1147" s="10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</row>
    <row r="1148" spans="1:27" x14ac:dyDescent="0.3">
      <c r="A1148" s="10"/>
      <c r="B1148" s="10"/>
      <c r="C1148" s="10"/>
      <c r="D1148" s="10"/>
      <c r="E1148" s="10"/>
      <c r="F1148" s="10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</row>
    <row r="1149" spans="1:27" x14ac:dyDescent="0.3">
      <c r="A1149" s="10"/>
      <c r="B1149" s="10"/>
      <c r="C1149" s="10"/>
      <c r="D1149" s="10"/>
      <c r="E1149" s="10"/>
      <c r="F1149" s="10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</row>
    <row r="1150" spans="1:27" x14ac:dyDescent="0.3">
      <c r="A1150" s="10"/>
      <c r="B1150" s="10"/>
      <c r="C1150" s="10"/>
      <c r="D1150" s="10"/>
      <c r="E1150" s="10"/>
      <c r="F1150" s="10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</row>
    <row r="1151" spans="1:27" x14ac:dyDescent="0.3">
      <c r="A1151" s="10"/>
      <c r="B1151" s="10"/>
      <c r="C1151" s="10"/>
      <c r="D1151" s="10"/>
      <c r="E1151" s="10"/>
      <c r="F1151" s="10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</row>
    <row r="1152" spans="1:27" x14ac:dyDescent="0.3">
      <c r="A1152" s="10"/>
      <c r="B1152" s="10"/>
      <c r="C1152" s="10"/>
      <c r="D1152" s="10"/>
      <c r="E1152" s="10"/>
      <c r="F1152" s="10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</row>
    <row r="1153" spans="1:27" x14ac:dyDescent="0.3">
      <c r="A1153" s="10"/>
      <c r="B1153" s="10"/>
      <c r="C1153" s="10"/>
      <c r="D1153" s="10"/>
      <c r="E1153" s="10"/>
      <c r="F1153" s="10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</row>
    <row r="1154" spans="1:27" x14ac:dyDescent="0.3">
      <c r="A1154" s="10"/>
      <c r="B1154" s="10"/>
      <c r="C1154" s="10"/>
      <c r="D1154" s="10"/>
      <c r="E1154" s="10"/>
      <c r="F1154" s="10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</row>
    <row r="1155" spans="1:27" x14ac:dyDescent="0.3">
      <c r="A1155" s="10"/>
      <c r="B1155" s="10"/>
      <c r="C1155" s="10"/>
      <c r="D1155" s="10"/>
      <c r="E1155" s="10"/>
      <c r="F1155" s="10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</row>
    <row r="1156" spans="1:27" x14ac:dyDescent="0.3">
      <c r="A1156" s="10"/>
      <c r="B1156" s="10"/>
      <c r="C1156" s="10"/>
      <c r="D1156" s="10"/>
      <c r="E1156" s="10"/>
      <c r="F1156" s="10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</row>
    <row r="1157" spans="1:27" x14ac:dyDescent="0.3">
      <c r="A1157" s="10"/>
      <c r="B1157" s="10"/>
      <c r="C1157" s="10"/>
      <c r="D1157" s="10"/>
      <c r="E1157" s="10"/>
      <c r="F1157" s="10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</row>
    <row r="1158" spans="1:27" x14ac:dyDescent="0.3">
      <c r="A1158" s="10"/>
      <c r="B1158" s="10"/>
      <c r="C1158" s="10"/>
      <c r="D1158" s="10"/>
      <c r="E1158" s="10"/>
      <c r="F1158" s="10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</row>
    <row r="1159" spans="1:27" x14ac:dyDescent="0.3">
      <c r="A1159" s="10"/>
      <c r="B1159" s="10"/>
      <c r="C1159" s="10"/>
      <c r="D1159" s="10"/>
      <c r="E1159" s="10"/>
      <c r="F1159" s="10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</row>
    <row r="1160" spans="1:27" x14ac:dyDescent="0.3">
      <c r="A1160" s="10"/>
      <c r="B1160" s="10"/>
      <c r="C1160" s="10"/>
      <c r="D1160" s="10"/>
      <c r="E1160" s="10"/>
      <c r="F1160" s="10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</row>
    <row r="1161" spans="1:27" x14ac:dyDescent="0.3">
      <c r="A1161" s="10"/>
      <c r="B1161" s="10"/>
      <c r="C1161" s="10"/>
      <c r="D1161" s="10"/>
      <c r="E1161" s="10"/>
      <c r="F1161" s="10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</row>
    <row r="1162" spans="1:27" x14ac:dyDescent="0.3">
      <c r="A1162" s="10"/>
      <c r="B1162" s="10"/>
      <c r="C1162" s="10"/>
      <c r="D1162" s="10"/>
      <c r="E1162" s="10"/>
      <c r="F1162" s="10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</row>
    <row r="1163" spans="1:27" x14ac:dyDescent="0.3">
      <c r="A1163" s="10"/>
      <c r="B1163" s="10"/>
      <c r="C1163" s="10"/>
      <c r="D1163" s="10"/>
      <c r="E1163" s="10"/>
      <c r="F1163" s="10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</row>
    <row r="1164" spans="1:27" x14ac:dyDescent="0.3">
      <c r="A1164" s="10"/>
      <c r="B1164" s="10"/>
      <c r="C1164" s="10"/>
      <c r="D1164" s="10"/>
      <c r="E1164" s="10"/>
      <c r="F1164" s="10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</row>
    <row r="1165" spans="1:27" x14ac:dyDescent="0.3">
      <c r="A1165" s="10"/>
      <c r="B1165" s="10"/>
      <c r="C1165" s="10"/>
      <c r="D1165" s="10"/>
      <c r="E1165" s="10"/>
      <c r="F1165" s="10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</row>
    <row r="1166" spans="1:27" x14ac:dyDescent="0.3">
      <c r="A1166" s="10"/>
      <c r="B1166" s="10"/>
      <c r="C1166" s="10"/>
      <c r="D1166" s="10"/>
      <c r="E1166" s="10"/>
      <c r="F1166" s="10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</row>
    <row r="1167" spans="1:27" x14ac:dyDescent="0.3">
      <c r="A1167" s="10"/>
      <c r="B1167" s="10"/>
      <c r="C1167" s="10"/>
      <c r="D1167" s="10"/>
      <c r="E1167" s="10"/>
      <c r="F1167" s="10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</row>
    <row r="1168" spans="1:27" x14ac:dyDescent="0.3">
      <c r="A1168" s="10"/>
      <c r="B1168" s="10"/>
      <c r="C1168" s="10"/>
      <c r="D1168" s="10"/>
      <c r="E1168" s="10"/>
      <c r="F1168" s="10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</row>
    <row r="1169" spans="1:27" x14ac:dyDescent="0.3">
      <c r="A1169" s="10"/>
      <c r="B1169" s="10"/>
      <c r="C1169" s="10"/>
      <c r="D1169" s="10"/>
      <c r="E1169" s="10"/>
      <c r="F1169" s="10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</row>
    <row r="1170" spans="1:27" x14ac:dyDescent="0.3">
      <c r="A1170" s="10"/>
      <c r="B1170" s="10"/>
      <c r="C1170" s="10"/>
      <c r="D1170" s="10"/>
      <c r="E1170" s="10"/>
      <c r="F1170" s="10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</row>
    <row r="1171" spans="1:27" x14ac:dyDescent="0.3">
      <c r="A1171" s="10"/>
      <c r="B1171" s="10"/>
      <c r="C1171" s="10"/>
      <c r="D1171" s="10"/>
      <c r="E1171" s="10"/>
      <c r="F1171" s="10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</row>
    <row r="1172" spans="1:27" x14ac:dyDescent="0.3">
      <c r="A1172" s="10"/>
      <c r="B1172" s="10"/>
      <c r="C1172" s="10"/>
      <c r="D1172" s="10"/>
      <c r="E1172" s="10"/>
      <c r="F1172" s="10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</row>
    <row r="1173" spans="1:27" x14ac:dyDescent="0.3">
      <c r="A1173" s="10"/>
      <c r="B1173" s="10"/>
      <c r="C1173" s="10"/>
      <c r="D1173" s="10"/>
      <c r="E1173" s="10"/>
      <c r="F1173" s="10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</row>
    <row r="1174" spans="1:27" x14ac:dyDescent="0.3">
      <c r="A1174" s="10"/>
      <c r="B1174" s="10"/>
      <c r="C1174" s="10"/>
      <c r="D1174" s="10"/>
      <c r="E1174" s="10"/>
      <c r="F1174" s="10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</row>
    <row r="1175" spans="1:27" x14ac:dyDescent="0.3">
      <c r="A1175" s="10"/>
      <c r="B1175" s="10"/>
      <c r="C1175" s="10"/>
      <c r="D1175" s="10"/>
      <c r="E1175" s="10"/>
      <c r="F1175" s="10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</row>
    <row r="1176" spans="1:27" x14ac:dyDescent="0.3">
      <c r="A1176" s="10"/>
      <c r="B1176" s="10"/>
      <c r="C1176" s="10"/>
      <c r="D1176" s="10"/>
      <c r="E1176" s="10"/>
      <c r="F1176" s="10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</row>
    <row r="1177" spans="1:27" x14ac:dyDescent="0.3">
      <c r="A1177" s="10"/>
      <c r="B1177" s="10"/>
      <c r="C1177" s="10"/>
      <c r="D1177" s="10"/>
      <c r="E1177" s="10"/>
      <c r="F1177" s="10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</row>
    <row r="1178" spans="1:27" x14ac:dyDescent="0.3">
      <c r="A1178" s="10"/>
      <c r="B1178" s="10"/>
      <c r="C1178" s="10"/>
      <c r="D1178" s="10"/>
      <c r="E1178" s="10"/>
      <c r="F1178" s="10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</row>
    <row r="1179" spans="1:27" x14ac:dyDescent="0.3">
      <c r="A1179" s="10"/>
      <c r="B1179" s="10"/>
      <c r="C1179" s="10"/>
      <c r="D1179" s="10"/>
      <c r="E1179" s="10"/>
      <c r="F1179" s="10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</row>
    <row r="1180" spans="1:27" x14ac:dyDescent="0.3">
      <c r="A1180" s="10"/>
      <c r="B1180" s="10"/>
      <c r="C1180" s="10"/>
      <c r="D1180" s="10"/>
      <c r="E1180" s="10"/>
      <c r="F1180" s="10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</row>
    <row r="1181" spans="1:27" x14ac:dyDescent="0.3">
      <c r="A1181" s="10"/>
      <c r="B1181" s="10"/>
      <c r="C1181" s="10"/>
      <c r="D1181" s="10"/>
      <c r="E1181" s="10"/>
      <c r="F1181" s="10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</row>
    <row r="1182" spans="1:27" x14ac:dyDescent="0.3">
      <c r="A1182" s="10"/>
      <c r="B1182" s="10"/>
      <c r="C1182" s="10"/>
      <c r="D1182" s="10"/>
      <c r="E1182" s="10"/>
      <c r="F1182" s="10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</row>
    <row r="1183" spans="1:27" x14ac:dyDescent="0.3">
      <c r="A1183" s="10"/>
      <c r="B1183" s="10"/>
      <c r="C1183" s="10"/>
      <c r="D1183" s="10"/>
      <c r="E1183" s="10"/>
      <c r="F1183" s="10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</row>
    <row r="1184" spans="1:27" x14ac:dyDescent="0.3">
      <c r="A1184" s="10"/>
      <c r="B1184" s="10"/>
      <c r="C1184" s="10"/>
      <c r="D1184" s="10"/>
      <c r="E1184" s="10"/>
      <c r="F1184" s="10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</row>
    <row r="1185" spans="1:27" x14ac:dyDescent="0.3">
      <c r="A1185" s="10"/>
      <c r="B1185" s="10"/>
      <c r="C1185" s="10"/>
      <c r="D1185" s="10"/>
      <c r="E1185" s="10"/>
      <c r="F1185" s="10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</row>
    <row r="1186" spans="1:27" x14ac:dyDescent="0.3">
      <c r="A1186" s="10"/>
      <c r="B1186" s="10"/>
      <c r="C1186" s="10"/>
      <c r="D1186" s="10"/>
      <c r="E1186" s="10"/>
      <c r="F1186" s="10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</row>
    <row r="1187" spans="1:27" x14ac:dyDescent="0.3">
      <c r="A1187" s="10"/>
      <c r="B1187" s="10"/>
      <c r="C1187" s="10"/>
      <c r="D1187" s="10"/>
      <c r="E1187" s="10"/>
      <c r="F1187" s="10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</row>
    <row r="1188" spans="1:27" x14ac:dyDescent="0.3">
      <c r="A1188" s="10"/>
      <c r="B1188" s="10"/>
      <c r="C1188" s="10"/>
      <c r="D1188" s="10"/>
      <c r="E1188" s="10"/>
      <c r="F1188" s="10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</row>
    <row r="1189" spans="1:27" x14ac:dyDescent="0.3">
      <c r="A1189" s="10"/>
      <c r="B1189" s="10"/>
      <c r="C1189" s="10"/>
      <c r="D1189" s="10"/>
      <c r="E1189" s="10"/>
      <c r="F1189" s="10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</row>
    <row r="1190" spans="1:27" x14ac:dyDescent="0.3">
      <c r="A1190" s="10"/>
      <c r="B1190" s="10"/>
      <c r="C1190" s="10"/>
      <c r="D1190" s="10"/>
      <c r="E1190" s="10"/>
      <c r="F1190" s="10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</row>
    <row r="1191" spans="1:27" x14ac:dyDescent="0.3">
      <c r="A1191" s="10"/>
      <c r="B1191" s="10"/>
      <c r="C1191" s="10"/>
      <c r="D1191" s="10"/>
      <c r="E1191" s="10"/>
      <c r="F1191" s="10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</row>
    <row r="1192" spans="1:27" x14ac:dyDescent="0.3">
      <c r="A1192" s="10"/>
      <c r="B1192" s="10"/>
      <c r="C1192" s="10"/>
      <c r="D1192" s="10"/>
      <c r="E1192" s="10"/>
      <c r="F1192" s="10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</row>
    <row r="1193" spans="1:27" x14ac:dyDescent="0.3">
      <c r="A1193" s="10"/>
      <c r="B1193" s="10"/>
      <c r="C1193" s="10"/>
      <c r="D1193" s="10"/>
      <c r="E1193" s="10"/>
      <c r="F1193" s="10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</row>
    <row r="1194" spans="1:27" x14ac:dyDescent="0.3">
      <c r="A1194" s="10"/>
      <c r="B1194" s="10"/>
      <c r="C1194" s="10"/>
      <c r="D1194" s="10"/>
      <c r="E1194" s="10"/>
      <c r="F1194" s="10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</row>
    <row r="1195" spans="1:27" x14ac:dyDescent="0.3">
      <c r="A1195" s="10"/>
      <c r="B1195" s="10"/>
      <c r="C1195" s="10"/>
      <c r="D1195" s="10"/>
      <c r="E1195" s="10"/>
      <c r="F1195" s="10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</row>
    <row r="1196" spans="1:27" x14ac:dyDescent="0.3">
      <c r="A1196" s="10"/>
      <c r="B1196" s="10"/>
      <c r="C1196" s="10"/>
      <c r="D1196" s="10"/>
      <c r="E1196" s="10"/>
      <c r="F1196" s="10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</row>
    <row r="1197" spans="1:27" x14ac:dyDescent="0.3">
      <c r="A1197" s="10"/>
      <c r="B1197" s="10"/>
      <c r="C1197" s="10"/>
      <c r="D1197" s="10"/>
      <c r="E1197" s="10"/>
      <c r="F1197" s="10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</row>
    <row r="1198" spans="1:27" x14ac:dyDescent="0.3">
      <c r="A1198" s="10"/>
      <c r="B1198" s="10"/>
      <c r="C1198" s="10"/>
      <c r="D1198" s="10"/>
      <c r="E1198" s="10"/>
      <c r="F1198" s="10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</row>
    <row r="1199" spans="1:27" x14ac:dyDescent="0.3">
      <c r="A1199" s="10"/>
      <c r="B1199" s="10"/>
      <c r="C1199" s="10"/>
      <c r="D1199" s="10"/>
      <c r="E1199" s="10"/>
      <c r="F1199" s="10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</row>
    <row r="1200" spans="1:27" x14ac:dyDescent="0.3">
      <c r="A1200" s="10"/>
      <c r="B1200" s="10"/>
      <c r="C1200" s="10"/>
      <c r="D1200" s="10"/>
      <c r="E1200" s="10"/>
      <c r="F1200" s="10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</row>
    <row r="1201" spans="1:27" x14ac:dyDescent="0.3">
      <c r="A1201" s="10"/>
      <c r="B1201" s="10"/>
      <c r="C1201" s="10"/>
      <c r="D1201" s="10"/>
      <c r="E1201" s="10"/>
      <c r="F1201" s="10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</row>
    <row r="1202" spans="1:27" x14ac:dyDescent="0.3">
      <c r="A1202" s="10"/>
      <c r="B1202" s="10"/>
      <c r="C1202" s="10"/>
      <c r="D1202" s="10"/>
      <c r="E1202" s="10"/>
      <c r="F1202" s="10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</row>
    <row r="1203" spans="1:27" x14ac:dyDescent="0.3">
      <c r="A1203" s="10"/>
      <c r="B1203" s="10"/>
      <c r="C1203" s="10"/>
      <c r="D1203" s="10"/>
      <c r="E1203" s="10"/>
      <c r="F1203" s="10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</row>
    <row r="1204" spans="1:27" x14ac:dyDescent="0.3">
      <c r="A1204" s="10"/>
      <c r="B1204" s="10"/>
      <c r="C1204" s="10"/>
      <c r="D1204" s="10"/>
      <c r="E1204" s="10"/>
      <c r="F1204" s="10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</row>
    <row r="1205" spans="1:27" x14ac:dyDescent="0.3">
      <c r="A1205" s="10"/>
      <c r="B1205" s="10"/>
      <c r="C1205" s="10"/>
      <c r="D1205" s="10"/>
      <c r="E1205" s="10"/>
      <c r="F1205" s="10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</row>
    <row r="1206" spans="1:27" x14ac:dyDescent="0.3">
      <c r="A1206" s="10"/>
      <c r="B1206" s="10"/>
      <c r="C1206" s="10"/>
      <c r="D1206" s="10"/>
      <c r="E1206" s="10"/>
      <c r="F1206" s="10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</row>
    <row r="1207" spans="1:27" x14ac:dyDescent="0.3">
      <c r="A1207" s="10"/>
      <c r="B1207" s="10"/>
      <c r="C1207" s="10"/>
      <c r="D1207" s="10"/>
      <c r="E1207" s="10"/>
      <c r="F1207" s="10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</row>
    <row r="1208" spans="1:27" x14ac:dyDescent="0.3">
      <c r="A1208" s="10"/>
      <c r="B1208" s="10"/>
      <c r="C1208" s="10"/>
      <c r="D1208" s="10"/>
      <c r="E1208" s="10"/>
      <c r="F1208" s="10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</row>
    <row r="1209" spans="1:27" x14ac:dyDescent="0.3">
      <c r="A1209" s="10"/>
      <c r="B1209" s="10"/>
      <c r="C1209" s="10"/>
      <c r="D1209" s="10"/>
      <c r="E1209" s="10"/>
      <c r="F1209" s="10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</row>
    <row r="1210" spans="1:27" x14ac:dyDescent="0.3">
      <c r="A1210" s="10"/>
      <c r="B1210" s="10"/>
      <c r="C1210" s="10"/>
      <c r="D1210" s="10"/>
      <c r="E1210" s="10"/>
      <c r="F1210" s="10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</row>
    <row r="1211" spans="1:27" x14ac:dyDescent="0.3">
      <c r="A1211" s="10"/>
      <c r="B1211" s="10"/>
      <c r="C1211" s="10"/>
      <c r="D1211" s="10"/>
      <c r="E1211" s="10"/>
      <c r="F1211" s="10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</row>
    <row r="1212" spans="1:27" x14ac:dyDescent="0.3">
      <c r="A1212" s="10"/>
      <c r="B1212" s="10"/>
      <c r="C1212" s="10"/>
      <c r="D1212" s="10"/>
      <c r="E1212" s="10"/>
      <c r="F1212" s="10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</row>
    <row r="1213" spans="1:27" x14ac:dyDescent="0.3">
      <c r="A1213" s="10"/>
      <c r="B1213" s="10"/>
      <c r="C1213" s="10"/>
      <c r="D1213" s="10"/>
      <c r="E1213" s="10"/>
      <c r="F1213" s="10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</row>
    <row r="1214" spans="1:27" x14ac:dyDescent="0.3">
      <c r="A1214" s="10"/>
      <c r="B1214" s="10"/>
      <c r="C1214" s="10"/>
      <c r="D1214" s="10"/>
      <c r="E1214" s="10"/>
      <c r="F1214" s="10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</row>
    <row r="1215" spans="1:27" x14ac:dyDescent="0.3">
      <c r="A1215" s="10"/>
      <c r="B1215" s="10"/>
      <c r="C1215" s="10"/>
      <c r="D1215" s="10"/>
      <c r="E1215" s="10"/>
      <c r="F1215" s="10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</row>
    <row r="1216" spans="1:27" x14ac:dyDescent="0.3">
      <c r="A1216" s="10"/>
      <c r="B1216" s="10"/>
      <c r="C1216" s="10"/>
      <c r="D1216" s="10"/>
      <c r="E1216" s="10"/>
      <c r="F1216" s="10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</row>
    <row r="1217" spans="1:27" x14ac:dyDescent="0.3">
      <c r="A1217" s="10"/>
      <c r="B1217" s="10"/>
      <c r="C1217" s="10"/>
      <c r="D1217" s="10"/>
      <c r="E1217" s="10"/>
      <c r="F1217" s="10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</row>
    <row r="1218" spans="1:27" x14ac:dyDescent="0.3">
      <c r="A1218" s="10"/>
      <c r="B1218" s="10"/>
      <c r="C1218" s="10"/>
      <c r="D1218" s="10"/>
      <c r="E1218" s="10"/>
      <c r="F1218" s="10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</row>
    <row r="1219" spans="1:27" x14ac:dyDescent="0.3">
      <c r="A1219" s="10"/>
      <c r="B1219" s="10"/>
      <c r="C1219" s="10"/>
      <c r="D1219" s="10"/>
      <c r="E1219" s="10"/>
      <c r="F1219" s="10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</row>
    <row r="1220" spans="1:27" x14ac:dyDescent="0.3">
      <c r="A1220" s="10"/>
      <c r="B1220" s="10"/>
      <c r="C1220" s="10"/>
      <c r="D1220" s="10"/>
      <c r="E1220" s="10"/>
      <c r="F1220" s="10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</row>
    <row r="1221" spans="1:27" x14ac:dyDescent="0.3">
      <c r="A1221" s="10"/>
      <c r="B1221" s="10"/>
      <c r="C1221" s="10"/>
      <c r="D1221" s="10"/>
      <c r="E1221" s="10"/>
      <c r="F1221" s="10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</row>
    <row r="1222" spans="1:27" x14ac:dyDescent="0.3">
      <c r="A1222" s="10"/>
      <c r="B1222" s="10"/>
      <c r="C1222" s="10"/>
      <c r="D1222" s="10"/>
      <c r="E1222" s="10"/>
      <c r="F1222" s="10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</row>
  </sheetData>
  <mergeCells count="1">
    <mergeCell ref="G2:R2"/>
  </mergeCells>
  <conditionalFormatting sqref="W4:W1222">
    <cfRule type="cellIs" dxfId="31" priority="1" operator="equal">
      <formula>"SOBRE STOCK"</formula>
    </cfRule>
    <cfRule type="cellIs" dxfId="30" priority="2" operator="equal">
      <formula>"DESABASTECIDO"</formula>
    </cfRule>
    <cfRule type="cellIs" dxfId="29" priority="3" operator="equal">
      <formula>"SUB STOCK"</formula>
    </cfRule>
    <cfRule type="cellIs" dxfId="28" priority="4" operator="equal">
      <formula>"NORMO STOCK"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95"/>
  <sheetViews>
    <sheetView workbookViewId="0">
      <selection activeCell="S2" sqref="S2"/>
    </sheetView>
  </sheetViews>
  <sheetFormatPr baseColWidth="10" defaultRowHeight="14.4" x14ac:dyDescent="0.3"/>
  <cols>
    <col min="1" max="1" width="11.44140625" style="15"/>
    <col min="2" max="2" width="38.88671875" customWidth="1"/>
    <col min="16" max="16" width="14.33203125" customWidth="1"/>
    <col min="18" max="18" width="16.5546875" customWidth="1"/>
    <col min="19" max="19" width="15.44140625" style="15" bestFit="1" customWidth="1"/>
  </cols>
  <sheetData>
    <row r="1" spans="1:19" ht="21" x14ac:dyDescent="0.3">
      <c r="R1" s="16" t="s">
        <v>1846</v>
      </c>
      <c r="S1" s="17">
        <f>(COUNTIF(Tabla1[Estado],"no rota")+COUNTIF(Tabla1[Estado],"NORMO STOCK")+COUNTIF(Tabla1[Estado],"SOBRE STOCK"))/(COUNTIF(Tabla1[Estado],"&lt;&gt;solid")-COUNTBLANK(Tabla1[Estado])-COUNTIF(Tabla1[Estado],"no incluido"))</f>
        <v>0</v>
      </c>
    </row>
    <row r="2" spans="1:19" x14ac:dyDescent="0.3">
      <c r="A2" s="11" t="s">
        <v>28</v>
      </c>
      <c r="B2" s="11" t="s">
        <v>29</v>
      </c>
      <c r="C2" s="12" t="s">
        <v>13</v>
      </c>
      <c r="D2" s="12" t="s">
        <v>14</v>
      </c>
      <c r="E2" s="12" t="s">
        <v>15</v>
      </c>
      <c r="F2" s="12" t="s">
        <v>16</v>
      </c>
      <c r="G2" s="12" t="s">
        <v>17</v>
      </c>
      <c r="H2" s="12" t="s">
        <v>18</v>
      </c>
      <c r="I2" s="12" t="s">
        <v>19</v>
      </c>
      <c r="J2" s="12" t="s">
        <v>20</v>
      </c>
      <c r="K2" s="12" t="s">
        <v>21</v>
      </c>
      <c r="L2" s="12" t="s">
        <v>22</v>
      </c>
      <c r="M2" s="12" t="s">
        <v>23</v>
      </c>
      <c r="N2" s="12" t="s">
        <v>24</v>
      </c>
      <c r="O2" s="13" t="s">
        <v>30</v>
      </c>
      <c r="P2" s="13" t="s">
        <v>31</v>
      </c>
      <c r="Q2" s="13" t="s">
        <v>926</v>
      </c>
      <c r="R2" s="13" t="s">
        <v>32</v>
      </c>
      <c r="S2" s="13" t="s">
        <v>8</v>
      </c>
    </row>
    <row r="3" spans="1:19" x14ac:dyDescent="0.3">
      <c r="A3" s="15" t="s">
        <v>33</v>
      </c>
      <c r="B3" t="str">
        <f>IFERROR(VLOOKUP(Tabla1[[#This Row],[SISMED]],TblDisponibilidad[],2,FALSE), "")</f>
        <v/>
      </c>
      <c r="C3">
        <f>IFERROR(VLOOKUP(Tabla1[[#This Row],[SISMED]],TblDisponibilidad[],7,FALSE), 0)</f>
        <v>0</v>
      </c>
      <c r="D3">
        <f>IFERROR(VLOOKUP(Tabla1[[#This Row],[SISMED]],TblDisponibilidad[],8,FALSE), 0)</f>
        <v>0</v>
      </c>
      <c r="E3">
        <f>IFERROR(VLOOKUP(Tabla1[[#This Row],[SISMED]],TblDisponibilidad[],9,FALSE), 0)</f>
        <v>0</v>
      </c>
      <c r="F3">
        <f>IFERROR(VLOOKUP(Tabla1[[#This Row],[SISMED]],TblDisponibilidad[],10,FALSE), 0)</f>
        <v>0</v>
      </c>
      <c r="G3">
        <f>IFERROR(VLOOKUP(Tabla1[[#This Row],[SISMED]],TblDisponibilidad[],11,FALSE), 0)</f>
        <v>0</v>
      </c>
      <c r="H3">
        <f>IFERROR(VLOOKUP(Tabla1[[#This Row],[SISMED]],TblDisponibilidad[],12,FALSE), 0)</f>
        <v>0</v>
      </c>
      <c r="I3">
        <f>IFERROR(VLOOKUP(Tabla1[[#This Row],[SISMED]],TblDisponibilidad[],13,FALSE), 0)</f>
        <v>0</v>
      </c>
      <c r="J3">
        <f>IFERROR(VLOOKUP(Tabla1[[#This Row],[SISMED]],TblDisponibilidad[],14,FALSE), 0)</f>
        <v>0</v>
      </c>
      <c r="K3">
        <f>IFERROR(VLOOKUP(Tabla1[[#This Row],[SISMED]],TblDisponibilidad[],15,FALSE), 0)</f>
        <v>0</v>
      </c>
      <c r="L3">
        <f>IFERROR(VLOOKUP(Tabla1[[#This Row],[SISMED]],TblDisponibilidad[],16,FALSE), 0)</f>
        <v>0</v>
      </c>
      <c r="M3">
        <f>IFERROR(VLOOKUP(Tabla1[[#This Row],[SISMED]],TblDisponibilidad[],17,FALSE), 0)</f>
        <v>0</v>
      </c>
      <c r="N3">
        <f>IFERROR(VLOOKUP(Tabla1[[#This Row],[SISMED]],TblDisponibilidad[],18,FALSE), 0)</f>
        <v>0</v>
      </c>
      <c r="O3">
        <f>IFERROR(VLOOKUP(Tabla1[[#This Row],[SISMED]],TblDisponibilidad[],19,FALSE), 0)</f>
        <v>0</v>
      </c>
      <c r="P3">
        <f>IFERROR(VLOOKUP(Tabla1[[#This Row],[SISMED]],TblDisponibilidad[],20,FALSE), 0)</f>
        <v>0</v>
      </c>
      <c r="Q3">
        <f>IFERROR(VLOOKUP(Tabla1[[#This Row],[SISMED]],TblDisponibilidad[],21,FALSE), 0)</f>
        <v>0</v>
      </c>
      <c r="R3">
        <f>IFERROR(VLOOKUP(Tabla1[[#This Row],[SISMED]],TblDisponibilidad[],22,FALSE), 0)</f>
        <v>0</v>
      </c>
      <c r="S3" s="15">
        <f>IFERROR(VLOOKUP(Tabla1[[#This Row],[SISMED]],TblDisponibilidad[],23,FALSE), 0)</f>
        <v>0</v>
      </c>
    </row>
    <row r="4" spans="1:19" x14ac:dyDescent="0.3">
      <c r="A4" s="15" t="s">
        <v>34</v>
      </c>
      <c r="B4" t="str">
        <f>IFERROR(VLOOKUP(Tabla1[[#This Row],[SISMED]],TblDisponibilidad[],2,FALSE), "")</f>
        <v/>
      </c>
      <c r="C4">
        <f>IFERROR(VLOOKUP(Tabla1[[#This Row],[SISMED]],TblDisponibilidad[],7,FALSE), 0)</f>
        <v>0</v>
      </c>
      <c r="D4">
        <f>IFERROR(VLOOKUP(Tabla1[[#This Row],[SISMED]],TblDisponibilidad[],8,FALSE), 0)</f>
        <v>0</v>
      </c>
      <c r="E4">
        <f>IFERROR(VLOOKUP(Tabla1[[#This Row],[SISMED]],TblDisponibilidad[],9,FALSE), 0)</f>
        <v>0</v>
      </c>
      <c r="F4">
        <f>IFERROR(VLOOKUP(Tabla1[[#This Row],[SISMED]],TblDisponibilidad[],10,FALSE), 0)</f>
        <v>0</v>
      </c>
      <c r="G4">
        <f>IFERROR(VLOOKUP(Tabla1[[#This Row],[SISMED]],TblDisponibilidad[],11,FALSE), 0)</f>
        <v>0</v>
      </c>
      <c r="H4">
        <f>IFERROR(VLOOKUP(Tabla1[[#This Row],[SISMED]],TblDisponibilidad[],12,FALSE), 0)</f>
        <v>0</v>
      </c>
      <c r="I4">
        <f>IFERROR(VLOOKUP(Tabla1[[#This Row],[SISMED]],TblDisponibilidad[],13,FALSE), 0)</f>
        <v>0</v>
      </c>
      <c r="J4">
        <f>IFERROR(VLOOKUP(Tabla1[[#This Row],[SISMED]],TblDisponibilidad[],14,FALSE), 0)</f>
        <v>0</v>
      </c>
      <c r="K4">
        <f>IFERROR(VLOOKUP(Tabla1[[#This Row],[SISMED]],TblDisponibilidad[],15,FALSE), 0)</f>
        <v>0</v>
      </c>
      <c r="L4">
        <f>IFERROR(VLOOKUP(Tabla1[[#This Row],[SISMED]],TblDisponibilidad[],16,FALSE), 0)</f>
        <v>0</v>
      </c>
      <c r="M4">
        <f>IFERROR(VLOOKUP(Tabla1[[#This Row],[SISMED]],TblDisponibilidad[],17,FALSE), 0)</f>
        <v>0</v>
      </c>
      <c r="N4">
        <f>IFERROR(VLOOKUP(Tabla1[[#This Row],[SISMED]],TblDisponibilidad[],18,FALSE), 0)</f>
        <v>0</v>
      </c>
      <c r="O4">
        <f>IFERROR(VLOOKUP(Tabla1[[#This Row],[SISMED]],TblDisponibilidad[],19,FALSE), 0)</f>
        <v>0</v>
      </c>
      <c r="P4">
        <f>IFERROR(VLOOKUP(Tabla1[[#This Row],[SISMED]],TblDisponibilidad[],20,FALSE), 0)</f>
        <v>0</v>
      </c>
      <c r="Q4">
        <f>IFERROR(VLOOKUP(Tabla1[[#This Row],[SISMED]],TblDisponibilidad[],21,FALSE), 0)</f>
        <v>0</v>
      </c>
      <c r="R4">
        <f>IFERROR(VLOOKUP(Tabla1[[#This Row],[SISMED]],TblDisponibilidad[],22,FALSE), 0)</f>
        <v>0</v>
      </c>
      <c r="S4" s="15">
        <f>IFERROR(VLOOKUP(Tabla1[[#This Row],[SISMED]],TblDisponibilidad[],23,FALSE), 0)</f>
        <v>0</v>
      </c>
    </row>
    <row r="5" spans="1:19" x14ac:dyDescent="0.3">
      <c r="A5" s="15" t="s">
        <v>35</v>
      </c>
      <c r="B5" t="str">
        <f>IFERROR(VLOOKUP(Tabla1[[#This Row],[SISMED]],TblDisponibilidad[],2,FALSE), "")</f>
        <v/>
      </c>
      <c r="C5">
        <f>IFERROR(VLOOKUP(Tabla1[[#This Row],[SISMED]],TblDisponibilidad[],7,FALSE), 0)</f>
        <v>0</v>
      </c>
      <c r="D5">
        <f>IFERROR(VLOOKUP(Tabla1[[#This Row],[SISMED]],TblDisponibilidad[],8,FALSE), 0)</f>
        <v>0</v>
      </c>
      <c r="E5">
        <f>IFERROR(VLOOKUP(Tabla1[[#This Row],[SISMED]],TblDisponibilidad[],9,FALSE), 0)</f>
        <v>0</v>
      </c>
      <c r="F5">
        <f>IFERROR(VLOOKUP(Tabla1[[#This Row],[SISMED]],TblDisponibilidad[],10,FALSE), 0)</f>
        <v>0</v>
      </c>
      <c r="G5">
        <f>IFERROR(VLOOKUP(Tabla1[[#This Row],[SISMED]],TblDisponibilidad[],11,FALSE), 0)</f>
        <v>0</v>
      </c>
      <c r="H5">
        <f>IFERROR(VLOOKUP(Tabla1[[#This Row],[SISMED]],TblDisponibilidad[],12,FALSE), 0)</f>
        <v>0</v>
      </c>
      <c r="I5">
        <f>IFERROR(VLOOKUP(Tabla1[[#This Row],[SISMED]],TblDisponibilidad[],13,FALSE), 0)</f>
        <v>0</v>
      </c>
      <c r="J5">
        <f>IFERROR(VLOOKUP(Tabla1[[#This Row],[SISMED]],TblDisponibilidad[],14,FALSE), 0)</f>
        <v>0</v>
      </c>
      <c r="K5">
        <f>IFERROR(VLOOKUP(Tabla1[[#This Row],[SISMED]],TblDisponibilidad[],15,FALSE), 0)</f>
        <v>0</v>
      </c>
      <c r="L5">
        <f>IFERROR(VLOOKUP(Tabla1[[#This Row],[SISMED]],TblDisponibilidad[],16,FALSE), 0)</f>
        <v>0</v>
      </c>
      <c r="M5">
        <f>IFERROR(VLOOKUP(Tabla1[[#This Row],[SISMED]],TblDisponibilidad[],17,FALSE), 0)</f>
        <v>0</v>
      </c>
      <c r="N5">
        <f>IFERROR(VLOOKUP(Tabla1[[#This Row],[SISMED]],TblDisponibilidad[],18,FALSE), 0)</f>
        <v>0</v>
      </c>
      <c r="O5">
        <f>IFERROR(VLOOKUP(Tabla1[[#This Row],[SISMED]],TblDisponibilidad[],19,FALSE), 0)</f>
        <v>0</v>
      </c>
      <c r="P5">
        <f>IFERROR(VLOOKUP(Tabla1[[#This Row],[SISMED]],TblDisponibilidad[],20,FALSE), 0)</f>
        <v>0</v>
      </c>
      <c r="Q5">
        <f>IFERROR(VLOOKUP(Tabla1[[#This Row],[SISMED]],TblDisponibilidad[],21,FALSE), 0)</f>
        <v>0</v>
      </c>
      <c r="R5">
        <f>IFERROR(VLOOKUP(Tabla1[[#This Row],[SISMED]],TblDisponibilidad[],22,FALSE), 0)</f>
        <v>0</v>
      </c>
      <c r="S5" s="15">
        <f>IFERROR(VLOOKUP(Tabla1[[#This Row],[SISMED]],TblDisponibilidad[],23,FALSE), 0)</f>
        <v>0</v>
      </c>
    </row>
    <row r="6" spans="1:19" x14ac:dyDescent="0.3">
      <c r="A6" s="15" t="s">
        <v>36</v>
      </c>
      <c r="B6" t="str">
        <f>IFERROR(VLOOKUP(Tabla1[[#This Row],[SISMED]],TblDisponibilidad[],2,FALSE), "")</f>
        <v/>
      </c>
      <c r="C6">
        <f>IFERROR(VLOOKUP(Tabla1[[#This Row],[SISMED]],TblDisponibilidad[],7,FALSE), 0)</f>
        <v>0</v>
      </c>
      <c r="D6">
        <f>IFERROR(VLOOKUP(Tabla1[[#This Row],[SISMED]],TblDisponibilidad[],8,FALSE), 0)</f>
        <v>0</v>
      </c>
      <c r="E6">
        <f>IFERROR(VLOOKUP(Tabla1[[#This Row],[SISMED]],TblDisponibilidad[],9,FALSE), 0)</f>
        <v>0</v>
      </c>
      <c r="F6">
        <f>IFERROR(VLOOKUP(Tabla1[[#This Row],[SISMED]],TblDisponibilidad[],10,FALSE), 0)</f>
        <v>0</v>
      </c>
      <c r="G6">
        <f>IFERROR(VLOOKUP(Tabla1[[#This Row],[SISMED]],TblDisponibilidad[],11,FALSE), 0)</f>
        <v>0</v>
      </c>
      <c r="H6">
        <f>IFERROR(VLOOKUP(Tabla1[[#This Row],[SISMED]],TblDisponibilidad[],12,FALSE), 0)</f>
        <v>0</v>
      </c>
      <c r="I6">
        <f>IFERROR(VLOOKUP(Tabla1[[#This Row],[SISMED]],TblDisponibilidad[],13,FALSE), 0)</f>
        <v>0</v>
      </c>
      <c r="J6">
        <f>IFERROR(VLOOKUP(Tabla1[[#This Row],[SISMED]],TblDisponibilidad[],14,FALSE), 0)</f>
        <v>0</v>
      </c>
      <c r="K6">
        <f>IFERROR(VLOOKUP(Tabla1[[#This Row],[SISMED]],TblDisponibilidad[],15,FALSE), 0)</f>
        <v>0</v>
      </c>
      <c r="L6">
        <f>IFERROR(VLOOKUP(Tabla1[[#This Row],[SISMED]],TblDisponibilidad[],16,FALSE), 0)</f>
        <v>0</v>
      </c>
      <c r="M6">
        <f>IFERROR(VLOOKUP(Tabla1[[#This Row],[SISMED]],TblDisponibilidad[],17,FALSE), 0)</f>
        <v>0</v>
      </c>
      <c r="N6">
        <f>IFERROR(VLOOKUP(Tabla1[[#This Row],[SISMED]],TblDisponibilidad[],18,FALSE), 0)</f>
        <v>0</v>
      </c>
      <c r="O6">
        <f>IFERROR(VLOOKUP(Tabla1[[#This Row],[SISMED]],TblDisponibilidad[],19,FALSE), 0)</f>
        <v>0</v>
      </c>
      <c r="P6">
        <f>IFERROR(VLOOKUP(Tabla1[[#This Row],[SISMED]],TblDisponibilidad[],20,FALSE), 0)</f>
        <v>0</v>
      </c>
      <c r="Q6">
        <f>IFERROR(VLOOKUP(Tabla1[[#This Row],[SISMED]],TblDisponibilidad[],21,FALSE), 0)</f>
        <v>0</v>
      </c>
      <c r="R6">
        <f>IFERROR(VLOOKUP(Tabla1[[#This Row],[SISMED]],TblDisponibilidad[],22,FALSE), 0)</f>
        <v>0</v>
      </c>
      <c r="S6" s="15">
        <f>IFERROR(VLOOKUP(Tabla1[[#This Row],[SISMED]],TblDisponibilidad[],23,FALSE), 0)</f>
        <v>0</v>
      </c>
    </row>
    <row r="7" spans="1:19" x14ac:dyDescent="0.3">
      <c r="A7" s="15" t="s">
        <v>37</v>
      </c>
      <c r="B7" t="str">
        <f>IFERROR(VLOOKUP(Tabla1[[#This Row],[SISMED]],TblDisponibilidad[],2,FALSE), "")</f>
        <v/>
      </c>
      <c r="C7">
        <f>IFERROR(VLOOKUP(Tabla1[[#This Row],[SISMED]],TblDisponibilidad[],7,FALSE), 0)</f>
        <v>0</v>
      </c>
      <c r="D7">
        <f>IFERROR(VLOOKUP(Tabla1[[#This Row],[SISMED]],TblDisponibilidad[],8,FALSE), 0)</f>
        <v>0</v>
      </c>
      <c r="E7">
        <f>IFERROR(VLOOKUP(Tabla1[[#This Row],[SISMED]],TblDisponibilidad[],9,FALSE), 0)</f>
        <v>0</v>
      </c>
      <c r="F7">
        <f>IFERROR(VLOOKUP(Tabla1[[#This Row],[SISMED]],TblDisponibilidad[],10,FALSE), 0)</f>
        <v>0</v>
      </c>
      <c r="G7">
        <f>IFERROR(VLOOKUP(Tabla1[[#This Row],[SISMED]],TblDisponibilidad[],11,FALSE), 0)</f>
        <v>0</v>
      </c>
      <c r="H7">
        <f>IFERROR(VLOOKUP(Tabla1[[#This Row],[SISMED]],TblDisponibilidad[],12,FALSE), 0)</f>
        <v>0</v>
      </c>
      <c r="I7">
        <f>IFERROR(VLOOKUP(Tabla1[[#This Row],[SISMED]],TblDisponibilidad[],13,FALSE), 0)</f>
        <v>0</v>
      </c>
      <c r="J7">
        <f>IFERROR(VLOOKUP(Tabla1[[#This Row],[SISMED]],TblDisponibilidad[],14,FALSE), 0)</f>
        <v>0</v>
      </c>
      <c r="K7">
        <f>IFERROR(VLOOKUP(Tabla1[[#This Row],[SISMED]],TblDisponibilidad[],15,FALSE), 0)</f>
        <v>0</v>
      </c>
      <c r="L7">
        <f>IFERROR(VLOOKUP(Tabla1[[#This Row],[SISMED]],TblDisponibilidad[],16,FALSE), 0)</f>
        <v>0</v>
      </c>
      <c r="M7">
        <f>IFERROR(VLOOKUP(Tabla1[[#This Row],[SISMED]],TblDisponibilidad[],17,FALSE), 0)</f>
        <v>0</v>
      </c>
      <c r="N7">
        <f>IFERROR(VLOOKUP(Tabla1[[#This Row],[SISMED]],TblDisponibilidad[],18,FALSE), 0)</f>
        <v>0</v>
      </c>
      <c r="O7">
        <f>IFERROR(VLOOKUP(Tabla1[[#This Row],[SISMED]],TblDisponibilidad[],19,FALSE), 0)</f>
        <v>0</v>
      </c>
      <c r="P7">
        <f>IFERROR(VLOOKUP(Tabla1[[#This Row],[SISMED]],TblDisponibilidad[],20,FALSE), 0)</f>
        <v>0</v>
      </c>
      <c r="Q7">
        <f>IFERROR(VLOOKUP(Tabla1[[#This Row],[SISMED]],TblDisponibilidad[],21,FALSE), 0)</f>
        <v>0</v>
      </c>
      <c r="R7">
        <f>IFERROR(VLOOKUP(Tabla1[[#This Row],[SISMED]],TblDisponibilidad[],22,FALSE), 0)</f>
        <v>0</v>
      </c>
      <c r="S7" s="15">
        <f>IFERROR(VLOOKUP(Tabla1[[#This Row],[SISMED]],TblDisponibilidad[],23,FALSE), 0)</f>
        <v>0</v>
      </c>
    </row>
    <row r="8" spans="1:19" x14ac:dyDescent="0.3">
      <c r="A8" s="15" t="s">
        <v>38</v>
      </c>
      <c r="B8" t="str">
        <f>IFERROR(VLOOKUP(Tabla1[[#This Row],[SISMED]],TblDisponibilidad[],2,FALSE), "")</f>
        <v/>
      </c>
      <c r="C8">
        <f>IFERROR(VLOOKUP(Tabla1[[#This Row],[SISMED]],TblDisponibilidad[],7,FALSE), 0)</f>
        <v>0</v>
      </c>
      <c r="D8">
        <f>IFERROR(VLOOKUP(Tabla1[[#This Row],[SISMED]],TblDisponibilidad[],8,FALSE), 0)</f>
        <v>0</v>
      </c>
      <c r="E8">
        <f>IFERROR(VLOOKUP(Tabla1[[#This Row],[SISMED]],TblDisponibilidad[],9,FALSE), 0)</f>
        <v>0</v>
      </c>
      <c r="F8">
        <f>IFERROR(VLOOKUP(Tabla1[[#This Row],[SISMED]],TblDisponibilidad[],10,FALSE), 0)</f>
        <v>0</v>
      </c>
      <c r="G8">
        <f>IFERROR(VLOOKUP(Tabla1[[#This Row],[SISMED]],TblDisponibilidad[],11,FALSE), 0)</f>
        <v>0</v>
      </c>
      <c r="H8">
        <f>IFERROR(VLOOKUP(Tabla1[[#This Row],[SISMED]],TblDisponibilidad[],12,FALSE), 0)</f>
        <v>0</v>
      </c>
      <c r="I8">
        <f>IFERROR(VLOOKUP(Tabla1[[#This Row],[SISMED]],TblDisponibilidad[],13,FALSE), 0)</f>
        <v>0</v>
      </c>
      <c r="J8">
        <f>IFERROR(VLOOKUP(Tabla1[[#This Row],[SISMED]],TblDisponibilidad[],14,FALSE), 0)</f>
        <v>0</v>
      </c>
      <c r="K8">
        <f>IFERROR(VLOOKUP(Tabla1[[#This Row],[SISMED]],TblDisponibilidad[],15,FALSE), 0)</f>
        <v>0</v>
      </c>
      <c r="L8">
        <f>IFERROR(VLOOKUP(Tabla1[[#This Row],[SISMED]],TblDisponibilidad[],16,FALSE), 0)</f>
        <v>0</v>
      </c>
      <c r="M8">
        <f>IFERROR(VLOOKUP(Tabla1[[#This Row],[SISMED]],TblDisponibilidad[],17,FALSE), 0)</f>
        <v>0</v>
      </c>
      <c r="N8">
        <f>IFERROR(VLOOKUP(Tabla1[[#This Row],[SISMED]],TblDisponibilidad[],18,FALSE), 0)</f>
        <v>0</v>
      </c>
      <c r="O8">
        <f>IFERROR(VLOOKUP(Tabla1[[#This Row],[SISMED]],TblDisponibilidad[],19,FALSE), 0)</f>
        <v>0</v>
      </c>
      <c r="P8">
        <f>IFERROR(VLOOKUP(Tabla1[[#This Row],[SISMED]],TblDisponibilidad[],20,FALSE), 0)</f>
        <v>0</v>
      </c>
      <c r="Q8">
        <f>IFERROR(VLOOKUP(Tabla1[[#This Row],[SISMED]],TblDisponibilidad[],21,FALSE), 0)</f>
        <v>0</v>
      </c>
      <c r="R8">
        <f>IFERROR(VLOOKUP(Tabla1[[#This Row],[SISMED]],TblDisponibilidad[],22,FALSE), 0)</f>
        <v>0</v>
      </c>
      <c r="S8" s="15">
        <f>IFERROR(VLOOKUP(Tabla1[[#This Row],[SISMED]],TblDisponibilidad[],23,FALSE), 0)</f>
        <v>0</v>
      </c>
    </row>
    <row r="9" spans="1:19" x14ac:dyDescent="0.3">
      <c r="A9" s="15" t="s">
        <v>39</v>
      </c>
      <c r="B9" t="str">
        <f>IFERROR(VLOOKUP(Tabla1[[#This Row],[SISMED]],TblDisponibilidad[],2,FALSE), "")</f>
        <v/>
      </c>
      <c r="C9">
        <f>IFERROR(VLOOKUP(Tabla1[[#This Row],[SISMED]],TblDisponibilidad[],7,FALSE), 0)</f>
        <v>0</v>
      </c>
      <c r="D9">
        <f>IFERROR(VLOOKUP(Tabla1[[#This Row],[SISMED]],TblDisponibilidad[],8,FALSE), 0)</f>
        <v>0</v>
      </c>
      <c r="E9">
        <f>IFERROR(VLOOKUP(Tabla1[[#This Row],[SISMED]],TblDisponibilidad[],9,FALSE), 0)</f>
        <v>0</v>
      </c>
      <c r="F9">
        <f>IFERROR(VLOOKUP(Tabla1[[#This Row],[SISMED]],TblDisponibilidad[],10,FALSE), 0)</f>
        <v>0</v>
      </c>
      <c r="G9">
        <f>IFERROR(VLOOKUP(Tabla1[[#This Row],[SISMED]],TblDisponibilidad[],11,FALSE), 0)</f>
        <v>0</v>
      </c>
      <c r="H9">
        <f>IFERROR(VLOOKUP(Tabla1[[#This Row],[SISMED]],TblDisponibilidad[],12,FALSE), 0)</f>
        <v>0</v>
      </c>
      <c r="I9">
        <f>IFERROR(VLOOKUP(Tabla1[[#This Row],[SISMED]],TblDisponibilidad[],13,FALSE), 0)</f>
        <v>0</v>
      </c>
      <c r="J9">
        <f>IFERROR(VLOOKUP(Tabla1[[#This Row],[SISMED]],TblDisponibilidad[],14,FALSE), 0)</f>
        <v>0</v>
      </c>
      <c r="K9">
        <f>IFERROR(VLOOKUP(Tabla1[[#This Row],[SISMED]],TblDisponibilidad[],15,FALSE), 0)</f>
        <v>0</v>
      </c>
      <c r="L9">
        <f>IFERROR(VLOOKUP(Tabla1[[#This Row],[SISMED]],TblDisponibilidad[],16,FALSE), 0)</f>
        <v>0</v>
      </c>
      <c r="M9">
        <f>IFERROR(VLOOKUP(Tabla1[[#This Row],[SISMED]],TblDisponibilidad[],17,FALSE), 0)</f>
        <v>0</v>
      </c>
      <c r="N9">
        <f>IFERROR(VLOOKUP(Tabla1[[#This Row],[SISMED]],TblDisponibilidad[],18,FALSE), 0)</f>
        <v>0</v>
      </c>
      <c r="O9">
        <f>IFERROR(VLOOKUP(Tabla1[[#This Row],[SISMED]],TblDisponibilidad[],19,FALSE), 0)</f>
        <v>0</v>
      </c>
      <c r="P9">
        <f>IFERROR(VLOOKUP(Tabla1[[#This Row],[SISMED]],TblDisponibilidad[],20,FALSE), 0)</f>
        <v>0</v>
      </c>
      <c r="Q9">
        <f>IFERROR(VLOOKUP(Tabla1[[#This Row],[SISMED]],TblDisponibilidad[],21,FALSE), 0)</f>
        <v>0</v>
      </c>
      <c r="R9">
        <f>IFERROR(VLOOKUP(Tabla1[[#This Row],[SISMED]],TblDisponibilidad[],22,FALSE), 0)</f>
        <v>0</v>
      </c>
      <c r="S9" s="15">
        <f>IFERROR(VLOOKUP(Tabla1[[#This Row],[SISMED]],TblDisponibilidad[],23,FALSE), 0)</f>
        <v>0</v>
      </c>
    </row>
    <row r="10" spans="1:19" x14ac:dyDescent="0.3">
      <c r="A10" s="15" t="s">
        <v>40</v>
      </c>
      <c r="B10" t="str">
        <f>IFERROR(VLOOKUP(Tabla1[[#This Row],[SISMED]],TblDisponibilidad[],2,FALSE), "")</f>
        <v/>
      </c>
      <c r="C10">
        <f>IFERROR(VLOOKUP(Tabla1[[#This Row],[SISMED]],TblDisponibilidad[],7,FALSE), 0)</f>
        <v>0</v>
      </c>
      <c r="D10">
        <f>IFERROR(VLOOKUP(Tabla1[[#This Row],[SISMED]],TblDisponibilidad[],8,FALSE), 0)</f>
        <v>0</v>
      </c>
      <c r="E10">
        <f>IFERROR(VLOOKUP(Tabla1[[#This Row],[SISMED]],TblDisponibilidad[],9,FALSE), 0)</f>
        <v>0</v>
      </c>
      <c r="F10">
        <f>IFERROR(VLOOKUP(Tabla1[[#This Row],[SISMED]],TblDisponibilidad[],10,FALSE), 0)</f>
        <v>0</v>
      </c>
      <c r="G10">
        <f>IFERROR(VLOOKUP(Tabla1[[#This Row],[SISMED]],TblDisponibilidad[],11,FALSE), 0)</f>
        <v>0</v>
      </c>
      <c r="H10">
        <f>IFERROR(VLOOKUP(Tabla1[[#This Row],[SISMED]],TblDisponibilidad[],12,FALSE), 0)</f>
        <v>0</v>
      </c>
      <c r="I10">
        <f>IFERROR(VLOOKUP(Tabla1[[#This Row],[SISMED]],TblDisponibilidad[],13,FALSE), 0)</f>
        <v>0</v>
      </c>
      <c r="J10">
        <f>IFERROR(VLOOKUP(Tabla1[[#This Row],[SISMED]],TblDisponibilidad[],14,FALSE), 0)</f>
        <v>0</v>
      </c>
      <c r="K10">
        <f>IFERROR(VLOOKUP(Tabla1[[#This Row],[SISMED]],TblDisponibilidad[],15,FALSE), 0)</f>
        <v>0</v>
      </c>
      <c r="L10">
        <f>IFERROR(VLOOKUP(Tabla1[[#This Row],[SISMED]],TblDisponibilidad[],16,FALSE), 0)</f>
        <v>0</v>
      </c>
      <c r="M10">
        <f>IFERROR(VLOOKUP(Tabla1[[#This Row],[SISMED]],TblDisponibilidad[],17,FALSE), 0)</f>
        <v>0</v>
      </c>
      <c r="N10">
        <f>IFERROR(VLOOKUP(Tabla1[[#This Row],[SISMED]],TblDisponibilidad[],18,FALSE), 0)</f>
        <v>0</v>
      </c>
      <c r="O10">
        <f>IFERROR(VLOOKUP(Tabla1[[#This Row],[SISMED]],TblDisponibilidad[],19,FALSE), 0)</f>
        <v>0</v>
      </c>
      <c r="P10">
        <f>IFERROR(VLOOKUP(Tabla1[[#This Row],[SISMED]],TblDisponibilidad[],20,FALSE), 0)</f>
        <v>0</v>
      </c>
      <c r="Q10">
        <f>IFERROR(VLOOKUP(Tabla1[[#This Row],[SISMED]],TblDisponibilidad[],21,FALSE), 0)</f>
        <v>0</v>
      </c>
      <c r="R10">
        <f>IFERROR(VLOOKUP(Tabla1[[#This Row],[SISMED]],TblDisponibilidad[],22,FALSE), 0)</f>
        <v>0</v>
      </c>
      <c r="S10" s="15">
        <f>IFERROR(VLOOKUP(Tabla1[[#This Row],[SISMED]],TblDisponibilidad[],23,FALSE), 0)</f>
        <v>0</v>
      </c>
    </row>
    <row r="11" spans="1:19" x14ac:dyDescent="0.3">
      <c r="A11" s="15" t="s">
        <v>41</v>
      </c>
      <c r="B11" t="str">
        <f>IFERROR(VLOOKUP(Tabla1[[#This Row],[SISMED]],TblDisponibilidad[],2,FALSE), "")</f>
        <v/>
      </c>
      <c r="C11">
        <f>IFERROR(VLOOKUP(Tabla1[[#This Row],[SISMED]],TblDisponibilidad[],7,FALSE), 0)</f>
        <v>0</v>
      </c>
      <c r="D11">
        <f>IFERROR(VLOOKUP(Tabla1[[#This Row],[SISMED]],TblDisponibilidad[],8,FALSE), 0)</f>
        <v>0</v>
      </c>
      <c r="E11">
        <f>IFERROR(VLOOKUP(Tabla1[[#This Row],[SISMED]],TblDisponibilidad[],9,FALSE), 0)</f>
        <v>0</v>
      </c>
      <c r="F11">
        <f>IFERROR(VLOOKUP(Tabla1[[#This Row],[SISMED]],TblDisponibilidad[],10,FALSE), 0)</f>
        <v>0</v>
      </c>
      <c r="G11">
        <f>IFERROR(VLOOKUP(Tabla1[[#This Row],[SISMED]],TblDisponibilidad[],11,FALSE), 0)</f>
        <v>0</v>
      </c>
      <c r="H11">
        <f>IFERROR(VLOOKUP(Tabla1[[#This Row],[SISMED]],TblDisponibilidad[],12,FALSE), 0)</f>
        <v>0</v>
      </c>
      <c r="I11">
        <f>IFERROR(VLOOKUP(Tabla1[[#This Row],[SISMED]],TblDisponibilidad[],13,FALSE), 0)</f>
        <v>0</v>
      </c>
      <c r="J11">
        <f>IFERROR(VLOOKUP(Tabla1[[#This Row],[SISMED]],TblDisponibilidad[],14,FALSE), 0)</f>
        <v>0</v>
      </c>
      <c r="K11">
        <f>IFERROR(VLOOKUP(Tabla1[[#This Row],[SISMED]],TblDisponibilidad[],15,FALSE), 0)</f>
        <v>0</v>
      </c>
      <c r="L11">
        <f>IFERROR(VLOOKUP(Tabla1[[#This Row],[SISMED]],TblDisponibilidad[],16,FALSE), 0)</f>
        <v>0</v>
      </c>
      <c r="M11">
        <f>IFERROR(VLOOKUP(Tabla1[[#This Row],[SISMED]],TblDisponibilidad[],17,FALSE), 0)</f>
        <v>0</v>
      </c>
      <c r="N11">
        <f>IFERROR(VLOOKUP(Tabla1[[#This Row],[SISMED]],TblDisponibilidad[],18,FALSE), 0)</f>
        <v>0</v>
      </c>
      <c r="O11">
        <f>IFERROR(VLOOKUP(Tabla1[[#This Row],[SISMED]],TblDisponibilidad[],19,FALSE), 0)</f>
        <v>0</v>
      </c>
      <c r="P11">
        <f>IFERROR(VLOOKUP(Tabla1[[#This Row],[SISMED]],TblDisponibilidad[],20,FALSE), 0)</f>
        <v>0</v>
      </c>
      <c r="Q11">
        <f>IFERROR(VLOOKUP(Tabla1[[#This Row],[SISMED]],TblDisponibilidad[],21,FALSE), 0)</f>
        <v>0</v>
      </c>
      <c r="R11">
        <f>IFERROR(VLOOKUP(Tabla1[[#This Row],[SISMED]],TblDisponibilidad[],22,FALSE), 0)</f>
        <v>0</v>
      </c>
      <c r="S11" s="15">
        <f>IFERROR(VLOOKUP(Tabla1[[#This Row],[SISMED]],TblDisponibilidad[],23,FALSE), 0)</f>
        <v>0</v>
      </c>
    </row>
    <row r="12" spans="1:19" x14ac:dyDescent="0.3">
      <c r="A12" s="15" t="s">
        <v>42</v>
      </c>
      <c r="B12" t="str">
        <f>IFERROR(VLOOKUP(Tabla1[[#This Row],[SISMED]],TblDisponibilidad[],2,FALSE), "")</f>
        <v/>
      </c>
      <c r="C12">
        <f>IFERROR(VLOOKUP(Tabla1[[#This Row],[SISMED]],TblDisponibilidad[],7,FALSE), 0)</f>
        <v>0</v>
      </c>
      <c r="D12">
        <f>IFERROR(VLOOKUP(Tabla1[[#This Row],[SISMED]],TblDisponibilidad[],8,FALSE), 0)</f>
        <v>0</v>
      </c>
      <c r="E12">
        <f>IFERROR(VLOOKUP(Tabla1[[#This Row],[SISMED]],TblDisponibilidad[],9,FALSE), 0)</f>
        <v>0</v>
      </c>
      <c r="F12">
        <f>IFERROR(VLOOKUP(Tabla1[[#This Row],[SISMED]],TblDisponibilidad[],10,FALSE), 0)</f>
        <v>0</v>
      </c>
      <c r="G12">
        <f>IFERROR(VLOOKUP(Tabla1[[#This Row],[SISMED]],TblDisponibilidad[],11,FALSE), 0)</f>
        <v>0</v>
      </c>
      <c r="H12">
        <f>IFERROR(VLOOKUP(Tabla1[[#This Row],[SISMED]],TblDisponibilidad[],12,FALSE), 0)</f>
        <v>0</v>
      </c>
      <c r="I12">
        <f>IFERROR(VLOOKUP(Tabla1[[#This Row],[SISMED]],TblDisponibilidad[],13,FALSE), 0)</f>
        <v>0</v>
      </c>
      <c r="J12">
        <f>IFERROR(VLOOKUP(Tabla1[[#This Row],[SISMED]],TblDisponibilidad[],14,FALSE), 0)</f>
        <v>0</v>
      </c>
      <c r="K12">
        <f>IFERROR(VLOOKUP(Tabla1[[#This Row],[SISMED]],TblDisponibilidad[],15,FALSE), 0)</f>
        <v>0</v>
      </c>
      <c r="L12">
        <f>IFERROR(VLOOKUP(Tabla1[[#This Row],[SISMED]],TblDisponibilidad[],16,FALSE), 0)</f>
        <v>0</v>
      </c>
      <c r="M12">
        <f>IFERROR(VLOOKUP(Tabla1[[#This Row],[SISMED]],TblDisponibilidad[],17,FALSE), 0)</f>
        <v>0</v>
      </c>
      <c r="N12">
        <f>IFERROR(VLOOKUP(Tabla1[[#This Row],[SISMED]],TblDisponibilidad[],18,FALSE), 0)</f>
        <v>0</v>
      </c>
      <c r="O12">
        <f>IFERROR(VLOOKUP(Tabla1[[#This Row],[SISMED]],TblDisponibilidad[],19,FALSE), 0)</f>
        <v>0</v>
      </c>
      <c r="P12">
        <f>IFERROR(VLOOKUP(Tabla1[[#This Row],[SISMED]],TblDisponibilidad[],20,FALSE), 0)</f>
        <v>0</v>
      </c>
      <c r="Q12">
        <f>IFERROR(VLOOKUP(Tabla1[[#This Row],[SISMED]],TblDisponibilidad[],21,FALSE), 0)</f>
        <v>0</v>
      </c>
      <c r="R12">
        <f>IFERROR(VLOOKUP(Tabla1[[#This Row],[SISMED]],TblDisponibilidad[],22,FALSE), 0)</f>
        <v>0</v>
      </c>
      <c r="S12" s="15">
        <f>IFERROR(VLOOKUP(Tabla1[[#This Row],[SISMED]],TblDisponibilidad[],23,FALSE), 0)</f>
        <v>0</v>
      </c>
    </row>
    <row r="13" spans="1:19" x14ac:dyDescent="0.3">
      <c r="A13" s="15" t="s">
        <v>43</v>
      </c>
      <c r="B13" t="str">
        <f>IFERROR(VLOOKUP(Tabla1[[#This Row],[SISMED]],TblDisponibilidad[],2,FALSE), "")</f>
        <v/>
      </c>
      <c r="C13">
        <f>IFERROR(VLOOKUP(Tabla1[[#This Row],[SISMED]],TblDisponibilidad[],7,FALSE), 0)</f>
        <v>0</v>
      </c>
      <c r="D13">
        <f>IFERROR(VLOOKUP(Tabla1[[#This Row],[SISMED]],TblDisponibilidad[],8,FALSE), 0)</f>
        <v>0</v>
      </c>
      <c r="E13">
        <f>IFERROR(VLOOKUP(Tabla1[[#This Row],[SISMED]],TblDisponibilidad[],9,FALSE), 0)</f>
        <v>0</v>
      </c>
      <c r="F13">
        <f>IFERROR(VLOOKUP(Tabla1[[#This Row],[SISMED]],TblDisponibilidad[],10,FALSE), 0)</f>
        <v>0</v>
      </c>
      <c r="G13">
        <f>IFERROR(VLOOKUP(Tabla1[[#This Row],[SISMED]],TblDisponibilidad[],11,FALSE), 0)</f>
        <v>0</v>
      </c>
      <c r="H13">
        <f>IFERROR(VLOOKUP(Tabla1[[#This Row],[SISMED]],TblDisponibilidad[],12,FALSE), 0)</f>
        <v>0</v>
      </c>
      <c r="I13">
        <f>IFERROR(VLOOKUP(Tabla1[[#This Row],[SISMED]],TblDisponibilidad[],13,FALSE), 0)</f>
        <v>0</v>
      </c>
      <c r="J13">
        <f>IFERROR(VLOOKUP(Tabla1[[#This Row],[SISMED]],TblDisponibilidad[],14,FALSE), 0)</f>
        <v>0</v>
      </c>
      <c r="K13">
        <f>IFERROR(VLOOKUP(Tabla1[[#This Row],[SISMED]],TblDisponibilidad[],15,FALSE), 0)</f>
        <v>0</v>
      </c>
      <c r="L13">
        <f>IFERROR(VLOOKUP(Tabla1[[#This Row],[SISMED]],TblDisponibilidad[],16,FALSE), 0)</f>
        <v>0</v>
      </c>
      <c r="M13">
        <f>IFERROR(VLOOKUP(Tabla1[[#This Row],[SISMED]],TblDisponibilidad[],17,FALSE), 0)</f>
        <v>0</v>
      </c>
      <c r="N13">
        <f>IFERROR(VLOOKUP(Tabla1[[#This Row],[SISMED]],TblDisponibilidad[],18,FALSE), 0)</f>
        <v>0</v>
      </c>
      <c r="O13">
        <f>IFERROR(VLOOKUP(Tabla1[[#This Row],[SISMED]],TblDisponibilidad[],19,FALSE), 0)</f>
        <v>0</v>
      </c>
      <c r="P13">
        <f>IFERROR(VLOOKUP(Tabla1[[#This Row],[SISMED]],TblDisponibilidad[],20,FALSE), 0)</f>
        <v>0</v>
      </c>
      <c r="Q13">
        <f>IFERROR(VLOOKUP(Tabla1[[#This Row],[SISMED]],TblDisponibilidad[],21,FALSE), 0)</f>
        <v>0</v>
      </c>
      <c r="R13">
        <f>IFERROR(VLOOKUP(Tabla1[[#This Row],[SISMED]],TblDisponibilidad[],22,FALSE), 0)</f>
        <v>0</v>
      </c>
      <c r="S13" s="15">
        <f>IFERROR(VLOOKUP(Tabla1[[#This Row],[SISMED]],TblDisponibilidad[],23,FALSE), 0)</f>
        <v>0</v>
      </c>
    </row>
    <row r="14" spans="1:19" x14ac:dyDescent="0.3">
      <c r="A14" s="15" t="s">
        <v>44</v>
      </c>
      <c r="B14" t="str">
        <f>IFERROR(VLOOKUP(Tabla1[[#This Row],[SISMED]],TblDisponibilidad[],2,FALSE), "")</f>
        <v/>
      </c>
      <c r="C14">
        <f>IFERROR(VLOOKUP(Tabla1[[#This Row],[SISMED]],TblDisponibilidad[],7,FALSE), 0)</f>
        <v>0</v>
      </c>
      <c r="D14">
        <f>IFERROR(VLOOKUP(Tabla1[[#This Row],[SISMED]],TblDisponibilidad[],8,FALSE), 0)</f>
        <v>0</v>
      </c>
      <c r="E14">
        <f>IFERROR(VLOOKUP(Tabla1[[#This Row],[SISMED]],TblDisponibilidad[],9,FALSE), 0)</f>
        <v>0</v>
      </c>
      <c r="F14">
        <f>IFERROR(VLOOKUP(Tabla1[[#This Row],[SISMED]],TblDisponibilidad[],10,FALSE), 0)</f>
        <v>0</v>
      </c>
      <c r="G14">
        <f>IFERROR(VLOOKUP(Tabla1[[#This Row],[SISMED]],TblDisponibilidad[],11,FALSE), 0)</f>
        <v>0</v>
      </c>
      <c r="H14">
        <f>IFERROR(VLOOKUP(Tabla1[[#This Row],[SISMED]],TblDisponibilidad[],12,FALSE), 0)</f>
        <v>0</v>
      </c>
      <c r="I14">
        <f>IFERROR(VLOOKUP(Tabla1[[#This Row],[SISMED]],TblDisponibilidad[],13,FALSE), 0)</f>
        <v>0</v>
      </c>
      <c r="J14">
        <f>IFERROR(VLOOKUP(Tabla1[[#This Row],[SISMED]],TblDisponibilidad[],14,FALSE), 0)</f>
        <v>0</v>
      </c>
      <c r="K14">
        <f>IFERROR(VLOOKUP(Tabla1[[#This Row],[SISMED]],TblDisponibilidad[],15,FALSE), 0)</f>
        <v>0</v>
      </c>
      <c r="L14">
        <f>IFERROR(VLOOKUP(Tabla1[[#This Row],[SISMED]],TblDisponibilidad[],16,FALSE), 0)</f>
        <v>0</v>
      </c>
      <c r="M14">
        <f>IFERROR(VLOOKUP(Tabla1[[#This Row],[SISMED]],TblDisponibilidad[],17,FALSE), 0)</f>
        <v>0</v>
      </c>
      <c r="N14">
        <f>IFERROR(VLOOKUP(Tabla1[[#This Row],[SISMED]],TblDisponibilidad[],18,FALSE), 0)</f>
        <v>0</v>
      </c>
      <c r="O14">
        <f>IFERROR(VLOOKUP(Tabla1[[#This Row],[SISMED]],TblDisponibilidad[],19,FALSE), 0)</f>
        <v>0</v>
      </c>
      <c r="P14">
        <f>IFERROR(VLOOKUP(Tabla1[[#This Row],[SISMED]],TblDisponibilidad[],20,FALSE), 0)</f>
        <v>0</v>
      </c>
      <c r="Q14">
        <f>IFERROR(VLOOKUP(Tabla1[[#This Row],[SISMED]],TblDisponibilidad[],21,FALSE), 0)</f>
        <v>0</v>
      </c>
      <c r="R14">
        <f>IFERROR(VLOOKUP(Tabla1[[#This Row],[SISMED]],TblDisponibilidad[],22,FALSE), 0)</f>
        <v>0</v>
      </c>
      <c r="S14" s="15">
        <f>IFERROR(VLOOKUP(Tabla1[[#This Row],[SISMED]],TblDisponibilidad[],23,FALSE), 0)</f>
        <v>0</v>
      </c>
    </row>
    <row r="15" spans="1:19" x14ac:dyDescent="0.3">
      <c r="A15" s="15" t="s">
        <v>45</v>
      </c>
      <c r="B15" t="str">
        <f>IFERROR(VLOOKUP(Tabla1[[#This Row],[SISMED]],TblDisponibilidad[],2,FALSE), "")</f>
        <v/>
      </c>
      <c r="C15">
        <f>IFERROR(VLOOKUP(Tabla1[[#This Row],[SISMED]],TblDisponibilidad[],7,FALSE), 0)</f>
        <v>0</v>
      </c>
      <c r="D15">
        <f>IFERROR(VLOOKUP(Tabla1[[#This Row],[SISMED]],TblDisponibilidad[],8,FALSE), 0)</f>
        <v>0</v>
      </c>
      <c r="E15">
        <f>IFERROR(VLOOKUP(Tabla1[[#This Row],[SISMED]],TblDisponibilidad[],9,FALSE), 0)</f>
        <v>0</v>
      </c>
      <c r="F15">
        <f>IFERROR(VLOOKUP(Tabla1[[#This Row],[SISMED]],TblDisponibilidad[],10,FALSE), 0)</f>
        <v>0</v>
      </c>
      <c r="G15">
        <f>IFERROR(VLOOKUP(Tabla1[[#This Row],[SISMED]],TblDisponibilidad[],11,FALSE), 0)</f>
        <v>0</v>
      </c>
      <c r="H15">
        <f>IFERROR(VLOOKUP(Tabla1[[#This Row],[SISMED]],TblDisponibilidad[],12,FALSE), 0)</f>
        <v>0</v>
      </c>
      <c r="I15">
        <f>IFERROR(VLOOKUP(Tabla1[[#This Row],[SISMED]],TblDisponibilidad[],13,FALSE), 0)</f>
        <v>0</v>
      </c>
      <c r="J15">
        <f>IFERROR(VLOOKUP(Tabla1[[#This Row],[SISMED]],TblDisponibilidad[],14,FALSE), 0)</f>
        <v>0</v>
      </c>
      <c r="K15">
        <f>IFERROR(VLOOKUP(Tabla1[[#This Row],[SISMED]],TblDisponibilidad[],15,FALSE), 0)</f>
        <v>0</v>
      </c>
      <c r="L15">
        <f>IFERROR(VLOOKUP(Tabla1[[#This Row],[SISMED]],TblDisponibilidad[],16,FALSE), 0)</f>
        <v>0</v>
      </c>
      <c r="M15">
        <f>IFERROR(VLOOKUP(Tabla1[[#This Row],[SISMED]],TblDisponibilidad[],17,FALSE), 0)</f>
        <v>0</v>
      </c>
      <c r="N15">
        <f>IFERROR(VLOOKUP(Tabla1[[#This Row],[SISMED]],TblDisponibilidad[],18,FALSE), 0)</f>
        <v>0</v>
      </c>
      <c r="O15">
        <f>IFERROR(VLOOKUP(Tabla1[[#This Row],[SISMED]],TblDisponibilidad[],19,FALSE), 0)</f>
        <v>0</v>
      </c>
      <c r="P15">
        <f>IFERROR(VLOOKUP(Tabla1[[#This Row],[SISMED]],TblDisponibilidad[],20,FALSE), 0)</f>
        <v>0</v>
      </c>
      <c r="Q15">
        <f>IFERROR(VLOOKUP(Tabla1[[#This Row],[SISMED]],TblDisponibilidad[],21,FALSE), 0)</f>
        <v>0</v>
      </c>
      <c r="R15">
        <f>IFERROR(VLOOKUP(Tabla1[[#This Row],[SISMED]],TblDisponibilidad[],22,FALSE), 0)</f>
        <v>0</v>
      </c>
      <c r="S15" s="15">
        <f>IFERROR(VLOOKUP(Tabla1[[#This Row],[SISMED]],TblDisponibilidad[],23,FALSE), 0)</f>
        <v>0</v>
      </c>
    </row>
    <row r="16" spans="1:19" x14ac:dyDescent="0.3">
      <c r="A16" s="15" t="s">
        <v>46</v>
      </c>
      <c r="B16" t="str">
        <f>IFERROR(VLOOKUP(Tabla1[[#This Row],[SISMED]],TblDisponibilidad[],2,FALSE), "")</f>
        <v/>
      </c>
      <c r="C16">
        <f>IFERROR(VLOOKUP(Tabla1[[#This Row],[SISMED]],TblDisponibilidad[],7,FALSE), 0)</f>
        <v>0</v>
      </c>
      <c r="D16">
        <f>IFERROR(VLOOKUP(Tabla1[[#This Row],[SISMED]],TblDisponibilidad[],8,FALSE), 0)</f>
        <v>0</v>
      </c>
      <c r="E16">
        <f>IFERROR(VLOOKUP(Tabla1[[#This Row],[SISMED]],TblDisponibilidad[],9,FALSE), 0)</f>
        <v>0</v>
      </c>
      <c r="F16">
        <f>IFERROR(VLOOKUP(Tabla1[[#This Row],[SISMED]],TblDisponibilidad[],10,FALSE), 0)</f>
        <v>0</v>
      </c>
      <c r="G16">
        <f>IFERROR(VLOOKUP(Tabla1[[#This Row],[SISMED]],TblDisponibilidad[],11,FALSE), 0)</f>
        <v>0</v>
      </c>
      <c r="H16">
        <f>IFERROR(VLOOKUP(Tabla1[[#This Row],[SISMED]],TblDisponibilidad[],12,FALSE), 0)</f>
        <v>0</v>
      </c>
      <c r="I16">
        <f>IFERROR(VLOOKUP(Tabla1[[#This Row],[SISMED]],TblDisponibilidad[],13,FALSE), 0)</f>
        <v>0</v>
      </c>
      <c r="J16">
        <f>IFERROR(VLOOKUP(Tabla1[[#This Row],[SISMED]],TblDisponibilidad[],14,FALSE), 0)</f>
        <v>0</v>
      </c>
      <c r="K16">
        <f>IFERROR(VLOOKUP(Tabla1[[#This Row],[SISMED]],TblDisponibilidad[],15,FALSE), 0)</f>
        <v>0</v>
      </c>
      <c r="L16">
        <f>IFERROR(VLOOKUP(Tabla1[[#This Row],[SISMED]],TblDisponibilidad[],16,FALSE), 0)</f>
        <v>0</v>
      </c>
      <c r="M16">
        <f>IFERROR(VLOOKUP(Tabla1[[#This Row],[SISMED]],TblDisponibilidad[],17,FALSE), 0)</f>
        <v>0</v>
      </c>
      <c r="N16">
        <f>IFERROR(VLOOKUP(Tabla1[[#This Row],[SISMED]],TblDisponibilidad[],18,FALSE), 0)</f>
        <v>0</v>
      </c>
      <c r="O16">
        <f>IFERROR(VLOOKUP(Tabla1[[#This Row],[SISMED]],TblDisponibilidad[],19,FALSE), 0)</f>
        <v>0</v>
      </c>
      <c r="P16">
        <f>IFERROR(VLOOKUP(Tabla1[[#This Row],[SISMED]],TblDisponibilidad[],20,FALSE), 0)</f>
        <v>0</v>
      </c>
      <c r="Q16">
        <f>IFERROR(VLOOKUP(Tabla1[[#This Row],[SISMED]],TblDisponibilidad[],21,FALSE), 0)</f>
        <v>0</v>
      </c>
      <c r="R16">
        <f>IFERROR(VLOOKUP(Tabla1[[#This Row],[SISMED]],TblDisponibilidad[],22,FALSE), 0)</f>
        <v>0</v>
      </c>
      <c r="S16" s="15">
        <f>IFERROR(VLOOKUP(Tabla1[[#This Row],[SISMED]],TblDisponibilidad[],23,FALSE), 0)</f>
        <v>0</v>
      </c>
    </row>
    <row r="17" spans="1:19" x14ac:dyDescent="0.3">
      <c r="A17" s="15" t="s">
        <v>47</v>
      </c>
      <c r="B17" t="str">
        <f>IFERROR(VLOOKUP(Tabla1[[#This Row],[SISMED]],TblDisponibilidad[],2,FALSE), "")</f>
        <v/>
      </c>
      <c r="C17">
        <f>IFERROR(VLOOKUP(Tabla1[[#This Row],[SISMED]],TblDisponibilidad[],7,FALSE), 0)</f>
        <v>0</v>
      </c>
      <c r="D17">
        <f>IFERROR(VLOOKUP(Tabla1[[#This Row],[SISMED]],TblDisponibilidad[],8,FALSE), 0)</f>
        <v>0</v>
      </c>
      <c r="E17">
        <f>IFERROR(VLOOKUP(Tabla1[[#This Row],[SISMED]],TblDisponibilidad[],9,FALSE), 0)</f>
        <v>0</v>
      </c>
      <c r="F17">
        <f>IFERROR(VLOOKUP(Tabla1[[#This Row],[SISMED]],TblDisponibilidad[],10,FALSE), 0)</f>
        <v>0</v>
      </c>
      <c r="G17">
        <f>IFERROR(VLOOKUP(Tabla1[[#This Row],[SISMED]],TblDisponibilidad[],11,FALSE), 0)</f>
        <v>0</v>
      </c>
      <c r="H17">
        <f>IFERROR(VLOOKUP(Tabla1[[#This Row],[SISMED]],TblDisponibilidad[],12,FALSE), 0)</f>
        <v>0</v>
      </c>
      <c r="I17">
        <f>IFERROR(VLOOKUP(Tabla1[[#This Row],[SISMED]],TblDisponibilidad[],13,FALSE), 0)</f>
        <v>0</v>
      </c>
      <c r="J17">
        <f>IFERROR(VLOOKUP(Tabla1[[#This Row],[SISMED]],TblDisponibilidad[],14,FALSE), 0)</f>
        <v>0</v>
      </c>
      <c r="K17">
        <f>IFERROR(VLOOKUP(Tabla1[[#This Row],[SISMED]],TblDisponibilidad[],15,FALSE), 0)</f>
        <v>0</v>
      </c>
      <c r="L17">
        <f>IFERROR(VLOOKUP(Tabla1[[#This Row],[SISMED]],TblDisponibilidad[],16,FALSE), 0)</f>
        <v>0</v>
      </c>
      <c r="M17">
        <f>IFERROR(VLOOKUP(Tabla1[[#This Row],[SISMED]],TblDisponibilidad[],17,FALSE), 0)</f>
        <v>0</v>
      </c>
      <c r="N17">
        <f>IFERROR(VLOOKUP(Tabla1[[#This Row],[SISMED]],TblDisponibilidad[],18,FALSE), 0)</f>
        <v>0</v>
      </c>
      <c r="O17">
        <f>IFERROR(VLOOKUP(Tabla1[[#This Row],[SISMED]],TblDisponibilidad[],19,FALSE), 0)</f>
        <v>0</v>
      </c>
      <c r="P17">
        <f>IFERROR(VLOOKUP(Tabla1[[#This Row],[SISMED]],TblDisponibilidad[],20,FALSE), 0)</f>
        <v>0</v>
      </c>
      <c r="Q17">
        <f>IFERROR(VLOOKUP(Tabla1[[#This Row],[SISMED]],TblDisponibilidad[],21,FALSE), 0)</f>
        <v>0</v>
      </c>
      <c r="R17">
        <f>IFERROR(VLOOKUP(Tabla1[[#This Row],[SISMED]],TblDisponibilidad[],22,FALSE), 0)</f>
        <v>0</v>
      </c>
      <c r="S17" s="15">
        <f>IFERROR(VLOOKUP(Tabla1[[#This Row],[SISMED]],TblDisponibilidad[],23,FALSE), 0)</f>
        <v>0</v>
      </c>
    </row>
    <row r="18" spans="1:19" x14ac:dyDescent="0.3">
      <c r="A18" s="15" t="s">
        <v>48</v>
      </c>
      <c r="B18" t="str">
        <f>IFERROR(VLOOKUP(Tabla1[[#This Row],[SISMED]],TblDisponibilidad[],2,FALSE), "")</f>
        <v/>
      </c>
      <c r="C18">
        <f>IFERROR(VLOOKUP(Tabla1[[#This Row],[SISMED]],TblDisponibilidad[],7,FALSE), 0)</f>
        <v>0</v>
      </c>
      <c r="D18">
        <f>IFERROR(VLOOKUP(Tabla1[[#This Row],[SISMED]],TblDisponibilidad[],8,FALSE), 0)</f>
        <v>0</v>
      </c>
      <c r="E18">
        <f>IFERROR(VLOOKUP(Tabla1[[#This Row],[SISMED]],TblDisponibilidad[],9,FALSE), 0)</f>
        <v>0</v>
      </c>
      <c r="F18">
        <f>IFERROR(VLOOKUP(Tabla1[[#This Row],[SISMED]],TblDisponibilidad[],10,FALSE), 0)</f>
        <v>0</v>
      </c>
      <c r="G18">
        <f>IFERROR(VLOOKUP(Tabla1[[#This Row],[SISMED]],TblDisponibilidad[],11,FALSE), 0)</f>
        <v>0</v>
      </c>
      <c r="H18">
        <f>IFERROR(VLOOKUP(Tabla1[[#This Row],[SISMED]],TblDisponibilidad[],12,FALSE), 0)</f>
        <v>0</v>
      </c>
      <c r="I18">
        <f>IFERROR(VLOOKUP(Tabla1[[#This Row],[SISMED]],TblDisponibilidad[],13,FALSE), 0)</f>
        <v>0</v>
      </c>
      <c r="J18">
        <f>IFERROR(VLOOKUP(Tabla1[[#This Row],[SISMED]],TblDisponibilidad[],14,FALSE), 0)</f>
        <v>0</v>
      </c>
      <c r="K18">
        <f>IFERROR(VLOOKUP(Tabla1[[#This Row],[SISMED]],TblDisponibilidad[],15,FALSE), 0)</f>
        <v>0</v>
      </c>
      <c r="L18">
        <f>IFERROR(VLOOKUP(Tabla1[[#This Row],[SISMED]],TblDisponibilidad[],16,FALSE), 0)</f>
        <v>0</v>
      </c>
      <c r="M18">
        <f>IFERROR(VLOOKUP(Tabla1[[#This Row],[SISMED]],TblDisponibilidad[],17,FALSE), 0)</f>
        <v>0</v>
      </c>
      <c r="N18">
        <f>IFERROR(VLOOKUP(Tabla1[[#This Row],[SISMED]],TblDisponibilidad[],18,FALSE), 0)</f>
        <v>0</v>
      </c>
      <c r="O18">
        <f>IFERROR(VLOOKUP(Tabla1[[#This Row],[SISMED]],TblDisponibilidad[],19,FALSE), 0)</f>
        <v>0</v>
      </c>
      <c r="P18">
        <f>IFERROR(VLOOKUP(Tabla1[[#This Row],[SISMED]],TblDisponibilidad[],20,FALSE), 0)</f>
        <v>0</v>
      </c>
      <c r="Q18">
        <f>IFERROR(VLOOKUP(Tabla1[[#This Row],[SISMED]],TblDisponibilidad[],21,FALSE), 0)</f>
        <v>0</v>
      </c>
      <c r="R18">
        <f>IFERROR(VLOOKUP(Tabla1[[#This Row],[SISMED]],TblDisponibilidad[],22,FALSE), 0)</f>
        <v>0</v>
      </c>
      <c r="S18" s="15">
        <f>IFERROR(VLOOKUP(Tabla1[[#This Row],[SISMED]],TblDisponibilidad[],23,FALSE), 0)</f>
        <v>0</v>
      </c>
    </row>
    <row r="19" spans="1:19" x14ac:dyDescent="0.3">
      <c r="A19" s="15" t="s">
        <v>49</v>
      </c>
      <c r="B19" t="str">
        <f>IFERROR(VLOOKUP(Tabla1[[#This Row],[SISMED]],TblDisponibilidad[],2,FALSE), "")</f>
        <v/>
      </c>
      <c r="C19">
        <f>IFERROR(VLOOKUP(Tabla1[[#This Row],[SISMED]],TblDisponibilidad[],7,FALSE), 0)</f>
        <v>0</v>
      </c>
      <c r="D19">
        <f>IFERROR(VLOOKUP(Tabla1[[#This Row],[SISMED]],TblDisponibilidad[],8,FALSE), 0)</f>
        <v>0</v>
      </c>
      <c r="E19">
        <f>IFERROR(VLOOKUP(Tabla1[[#This Row],[SISMED]],TblDisponibilidad[],9,FALSE), 0)</f>
        <v>0</v>
      </c>
      <c r="F19">
        <f>IFERROR(VLOOKUP(Tabla1[[#This Row],[SISMED]],TblDisponibilidad[],10,FALSE), 0)</f>
        <v>0</v>
      </c>
      <c r="G19">
        <f>IFERROR(VLOOKUP(Tabla1[[#This Row],[SISMED]],TblDisponibilidad[],11,FALSE), 0)</f>
        <v>0</v>
      </c>
      <c r="H19">
        <f>IFERROR(VLOOKUP(Tabla1[[#This Row],[SISMED]],TblDisponibilidad[],12,FALSE), 0)</f>
        <v>0</v>
      </c>
      <c r="I19">
        <f>IFERROR(VLOOKUP(Tabla1[[#This Row],[SISMED]],TblDisponibilidad[],13,FALSE), 0)</f>
        <v>0</v>
      </c>
      <c r="J19">
        <f>IFERROR(VLOOKUP(Tabla1[[#This Row],[SISMED]],TblDisponibilidad[],14,FALSE), 0)</f>
        <v>0</v>
      </c>
      <c r="K19">
        <f>IFERROR(VLOOKUP(Tabla1[[#This Row],[SISMED]],TblDisponibilidad[],15,FALSE), 0)</f>
        <v>0</v>
      </c>
      <c r="L19">
        <f>IFERROR(VLOOKUP(Tabla1[[#This Row],[SISMED]],TblDisponibilidad[],16,FALSE), 0)</f>
        <v>0</v>
      </c>
      <c r="M19">
        <f>IFERROR(VLOOKUP(Tabla1[[#This Row],[SISMED]],TblDisponibilidad[],17,FALSE), 0)</f>
        <v>0</v>
      </c>
      <c r="N19">
        <f>IFERROR(VLOOKUP(Tabla1[[#This Row],[SISMED]],TblDisponibilidad[],18,FALSE), 0)</f>
        <v>0</v>
      </c>
      <c r="O19">
        <f>IFERROR(VLOOKUP(Tabla1[[#This Row],[SISMED]],TblDisponibilidad[],19,FALSE), 0)</f>
        <v>0</v>
      </c>
      <c r="P19">
        <f>IFERROR(VLOOKUP(Tabla1[[#This Row],[SISMED]],TblDisponibilidad[],20,FALSE), 0)</f>
        <v>0</v>
      </c>
      <c r="Q19">
        <f>IFERROR(VLOOKUP(Tabla1[[#This Row],[SISMED]],TblDisponibilidad[],21,FALSE), 0)</f>
        <v>0</v>
      </c>
      <c r="R19">
        <f>IFERROR(VLOOKUP(Tabla1[[#This Row],[SISMED]],TblDisponibilidad[],22,FALSE), 0)</f>
        <v>0</v>
      </c>
      <c r="S19" s="15">
        <f>IFERROR(VLOOKUP(Tabla1[[#This Row],[SISMED]],TblDisponibilidad[],23,FALSE), 0)</f>
        <v>0</v>
      </c>
    </row>
    <row r="20" spans="1:19" x14ac:dyDescent="0.3">
      <c r="A20" s="15" t="s">
        <v>50</v>
      </c>
      <c r="B20" t="str">
        <f>IFERROR(VLOOKUP(Tabla1[[#This Row],[SISMED]],TblDisponibilidad[],2,FALSE), "")</f>
        <v/>
      </c>
      <c r="C20">
        <f>IFERROR(VLOOKUP(Tabla1[[#This Row],[SISMED]],TblDisponibilidad[],7,FALSE), 0)</f>
        <v>0</v>
      </c>
      <c r="D20">
        <f>IFERROR(VLOOKUP(Tabla1[[#This Row],[SISMED]],TblDisponibilidad[],8,FALSE), 0)</f>
        <v>0</v>
      </c>
      <c r="E20">
        <f>IFERROR(VLOOKUP(Tabla1[[#This Row],[SISMED]],TblDisponibilidad[],9,FALSE), 0)</f>
        <v>0</v>
      </c>
      <c r="F20">
        <f>IFERROR(VLOOKUP(Tabla1[[#This Row],[SISMED]],TblDisponibilidad[],10,FALSE), 0)</f>
        <v>0</v>
      </c>
      <c r="G20">
        <f>IFERROR(VLOOKUP(Tabla1[[#This Row],[SISMED]],TblDisponibilidad[],11,FALSE), 0)</f>
        <v>0</v>
      </c>
      <c r="H20">
        <f>IFERROR(VLOOKUP(Tabla1[[#This Row],[SISMED]],TblDisponibilidad[],12,FALSE), 0)</f>
        <v>0</v>
      </c>
      <c r="I20">
        <f>IFERROR(VLOOKUP(Tabla1[[#This Row],[SISMED]],TblDisponibilidad[],13,FALSE), 0)</f>
        <v>0</v>
      </c>
      <c r="J20">
        <f>IFERROR(VLOOKUP(Tabla1[[#This Row],[SISMED]],TblDisponibilidad[],14,FALSE), 0)</f>
        <v>0</v>
      </c>
      <c r="K20">
        <f>IFERROR(VLOOKUP(Tabla1[[#This Row],[SISMED]],TblDisponibilidad[],15,FALSE), 0)</f>
        <v>0</v>
      </c>
      <c r="L20">
        <f>IFERROR(VLOOKUP(Tabla1[[#This Row],[SISMED]],TblDisponibilidad[],16,FALSE), 0)</f>
        <v>0</v>
      </c>
      <c r="M20">
        <f>IFERROR(VLOOKUP(Tabla1[[#This Row],[SISMED]],TblDisponibilidad[],17,FALSE), 0)</f>
        <v>0</v>
      </c>
      <c r="N20">
        <f>IFERROR(VLOOKUP(Tabla1[[#This Row],[SISMED]],TblDisponibilidad[],18,FALSE), 0)</f>
        <v>0</v>
      </c>
      <c r="O20">
        <f>IFERROR(VLOOKUP(Tabla1[[#This Row],[SISMED]],TblDisponibilidad[],19,FALSE), 0)</f>
        <v>0</v>
      </c>
      <c r="P20">
        <f>IFERROR(VLOOKUP(Tabla1[[#This Row],[SISMED]],TblDisponibilidad[],20,FALSE), 0)</f>
        <v>0</v>
      </c>
      <c r="Q20">
        <f>IFERROR(VLOOKUP(Tabla1[[#This Row],[SISMED]],TblDisponibilidad[],21,FALSE), 0)</f>
        <v>0</v>
      </c>
      <c r="R20">
        <f>IFERROR(VLOOKUP(Tabla1[[#This Row],[SISMED]],TblDisponibilidad[],22,FALSE), 0)</f>
        <v>0</v>
      </c>
      <c r="S20" s="15">
        <f>IFERROR(VLOOKUP(Tabla1[[#This Row],[SISMED]],TblDisponibilidad[],23,FALSE), 0)</f>
        <v>0</v>
      </c>
    </row>
    <row r="21" spans="1:19" x14ac:dyDescent="0.3">
      <c r="A21" s="15" t="s">
        <v>51</v>
      </c>
      <c r="B21" t="str">
        <f>IFERROR(VLOOKUP(Tabla1[[#This Row],[SISMED]],TblDisponibilidad[],2,FALSE), "")</f>
        <v/>
      </c>
      <c r="C21">
        <f>IFERROR(VLOOKUP(Tabla1[[#This Row],[SISMED]],TblDisponibilidad[],7,FALSE), 0)</f>
        <v>0</v>
      </c>
      <c r="D21">
        <f>IFERROR(VLOOKUP(Tabla1[[#This Row],[SISMED]],TblDisponibilidad[],8,FALSE), 0)</f>
        <v>0</v>
      </c>
      <c r="E21">
        <f>IFERROR(VLOOKUP(Tabla1[[#This Row],[SISMED]],TblDisponibilidad[],9,FALSE), 0)</f>
        <v>0</v>
      </c>
      <c r="F21">
        <f>IFERROR(VLOOKUP(Tabla1[[#This Row],[SISMED]],TblDisponibilidad[],10,FALSE), 0)</f>
        <v>0</v>
      </c>
      <c r="G21">
        <f>IFERROR(VLOOKUP(Tabla1[[#This Row],[SISMED]],TblDisponibilidad[],11,FALSE), 0)</f>
        <v>0</v>
      </c>
      <c r="H21">
        <f>IFERROR(VLOOKUP(Tabla1[[#This Row],[SISMED]],TblDisponibilidad[],12,FALSE), 0)</f>
        <v>0</v>
      </c>
      <c r="I21">
        <f>IFERROR(VLOOKUP(Tabla1[[#This Row],[SISMED]],TblDisponibilidad[],13,FALSE), 0)</f>
        <v>0</v>
      </c>
      <c r="J21">
        <f>IFERROR(VLOOKUP(Tabla1[[#This Row],[SISMED]],TblDisponibilidad[],14,FALSE), 0)</f>
        <v>0</v>
      </c>
      <c r="K21">
        <f>IFERROR(VLOOKUP(Tabla1[[#This Row],[SISMED]],TblDisponibilidad[],15,FALSE), 0)</f>
        <v>0</v>
      </c>
      <c r="L21">
        <f>IFERROR(VLOOKUP(Tabla1[[#This Row],[SISMED]],TblDisponibilidad[],16,FALSE), 0)</f>
        <v>0</v>
      </c>
      <c r="M21">
        <f>IFERROR(VLOOKUP(Tabla1[[#This Row],[SISMED]],TblDisponibilidad[],17,FALSE), 0)</f>
        <v>0</v>
      </c>
      <c r="N21">
        <f>IFERROR(VLOOKUP(Tabla1[[#This Row],[SISMED]],TblDisponibilidad[],18,FALSE), 0)</f>
        <v>0</v>
      </c>
      <c r="O21">
        <f>IFERROR(VLOOKUP(Tabla1[[#This Row],[SISMED]],TblDisponibilidad[],19,FALSE), 0)</f>
        <v>0</v>
      </c>
      <c r="P21">
        <f>IFERROR(VLOOKUP(Tabla1[[#This Row],[SISMED]],TblDisponibilidad[],20,FALSE), 0)</f>
        <v>0</v>
      </c>
      <c r="Q21">
        <f>IFERROR(VLOOKUP(Tabla1[[#This Row],[SISMED]],TblDisponibilidad[],21,FALSE), 0)</f>
        <v>0</v>
      </c>
      <c r="R21">
        <f>IFERROR(VLOOKUP(Tabla1[[#This Row],[SISMED]],TblDisponibilidad[],22,FALSE), 0)</f>
        <v>0</v>
      </c>
      <c r="S21" s="15">
        <f>IFERROR(VLOOKUP(Tabla1[[#This Row],[SISMED]],TblDisponibilidad[],23,FALSE), 0)</f>
        <v>0</v>
      </c>
    </row>
    <row r="22" spans="1:19" x14ac:dyDescent="0.3">
      <c r="A22" s="15" t="s">
        <v>52</v>
      </c>
      <c r="B22" t="str">
        <f>IFERROR(VLOOKUP(Tabla1[[#This Row],[SISMED]],TblDisponibilidad[],2,FALSE), "")</f>
        <v/>
      </c>
      <c r="C22">
        <f>IFERROR(VLOOKUP(Tabla1[[#This Row],[SISMED]],TblDisponibilidad[],7,FALSE), 0)</f>
        <v>0</v>
      </c>
      <c r="D22">
        <f>IFERROR(VLOOKUP(Tabla1[[#This Row],[SISMED]],TblDisponibilidad[],8,FALSE), 0)</f>
        <v>0</v>
      </c>
      <c r="E22">
        <f>IFERROR(VLOOKUP(Tabla1[[#This Row],[SISMED]],TblDisponibilidad[],9,FALSE), 0)</f>
        <v>0</v>
      </c>
      <c r="F22">
        <f>IFERROR(VLOOKUP(Tabla1[[#This Row],[SISMED]],TblDisponibilidad[],10,FALSE), 0)</f>
        <v>0</v>
      </c>
      <c r="G22">
        <f>IFERROR(VLOOKUP(Tabla1[[#This Row],[SISMED]],TblDisponibilidad[],11,FALSE), 0)</f>
        <v>0</v>
      </c>
      <c r="H22">
        <f>IFERROR(VLOOKUP(Tabla1[[#This Row],[SISMED]],TblDisponibilidad[],12,FALSE), 0)</f>
        <v>0</v>
      </c>
      <c r="I22">
        <f>IFERROR(VLOOKUP(Tabla1[[#This Row],[SISMED]],TblDisponibilidad[],13,FALSE), 0)</f>
        <v>0</v>
      </c>
      <c r="J22">
        <f>IFERROR(VLOOKUP(Tabla1[[#This Row],[SISMED]],TblDisponibilidad[],14,FALSE), 0)</f>
        <v>0</v>
      </c>
      <c r="K22">
        <f>IFERROR(VLOOKUP(Tabla1[[#This Row],[SISMED]],TblDisponibilidad[],15,FALSE), 0)</f>
        <v>0</v>
      </c>
      <c r="L22">
        <f>IFERROR(VLOOKUP(Tabla1[[#This Row],[SISMED]],TblDisponibilidad[],16,FALSE), 0)</f>
        <v>0</v>
      </c>
      <c r="M22">
        <f>IFERROR(VLOOKUP(Tabla1[[#This Row],[SISMED]],TblDisponibilidad[],17,FALSE), 0)</f>
        <v>0</v>
      </c>
      <c r="N22">
        <f>IFERROR(VLOOKUP(Tabla1[[#This Row],[SISMED]],TblDisponibilidad[],18,FALSE), 0)</f>
        <v>0</v>
      </c>
      <c r="O22">
        <f>IFERROR(VLOOKUP(Tabla1[[#This Row],[SISMED]],TblDisponibilidad[],19,FALSE), 0)</f>
        <v>0</v>
      </c>
      <c r="P22">
        <f>IFERROR(VLOOKUP(Tabla1[[#This Row],[SISMED]],TblDisponibilidad[],20,FALSE), 0)</f>
        <v>0</v>
      </c>
      <c r="Q22">
        <f>IFERROR(VLOOKUP(Tabla1[[#This Row],[SISMED]],TblDisponibilidad[],21,FALSE), 0)</f>
        <v>0</v>
      </c>
      <c r="R22">
        <f>IFERROR(VLOOKUP(Tabla1[[#This Row],[SISMED]],TblDisponibilidad[],22,FALSE), 0)</f>
        <v>0</v>
      </c>
      <c r="S22" s="15">
        <f>IFERROR(VLOOKUP(Tabla1[[#This Row],[SISMED]],TblDisponibilidad[],23,FALSE), 0)</f>
        <v>0</v>
      </c>
    </row>
    <row r="23" spans="1:19" x14ac:dyDescent="0.3">
      <c r="A23" s="15" t="s">
        <v>53</v>
      </c>
      <c r="B23" t="str">
        <f>IFERROR(VLOOKUP(Tabla1[[#This Row],[SISMED]],TblDisponibilidad[],2,FALSE), "")</f>
        <v/>
      </c>
      <c r="C23">
        <f>IFERROR(VLOOKUP(Tabla1[[#This Row],[SISMED]],TblDisponibilidad[],7,FALSE), 0)</f>
        <v>0</v>
      </c>
      <c r="D23">
        <f>IFERROR(VLOOKUP(Tabla1[[#This Row],[SISMED]],TblDisponibilidad[],8,FALSE), 0)</f>
        <v>0</v>
      </c>
      <c r="E23">
        <f>IFERROR(VLOOKUP(Tabla1[[#This Row],[SISMED]],TblDisponibilidad[],9,FALSE), 0)</f>
        <v>0</v>
      </c>
      <c r="F23">
        <f>IFERROR(VLOOKUP(Tabla1[[#This Row],[SISMED]],TblDisponibilidad[],10,FALSE), 0)</f>
        <v>0</v>
      </c>
      <c r="G23">
        <f>IFERROR(VLOOKUP(Tabla1[[#This Row],[SISMED]],TblDisponibilidad[],11,FALSE), 0)</f>
        <v>0</v>
      </c>
      <c r="H23">
        <f>IFERROR(VLOOKUP(Tabla1[[#This Row],[SISMED]],TblDisponibilidad[],12,FALSE), 0)</f>
        <v>0</v>
      </c>
      <c r="I23">
        <f>IFERROR(VLOOKUP(Tabla1[[#This Row],[SISMED]],TblDisponibilidad[],13,FALSE), 0)</f>
        <v>0</v>
      </c>
      <c r="J23">
        <f>IFERROR(VLOOKUP(Tabla1[[#This Row],[SISMED]],TblDisponibilidad[],14,FALSE), 0)</f>
        <v>0</v>
      </c>
      <c r="K23">
        <f>IFERROR(VLOOKUP(Tabla1[[#This Row],[SISMED]],TblDisponibilidad[],15,FALSE), 0)</f>
        <v>0</v>
      </c>
      <c r="L23">
        <f>IFERROR(VLOOKUP(Tabla1[[#This Row],[SISMED]],TblDisponibilidad[],16,FALSE), 0)</f>
        <v>0</v>
      </c>
      <c r="M23">
        <f>IFERROR(VLOOKUP(Tabla1[[#This Row],[SISMED]],TblDisponibilidad[],17,FALSE), 0)</f>
        <v>0</v>
      </c>
      <c r="N23">
        <f>IFERROR(VLOOKUP(Tabla1[[#This Row],[SISMED]],TblDisponibilidad[],18,FALSE), 0)</f>
        <v>0</v>
      </c>
      <c r="O23">
        <f>IFERROR(VLOOKUP(Tabla1[[#This Row],[SISMED]],TblDisponibilidad[],19,FALSE), 0)</f>
        <v>0</v>
      </c>
      <c r="P23">
        <f>IFERROR(VLOOKUP(Tabla1[[#This Row],[SISMED]],TblDisponibilidad[],20,FALSE), 0)</f>
        <v>0</v>
      </c>
      <c r="Q23">
        <f>IFERROR(VLOOKUP(Tabla1[[#This Row],[SISMED]],TblDisponibilidad[],21,FALSE), 0)</f>
        <v>0</v>
      </c>
      <c r="R23">
        <f>IFERROR(VLOOKUP(Tabla1[[#This Row],[SISMED]],TblDisponibilidad[],22,FALSE), 0)</f>
        <v>0</v>
      </c>
      <c r="S23" s="15">
        <f>IFERROR(VLOOKUP(Tabla1[[#This Row],[SISMED]],TblDisponibilidad[],23,FALSE), 0)</f>
        <v>0</v>
      </c>
    </row>
    <row r="24" spans="1:19" x14ac:dyDescent="0.3">
      <c r="A24" s="15" t="s">
        <v>54</v>
      </c>
      <c r="B24" t="str">
        <f>IFERROR(VLOOKUP(Tabla1[[#This Row],[SISMED]],TblDisponibilidad[],2,FALSE), "")</f>
        <v/>
      </c>
      <c r="C24">
        <f>IFERROR(VLOOKUP(Tabla1[[#This Row],[SISMED]],TblDisponibilidad[],7,FALSE), 0)</f>
        <v>0</v>
      </c>
      <c r="D24">
        <f>IFERROR(VLOOKUP(Tabla1[[#This Row],[SISMED]],TblDisponibilidad[],8,FALSE), 0)</f>
        <v>0</v>
      </c>
      <c r="E24">
        <f>IFERROR(VLOOKUP(Tabla1[[#This Row],[SISMED]],TblDisponibilidad[],9,FALSE), 0)</f>
        <v>0</v>
      </c>
      <c r="F24">
        <f>IFERROR(VLOOKUP(Tabla1[[#This Row],[SISMED]],TblDisponibilidad[],10,FALSE), 0)</f>
        <v>0</v>
      </c>
      <c r="G24">
        <f>IFERROR(VLOOKUP(Tabla1[[#This Row],[SISMED]],TblDisponibilidad[],11,FALSE), 0)</f>
        <v>0</v>
      </c>
      <c r="H24">
        <f>IFERROR(VLOOKUP(Tabla1[[#This Row],[SISMED]],TblDisponibilidad[],12,FALSE), 0)</f>
        <v>0</v>
      </c>
      <c r="I24">
        <f>IFERROR(VLOOKUP(Tabla1[[#This Row],[SISMED]],TblDisponibilidad[],13,FALSE), 0)</f>
        <v>0</v>
      </c>
      <c r="J24">
        <f>IFERROR(VLOOKUP(Tabla1[[#This Row],[SISMED]],TblDisponibilidad[],14,FALSE), 0)</f>
        <v>0</v>
      </c>
      <c r="K24">
        <f>IFERROR(VLOOKUP(Tabla1[[#This Row],[SISMED]],TblDisponibilidad[],15,FALSE), 0)</f>
        <v>0</v>
      </c>
      <c r="L24">
        <f>IFERROR(VLOOKUP(Tabla1[[#This Row],[SISMED]],TblDisponibilidad[],16,FALSE), 0)</f>
        <v>0</v>
      </c>
      <c r="M24">
        <f>IFERROR(VLOOKUP(Tabla1[[#This Row],[SISMED]],TblDisponibilidad[],17,FALSE), 0)</f>
        <v>0</v>
      </c>
      <c r="N24">
        <f>IFERROR(VLOOKUP(Tabla1[[#This Row],[SISMED]],TblDisponibilidad[],18,FALSE), 0)</f>
        <v>0</v>
      </c>
      <c r="O24">
        <f>IFERROR(VLOOKUP(Tabla1[[#This Row],[SISMED]],TblDisponibilidad[],19,FALSE), 0)</f>
        <v>0</v>
      </c>
      <c r="P24">
        <f>IFERROR(VLOOKUP(Tabla1[[#This Row],[SISMED]],TblDisponibilidad[],20,FALSE), 0)</f>
        <v>0</v>
      </c>
      <c r="Q24">
        <f>IFERROR(VLOOKUP(Tabla1[[#This Row],[SISMED]],TblDisponibilidad[],21,FALSE), 0)</f>
        <v>0</v>
      </c>
      <c r="R24">
        <f>IFERROR(VLOOKUP(Tabla1[[#This Row],[SISMED]],TblDisponibilidad[],22,FALSE), 0)</f>
        <v>0</v>
      </c>
      <c r="S24" s="15">
        <f>IFERROR(VLOOKUP(Tabla1[[#This Row],[SISMED]],TblDisponibilidad[],23,FALSE), 0)</f>
        <v>0</v>
      </c>
    </row>
    <row r="25" spans="1:19" x14ac:dyDescent="0.3">
      <c r="A25" s="15" t="s">
        <v>55</v>
      </c>
      <c r="B25" t="str">
        <f>IFERROR(VLOOKUP(Tabla1[[#This Row],[SISMED]],TblDisponibilidad[],2,FALSE), "")</f>
        <v/>
      </c>
      <c r="C25">
        <f>IFERROR(VLOOKUP(Tabla1[[#This Row],[SISMED]],TblDisponibilidad[],7,FALSE), 0)</f>
        <v>0</v>
      </c>
      <c r="D25">
        <f>IFERROR(VLOOKUP(Tabla1[[#This Row],[SISMED]],TblDisponibilidad[],8,FALSE), 0)</f>
        <v>0</v>
      </c>
      <c r="E25">
        <f>IFERROR(VLOOKUP(Tabla1[[#This Row],[SISMED]],TblDisponibilidad[],9,FALSE), 0)</f>
        <v>0</v>
      </c>
      <c r="F25">
        <f>IFERROR(VLOOKUP(Tabla1[[#This Row],[SISMED]],TblDisponibilidad[],10,FALSE), 0)</f>
        <v>0</v>
      </c>
      <c r="G25">
        <f>IFERROR(VLOOKUP(Tabla1[[#This Row],[SISMED]],TblDisponibilidad[],11,FALSE), 0)</f>
        <v>0</v>
      </c>
      <c r="H25">
        <f>IFERROR(VLOOKUP(Tabla1[[#This Row],[SISMED]],TblDisponibilidad[],12,FALSE), 0)</f>
        <v>0</v>
      </c>
      <c r="I25">
        <f>IFERROR(VLOOKUP(Tabla1[[#This Row],[SISMED]],TblDisponibilidad[],13,FALSE), 0)</f>
        <v>0</v>
      </c>
      <c r="J25">
        <f>IFERROR(VLOOKUP(Tabla1[[#This Row],[SISMED]],TblDisponibilidad[],14,FALSE), 0)</f>
        <v>0</v>
      </c>
      <c r="K25">
        <f>IFERROR(VLOOKUP(Tabla1[[#This Row],[SISMED]],TblDisponibilidad[],15,FALSE), 0)</f>
        <v>0</v>
      </c>
      <c r="L25">
        <f>IFERROR(VLOOKUP(Tabla1[[#This Row],[SISMED]],TblDisponibilidad[],16,FALSE), 0)</f>
        <v>0</v>
      </c>
      <c r="M25">
        <f>IFERROR(VLOOKUP(Tabla1[[#This Row],[SISMED]],TblDisponibilidad[],17,FALSE), 0)</f>
        <v>0</v>
      </c>
      <c r="N25">
        <f>IFERROR(VLOOKUP(Tabla1[[#This Row],[SISMED]],TblDisponibilidad[],18,FALSE), 0)</f>
        <v>0</v>
      </c>
      <c r="O25">
        <f>IFERROR(VLOOKUP(Tabla1[[#This Row],[SISMED]],TblDisponibilidad[],19,FALSE), 0)</f>
        <v>0</v>
      </c>
      <c r="P25">
        <f>IFERROR(VLOOKUP(Tabla1[[#This Row],[SISMED]],TblDisponibilidad[],20,FALSE), 0)</f>
        <v>0</v>
      </c>
      <c r="Q25">
        <f>IFERROR(VLOOKUP(Tabla1[[#This Row],[SISMED]],TblDisponibilidad[],21,FALSE), 0)</f>
        <v>0</v>
      </c>
      <c r="R25">
        <f>IFERROR(VLOOKUP(Tabla1[[#This Row],[SISMED]],TblDisponibilidad[],22,FALSE), 0)</f>
        <v>0</v>
      </c>
      <c r="S25" s="15">
        <f>IFERROR(VLOOKUP(Tabla1[[#This Row],[SISMED]],TblDisponibilidad[],23,FALSE), 0)</f>
        <v>0</v>
      </c>
    </row>
    <row r="26" spans="1:19" x14ac:dyDescent="0.3">
      <c r="A26" s="15" t="s">
        <v>56</v>
      </c>
      <c r="B26" t="str">
        <f>IFERROR(VLOOKUP(Tabla1[[#This Row],[SISMED]],TblDisponibilidad[],2,FALSE), "")</f>
        <v/>
      </c>
      <c r="C26">
        <f>IFERROR(VLOOKUP(Tabla1[[#This Row],[SISMED]],TblDisponibilidad[],7,FALSE), 0)</f>
        <v>0</v>
      </c>
      <c r="D26">
        <f>IFERROR(VLOOKUP(Tabla1[[#This Row],[SISMED]],TblDisponibilidad[],8,FALSE), 0)</f>
        <v>0</v>
      </c>
      <c r="E26">
        <f>IFERROR(VLOOKUP(Tabla1[[#This Row],[SISMED]],TblDisponibilidad[],9,FALSE), 0)</f>
        <v>0</v>
      </c>
      <c r="F26">
        <f>IFERROR(VLOOKUP(Tabla1[[#This Row],[SISMED]],TblDisponibilidad[],10,FALSE), 0)</f>
        <v>0</v>
      </c>
      <c r="G26">
        <f>IFERROR(VLOOKUP(Tabla1[[#This Row],[SISMED]],TblDisponibilidad[],11,FALSE), 0)</f>
        <v>0</v>
      </c>
      <c r="H26">
        <f>IFERROR(VLOOKUP(Tabla1[[#This Row],[SISMED]],TblDisponibilidad[],12,FALSE), 0)</f>
        <v>0</v>
      </c>
      <c r="I26">
        <f>IFERROR(VLOOKUP(Tabla1[[#This Row],[SISMED]],TblDisponibilidad[],13,FALSE), 0)</f>
        <v>0</v>
      </c>
      <c r="J26">
        <f>IFERROR(VLOOKUP(Tabla1[[#This Row],[SISMED]],TblDisponibilidad[],14,FALSE), 0)</f>
        <v>0</v>
      </c>
      <c r="K26">
        <f>IFERROR(VLOOKUP(Tabla1[[#This Row],[SISMED]],TblDisponibilidad[],15,FALSE), 0)</f>
        <v>0</v>
      </c>
      <c r="L26">
        <f>IFERROR(VLOOKUP(Tabla1[[#This Row],[SISMED]],TblDisponibilidad[],16,FALSE), 0)</f>
        <v>0</v>
      </c>
      <c r="M26">
        <f>IFERROR(VLOOKUP(Tabla1[[#This Row],[SISMED]],TblDisponibilidad[],17,FALSE), 0)</f>
        <v>0</v>
      </c>
      <c r="N26">
        <f>IFERROR(VLOOKUP(Tabla1[[#This Row],[SISMED]],TblDisponibilidad[],18,FALSE), 0)</f>
        <v>0</v>
      </c>
      <c r="O26">
        <f>IFERROR(VLOOKUP(Tabla1[[#This Row],[SISMED]],TblDisponibilidad[],19,FALSE), 0)</f>
        <v>0</v>
      </c>
      <c r="P26">
        <f>IFERROR(VLOOKUP(Tabla1[[#This Row],[SISMED]],TblDisponibilidad[],20,FALSE), 0)</f>
        <v>0</v>
      </c>
      <c r="Q26">
        <f>IFERROR(VLOOKUP(Tabla1[[#This Row],[SISMED]],TblDisponibilidad[],21,FALSE), 0)</f>
        <v>0</v>
      </c>
      <c r="R26">
        <f>IFERROR(VLOOKUP(Tabla1[[#This Row],[SISMED]],TblDisponibilidad[],22,FALSE), 0)</f>
        <v>0</v>
      </c>
      <c r="S26" s="15">
        <f>IFERROR(VLOOKUP(Tabla1[[#This Row],[SISMED]],TblDisponibilidad[],23,FALSE), 0)</f>
        <v>0</v>
      </c>
    </row>
    <row r="27" spans="1:19" x14ac:dyDescent="0.3">
      <c r="A27" s="15" t="s">
        <v>57</v>
      </c>
      <c r="B27" t="str">
        <f>IFERROR(VLOOKUP(Tabla1[[#This Row],[SISMED]],TblDisponibilidad[],2,FALSE), "")</f>
        <v/>
      </c>
      <c r="C27">
        <f>IFERROR(VLOOKUP(Tabla1[[#This Row],[SISMED]],TblDisponibilidad[],7,FALSE), 0)</f>
        <v>0</v>
      </c>
      <c r="D27">
        <f>IFERROR(VLOOKUP(Tabla1[[#This Row],[SISMED]],TblDisponibilidad[],8,FALSE), 0)</f>
        <v>0</v>
      </c>
      <c r="E27">
        <f>IFERROR(VLOOKUP(Tabla1[[#This Row],[SISMED]],TblDisponibilidad[],9,FALSE), 0)</f>
        <v>0</v>
      </c>
      <c r="F27">
        <f>IFERROR(VLOOKUP(Tabla1[[#This Row],[SISMED]],TblDisponibilidad[],10,FALSE), 0)</f>
        <v>0</v>
      </c>
      <c r="G27">
        <f>IFERROR(VLOOKUP(Tabla1[[#This Row],[SISMED]],TblDisponibilidad[],11,FALSE), 0)</f>
        <v>0</v>
      </c>
      <c r="H27">
        <f>IFERROR(VLOOKUP(Tabla1[[#This Row],[SISMED]],TblDisponibilidad[],12,FALSE), 0)</f>
        <v>0</v>
      </c>
      <c r="I27">
        <f>IFERROR(VLOOKUP(Tabla1[[#This Row],[SISMED]],TblDisponibilidad[],13,FALSE), 0)</f>
        <v>0</v>
      </c>
      <c r="J27">
        <f>IFERROR(VLOOKUP(Tabla1[[#This Row],[SISMED]],TblDisponibilidad[],14,FALSE), 0)</f>
        <v>0</v>
      </c>
      <c r="K27">
        <f>IFERROR(VLOOKUP(Tabla1[[#This Row],[SISMED]],TblDisponibilidad[],15,FALSE), 0)</f>
        <v>0</v>
      </c>
      <c r="L27">
        <f>IFERROR(VLOOKUP(Tabla1[[#This Row],[SISMED]],TblDisponibilidad[],16,FALSE), 0)</f>
        <v>0</v>
      </c>
      <c r="M27">
        <f>IFERROR(VLOOKUP(Tabla1[[#This Row],[SISMED]],TblDisponibilidad[],17,FALSE), 0)</f>
        <v>0</v>
      </c>
      <c r="N27">
        <f>IFERROR(VLOOKUP(Tabla1[[#This Row],[SISMED]],TblDisponibilidad[],18,FALSE), 0)</f>
        <v>0</v>
      </c>
      <c r="O27">
        <f>IFERROR(VLOOKUP(Tabla1[[#This Row],[SISMED]],TblDisponibilidad[],19,FALSE), 0)</f>
        <v>0</v>
      </c>
      <c r="P27">
        <f>IFERROR(VLOOKUP(Tabla1[[#This Row],[SISMED]],TblDisponibilidad[],20,FALSE), 0)</f>
        <v>0</v>
      </c>
      <c r="Q27">
        <f>IFERROR(VLOOKUP(Tabla1[[#This Row],[SISMED]],TblDisponibilidad[],21,FALSE), 0)</f>
        <v>0</v>
      </c>
      <c r="R27">
        <f>IFERROR(VLOOKUP(Tabla1[[#This Row],[SISMED]],TblDisponibilidad[],22,FALSE), 0)</f>
        <v>0</v>
      </c>
      <c r="S27" s="15">
        <f>IFERROR(VLOOKUP(Tabla1[[#This Row],[SISMED]],TblDisponibilidad[],23,FALSE), 0)</f>
        <v>0</v>
      </c>
    </row>
    <row r="28" spans="1:19" x14ac:dyDescent="0.3">
      <c r="A28" s="15" t="s">
        <v>58</v>
      </c>
      <c r="B28" t="str">
        <f>IFERROR(VLOOKUP(Tabla1[[#This Row],[SISMED]],TblDisponibilidad[],2,FALSE), "")</f>
        <v/>
      </c>
      <c r="C28">
        <f>IFERROR(VLOOKUP(Tabla1[[#This Row],[SISMED]],TblDisponibilidad[],7,FALSE), 0)</f>
        <v>0</v>
      </c>
      <c r="D28">
        <f>IFERROR(VLOOKUP(Tabla1[[#This Row],[SISMED]],TblDisponibilidad[],8,FALSE), 0)</f>
        <v>0</v>
      </c>
      <c r="E28">
        <f>IFERROR(VLOOKUP(Tabla1[[#This Row],[SISMED]],TblDisponibilidad[],9,FALSE), 0)</f>
        <v>0</v>
      </c>
      <c r="F28">
        <f>IFERROR(VLOOKUP(Tabla1[[#This Row],[SISMED]],TblDisponibilidad[],10,FALSE), 0)</f>
        <v>0</v>
      </c>
      <c r="G28">
        <f>IFERROR(VLOOKUP(Tabla1[[#This Row],[SISMED]],TblDisponibilidad[],11,FALSE), 0)</f>
        <v>0</v>
      </c>
      <c r="H28">
        <f>IFERROR(VLOOKUP(Tabla1[[#This Row],[SISMED]],TblDisponibilidad[],12,FALSE), 0)</f>
        <v>0</v>
      </c>
      <c r="I28">
        <f>IFERROR(VLOOKUP(Tabla1[[#This Row],[SISMED]],TblDisponibilidad[],13,FALSE), 0)</f>
        <v>0</v>
      </c>
      <c r="J28">
        <f>IFERROR(VLOOKUP(Tabla1[[#This Row],[SISMED]],TblDisponibilidad[],14,FALSE), 0)</f>
        <v>0</v>
      </c>
      <c r="K28">
        <f>IFERROR(VLOOKUP(Tabla1[[#This Row],[SISMED]],TblDisponibilidad[],15,FALSE), 0)</f>
        <v>0</v>
      </c>
      <c r="L28">
        <f>IFERROR(VLOOKUP(Tabla1[[#This Row],[SISMED]],TblDisponibilidad[],16,FALSE), 0)</f>
        <v>0</v>
      </c>
      <c r="M28">
        <f>IFERROR(VLOOKUP(Tabla1[[#This Row],[SISMED]],TblDisponibilidad[],17,FALSE), 0)</f>
        <v>0</v>
      </c>
      <c r="N28">
        <f>IFERROR(VLOOKUP(Tabla1[[#This Row],[SISMED]],TblDisponibilidad[],18,FALSE), 0)</f>
        <v>0</v>
      </c>
      <c r="O28">
        <f>IFERROR(VLOOKUP(Tabla1[[#This Row],[SISMED]],TblDisponibilidad[],19,FALSE), 0)</f>
        <v>0</v>
      </c>
      <c r="P28">
        <f>IFERROR(VLOOKUP(Tabla1[[#This Row],[SISMED]],TblDisponibilidad[],20,FALSE), 0)</f>
        <v>0</v>
      </c>
      <c r="Q28">
        <f>IFERROR(VLOOKUP(Tabla1[[#This Row],[SISMED]],TblDisponibilidad[],21,FALSE), 0)</f>
        <v>0</v>
      </c>
      <c r="R28">
        <f>IFERROR(VLOOKUP(Tabla1[[#This Row],[SISMED]],TblDisponibilidad[],22,FALSE), 0)</f>
        <v>0</v>
      </c>
      <c r="S28" s="15">
        <f>IFERROR(VLOOKUP(Tabla1[[#This Row],[SISMED]],TblDisponibilidad[],23,FALSE), 0)</f>
        <v>0</v>
      </c>
    </row>
    <row r="29" spans="1:19" x14ac:dyDescent="0.3">
      <c r="A29" s="15" t="s">
        <v>59</v>
      </c>
      <c r="B29" t="str">
        <f>IFERROR(VLOOKUP(Tabla1[[#This Row],[SISMED]],TblDisponibilidad[],2,FALSE), "")</f>
        <v/>
      </c>
      <c r="C29">
        <f>IFERROR(VLOOKUP(Tabla1[[#This Row],[SISMED]],TblDisponibilidad[],7,FALSE), 0)</f>
        <v>0</v>
      </c>
      <c r="D29">
        <f>IFERROR(VLOOKUP(Tabla1[[#This Row],[SISMED]],TblDisponibilidad[],8,FALSE), 0)</f>
        <v>0</v>
      </c>
      <c r="E29">
        <f>IFERROR(VLOOKUP(Tabla1[[#This Row],[SISMED]],TblDisponibilidad[],9,FALSE), 0)</f>
        <v>0</v>
      </c>
      <c r="F29">
        <f>IFERROR(VLOOKUP(Tabla1[[#This Row],[SISMED]],TblDisponibilidad[],10,FALSE), 0)</f>
        <v>0</v>
      </c>
      <c r="G29">
        <f>IFERROR(VLOOKUP(Tabla1[[#This Row],[SISMED]],TblDisponibilidad[],11,FALSE), 0)</f>
        <v>0</v>
      </c>
      <c r="H29">
        <f>IFERROR(VLOOKUP(Tabla1[[#This Row],[SISMED]],TblDisponibilidad[],12,FALSE), 0)</f>
        <v>0</v>
      </c>
      <c r="I29">
        <f>IFERROR(VLOOKUP(Tabla1[[#This Row],[SISMED]],TblDisponibilidad[],13,FALSE), 0)</f>
        <v>0</v>
      </c>
      <c r="J29">
        <f>IFERROR(VLOOKUP(Tabla1[[#This Row],[SISMED]],TblDisponibilidad[],14,FALSE), 0)</f>
        <v>0</v>
      </c>
      <c r="K29">
        <f>IFERROR(VLOOKUP(Tabla1[[#This Row],[SISMED]],TblDisponibilidad[],15,FALSE), 0)</f>
        <v>0</v>
      </c>
      <c r="L29">
        <f>IFERROR(VLOOKUP(Tabla1[[#This Row],[SISMED]],TblDisponibilidad[],16,FALSE), 0)</f>
        <v>0</v>
      </c>
      <c r="M29">
        <f>IFERROR(VLOOKUP(Tabla1[[#This Row],[SISMED]],TblDisponibilidad[],17,FALSE), 0)</f>
        <v>0</v>
      </c>
      <c r="N29">
        <f>IFERROR(VLOOKUP(Tabla1[[#This Row],[SISMED]],TblDisponibilidad[],18,FALSE), 0)</f>
        <v>0</v>
      </c>
      <c r="O29">
        <f>IFERROR(VLOOKUP(Tabla1[[#This Row],[SISMED]],TblDisponibilidad[],19,FALSE), 0)</f>
        <v>0</v>
      </c>
      <c r="P29">
        <f>IFERROR(VLOOKUP(Tabla1[[#This Row],[SISMED]],TblDisponibilidad[],20,FALSE), 0)</f>
        <v>0</v>
      </c>
      <c r="Q29">
        <f>IFERROR(VLOOKUP(Tabla1[[#This Row],[SISMED]],TblDisponibilidad[],21,FALSE), 0)</f>
        <v>0</v>
      </c>
      <c r="R29">
        <f>IFERROR(VLOOKUP(Tabla1[[#This Row],[SISMED]],TblDisponibilidad[],22,FALSE), 0)</f>
        <v>0</v>
      </c>
      <c r="S29" s="15">
        <f>IFERROR(VLOOKUP(Tabla1[[#This Row],[SISMED]],TblDisponibilidad[],23,FALSE), 0)</f>
        <v>0</v>
      </c>
    </row>
    <row r="30" spans="1:19" x14ac:dyDescent="0.3">
      <c r="A30" s="15" t="s">
        <v>60</v>
      </c>
      <c r="B30" t="str">
        <f>IFERROR(VLOOKUP(Tabla1[[#This Row],[SISMED]],TblDisponibilidad[],2,FALSE), "")</f>
        <v/>
      </c>
      <c r="C30">
        <f>IFERROR(VLOOKUP(Tabla1[[#This Row],[SISMED]],TblDisponibilidad[],7,FALSE), 0)</f>
        <v>0</v>
      </c>
      <c r="D30">
        <f>IFERROR(VLOOKUP(Tabla1[[#This Row],[SISMED]],TblDisponibilidad[],8,FALSE), 0)</f>
        <v>0</v>
      </c>
      <c r="E30">
        <f>IFERROR(VLOOKUP(Tabla1[[#This Row],[SISMED]],TblDisponibilidad[],9,FALSE), 0)</f>
        <v>0</v>
      </c>
      <c r="F30">
        <f>IFERROR(VLOOKUP(Tabla1[[#This Row],[SISMED]],TblDisponibilidad[],10,FALSE), 0)</f>
        <v>0</v>
      </c>
      <c r="G30">
        <f>IFERROR(VLOOKUP(Tabla1[[#This Row],[SISMED]],TblDisponibilidad[],11,FALSE), 0)</f>
        <v>0</v>
      </c>
      <c r="H30">
        <f>IFERROR(VLOOKUP(Tabla1[[#This Row],[SISMED]],TblDisponibilidad[],12,FALSE), 0)</f>
        <v>0</v>
      </c>
      <c r="I30">
        <f>IFERROR(VLOOKUP(Tabla1[[#This Row],[SISMED]],TblDisponibilidad[],13,FALSE), 0)</f>
        <v>0</v>
      </c>
      <c r="J30">
        <f>IFERROR(VLOOKUP(Tabla1[[#This Row],[SISMED]],TblDisponibilidad[],14,FALSE), 0)</f>
        <v>0</v>
      </c>
      <c r="K30">
        <f>IFERROR(VLOOKUP(Tabla1[[#This Row],[SISMED]],TblDisponibilidad[],15,FALSE), 0)</f>
        <v>0</v>
      </c>
      <c r="L30">
        <f>IFERROR(VLOOKUP(Tabla1[[#This Row],[SISMED]],TblDisponibilidad[],16,FALSE), 0)</f>
        <v>0</v>
      </c>
      <c r="M30">
        <f>IFERROR(VLOOKUP(Tabla1[[#This Row],[SISMED]],TblDisponibilidad[],17,FALSE), 0)</f>
        <v>0</v>
      </c>
      <c r="N30">
        <f>IFERROR(VLOOKUP(Tabla1[[#This Row],[SISMED]],TblDisponibilidad[],18,FALSE), 0)</f>
        <v>0</v>
      </c>
      <c r="O30">
        <f>IFERROR(VLOOKUP(Tabla1[[#This Row],[SISMED]],TblDisponibilidad[],19,FALSE), 0)</f>
        <v>0</v>
      </c>
      <c r="P30">
        <f>IFERROR(VLOOKUP(Tabla1[[#This Row],[SISMED]],TblDisponibilidad[],20,FALSE), 0)</f>
        <v>0</v>
      </c>
      <c r="Q30">
        <f>IFERROR(VLOOKUP(Tabla1[[#This Row],[SISMED]],TblDisponibilidad[],21,FALSE), 0)</f>
        <v>0</v>
      </c>
      <c r="R30">
        <f>IFERROR(VLOOKUP(Tabla1[[#This Row],[SISMED]],TblDisponibilidad[],22,FALSE), 0)</f>
        <v>0</v>
      </c>
      <c r="S30" s="15">
        <f>IFERROR(VLOOKUP(Tabla1[[#This Row],[SISMED]],TblDisponibilidad[],23,FALSE), 0)</f>
        <v>0</v>
      </c>
    </row>
    <row r="31" spans="1:19" x14ac:dyDescent="0.3">
      <c r="A31" s="15" t="s">
        <v>61</v>
      </c>
      <c r="B31" t="str">
        <f>IFERROR(VLOOKUP(Tabla1[[#This Row],[SISMED]],TblDisponibilidad[],2,FALSE), "")</f>
        <v/>
      </c>
      <c r="C31">
        <f>IFERROR(VLOOKUP(Tabla1[[#This Row],[SISMED]],TblDisponibilidad[],7,FALSE), 0)</f>
        <v>0</v>
      </c>
      <c r="D31">
        <f>IFERROR(VLOOKUP(Tabla1[[#This Row],[SISMED]],TblDisponibilidad[],8,FALSE), 0)</f>
        <v>0</v>
      </c>
      <c r="E31">
        <f>IFERROR(VLOOKUP(Tabla1[[#This Row],[SISMED]],TblDisponibilidad[],9,FALSE), 0)</f>
        <v>0</v>
      </c>
      <c r="F31">
        <f>IFERROR(VLOOKUP(Tabla1[[#This Row],[SISMED]],TblDisponibilidad[],10,FALSE), 0)</f>
        <v>0</v>
      </c>
      <c r="G31">
        <f>IFERROR(VLOOKUP(Tabla1[[#This Row],[SISMED]],TblDisponibilidad[],11,FALSE), 0)</f>
        <v>0</v>
      </c>
      <c r="H31">
        <f>IFERROR(VLOOKUP(Tabla1[[#This Row],[SISMED]],TblDisponibilidad[],12,FALSE), 0)</f>
        <v>0</v>
      </c>
      <c r="I31">
        <f>IFERROR(VLOOKUP(Tabla1[[#This Row],[SISMED]],TblDisponibilidad[],13,FALSE), 0)</f>
        <v>0</v>
      </c>
      <c r="J31">
        <f>IFERROR(VLOOKUP(Tabla1[[#This Row],[SISMED]],TblDisponibilidad[],14,FALSE), 0)</f>
        <v>0</v>
      </c>
      <c r="K31">
        <f>IFERROR(VLOOKUP(Tabla1[[#This Row],[SISMED]],TblDisponibilidad[],15,FALSE), 0)</f>
        <v>0</v>
      </c>
      <c r="L31">
        <f>IFERROR(VLOOKUP(Tabla1[[#This Row],[SISMED]],TblDisponibilidad[],16,FALSE), 0)</f>
        <v>0</v>
      </c>
      <c r="M31">
        <f>IFERROR(VLOOKUP(Tabla1[[#This Row],[SISMED]],TblDisponibilidad[],17,FALSE), 0)</f>
        <v>0</v>
      </c>
      <c r="N31">
        <f>IFERROR(VLOOKUP(Tabla1[[#This Row],[SISMED]],TblDisponibilidad[],18,FALSE), 0)</f>
        <v>0</v>
      </c>
      <c r="O31">
        <f>IFERROR(VLOOKUP(Tabla1[[#This Row],[SISMED]],TblDisponibilidad[],19,FALSE), 0)</f>
        <v>0</v>
      </c>
      <c r="P31">
        <f>IFERROR(VLOOKUP(Tabla1[[#This Row],[SISMED]],TblDisponibilidad[],20,FALSE), 0)</f>
        <v>0</v>
      </c>
      <c r="Q31">
        <f>IFERROR(VLOOKUP(Tabla1[[#This Row],[SISMED]],TblDisponibilidad[],21,FALSE), 0)</f>
        <v>0</v>
      </c>
      <c r="R31">
        <f>IFERROR(VLOOKUP(Tabla1[[#This Row],[SISMED]],TblDisponibilidad[],22,FALSE), 0)</f>
        <v>0</v>
      </c>
      <c r="S31" s="15">
        <f>IFERROR(VLOOKUP(Tabla1[[#This Row],[SISMED]],TblDisponibilidad[],23,FALSE), 0)</f>
        <v>0</v>
      </c>
    </row>
    <row r="32" spans="1:19" x14ac:dyDescent="0.3">
      <c r="A32" s="15" t="s">
        <v>62</v>
      </c>
      <c r="B32" t="str">
        <f>IFERROR(VLOOKUP(Tabla1[[#This Row],[SISMED]],TblDisponibilidad[],2,FALSE), "")</f>
        <v/>
      </c>
      <c r="C32">
        <f>IFERROR(VLOOKUP(Tabla1[[#This Row],[SISMED]],TblDisponibilidad[],7,FALSE), 0)</f>
        <v>0</v>
      </c>
      <c r="D32">
        <f>IFERROR(VLOOKUP(Tabla1[[#This Row],[SISMED]],TblDisponibilidad[],8,FALSE), 0)</f>
        <v>0</v>
      </c>
      <c r="E32">
        <f>IFERROR(VLOOKUP(Tabla1[[#This Row],[SISMED]],TblDisponibilidad[],9,FALSE), 0)</f>
        <v>0</v>
      </c>
      <c r="F32">
        <f>IFERROR(VLOOKUP(Tabla1[[#This Row],[SISMED]],TblDisponibilidad[],10,FALSE), 0)</f>
        <v>0</v>
      </c>
      <c r="G32">
        <f>IFERROR(VLOOKUP(Tabla1[[#This Row],[SISMED]],TblDisponibilidad[],11,FALSE), 0)</f>
        <v>0</v>
      </c>
      <c r="H32">
        <f>IFERROR(VLOOKUP(Tabla1[[#This Row],[SISMED]],TblDisponibilidad[],12,FALSE), 0)</f>
        <v>0</v>
      </c>
      <c r="I32">
        <f>IFERROR(VLOOKUP(Tabla1[[#This Row],[SISMED]],TblDisponibilidad[],13,FALSE), 0)</f>
        <v>0</v>
      </c>
      <c r="J32">
        <f>IFERROR(VLOOKUP(Tabla1[[#This Row],[SISMED]],TblDisponibilidad[],14,FALSE), 0)</f>
        <v>0</v>
      </c>
      <c r="K32">
        <f>IFERROR(VLOOKUP(Tabla1[[#This Row],[SISMED]],TblDisponibilidad[],15,FALSE), 0)</f>
        <v>0</v>
      </c>
      <c r="L32">
        <f>IFERROR(VLOOKUP(Tabla1[[#This Row],[SISMED]],TblDisponibilidad[],16,FALSE), 0)</f>
        <v>0</v>
      </c>
      <c r="M32">
        <f>IFERROR(VLOOKUP(Tabla1[[#This Row],[SISMED]],TblDisponibilidad[],17,FALSE), 0)</f>
        <v>0</v>
      </c>
      <c r="N32">
        <f>IFERROR(VLOOKUP(Tabla1[[#This Row],[SISMED]],TblDisponibilidad[],18,FALSE), 0)</f>
        <v>0</v>
      </c>
      <c r="O32">
        <f>IFERROR(VLOOKUP(Tabla1[[#This Row],[SISMED]],TblDisponibilidad[],19,FALSE), 0)</f>
        <v>0</v>
      </c>
      <c r="P32">
        <f>IFERROR(VLOOKUP(Tabla1[[#This Row],[SISMED]],TblDisponibilidad[],20,FALSE), 0)</f>
        <v>0</v>
      </c>
      <c r="Q32">
        <f>IFERROR(VLOOKUP(Tabla1[[#This Row],[SISMED]],TblDisponibilidad[],21,FALSE), 0)</f>
        <v>0</v>
      </c>
      <c r="R32">
        <f>IFERROR(VLOOKUP(Tabla1[[#This Row],[SISMED]],TblDisponibilidad[],22,FALSE), 0)</f>
        <v>0</v>
      </c>
      <c r="S32" s="15">
        <f>IFERROR(VLOOKUP(Tabla1[[#This Row],[SISMED]],TblDisponibilidad[],23,FALSE), 0)</f>
        <v>0</v>
      </c>
    </row>
    <row r="33" spans="1:19" x14ac:dyDescent="0.3">
      <c r="A33" s="15" t="s">
        <v>63</v>
      </c>
      <c r="B33" t="str">
        <f>IFERROR(VLOOKUP(Tabla1[[#This Row],[SISMED]],TblDisponibilidad[],2,FALSE), "")</f>
        <v/>
      </c>
      <c r="C33">
        <f>IFERROR(VLOOKUP(Tabla1[[#This Row],[SISMED]],TblDisponibilidad[],7,FALSE), 0)</f>
        <v>0</v>
      </c>
      <c r="D33">
        <f>IFERROR(VLOOKUP(Tabla1[[#This Row],[SISMED]],TblDisponibilidad[],8,FALSE), 0)</f>
        <v>0</v>
      </c>
      <c r="E33">
        <f>IFERROR(VLOOKUP(Tabla1[[#This Row],[SISMED]],TblDisponibilidad[],9,FALSE), 0)</f>
        <v>0</v>
      </c>
      <c r="F33">
        <f>IFERROR(VLOOKUP(Tabla1[[#This Row],[SISMED]],TblDisponibilidad[],10,FALSE), 0)</f>
        <v>0</v>
      </c>
      <c r="G33">
        <f>IFERROR(VLOOKUP(Tabla1[[#This Row],[SISMED]],TblDisponibilidad[],11,FALSE), 0)</f>
        <v>0</v>
      </c>
      <c r="H33">
        <f>IFERROR(VLOOKUP(Tabla1[[#This Row],[SISMED]],TblDisponibilidad[],12,FALSE), 0)</f>
        <v>0</v>
      </c>
      <c r="I33">
        <f>IFERROR(VLOOKUP(Tabla1[[#This Row],[SISMED]],TblDisponibilidad[],13,FALSE), 0)</f>
        <v>0</v>
      </c>
      <c r="J33">
        <f>IFERROR(VLOOKUP(Tabla1[[#This Row],[SISMED]],TblDisponibilidad[],14,FALSE), 0)</f>
        <v>0</v>
      </c>
      <c r="K33">
        <f>IFERROR(VLOOKUP(Tabla1[[#This Row],[SISMED]],TblDisponibilidad[],15,FALSE), 0)</f>
        <v>0</v>
      </c>
      <c r="L33">
        <f>IFERROR(VLOOKUP(Tabla1[[#This Row],[SISMED]],TblDisponibilidad[],16,FALSE), 0)</f>
        <v>0</v>
      </c>
      <c r="M33">
        <f>IFERROR(VLOOKUP(Tabla1[[#This Row],[SISMED]],TblDisponibilidad[],17,FALSE), 0)</f>
        <v>0</v>
      </c>
      <c r="N33">
        <f>IFERROR(VLOOKUP(Tabla1[[#This Row],[SISMED]],TblDisponibilidad[],18,FALSE), 0)</f>
        <v>0</v>
      </c>
      <c r="O33">
        <f>IFERROR(VLOOKUP(Tabla1[[#This Row],[SISMED]],TblDisponibilidad[],19,FALSE), 0)</f>
        <v>0</v>
      </c>
      <c r="P33">
        <f>IFERROR(VLOOKUP(Tabla1[[#This Row],[SISMED]],TblDisponibilidad[],20,FALSE), 0)</f>
        <v>0</v>
      </c>
      <c r="Q33">
        <f>IFERROR(VLOOKUP(Tabla1[[#This Row],[SISMED]],TblDisponibilidad[],21,FALSE), 0)</f>
        <v>0</v>
      </c>
      <c r="R33">
        <f>IFERROR(VLOOKUP(Tabla1[[#This Row],[SISMED]],TblDisponibilidad[],22,FALSE), 0)</f>
        <v>0</v>
      </c>
      <c r="S33" s="15">
        <f>IFERROR(VLOOKUP(Tabla1[[#This Row],[SISMED]],TblDisponibilidad[],23,FALSE), 0)</f>
        <v>0</v>
      </c>
    </row>
    <row r="34" spans="1:19" x14ac:dyDescent="0.3">
      <c r="A34" s="15" t="s">
        <v>64</v>
      </c>
      <c r="B34" t="str">
        <f>IFERROR(VLOOKUP(Tabla1[[#This Row],[SISMED]],TblDisponibilidad[],2,FALSE), "")</f>
        <v/>
      </c>
      <c r="C34">
        <f>IFERROR(VLOOKUP(Tabla1[[#This Row],[SISMED]],TblDisponibilidad[],7,FALSE), 0)</f>
        <v>0</v>
      </c>
      <c r="D34">
        <f>IFERROR(VLOOKUP(Tabla1[[#This Row],[SISMED]],TblDisponibilidad[],8,FALSE), 0)</f>
        <v>0</v>
      </c>
      <c r="E34">
        <f>IFERROR(VLOOKUP(Tabla1[[#This Row],[SISMED]],TblDisponibilidad[],9,FALSE), 0)</f>
        <v>0</v>
      </c>
      <c r="F34">
        <f>IFERROR(VLOOKUP(Tabla1[[#This Row],[SISMED]],TblDisponibilidad[],10,FALSE), 0)</f>
        <v>0</v>
      </c>
      <c r="G34">
        <f>IFERROR(VLOOKUP(Tabla1[[#This Row],[SISMED]],TblDisponibilidad[],11,FALSE), 0)</f>
        <v>0</v>
      </c>
      <c r="H34">
        <f>IFERROR(VLOOKUP(Tabla1[[#This Row],[SISMED]],TblDisponibilidad[],12,FALSE), 0)</f>
        <v>0</v>
      </c>
      <c r="I34">
        <f>IFERROR(VLOOKUP(Tabla1[[#This Row],[SISMED]],TblDisponibilidad[],13,FALSE), 0)</f>
        <v>0</v>
      </c>
      <c r="J34">
        <f>IFERROR(VLOOKUP(Tabla1[[#This Row],[SISMED]],TblDisponibilidad[],14,FALSE), 0)</f>
        <v>0</v>
      </c>
      <c r="K34">
        <f>IFERROR(VLOOKUP(Tabla1[[#This Row],[SISMED]],TblDisponibilidad[],15,FALSE), 0)</f>
        <v>0</v>
      </c>
      <c r="L34">
        <f>IFERROR(VLOOKUP(Tabla1[[#This Row],[SISMED]],TblDisponibilidad[],16,FALSE), 0)</f>
        <v>0</v>
      </c>
      <c r="M34">
        <f>IFERROR(VLOOKUP(Tabla1[[#This Row],[SISMED]],TblDisponibilidad[],17,FALSE), 0)</f>
        <v>0</v>
      </c>
      <c r="N34">
        <f>IFERROR(VLOOKUP(Tabla1[[#This Row],[SISMED]],TblDisponibilidad[],18,FALSE), 0)</f>
        <v>0</v>
      </c>
      <c r="O34">
        <f>IFERROR(VLOOKUP(Tabla1[[#This Row],[SISMED]],TblDisponibilidad[],19,FALSE), 0)</f>
        <v>0</v>
      </c>
      <c r="P34">
        <f>IFERROR(VLOOKUP(Tabla1[[#This Row],[SISMED]],TblDisponibilidad[],20,FALSE), 0)</f>
        <v>0</v>
      </c>
      <c r="Q34">
        <f>IFERROR(VLOOKUP(Tabla1[[#This Row],[SISMED]],TblDisponibilidad[],21,FALSE), 0)</f>
        <v>0</v>
      </c>
      <c r="R34">
        <f>IFERROR(VLOOKUP(Tabla1[[#This Row],[SISMED]],TblDisponibilidad[],22,FALSE), 0)</f>
        <v>0</v>
      </c>
      <c r="S34" s="15">
        <f>IFERROR(VLOOKUP(Tabla1[[#This Row],[SISMED]],TblDisponibilidad[],23,FALSE), 0)</f>
        <v>0</v>
      </c>
    </row>
    <row r="35" spans="1:19" x14ac:dyDescent="0.3">
      <c r="A35" s="15" t="s">
        <v>65</v>
      </c>
      <c r="B35" t="str">
        <f>IFERROR(VLOOKUP(Tabla1[[#This Row],[SISMED]],TblDisponibilidad[],2,FALSE), "")</f>
        <v/>
      </c>
      <c r="C35">
        <f>IFERROR(VLOOKUP(Tabla1[[#This Row],[SISMED]],TblDisponibilidad[],7,FALSE), 0)</f>
        <v>0</v>
      </c>
      <c r="D35">
        <f>IFERROR(VLOOKUP(Tabla1[[#This Row],[SISMED]],TblDisponibilidad[],8,FALSE), 0)</f>
        <v>0</v>
      </c>
      <c r="E35">
        <f>IFERROR(VLOOKUP(Tabla1[[#This Row],[SISMED]],TblDisponibilidad[],9,FALSE), 0)</f>
        <v>0</v>
      </c>
      <c r="F35">
        <f>IFERROR(VLOOKUP(Tabla1[[#This Row],[SISMED]],TblDisponibilidad[],10,FALSE), 0)</f>
        <v>0</v>
      </c>
      <c r="G35">
        <f>IFERROR(VLOOKUP(Tabla1[[#This Row],[SISMED]],TblDisponibilidad[],11,FALSE), 0)</f>
        <v>0</v>
      </c>
      <c r="H35">
        <f>IFERROR(VLOOKUP(Tabla1[[#This Row],[SISMED]],TblDisponibilidad[],12,FALSE), 0)</f>
        <v>0</v>
      </c>
      <c r="I35">
        <f>IFERROR(VLOOKUP(Tabla1[[#This Row],[SISMED]],TblDisponibilidad[],13,FALSE), 0)</f>
        <v>0</v>
      </c>
      <c r="J35">
        <f>IFERROR(VLOOKUP(Tabla1[[#This Row],[SISMED]],TblDisponibilidad[],14,FALSE), 0)</f>
        <v>0</v>
      </c>
      <c r="K35">
        <f>IFERROR(VLOOKUP(Tabla1[[#This Row],[SISMED]],TblDisponibilidad[],15,FALSE), 0)</f>
        <v>0</v>
      </c>
      <c r="L35">
        <f>IFERROR(VLOOKUP(Tabla1[[#This Row],[SISMED]],TblDisponibilidad[],16,FALSE), 0)</f>
        <v>0</v>
      </c>
      <c r="M35">
        <f>IFERROR(VLOOKUP(Tabla1[[#This Row],[SISMED]],TblDisponibilidad[],17,FALSE), 0)</f>
        <v>0</v>
      </c>
      <c r="N35">
        <f>IFERROR(VLOOKUP(Tabla1[[#This Row],[SISMED]],TblDisponibilidad[],18,FALSE), 0)</f>
        <v>0</v>
      </c>
      <c r="O35">
        <f>IFERROR(VLOOKUP(Tabla1[[#This Row],[SISMED]],TblDisponibilidad[],19,FALSE), 0)</f>
        <v>0</v>
      </c>
      <c r="P35">
        <f>IFERROR(VLOOKUP(Tabla1[[#This Row],[SISMED]],TblDisponibilidad[],20,FALSE), 0)</f>
        <v>0</v>
      </c>
      <c r="Q35">
        <f>IFERROR(VLOOKUP(Tabla1[[#This Row],[SISMED]],TblDisponibilidad[],21,FALSE), 0)</f>
        <v>0</v>
      </c>
      <c r="R35">
        <f>IFERROR(VLOOKUP(Tabla1[[#This Row],[SISMED]],TblDisponibilidad[],22,FALSE), 0)</f>
        <v>0</v>
      </c>
      <c r="S35" s="15">
        <f>IFERROR(VLOOKUP(Tabla1[[#This Row],[SISMED]],TblDisponibilidad[],23,FALSE), 0)</f>
        <v>0</v>
      </c>
    </row>
    <row r="36" spans="1:19" x14ac:dyDescent="0.3">
      <c r="A36" s="15" t="s">
        <v>66</v>
      </c>
      <c r="B36" t="str">
        <f>IFERROR(VLOOKUP(Tabla1[[#This Row],[SISMED]],TblDisponibilidad[],2,FALSE), "")</f>
        <v/>
      </c>
      <c r="C36">
        <f>IFERROR(VLOOKUP(Tabla1[[#This Row],[SISMED]],TblDisponibilidad[],7,FALSE), 0)</f>
        <v>0</v>
      </c>
      <c r="D36">
        <f>IFERROR(VLOOKUP(Tabla1[[#This Row],[SISMED]],TblDisponibilidad[],8,FALSE), 0)</f>
        <v>0</v>
      </c>
      <c r="E36">
        <f>IFERROR(VLOOKUP(Tabla1[[#This Row],[SISMED]],TblDisponibilidad[],9,FALSE), 0)</f>
        <v>0</v>
      </c>
      <c r="F36">
        <f>IFERROR(VLOOKUP(Tabla1[[#This Row],[SISMED]],TblDisponibilidad[],10,FALSE), 0)</f>
        <v>0</v>
      </c>
      <c r="G36">
        <f>IFERROR(VLOOKUP(Tabla1[[#This Row],[SISMED]],TblDisponibilidad[],11,FALSE), 0)</f>
        <v>0</v>
      </c>
      <c r="H36">
        <f>IFERROR(VLOOKUP(Tabla1[[#This Row],[SISMED]],TblDisponibilidad[],12,FALSE), 0)</f>
        <v>0</v>
      </c>
      <c r="I36">
        <f>IFERROR(VLOOKUP(Tabla1[[#This Row],[SISMED]],TblDisponibilidad[],13,FALSE), 0)</f>
        <v>0</v>
      </c>
      <c r="J36">
        <f>IFERROR(VLOOKUP(Tabla1[[#This Row],[SISMED]],TblDisponibilidad[],14,FALSE), 0)</f>
        <v>0</v>
      </c>
      <c r="K36">
        <f>IFERROR(VLOOKUP(Tabla1[[#This Row],[SISMED]],TblDisponibilidad[],15,FALSE), 0)</f>
        <v>0</v>
      </c>
      <c r="L36">
        <f>IFERROR(VLOOKUP(Tabla1[[#This Row],[SISMED]],TblDisponibilidad[],16,FALSE), 0)</f>
        <v>0</v>
      </c>
      <c r="M36">
        <f>IFERROR(VLOOKUP(Tabla1[[#This Row],[SISMED]],TblDisponibilidad[],17,FALSE), 0)</f>
        <v>0</v>
      </c>
      <c r="N36">
        <f>IFERROR(VLOOKUP(Tabla1[[#This Row],[SISMED]],TblDisponibilidad[],18,FALSE), 0)</f>
        <v>0</v>
      </c>
      <c r="O36">
        <f>IFERROR(VLOOKUP(Tabla1[[#This Row],[SISMED]],TblDisponibilidad[],19,FALSE), 0)</f>
        <v>0</v>
      </c>
      <c r="P36">
        <f>IFERROR(VLOOKUP(Tabla1[[#This Row],[SISMED]],TblDisponibilidad[],20,FALSE), 0)</f>
        <v>0</v>
      </c>
      <c r="Q36">
        <f>IFERROR(VLOOKUP(Tabla1[[#This Row],[SISMED]],TblDisponibilidad[],21,FALSE), 0)</f>
        <v>0</v>
      </c>
      <c r="R36">
        <f>IFERROR(VLOOKUP(Tabla1[[#This Row],[SISMED]],TblDisponibilidad[],22,FALSE), 0)</f>
        <v>0</v>
      </c>
      <c r="S36" s="15">
        <f>IFERROR(VLOOKUP(Tabla1[[#This Row],[SISMED]],TblDisponibilidad[],23,FALSE), 0)</f>
        <v>0</v>
      </c>
    </row>
    <row r="37" spans="1:19" x14ac:dyDescent="0.3">
      <c r="A37" s="15" t="s">
        <v>67</v>
      </c>
      <c r="B37" t="str">
        <f>IFERROR(VLOOKUP(Tabla1[[#This Row],[SISMED]],TblDisponibilidad[],2,FALSE), "")</f>
        <v/>
      </c>
      <c r="C37">
        <f>IFERROR(VLOOKUP(Tabla1[[#This Row],[SISMED]],TblDisponibilidad[],7,FALSE), 0)</f>
        <v>0</v>
      </c>
      <c r="D37">
        <f>IFERROR(VLOOKUP(Tabla1[[#This Row],[SISMED]],TblDisponibilidad[],8,FALSE), 0)</f>
        <v>0</v>
      </c>
      <c r="E37">
        <f>IFERROR(VLOOKUP(Tabla1[[#This Row],[SISMED]],TblDisponibilidad[],9,FALSE), 0)</f>
        <v>0</v>
      </c>
      <c r="F37">
        <f>IFERROR(VLOOKUP(Tabla1[[#This Row],[SISMED]],TblDisponibilidad[],10,FALSE), 0)</f>
        <v>0</v>
      </c>
      <c r="G37">
        <f>IFERROR(VLOOKUP(Tabla1[[#This Row],[SISMED]],TblDisponibilidad[],11,FALSE), 0)</f>
        <v>0</v>
      </c>
      <c r="H37">
        <f>IFERROR(VLOOKUP(Tabla1[[#This Row],[SISMED]],TblDisponibilidad[],12,FALSE), 0)</f>
        <v>0</v>
      </c>
      <c r="I37">
        <f>IFERROR(VLOOKUP(Tabla1[[#This Row],[SISMED]],TblDisponibilidad[],13,FALSE), 0)</f>
        <v>0</v>
      </c>
      <c r="J37">
        <f>IFERROR(VLOOKUP(Tabla1[[#This Row],[SISMED]],TblDisponibilidad[],14,FALSE), 0)</f>
        <v>0</v>
      </c>
      <c r="K37">
        <f>IFERROR(VLOOKUP(Tabla1[[#This Row],[SISMED]],TblDisponibilidad[],15,FALSE), 0)</f>
        <v>0</v>
      </c>
      <c r="L37">
        <f>IFERROR(VLOOKUP(Tabla1[[#This Row],[SISMED]],TblDisponibilidad[],16,FALSE), 0)</f>
        <v>0</v>
      </c>
      <c r="M37">
        <f>IFERROR(VLOOKUP(Tabla1[[#This Row],[SISMED]],TblDisponibilidad[],17,FALSE), 0)</f>
        <v>0</v>
      </c>
      <c r="N37">
        <f>IFERROR(VLOOKUP(Tabla1[[#This Row],[SISMED]],TblDisponibilidad[],18,FALSE), 0)</f>
        <v>0</v>
      </c>
      <c r="O37">
        <f>IFERROR(VLOOKUP(Tabla1[[#This Row],[SISMED]],TblDisponibilidad[],19,FALSE), 0)</f>
        <v>0</v>
      </c>
      <c r="P37">
        <f>IFERROR(VLOOKUP(Tabla1[[#This Row],[SISMED]],TblDisponibilidad[],20,FALSE), 0)</f>
        <v>0</v>
      </c>
      <c r="Q37">
        <f>IFERROR(VLOOKUP(Tabla1[[#This Row],[SISMED]],TblDisponibilidad[],21,FALSE), 0)</f>
        <v>0</v>
      </c>
      <c r="R37">
        <f>IFERROR(VLOOKUP(Tabla1[[#This Row],[SISMED]],TblDisponibilidad[],22,FALSE), 0)</f>
        <v>0</v>
      </c>
      <c r="S37" s="15">
        <f>IFERROR(VLOOKUP(Tabla1[[#This Row],[SISMED]],TblDisponibilidad[],23,FALSE), 0)</f>
        <v>0</v>
      </c>
    </row>
    <row r="38" spans="1:19" x14ac:dyDescent="0.3">
      <c r="A38" s="15" t="s">
        <v>68</v>
      </c>
      <c r="B38" t="str">
        <f>IFERROR(VLOOKUP(Tabla1[[#This Row],[SISMED]],TblDisponibilidad[],2,FALSE), "")</f>
        <v/>
      </c>
      <c r="C38">
        <f>IFERROR(VLOOKUP(Tabla1[[#This Row],[SISMED]],TblDisponibilidad[],7,FALSE), 0)</f>
        <v>0</v>
      </c>
      <c r="D38">
        <f>IFERROR(VLOOKUP(Tabla1[[#This Row],[SISMED]],TblDisponibilidad[],8,FALSE), 0)</f>
        <v>0</v>
      </c>
      <c r="E38">
        <f>IFERROR(VLOOKUP(Tabla1[[#This Row],[SISMED]],TblDisponibilidad[],9,FALSE), 0)</f>
        <v>0</v>
      </c>
      <c r="F38">
        <f>IFERROR(VLOOKUP(Tabla1[[#This Row],[SISMED]],TblDisponibilidad[],10,FALSE), 0)</f>
        <v>0</v>
      </c>
      <c r="G38">
        <f>IFERROR(VLOOKUP(Tabla1[[#This Row],[SISMED]],TblDisponibilidad[],11,FALSE), 0)</f>
        <v>0</v>
      </c>
      <c r="H38">
        <f>IFERROR(VLOOKUP(Tabla1[[#This Row],[SISMED]],TblDisponibilidad[],12,FALSE), 0)</f>
        <v>0</v>
      </c>
      <c r="I38">
        <f>IFERROR(VLOOKUP(Tabla1[[#This Row],[SISMED]],TblDisponibilidad[],13,FALSE), 0)</f>
        <v>0</v>
      </c>
      <c r="J38">
        <f>IFERROR(VLOOKUP(Tabla1[[#This Row],[SISMED]],TblDisponibilidad[],14,FALSE), 0)</f>
        <v>0</v>
      </c>
      <c r="K38">
        <f>IFERROR(VLOOKUP(Tabla1[[#This Row],[SISMED]],TblDisponibilidad[],15,FALSE), 0)</f>
        <v>0</v>
      </c>
      <c r="L38">
        <f>IFERROR(VLOOKUP(Tabla1[[#This Row],[SISMED]],TblDisponibilidad[],16,FALSE), 0)</f>
        <v>0</v>
      </c>
      <c r="M38">
        <f>IFERROR(VLOOKUP(Tabla1[[#This Row],[SISMED]],TblDisponibilidad[],17,FALSE), 0)</f>
        <v>0</v>
      </c>
      <c r="N38">
        <f>IFERROR(VLOOKUP(Tabla1[[#This Row],[SISMED]],TblDisponibilidad[],18,FALSE), 0)</f>
        <v>0</v>
      </c>
      <c r="O38">
        <f>IFERROR(VLOOKUP(Tabla1[[#This Row],[SISMED]],TblDisponibilidad[],19,FALSE), 0)</f>
        <v>0</v>
      </c>
      <c r="P38">
        <f>IFERROR(VLOOKUP(Tabla1[[#This Row],[SISMED]],TblDisponibilidad[],20,FALSE), 0)</f>
        <v>0</v>
      </c>
      <c r="Q38">
        <f>IFERROR(VLOOKUP(Tabla1[[#This Row],[SISMED]],TblDisponibilidad[],21,FALSE), 0)</f>
        <v>0</v>
      </c>
      <c r="R38">
        <f>IFERROR(VLOOKUP(Tabla1[[#This Row],[SISMED]],TblDisponibilidad[],22,FALSE), 0)</f>
        <v>0</v>
      </c>
      <c r="S38" s="15">
        <f>IFERROR(VLOOKUP(Tabla1[[#This Row],[SISMED]],TblDisponibilidad[],23,FALSE), 0)</f>
        <v>0</v>
      </c>
    </row>
    <row r="39" spans="1:19" x14ac:dyDescent="0.3">
      <c r="A39" s="15" t="s">
        <v>69</v>
      </c>
      <c r="B39" t="str">
        <f>IFERROR(VLOOKUP(Tabla1[[#This Row],[SISMED]],TblDisponibilidad[],2,FALSE), "")</f>
        <v/>
      </c>
      <c r="C39">
        <f>IFERROR(VLOOKUP(Tabla1[[#This Row],[SISMED]],TblDisponibilidad[],7,FALSE), 0)</f>
        <v>0</v>
      </c>
      <c r="D39">
        <f>IFERROR(VLOOKUP(Tabla1[[#This Row],[SISMED]],TblDisponibilidad[],8,FALSE), 0)</f>
        <v>0</v>
      </c>
      <c r="E39">
        <f>IFERROR(VLOOKUP(Tabla1[[#This Row],[SISMED]],TblDisponibilidad[],9,FALSE), 0)</f>
        <v>0</v>
      </c>
      <c r="F39">
        <f>IFERROR(VLOOKUP(Tabla1[[#This Row],[SISMED]],TblDisponibilidad[],10,FALSE), 0)</f>
        <v>0</v>
      </c>
      <c r="G39">
        <f>IFERROR(VLOOKUP(Tabla1[[#This Row],[SISMED]],TblDisponibilidad[],11,FALSE), 0)</f>
        <v>0</v>
      </c>
      <c r="H39">
        <f>IFERROR(VLOOKUP(Tabla1[[#This Row],[SISMED]],TblDisponibilidad[],12,FALSE), 0)</f>
        <v>0</v>
      </c>
      <c r="I39">
        <f>IFERROR(VLOOKUP(Tabla1[[#This Row],[SISMED]],TblDisponibilidad[],13,FALSE), 0)</f>
        <v>0</v>
      </c>
      <c r="J39">
        <f>IFERROR(VLOOKUP(Tabla1[[#This Row],[SISMED]],TblDisponibilidad[],14,FALSE), 0)</f>
        <v>0</v>
      </c>
      <c r="K39">
        <f>IFERROR(VLOOKUP(Tabla1[[#This Row],[SISMED]],TblDisponibilidad[],15,FALSE), 0)</f>
        <v>0</v>
      </c>
      <c r="L39">
        <f>IFERROR(VLOOKUP(Tabla1[[#This Row],[SISMED]],TblDisponibilidad[],16,FALSE), 0)</f>
        <v>0</v>
      </c>
      <c r="M39">
        <f>IFERROR(VLOOKUP(Tabla1[[#This Row],[SISMED]],TblDisponibilidad[],17,FALSE), 0)</f>
        <v>0</v>
      </c>
      <c r="N39">
        <f>IFERROR(VLOOKUP(Tabla1[[#This Row],[SISMED]],TblDisponibilidad[],18,FALSE), 0)</f>
        <v>0</v>
      </c>
      <c r="O39">
        <f>IFERROR(VLOOKUP(Tabla1[[#This Row],[SISMED]],TblDisponibilidad[],19,FALSE), 0)</f>
        <v>0</v>
      </c>
      <c r="P39">
        <f>IFERROR(VLOOKUP(Tabla1[[#This Row],[SISMED]],TblDisponibilidad[],20,FALSE), 0)</f>
        <v>0</v>
      </c>
      <c r="Q39">
        <f>IFERROR(VLOOKUP(Tabla1[[#This Row],[SISMED]],TblDisponibilidad[],21,FALSE), 0)</f>
        <v>0</v>
      </c>
      <c r="R39">
        <f>IFERROR(VLOOKUP(Tabla1[[#This Row],[SISMED]],TblDisponibilidad[],22,FALSE), 0)</f>
        <v>0</v>
      </c>
      <c r="S39" s="15">
        <f>IFERROR(VLOOKUP(Tabla1[[#This Row],[SISMED]],TblDisponibilidad[],23,FALSE), 0)</f>
        <v>0</v>
      </c>
    </row>
    <row r="40" spans="1:19" x14ac:dyDescent="0.3">
      <c r="A40" s="15" t="s">
        <v>70</v>
      </c>
      <c r="B40" t="str">
        <f>IFERROR(VLOOKUP(Tabla1[[#This Row],[SISMED]],TblDisponibilidad[],2,FALSE), "")</f>
        <v/>
      </c>
      <c r="C40">
        <f>IFERROR(VLOOKUP(Tabla1[[#This Row],[SISMED]],TblDisponibilidad[],7,FALSE), 0)</f>
        <v>0</v>
      </c>
      <c r="D40">
        <f>IFERROR(VLOOKUP(Tabla1[[#This Row],[SISMED]],TblDisponibilidad[],8,FALSE), 0)</f>
        <v>0</v>
      </c>
      <c r="E40">
        <f>IFERROR(VLOOKUP(Tabla1[[#This Row],[SISMED]],TblDisponibilidad[],9,FALSE), 0)</f>
        <v>0</v>
      </c>
      <c r="F40">
        <f>IFERROR(VLOOKUP(Tabla1[[#This Row],[SISMED]],TblDisponibilidad[],10,FALSE), 0)</f>
        <v>0</v>
      </c>
      <c r="G40">
        <f>IFERROR(VLOOKUP(Tabla1[[#This Row],[SISMED]],TblDisponibilidad[],11,FALSE), 0)</f>
        <v>0</v>
      </c>
      <c r="H40">
        <f>IFERROR(VLOOKUP(Tabla1[[#This Row],[SISMED]],TblDisponibilidad[],12,FALSE), 0)</f>
        <v>0</v>
      </c>
      <c r="I40">
        <f>IFERROR(VLOOKUP(Tabla1[[#This Row],[SISMED]],TblDisponibilidad[],13,FALSE), 0)</f>
        <v>0</v>
      </c>
      <c r="J40">
        <f>IFERROR(VLOOKUP(Tabla1[[#This Row],[SISMED]],TblDisponibilidad[],14,FALSE), 0)</f>
        <v>0</v>
      </c>
      <c r="K40">
        <f>IFERROR(VLOOKUP(Tabla1[[#This Row],[SISMED]],TblDisponibilidad[],15,FALSE), 0)</f>
        <v>0</v>
      </c>
      <c r="L40">
        <f>IFERROR(VLOOKUP(Tabla1[[#This Row],[SISMED]],TblDisponibilidad[],16,FALSE), 0)</f>
        <v>0</v>
      </c>
      <c r="M40">
        <f>IFERROR(VLOOKUP(Tabla1[[#This Row],[SISMED]],TblDisponibilidad[],17,FALSE), 0)</f>
        <v>0</v>
      </c>
      <c r="N40">
        <f>IFERROR(VLOOKUP(Tabla1[[#This Row],[SISMED]],TblDisponibilidad[],18,FALSE), 0)</f>
        <v>0</v>
      </c>
      <c r="O40">
        <f>IFERROR(VLOOKUP(Tabla1[[#This Row],[SISMED]],TblDisponibilidad[],19,FALSE), 0)</f>
        <v>0</v>
      </c>
      <c r="P40">
        <f>IFERROR(VLOOKUP(Tabla1[[#This Row],[SISMED]],TblDisponibilidad[],20,FALSE), 0)</f>
        <v>0</v>
      </c>
      <c r="Q40">
        <f>IFERROR(VLOOKUP(Tabla1[[#This Row],[SISMED]],TblDisponibilidad[],21,FALSE), 0)</f>
        <v>0</v>
      </c>
      <c r="R40">
        <f>IFERROR(VLOOKUP(Tabla1[[#This Row],[SISMED]],TblDisponibilidad[],22,FALSE), 0)</f>
        <v>0</v>
      </c>
      <c r="S40" s="15">
        <f>IFERROR(VLOOKUP(Tabla1[[#This Row],[SISMED]],TblDisponibilidad[],23,FALSE), 0)</f>
        <v>0</v>
      </c>
    </row>
    <row r="41" spans="1:19" x14ac:dyDescent="0.3">
      <c r="A41" s="15" t="s">
        <v>71</v>
      </c>
      <c r="B41" t="str">
        <f>IFERROR(VLOOKUP(Tabla1[[#This Row],[SISMED]],TblDisponibilidad[],2,FALSE), "")</f>
        <v/>
      </c>
      <c r="C41">
        <f>IFERROR(VLOOKUP(Tabla1[[#This Row],[SISMED]],TblDisponibilidad[],7,FALSE), 0)</f>
        <v>0</v>
      </c>
      <c r="D41">
        <f>IFERROR(VLOOKUP(Tabla1[[#This Row],[SISMED]],TblDisponibilidad[],8,FALSE), 0)</f>
        <v>0</v>
      </c>
      <c r="E41">
        <f>IFERROR(VLOOKUP(Tabla1[[#This Row],[SISMED]],TblDisponibilidad[],9,FALSE), 0)</f>
        <v>0</v>
      </c>
      <c r="F41">
        <f>IFERROR(VLOOKUP(Tabla1[[#This Row],[SISMED]],TblDisponibilidad[],10,FALSE), 0)</f>
        <v>0</v>
      </c>
      <c r="G41">
        <f>IFERROR(VLOOKUP(Tabla1[[#This Row],[SISMED]],TblDisponibilidad[],11,FALSE), 0)</f>
        <v>0</v>
      </c>
      <c r="H41">
        <f>IFERROR(VLOOKUP(Tabla1[[#This Row],[SISMED]],TblDisponibilidad[],12,FALSE), 0)</f>
        <v>0</v>
      </c>
      <c r="I41">
        <f>IFERROR(VLOOKUP(Tabla1[[#This Row],[SISMED]],TblDisponibilidad[],13,FALSE), 0)</f>
        <v>0</v>
      </c>
      <c r="J41">
        <f>IFERROR(VLOOKUP(Tabla1[[#This Row],[SISMED]],TblDisponibilidad[],14,FALSE), 0)</f>
        <v>0</v>
      </c>
      <c r="K41">
        <f>IFERROR(VLOOKUP(Tabla1[[#This Row],[SISMED]],TblDisponibilidad[],15,FALSE), 0)</f>
        <v>0</v>
      </c>
      <c r="L41">
        <f>IFERROR(VLOOKUP(Tabla1[[#This Row],[SISMED]],TblDisponibilidad[],16,FALSE), 0)</f>
        <v>0</v>
      </c>
      <c r="M41">
        <f>IFERROR(VLOOKUP(Tabla1[[#This Row],[SISMED]],TblDisponibilidad[],17,FALSE), 0)</f>
        <v>0</v>
      </c>
      <c r="N41">
        <f>IFERROR(VLOOKUP(Tabla1[[#This Row],[SISMED]],TblDisponibilidad[],18,FALSE), 0)</f>
        <v>0</v>
      </c>
      <c r="O41">
        <f>IFERROR(VLOOKUP(Tabla1[[#This Row],[SISMED]],TblDisponibilidad[],19,FALSE), 0)</f>
        <v>0</v>
      </c>
      <c r="P41">
        <f>IFERROR(VLOOKUP(Tabla1[[#This Row],[SISMED]],TblDisponibilidad[],20,FALSE), 0)</f>
        <v>0</v>
      </c>
      <c r="Q41">
        <f>IFERROR(VLOOKUP(Tabla1[[#This Row],[SISMED]],TblDisponibilidad[],21,FALSE), 0)</f>
        <v>0</v>
      </c>
      <c r="R41">
        <f>IFERROR(VLOOKUP(Tabla1[[#This Row],[SISMED]],TblDisponibilidad[],22,FALSE), 0)</f>
        <v>0</v>
      </c>
      <c r="S41" s="15">
        <f>IFERROR(VLOOKUP(Tabla1[[#This Row],[SISMED]],TblDisponibilidad[],23,FALSE), 0)</f>
        <v>0</v>
      </c>
    </row>
    <row r="42" spans="1:19" x14ac:dyDescent="0.3">
      <c r="A42" s="15" t="s">
        <v>72</v>
      </c>
      <c r="B42" t="str">
        <f>IFERROR(VLOOKUP(Tabla1[[#This Row],[SISMED]],TblDisponibilidad[],2,FALSE), "")</f>
        <v/>
      </c>
      <c r="C42">
        <f>IFERROR(VLOOKUP(Tabla1[[#This Row],[SISMED]],TblDisponibilidad[],7,FALSE), 0)</f>
        <v>0</v>
      </c>
      <c r="D42">
        <f>IFERROR(VLOOKUP(Tabla1[[#This Row],[SISMED]],TblDisponibilidad[],8,FALSE), 0)</f>
        <v>0</v>
      </c>
      <c r="E42">
        <f>IFERROR(VLOOKUP(Tabla1[[#This Row],[SISMED]],TblDisponibilidad[],9,FALSE), 0)</f>
        <v>0</v>
      </c>
      <c r="F42">
        <f>IFERROR(VLOOKUP(Tabla1[[#This Row],[SISMED]],TblDisponibilidad[],10,FALSE), 0)</f>
        <v>0</v>
      </c>
      <c r="G42">
        <f>IFERROR(VLOOKUP(Tabla1[[#This Row],[SISMED]],TblDisponibilidad[],11,FALSE), 0)</f>
        <v>0</v>
      </c>
      <c r="H42">
        <f>IFERROR(VLOOKUP(Tabla1[[#This Row],[SISMED]],TblDisponibilidad[],12,FALSE), 0)</f>
        <v>0</v>
      </c>
      <c r="I42">
        <f>IFERROR(VLOOKUP(Tabla1[[#This Row],[SISMED]],TblDisponibilidad[],13,FALSE), 0)</f>
        <v>0</v>
      </c>
      <c r="J42">
        <f>IFERROR(VLOOKUP(Tabla1[[#This Row],[SISMED]],TblDisponibilidad[],14,FALSE), 0)</f>
        <v>0</v>
      </c>
      <c r="K42">
        <f>IFERROR(VLOOKUP(Tabla1[[#This Row],[SISMED]],TblDisponibilidad[],15,FALSE), 0)</f>
        <v>0</v>
      </c>
      <c r="L42">
        <f>IFERROR(VLOOKUP(Tabla1[[#This Row],[SISMED]],TblDisponibilidad[],16,FALSE), 0)</f>
        <v>0</v>
      </c>
      <c r="M42">
        <f>IFERROR(VLOOKUP(Tabla1[[#This Row],[SISMED]],TblDisponibilidad[],17,FALSE), 0)</f>
        <v>0</v>
      </c>
      <c r="N42">
        <f>IFERROR(VLOOKUP(Tabla1[[#This Row],[SISMED]],TblDisponibilidad[],18,FALSE), 0)</f>
        <v>0</v>
      </c>
      <c r="O42">
        <f>IFERROR(VLOOKUP(Tabla1[[#This Row],[SISMED]],TblDisponibilidad[],19,FALSE), 0)</f>
        <v>0</v>
      </c>
      <c r="P42">
        <f>IFERROR(VLOOKUP(Tabla1[[#This Row],[SISMED]],TblDisponibilidad[],20,FALSE), 0)</f>
        <v>0</v>
      </c>
      <c r="Q42">
        <f>IFERROR(VLOOKUP(Tabla1[[#This Row],[SISMED]],TblDisponibilidad[],21,FALSE), 0)</f>
        <v>0</v>
      </c>
      <c r="R42">
        <f>IFERROR(VLOOKUP(Tabla1[[#This Row],[SISMED]],TblDisponibilidad[],22,FALSE), 0)</f>
        <v>0</v>
      </c>
      <c r="S42" s="15">
        <f>IFERROR(VLOOKUP(Tabla1[[#This Row],[SISMED]],TblDisponibilidad[],23,FALSE), 0)</f>
        <v>0</v>
      </c>
    </row>
    <row r="43" spans="1:19" x14ac:dyDescent="0.3">
      <c r="A43" s="15" t="s">
        <v>73</v>
      </c>
      <c r="B43" t="str">
        <f>IFERROR(VLOOKUP(Tabla1[[#This Row],[SISMED]],TblDisponibilidad[],2,FALSE), "")</f>
        <v/>
      </c>
      <c r="C43">
        <f>IFERROR(VLOOKUP(Tabla1[[#This Row],[SISMED]],TblDisponibilidad[],7,FALSE), 0)</f>
        <v>0</v>
      </c>
      <c r="D43">
        <f>IFERROR(VLOOKUP(Tabla1[[#This Row],[SISMED]],TblDisponibilidad[],8,FALSE), 0)</f>
        <v>0</v>
      </c>
      <c r="E43">
        <f>IFERROR(VLOOKUP(Tabla1[[#This Row],[SISMED]],TblDisponibilidad[],9,FALSE), 0)</f>
        <v>0</v>
      </c>
      <c r="F43">
        <f>IFERROR(VLOOKUP(Tabla1[[#This Row],[SISMED]],TblDisponibilidad[],10,FALSE), 0)</f>
        <v>0</v>
      </c>
      <c r="G43">
        <f>IFERROR(VLOOKUP(Tabla1[[#This Row],[SISMED]],TblDisponibilidad[],11,FALSE), 0)</f>
        <v>0</v>
      </c>
      <c r="H43">
        <f>IFERROR(VLOOKUP(Tabla1[[#This Row],[SISMED]],TblDisponibilidad[],12,FALSE), 0)</f>
        <v>0</v>
      </c>
      <c r="I43">
        <f>IFERROR(VLOOKUP(Tabla1[[#This Row],[SISMED]],TblDisponibilidad[],13,FALSE), 0)</f>
        <v>0</v>
      </c>
      <c r="J43">
        <f>IFERROR(VLOOKUP(Tabla1[[#This Row],[SISMED]],TblDisponibilidad[],14,FALSE), 0)</f>
        <v>0</v>
      </c>
      <c r="K43">
        <f>IFERROR(VLOOKUP(Tabla1[[#This Row],[SISMED]],TblDisponibilidad[],15,FALSE), 0)</f>
        <v>0</v>
      </c>
      <c r="L43">
        <f>IFERROR(VLOOKUP(Tabla1[[#This Row],[SISMED]],TblDisponibilidad[],16,FALSE), 0)</f>
        <v>0</v>
      </c>
      <c r="M43">
        <f>IFERROR(VLOOKUP(Tabla1[[#This Row],[SISMED]],TblDisponibilidad[],17,FALSE), 0)</f>
        <v>0</v>
      </c>
      <c r="N43">
        <f>IFERROR(VLOOKUP(Tabla1[[#This Row],[SISMED]],TblDisponibilidad[],18,FALSE), 0)</f>
        <v>0</v>
      </c>
      <c r="O43">
        <f>IFERROR(VLOOKUP(Tabla1[[#This Row],[SISMED]],TblDisponibilidad[],19,FALSE), 0)</f>
        <v>0</v>
      </c>
      <c r="P43">
        <f>IFERROR(VLOOKUP(Tabla1[[#This Row],[SISMED]],TblDisponibilidad[],20,FALSE), 0)</f>
        <v>0</v>
      </c>
      <c r="Q43">
        <f>IFERROR(VLOOKUP(Tabla1[[#This Row],[SISMED]],TblDisponibilidad[],21,FALSE), 0)</f>
        <v>0</v>
      </c>
      <c r="R43">
        <f>IFERROR(VLOOKUP(Tabla1[[#This Row],[SISMED]],TblDisponibilidad[],22,FALSE), 0)</f>
        <v>0</v>
      </c>
      <c r="S43" s="15">
        <f>IFERROR(VLOOKUP(Tabla1[[#This Row],[SISMED]],TblDisponibilidad[],23,FALSE), 0)</f>
        <v>0</v>
      </c>
    </row>
    <row r="44" spans="1:19" x14ac:dyDescent="0.3">
      <c r="A44" s="15" t="s">
        <v>74</v>
      </c>
      <c r="B44" t="str">
        <f>IFERROR(VLOOKUP(Tabla1[[#This Row],[SISMED]],TblDisponibilidad[],2,FALSE), "")</f>
        <v/>
      </c>
      <c r="C44">
        <f>IFERROR(VLOOKUP(Tabla1[[#This Row],[SISMED]],TblDisponibilidad[],7,FALSE), 0)</f>
        <v>0</v>
      </c>
      <c r="D44">
        <f>IFERROR(VLOOKUP(Tabla1[[#This Row],[SISMED]],TblDisponibilidad[],8,FALSE), 0)</f>
        <v>0</v>
      </c>
      <c r="E44">
        <f>IFERROR(VLOOKUP(Tabla1[[#This Row],[SISMED]],TblDisponibilidad[],9,FALSE), 0)</f>
        <v>0</v>
      </c>
      <c r="F44">
        <f>IFERROR(VLOOKUP(Tabla1[[#This Row],[SISMED]],TblDisponibilidad[],10,FALSE), 0)</f>
        <v>0</v>
      </c>
      <c r="G44">
        <f>IFERROR(VLOOKUP(Tabla1[[#This Row],[SISMED]],TblDisponibilidad[],11,FALSE), 0)</f>
        <v>0</v>
      </c>
      <c r="H44">
        <f>IFERROR(VLOOKUP(Tabla1[[#This Row],[SISMED]],TblDisponibilidad[],12,FALSE), 0)</f>
        <v>0</v>
      </c>
      <c r="I44">
        <f>IFERROR(VLOOKUP(Tabla1[[#This Row],[SISMED]],TblDisponibilidad[],13,FALSE), 0)</f>
        <v>0</v>
      </c>
      <c r="J44">
        <f>IFERROR(VLOOKUP(Tabla1[[#This Row],[SISMED]],TblDisponibilidad[],14,FALSE), 0)</f>
        <v>0</v>
      </c>
      <c r="K44">
        <f>IFERROR(VLOOKUP(Tabla1[[#This Row],[SISMED]],TblDisponibilidad[],15,FALSE), 0)</f>
        <v>0</v>
      </c>
      <c r="L44">
        <f>IFERROR(VLOOKUP(Tabla1[[#This Row],[SISMED]],TblDisponibilidad[],16,FALSE), 0)</f>
        <v>0</v>
      </c>
      <c r="M44">
        <f>IFERROR(VLOOKUP(Tabla1[[#This Row],[SISMED]],TblDisponibilidad[],17,FALSE), 0)</f>
        <v>0</v>
      </c>
      <c r="N44">
        <f>IFERROR(VLOOKUP(Tabla1[[#This Row],[SISMED]],TblDisponibilidad[],18,FALSE), 0)</f>
        <v>0</v>
      </c>
      <c r="O44">
        <f>IFERROR(VLOOKUP(Tabla1[[#This Row],[SISMED]],TblDisponibilidad[],19,FALSE), 0)</f>
        <v>0</v>
      </c>
      <c r="P44">
        <f>IFERROR(VLOOKUP(Tabla1[[#This Row],[SISMED]],TblDisponibilidad[],20,FALSE), 0)</f>
        <v>0</v>
      </c>
      <c r="Q44">
        <f>IFERROR(VLOOKUP(Tabla1[[#This Row],[SISMED]],TblDisponibilidad[],21,FALSE), 0)</f>
        <v>0</v>
      </c>
      <c r="R44">
        <f>IFERROR(VLOOKUP(Tabla1[[#This Row],[SISMED]],TblDisponibilidad[],22,FALSE), 0)</f>
        <v>0</v>
      </c>
      <c r="S44" s="15">
        <f>IFERROR(VLOOKUP(Tabla1[[#This Row],[SISMED]],TblDisponibilidad[],23,FALSE), 0)</f>
        <v>0</v>
      </c>
    </row>
    <row r="45" spans="1:19" x14ac:dyDescent="0.3">
      <c r="A45" s="15" t="s">
        <v>75</v>
      </c>
      <c r="B45" t="str">
        <f>IFERROR(VLOOKUP(Tabla1[[#This Row],[SISMED]],TblDisponibilidad[],2,FALSE), "")</f>
        <v/>
      </c>
      <c r="C45">
        <f>IFERROR(VLOOKUP(Tabla1[[#This Row],[SISMED]],TblDisponibilidad[],7,FALSE), 0)</f>
        <v>0</v>
      </c>
      <c r="D45">
        <f>IFERROR(VLOOKUP(Tabla1[[#This Row],[SISMED]],TblDisponibilidad[],8,FALSE), 0)</f>
        <v>0</v>
      </c>
      <c r="E45">
        <f>IFERROR(VLOOKUP(Tabla1[[#This Row],[SISMED]],TblDisponibilidad[],9,FALSE), 0)</f>
        <v>0</v>
      </c>
      <c r="F45">
        <f>IFERROR(VLOOKUP(Tabla1[[#This Row],[SISMED]],TblDisponibilidad[],10,FALSE), 0)</f>
        <v>0</v>
      </c>
      <c r="G45">
        <f>IFERROR(VLOOKUP(Tabla1[[#This Row],[SISMED]],TblDisponibilidad[],11,FALSE), 0)</f>
        <v>0</v>
      </c>
      <c r="H45">
        <f>IFERROR(VLOOKUP(Tabla1[[#This Row],[SISMED]],TblDisponibilidad[],12,FALSE), 0)</f>
        <v>0</v>
      </c>
      <c r="I45">
        <f>IFERROR(VLOOKUP(Tabla1[[#This Row],[SISMED]],TblDisponibilidad[],13,FALSE), 0)</f>
        <v>0</v>
      </c>
      <c r="J45">
        <f>IFERROR(VLOOKUP(Tabla1[[#This Row],[SISMED]],TblDisponibilidad[],14,FALSE), 0)</f>
        <v>0</v>
      </c>
      <c r="K45">
        <f>IFERROR(VLOOKUP(Tabla1[[#This Row],[SISMED]],TblDisponibilidad[],15,FALSE), 0)</f>
        <v>0</v>
      </c>
      <c r="L45">
        <f>IFERROR(VLOOKUP(Tabla1[[#This Row],[SISMED]],TblDisponibilidad[],16,FALSE), 0)</f>
        <v>0</v>
      </c>
      <c r="M45">
        <f>IFERROR(VLOOKUP(Tabla1[[#This Row],[SISMED]],TblDisponibilidad[],17,FALSE), 0)</f>
        <v>0</v>
      </c>
      <c r="N45">
        <f>IFERROR(VLOOKUP(Tabla1[[#This Row],[SISMED]],TblDisponibilidad[],18,FALSE), 0)</f>
        <v>0</v>
      </c>
      <c r="O45">
        <f>IFERROR(VLOOKUP(Tabla1[[#This Row],[SISMED]],TblDisponibilidad[],19,FALSE), 0)</f>
        <v>0</v>
      </c>
      <c r="P45">
        <f>IFERROR(VLOOKUP(Tabla1[[#This Row],[SISMED]],TblDisponibilidad[],20,FALSE), 0)</f>
        <v>0</v>
      </c>
      <c r="Q45">
        <f>IFERROR(VLOOKUP(Tabla1[[#This Row],[SISMED]],TblDisponibilidad[],21,FALSE), 0)</f>
        <v>0</v>
      </c>
      <c r="R45">
        <f>IFERROR(VLOOKUP(Tabla1[[#This Row],[SISMED]],TblDisponibilidad[],22,FALSE), 0)</f>
        <v>0</v>
      </c>
      <c r="S45" s="15">
        <f>IFERROR(VLOOKUP(Tabla1[[#This Row],[SISMED]],TblDisponibilidad[],23,FALSE), 0)</f>
        <v>0</v>
      </c>
    </row>
    <row r="46" spans="1:19" x14ac:dyDescent="0.3">
      <c r="A46" s="15" t="s">
        <v>76</v>
      </c>
      <c r="B46" t="str">
        <f>IFERROR(VLOOKUP(Tabla1[[#This Row],[SISMED]],TblDisponibilidad[],2,FALSE), "")</f>
        <v/>
      </c>
      <c r="C46">
        <f>IFERROR(VLOOKUP(Tabla1[[#This Row],[SISMED]],TblDisponibilidad[],7,FALSE), 0)</f>
        <v>0</v>
      </c>
      <c r="D46">
        <f>IFERROR(VLOOKUP(Tabla1[[#This Row],[SISMED]],TblDisponibilidad[],8,FALSE), 0)</f>
        <v>0</v>
      </c>
      <c r="E46">
        <f>IFERROR(VLOOKUP(Tabla1[[#This Row],[SISMED]],TblDisponibilidad[],9,FALSE), 0)</f>
        <v>0</v>
      </c>
      <c r="F46">
        <f>IFERROR(VLOOKUP(Tabla1[[#This Row],[SISMED]],TblDisponibilidad[],10,FALSE), 0)</f>
        <v>0</v>
      </c>
      <c r="G46">
        <f>IFERROR(VLOOKUP(Tabla1[[#This Row],[SISMED]],TblDisponibilidad[],11,FALSE), 0)</f>
        <v>0</v>
      </c>
      <c r="H46">
        <f>IFERROR(VLOOKUP(Tabla1[[#This Row],[SISMED]],TblDisponibilidad[],12,FALSE), 0)</f>
        <v>0</v>
      </c>
      <c r="I46">
        <f>IFERROR(VLOOKUP(Tabla1[[#This Row],[SISMED]],TblDisponibilidad[],13,FALSE), 0)</f>
        <v>0</v>
      </c>
      <c r="J46">
        <f>IFERROR(VLOOKUP(Tabla1[[#This Row],[SISMED]],TblDisponibilidad[],14,FALSE), 0)</f>
        <v>0</v>
      </c>
      <c r="K46">
        <f>IFERROR(VLOOKUP(Tabla1[[#This Row],[SISMED]],TblDisponibilidad[],15,FALSE), 0)</f>
        <v>0</v>
      </c>
      <c r="L46">
        <f>IFERROR(VLOOKUP(Tabla1[[#This Row],[SISMED]],TblDisponibilidad[],16,FALSE), 0)</f>
        <v>0</v>
      </c>
      <c r="M46">
        <f>IFERROR(VLOOKUP(Tabla1[[#This Row],[SISMED]],TblDisponibilidad[],17,FALSE), 0)</f>
        <v>0</v>
      </c>
      <c r="N46">
        <f>IFERROR(VLOOKUP(Tabla1[[#This Row],[SISMED]],TblDisponibilidad[],18,FALSE), 0)</f>
        <v>0</v>
      </c>
      <c r="O46">
        <f>IFERROR(VLOOKUP(Tabla1[[#This Row],[SISMED]],TblDisponibilidad[],19,FALSE), 0)</f>
        <v>0</v>
      </c>
      <c r="P46">
        <f>IFERROR(VLOOKUP(Tabla1[[#This Row],[SISMED]],TblDisponibilidad[],20,FALSE), 0)</f>
        <v>0</v>
      </c>
      <c r="Q46">
        <f>IFERROR(VLOOKUP(Tabla1[[#This Row],[SISMED]],TblDisponibilidad[],21,FALSE), 0)</f>
        <v>0</v>
      </c>
      <c r="R46">
        <f>IFERROR(VLOOKUP(Tabla1[[#This Row],[SISMED]],TblDisponibilidad[],22,FALSE), 0)</f>
        <v>0</v>
      </c>
      <c r="S46" s="15">
        <f>IFERROR(VLOOKUP(Tabla1[[#This Row],[SISMED]],TblDisponibilidad[],23,FALSE), 0)</f>
        <v>0</v>
      </c>
    </row>
    <row r="47" spans="1:19" x14ac:dyDescent="0.3">
      <c r="A47" s="15" t="s">
        <v>77</v>
      </c>
      <c r="B47" t="str">
        <f>IFERROR(VLOOKUP(Tabla1[[#This Row],[SISMED]],TblDisponibilidad[],2,FALSE), "")</f>
        <v/>
      </c>
      <c r="C47">
        <f>IFERROR(VLOOKUP(Tabla1[[#This Row],[SISMED]],TblDisponibilidad[],7,FALSE), 0)</f>
        <v>0</v>
      </c>
      <c r="D47">
        <f>IFERROR(VLOOKUP(Tabla1[[#This Row],[SISMED]],TblDisponibilidad[],8,FALSE), 0)</f>
        <v>0</v>
      </c>
      <c r="E47">
        <f>IFERROR(VLOOKUP(Tabla1[[#This Row],[SISMED]],TblDisponibilidad[],9,FALSE), 0)</f>
        <v>0</v>
      </c>
      <c r="F47">
        <f>IFERROR(VLOOKUP(Tabla1[[#This Row],[SISMED]],TblDisponibilidad[],10,FALSE), 0)</f>
        <v>0</v>
      </c>
      <c r="G47">
        <f>IFERROR(VLOOKUP(Tabla1[[#This Row],[SISMED]],TblDisponibilidad[],11,FALSE), 0)</f>
        <v>0</v>
      </c>
      <c r="H47">
        <f>IFERROR(VLOOKUP(Tabla1[[#This Row],[SISMED]],TblDisponibilidad[],12,FALSE), 0)</f>
        <v>0</v>
      </c>
      <c r="I47">
        <f>IFERROR(VLOOKUP(Tabla1[[#This Row],[SISMED]],TblDisponibilidad[],13,FALSE), 0)</f>
        <v>0</v>
      </c>
      <c r="J47">
        <f>IFERROR(VLOOKUP(Tabla1[[#This Row],[SISMED]],TblDisponibilidad[],14,FALSE), 0)</f>
        <v>0</v>
      </c>
      <c r="K47">
        <f>IFERROR(VLOOKUP(Tabla1[[#This Row],[SISMED]],TblDisponibilidad[],15,FALSE), 0)</f>
        <v>0</v>
      </c>
      <c r="L47">
        <f>IFERROR(VLOOKUP(Tabla1[[#This Row],[SISMED]],TblDisponibilidad[],16,FALSE), 0)</f>
        <v>0</v>
      </c>
      <c r="M47">
        <f>IFERROR(VLOOKUP(Tabla1[[#This Row],[SISMED]],TblDisponibilidad[],17,FALSE), 0)</f>
        <v>0</v>
      </c>
      <c r="N47">
        <f>IFERROR(VLOOKUP(Tabla1[[#This Row],[SISMED]],TblDisponibilidad[],18,FALSE), 0)</f>
        <v>0</v>
      </c>
      <c r="O47">
        <f>IFERROR(VLOOKUP(Tabla1[[#This Row],[SISMED]],TblDisponibilidad[],19,FALSE), 0)</f>
        <v>0</v>
      </c>
      <c r="P47">
        <f>IFERROR(VLOOKUP(Tabla1[[#This Row],[SISMED]],TblDisponibilidad[],20,FALSE), 0)</f>
        <v>0</v>
      </c>
      <c r="Q47">
        <f>IFERROR(VLOOKUP(Tabla1[[#This Row],[SISMED]],TblDisponibilidad[],21,FALSE), 0)</f>
        <v>0</v>
      </c>
      <c r="R47">
        <f>IFERROR(VLOOKUP(Tabla1[[#This Row],[SISMED]],TblDisponibilidad[],22,FALSE), 0)</f>
        <v>0</v>
      </c>
      <c r="S47" s="15">
        <f>IFERROR(VLOOKUP(Tabla1[[#This Row],[SISMED]],TblDisponibilidad[],23,FALSE), 0)</f>
        <v>0</v>
      </c>
    </row>
    <row r="48" spans="1:19" x14ac:dyDescent="0.3">
      <c r="A48" s="15" t="s">
        <v>78</v>
      </c>
      <c r="B48" t="str">
        <f>IFERROR(VLOOKUP(Tabla1[[#This Row],[SISMED]],TblDisponibilidad[],2,FALSE), "")</f>
        <v/>
      </c>
      <c r="C48">
        <f>IFERROR(VLOOKUP(Tabla1[[#This Row],[SISMED]],TblDisponibilidad[],7,FALSE), 0)</f>
        <v>0</v>
      </c>
      <c r="D48">
        <f>IFERROR(VLOOKUP(Tabla1[[#This Row],[SISMED]],TblDisponibilidad[],8,FALSE), 0)</f>
        <v>0</v>
      </c>
      <c r="E48">
        <f>IFERROR(VLOOKUP(Tabla1[[#This Row],[SISMED]],TblDisponibilidad[],9,FALSE), 0)</f>
        <v>0</v>
      </c>
      <c r="F48">
        <f>IFERROR(VLOOKUP(Tabla1[[#This Row],[SISMED]],TblDisponibilidad[],10,FALSE), 0)</f>
        <v>0</v>
      </c>
      <c r="G48">
        <f>IFERROR(VLOOKUP(Tabla1[[#This Row],[SISMED]],TblDisponibilidad[],11,FALSE), 0)</f>
        <v>0</v>
      </c>
      <c r="H48">
        <f>IFERROR(VLOOKUP(Tabla1[[#This Row],[SISMED]],TblDisponibilidad[],12,FALSE), 0)</f>
        <v>0</v>
      </c>
      <c r="I48">
        <f>IFERROR(VLOOKUP(Tabla1[[#This Row],[SISMED]],TblDisponibilidad[],13,FALSE), 0)</f>
        <v>0</v>
      </c>
      <c r="J48">
        <f>IFERROR(VLOOKUP(Tabla1[[#This Row],[SISMED]],TblDisponibilidad[],14,FALSE), 0)</f>
        <v>0</v>
      </c>
      <c r="K48">
        <f>IFERROR(VLOOKUP(Tabla1[[#This Row],[SISMED]],TblDisponibilidad[],15,FALSE), 0)</f>
        <v>0</v>
      </c>
      <c r="L48">
        <f>IFERROR(VLOOKUP(Tabla1[[#This Row],[SISMED]],TblDisponibilidad[],16,FALSE), 0)</f>
        <v>0</v>
      </c>
      <c r="M48">
        <f>IFERROR(VLOOKUP(Tabla1[[#This Row],[SISMED]],TblDisponibilidad[],17,FALSE), 0)</f>
        <v>0</v>
      </c>
      <c r="N48">
        <f>IFERROR(VLOOKUP(Tabla1[[#This Row],[SISMED]],TblDisponibilidad[],18,FALSE), 0)</f>
        <v>0</v>
      </c>
      <c r="O48">
        <f>IFERROR(VLOOKUP(Tabla1[[#This Row],[SISMED]],TblDisponibilidad[],19,FALSE), 0)</f>
        <v>0</v>
      </c>
      <c r="P48">
        <f>IFERROR(VLOOKUP(Tabla1[[#This Row],[SISMED]],TblDisponibilidad[],20,FALSE), 0)</f>
        <v>0</v>
      </c>
      <c r="Q48">
        <f>IFERROR(VLOOKUP(Tabla1[[#This Row],[SISMED]],TblDisponibilidad[],21,FALSE), 0)</f>
        <v>0</v>
      </c>
      <c r="R48">
        <f>IFERROR(VLOOKUP(Tabla1[[#This Row],[SISMED]],TblDisponibilidad[],22,FALSE), 0)</f>
        <v>0</v>
      </c>
      <c r="S48" s="15">
        <f>IFERROR(VLOOKUP(Tabla1[[#This Row],[SISMED]],TblDisponibilidad[],23,FALSE), 0)</f>
        <v>0</v>
      </c>
    </row>
    <row r="49" spans="1:19" x14ac:dyDescent="0.3">
      <c r="A49" s="15" t="s">
        <v>79</v>
      </c>
      <c r="B49" t="str">
        <f>IFERROR(VLOOKUP(Tabla1[[#This Row],[SISMED]],TblDisponibilidad[],2,FALSE), "")</f>
        <v/>
      </c>
      <c r="C49">
        <f>IFERROR(VLOOKUP(Tabla1[[#This Row],[SISMED]],TblDisponibilidad[],7,FALSE), 0)</f>
        <v>0</v>
      </c>
      <c r="D49">
        <f>IFERROR(VLOOKUP(Tabla1[[#This Row],[SISMED]],TblDisponibilidad[],8,FALSE), 0)</f>
        <v>0</v>
      </c>
      <c r="E49">
        <f>IFERROR(VLOOKUP(Tabla1[[#This Row],[SISMED]],TblDisponibilidad[],9,FALSE), 0)</f>
        <v>0</v>
      </c>
      <c r="F49">
        <f>IFERROR(VLOOKUP(Tabla1[[#This Row],[SISMED]],TblDisponibilidad[],10,FALSE), 0)</f>
        <v>0</v>
      </c>
      <c r="G49">
        <f>IFERROR(VLOOKUP(Tabla1[[#This Row],[SISMED]],TblDisponibilidad[],11,FALSE), 0)</f>
        <v>0</v>
      </c>
      <c r="H49">
        <f>IFERROR(VLOOKUP(Tabla1[[#This Row],[SISMED]],TblDisponibilidad[],12,FALSE), 0)</f>
        <v>0</v>
      </c>
      <c r="I49">
        <f>IFERROR(VLOOKUP(Tabla1[[#This Row],[SISMED]],TblDisponibilidad[],13,FALSE), 0)</f>
        <v>0</v>
      </c>
      <c r="J49">
        <f>IFERROR(VLOOKUP(Tabla1[[#This Row],[SISMED]],TblDisponibilidad[],14,FALSE), 0)</f>
        <v>0</v>
      </c>
      <c r="K49">
        <f>IFERROR(VLOOKUP(Tabla1[[#This Row],[SISMED]],TblDisponibilidad[],15,FALSE), 0)</f>
        <v>0</v>
      </c>
      <c r="L49">
        <f>IFERROR(VLOOKUP(Tabla1[[#This Row],[SISMED]],TblDisponibilidad[],16,FALSE), 0)</f>
        <v>0</v>
      </c>
      <c r="M49">
        <f>IFERROR(VLOOKUP(Tabla1[[#This Row],[SISMED]],TblDisponibilidad[],17,FALSE), 0)</f>
        <v>0</v>
      </c>
      <c r="N49">
        <f>IFERROR(VLOOKUP(Tabla1[[#This Row],[SISMED]],TblDisponibilidad[],18,FALSE), 0)</f>
        <v>0</v>
      </c>
      <c r="O49">
        <f>IFERROR(VLOOKUP(Tabla1[[#This Row],[SISMED]],TblDisponibilidad[],19,FALSE), 0)</f>
        <v>0</v>
      </c>
      <c r="P49">
        <f>IFERROR(VLOOKUP(Tabla1[[#This Row],[SISMED]],TblDisponibilidad[],20,FALSE), 0)</f>
        <v>0</v>
      </c>
      <c r="Q49">
        <f>IFERROR(VLOOKUP(Tabla1[[#This Row],[SISMED]],TblDisponibilidad[],21,FALSE), 0)</f>
        <v>0</v>
      </c>
      <c r="R49">
        <f>IFERROR(VLOOKUP(Tabla1[[#This Row],[SISMED]],TblDisponibilidad[],22,FALSE), 0)</f>
        <v>0</v>
      </c>
      <c r="S49" s="15">
        <f>IFERROR(VLOOKUP(Tabla1[[#This Row],[SISMED]],TblDisponibilidad[],23,FALSE), 0)</f>
        <v>0</v>
      </c>
    </row>
    <row r="50" spans="1:19" x14ac:dyDescent="0.3">
      <c r="A50" s="15" t="s">
        <v>80</v>
      </c>
      <c r="B50" t="str">
        <f>IFERROR(VLOOKUP(Tabla1[[#This Row],[SISMED]],TblDisponibilidad[],2,FALSE), "")</f>
        <v/>
      </c>
      <c r="C50">
        <f>IFERROR(VLOOKUP(Tabla1[[#This Row],[SISMED]],TblDisponibilidad[],7,FALSE), 0)</f>
        <v>0</v>
      </c>
      <c r="D50">
        <f>IFERROR(VLOOKUP(Tabla1[[#This Row],[SISMED]],TblDisponibilidad[],8,FALSE), 0)</f>
        <v>0</v>
      </c>
      <c r="E50">
        <f>IFERROR(VLOOKUP(Tabla1[[#This Row],[SISMED]],TblDisponibilidad[],9,FALSE), 0)</f>
        <v>0</v>
      </c>
      <c r="F50">
        <f>IFERROR(VLOOKUP(Tabla1[[#This Row],[SISMED]],TblDisponibilidad[],10,FALSE), 0)</f>
        <v>0</v>
      </c>
      <c r="G50">
        <f>IFERROR(VLOOKUP(Tabla1[[#This Row],[SISMED]],TblDisponibilidad[],11,FALSE), 0)</f>
        <v>0</v>
      </c>
      <c r="H50">
        <f>IFERROR(VLOOKUP(Tabla1[[#This Row],[SISMED]],TblDisponibilidad[],12,FALSE), 0)</f>
        <v>0</v>
      </c>
      <c r="I50">
        <f>IFERROR(VLOOKUP(Tabla1[[#This Row],[SISMED]],TblDisponibilidad[],13,FALSE), 0)</f>
        <v>0</v>
      </c>
      <c r="J50">
        <f>IFERROR(VLOOKUP(Tabla1[[#This Row],[SISMED]],TblDisponibilidad[],14,FALSE), 0)</f>
        <v>0</v>
      </c>
      <c r="K50">
        <f>IFERROR(VLOOKUP(Tabla1[[#This Row],[SISMED]],TblDisponibilidad[],15,FALSE), 0)</f>
        <v>0</v>
      </c>
      <c r="L50">
        <f>IFERROR(VLOOKUP(Tabla1[[#This Row],[SISMED]],TblDisponibilidad[],16,FALSE), 0)</f>
        <v>0</v>
      </c>
      <c r="M50">
        <f>IFERROR(VLOOKUP(Tabla1[[#This Row],[SISMED]],TblDisponibilidad[],17,FALSE), 0)</f>
        <v>0</v>
      </c>
      <c r="N50">
        <f>IFERROR(VLOOKUP(Tabla1[[#This Row],[SISMED]],TblDisponibilidad[],18,FALSE), 0)</f>
        <v>0</v>
      </c>
      <c r="O50">
        <f>IFERROR(VLOOKUP(Tabla1[[#This Row],[SISMED]],TblDisponibilidad[],19,FALSE), 0)</f>
        <v>0</v>
      </c>
      <c r="P50">
        <f>IFERROR(VLOOKUP(Tabla1[[#This Row],[SISMED]],TblDisponibilidad[],20,FALSE), 0)</f>
        <v>0</v>
      </c>
      <c r="Q50">
        <f>IFERROR(VLOOKUP(Tabla1[[#This Row],[SISMED]],TblDisponibilidad[],21,FALSE), 0)</f>
        <v>0</v>
      </c>
      <c r="R50">
        <f>IFERROR(VLOOKUP(Tabla1[[#This Row],[SISMED]],TblDisponibilidad[],22,FALSE), 0)</f>
        <v>0</v>
      </c>
      <c r="S50" s="15">
        <f>IFERROR(VLOOKUP(Tabla1[[#This Row],[SISMED]],TblDisponibilidad[],23,FALSE), 0)</f>
        <v>0</v>
      </c>
    </row>
    <row r="51" spans="1:19" x14ac:dyDescent="0.3">
      <c r="A51" s="15" t="s">
        <v>81</v>
      </c>
      <c r="B51" t="str">
        <f>IFERROR(VLOOKUP(Tabla1[[#This Row],[SISMED]],TblDisponibilidad[],2,FALSE), "")</f>
        <v/>
      </c>
      <c r="C51">
        <f>IFERROR(VLOOKUP(Tabla1[[#This Row],[SISMED]],TblDisponibilidad[],7,FALSE), 0)</f>
        <v>0</v>
      </c>
      <c r="D51">
        <f>IFERROR(VLOOKUP(Tabla1[[#This Row],[SISMED]],TblDisponibilidad[],8,FALSE), 0)</f>
        <v>0</v>
      </c>
      <c r="E51">
        <f>IFERROR(VLOOKUP(Tabla1[[#This Row],[SISMED]],TblDisponibilidad[],9,FALSE), 0)</f>
        <v>0</v>
      </c>
      <c r="F51">
        <f>IFERROR(VLOOKUP(Tabla1[[#This Row],[SISMED]],TblDisponibilidad[],10,FALSE), 0)</f>
        <v>0</v>
      </c>
      <c r="G51">
        <f>IFERROR(VLOOKUP(Tabla1[[#This Row],[SISMED]],TblDisponibilidad[],11,FALSE), 0)</f>
        <v>0</v>
      </c>
      <c r="H51">
        <f>IFERROR(VLOOKUP(Tabla1[[#This Row],[SISMED]],TblDisponibilidad[],12,FALSE), 0)</f>
        <v>0</v>
      </c>
      <c r="I51">
        <f>IFERROR(VLOOKUP(Tabla1[[#This Row],[SISMED]],TblDisponibilidad[],13,FALSE), 0)</f>
        <v>0</v>
      </c>
      <c r="J51">
        <f>IFERROR(VLOOKUP(Tabla1[[#This Row],[SISMED]],TblDisponibilidad[],14,FALSE), 0)</f>
        <v>0</v>
      </c>
      <c r="K51">
        <f>IFERROR(VLOOKUP(Tabla1[[#This Row],[SISMED]],TblDisponibilidad[],15,FALSE), 0)</f>
        <v>0</v>
      </c>
      <c r="L51">
        <f>IFERROR(VLOOKUP(Tabla1[[#This Row],[SISMED]],TblDisponibilidad[],16,FALSE), 0)</f>
        <v>0</v>
      </c>
      <c r="M51">
        <f>IFERROR(VLOOKUP(Tabla1[[#This Row],[SISMED]],TblDisponibilidad[],17,FALSE), 0)</f>
        <v>0</v>
      </c>
      <c r="N51">
        <f>IFERROR(VLOOKUP(Tabla1[[#This Row],[SISMED]],TblDisponibilidad[],18,FALSE), 0)</f>
        <v>0</v>
      </c>
      <c r="O51">
        <f>IFERROR(VLOOKUP(Tabla1[[#This Row],[SISMED]],TblDisponibilidad[],19,FALSE), 0)</f>
        <v>0</v>
      </c>
      <c r="P51">
        <f>IFERROR(VLOOKUP(Tabla1[[#This Row],[SISMED]],TblDisponibilidad[],20,FALSE), 0)</f>
        <v>0</v>
      </c>
      <c r="Q51">
        <f>IFERROR(VLOOKUP(Tabla1[[#This Row],[SISMED]],TblDisponibilidad[],21,FALSE), 0)</f>
        <v>0</v>
      </c>
      <c r="R51">
        <f>IFERROR(VLOOKUP(Tabla1[[#This Row],[SISMED]],TblDisponibilidad[],22,FALSE), 0)</f>
        <v>0</v>
      </c>
      <c r="S51" s="15">
        <f>IFERROR(VLOOKUP(Tabla1[[#This Row],[SISMED]],TblDisponibilidad[],23,FALSE), 0)</f>
        <v>0</v>
      </c>
    </row>
    <row r="52" spans="1:19" x14ac:dyDescent="0.3">
      <c r="A52" s="15" t="s">
        <v>82</v>
      </c>
      <c r="B52" t="str">
        <f>IFERROR(VLOOKUP(Tabla1[[#This Row],[SISMED]],TblDisponibilidad[],2,FALSE), "")</f>
        <v/>
      </c>
      <c r="C52">
        <f>IFERROR(VLOOKUP(Tabla1[[#This Row],[SISMED]],TblDisponibilidad[],7,FALSE), 0)</f>
        <v>0</v>
      </c>
      <c r="D52">
        <f>IFERROR(VLOOKUP(Tabla1[[#This Row],[SISMED]],TblDisponibilidad[],8,FALSE), 0)</f>
        <v>0</v>
      </c>
      <c r="E52">
        <f>IFERROR(VLOOKUP(Tabla1[[#This Row],[SISMED]],TblDisponibilidad[],9,FALSE), 0)</f>
        <v>0</v>
      </c>
      <c r="F52">
        <f>IFERROR(VLOOKUP(Tabla1[[#This Row],[SISMED]],TblDisponibilidad[],10,FALSE), 0)</f>
        <v>0</v>
      </c>
      <c r="G52">
        <f>IFERROR(VLOOKUP(Tabla1[[#This Row],[SISMED]],TblDisponibilidad[],11,FALSE), 0)</f>
        <v>0</v>
      </c>
      <c r="H52">
        <f>IFERROR(VLOOKUP(Tabla1[[#This Row],[SISMED]],TblDisponibilidad[],12,FALSE), 0)</f>
        <v>0</v>
      </c>
      <c r="I52">
        <f>IFERROR(VLOOKUP(Tabla1[[#This Row],[SISMED]],TblDisponibilidad[],13,FALSE), 0)</f>
        <v>0</v>
      </c>
      <c r="J52">
        <f>IFERROR(VLOOKUP(Tabla1[[#This Row],[SISMED]],TblDisponibilidad[],14,FALSE), 0)</f>
        <v>0</v>
      </c>
      <c r="K52">
        <f>IFERROR(VLOOKUP(Tabla1[[#This Row],[SISMED]],TblDisponibilidad[],15,FALSE), 0)</f>
        <v>0</v>
      </c>
      <c r="L52">
        <f>IFERROR(VLOOKUP(Tabla1[[#This Row],[SISMED]],TblDisponibilidad[],16,FALSE), 0)</f>
        <v>0</v>
      </c>
      <c r="M52">
        <f>IFERROR(VLOOKUP(Tabla1[[#This Row],[SISMED]],TblDisponibilidad[],17,FALSE), 0)</f>
        <v>0</v>
      </c>
      <c r="N52">
        <f>IFERROR(VLOOKUP(Tabla1[[#This Row],[SISMED]],TblDisponibilidad[],18,FALSE), 0)</f>
        <v>0</v>
      </c>
      <c r="O52">
        <f>IFERROR(VLOOKUP(Tabla1[[#This Row],[SISMED]],TblDisponibilidad[],19,FALSE), 0)</f>
        <v>0</v>
      </c>
      <c r="P52">
        <f>IFERROR(VLOOKUP(Tabla1[[#This Row],[SISMED]],TblDisponibilidad[],20,FALSE), 0)</f>
        <v>0</v>
      </c>
      <c r="Q52">
        <f>IFERROR(VLOOKUP(Tabla1[[#This Row],[SISMED]],TblDisponibilidad[],21,FALSE), 0)</f>
        <v>0</v>
      </c>
      <c r="R52">
        <f>IFERROR(VLOOKUP(Tabla1[[#This Row],[SISMED]],TblDisponibilidad[],22,FALSE), 0)</f>
        <v>0</v>
      </c>
      <c r="S52" s="15">
        <f>IFERROR(VLOOKUP(Tabla1[[#This Row],[SISMED]],TblDisponibilidad[],23,FALSE), 0)</f>
        <v>0</v>
      </c>
    </row>
    <row r="53" spans="1:19" x14ac:dyDescent="0.3">
      <c r="A53" s="15" t="s">
        <v>83</v>
      </c>
      <c r="B53" t="str">
        <f>IFERROR(VLOOKUP(Tabla1[[#This Row],[SISMED]],TblDisponibilidad[],2,FALSE), "")</f>
        <v/>
      </c>
      <c r="C53">
        <f>IFERROR(VLOOKUP(Tabla1[[#This Row],[SISMED]],TblDisponibilidad[],7,FALSE), 0)</f>
        <v>0</v>
      </c>
      <c r="D53">
        <f>IFERROR(VLOOKUP(Tabla1[[#This Row],[SISMED]],TblDisponibilidad[],8,FALSE), 0)</f>
        <v>0</v>
      </c>
      <c r="E53">
        <f>IFERROR(VLOOKUP(Tabla1[[#This Row],[SISMED]],TblDisponibilidad[],9,FALSE), 0)</f>
        <v>0</v>
      </c>
      <c r="F53">
        <f>IFERROR(VLOOKUP(Tabla1[[#This Row],[SISMED]],TblDisponibilidad[],10,FALSE), 0)</f>
        <v>0</v>
      </c>
      <c r="G53">
        <f>IFERROR(VLOOKUP(Tabla1[[#This Row],[SISMED]],TblDisponibilidad[],11,FALSE), 0)</f>
        <v>0</v>
      </c>
      <c r="H53">
        <f>IFERROR(VLOOKUP(Tabla1[[#This Row],[SISMED]],TblDisponibilidad[],12,FALSE), 0)</f>
        <v>0</v>
      </c>
      <c r="I53">
        <f>IFERROR(VLOOKUP(Tabla1[[#This Row],[SISMED]],TblDisponibilidad[],13,FALSE), 0)</f>
        <v>0</v>
      </c>
      <c r="J53">
        <f>IFERROR(VLOOKUP(Tabla1[[#This Row],[SISMED]],TblDisponibilidad[],14,FALSE), 0)</f>
        <v>0</v>
      </c>
      <c r="K53">
        <f>IFERROR(VLOOKUP(Tabla1[[#This Row],[SISMED]],TblDisponibilidad[],15,FALSE), 0)</f>
        <v>0</v>
      </c>
      <c r="L53">
        <f>IFERROR(VLOOKUP(Tabla1[[#This Row],[SISMED]],TblDisponibilidad[],16,FALSE), 0)</f>
        <v>0</v>
      </c>
      <c r="M53">
        <f>IFERROR(VLOOKUP(Tabla1[[#This Row],[SISMED]],TblDisponibilidad[],17,FALSE), 0)</f>
        <v>0</v>
      </c>
      <c r="N53">
        <f>IFERROR(VLOOKUP(Tabla1[[#This Row],[SISMED]],TblDisponibilidad[],18,FALSE), 0)</f>
        <v>0</v>
      </c>
      <c r="O53">
        <f>IFERROR(VLOOKUP(Tabla1[[#This Row],[SISMED]],TblDisponibilidad[],19,FALSE), 0)</f>
        <v>0</v>
      </c>
      <c r="P53">
        <f>IFERROR(VLOOKUP(Tabla1[[#This Row],[SISMED]],TblDisponibilidad[],20,FALSE), 0)</f>
        <v>0</v>
      </c>
      <c r="Q53">
        <f>IFERROR(VLOOKUP(Tabla1[[#This Row],[SISMED]],TblDisponibilidad[],21,FALSE), 0)</f>
        <v>0</v>
      </c>
      <c r="R53">
        <f>IFERROR(VLOOKUP(Tabla1[[#This Row],[SISMED]],TblDisponibilidad[],22,FALSE), 0)</f>
        <v>0</v>
      </c>
      <c r="S53" s="15">
        <f>IFERROR(VLOOKUP(Tabla1[[#This Row],[SISMED]],TblDisponibilidad[],23,FALSE), 0)</f>
        <v>0</v>
      </c>
    </row>
    <row r="54" spans="1:19" x14ac:dyDescent="0.3">
      <c r="A54" s="15" t="s">
        <v>84</v>
      </c>
      <c r="B54" t="str">
        <f>IFERROR(VLOOKUP(Tabla1[[#This Row],[SISMED]],TblDisponibilidad[],2,FALSE), "")</f>
        <v/>
      </c>
      <c r="C54">
        <f>IFERROR(VLOOKUP(Tabla1[[#This Row],[SISMED]],TblDisponibilidad[],7,FALSE), 0)</f>
        <v>0</v>
      </c>
      <c r="D54">
        <f>IFERROR(VLOOKUP(Tabla1[[#This Row],[SISMED]],TblDisponibilidad[],8,FALSE), 0)</f>
        <v>0</v>
      </c>
      <c r="E54">
        <f>IFERROR(VLOOKUP(Tabla1[[#This Row],[SISMED]],TblDisponibilidad[],9,FALSE), 0)</f>
        <v>0</v>
      </c>
      <c r="F54">
        <f>IFERROR(VLOOKUP(Tabla1[[#This Row],[SISMED]],TblDisponibilidad[],10,FALSE), 0)</f>
        <v>0</v>
      </c>
      <c r="G54">
        <f>IFERROR(VLOOKUP(Tabla1[[#This Row],[SISMED]],TblDisponibilidad[],11,FALSE), 0)</f>
        <v>0</v>
      </c>
      <c r="H54">
        <f>IFERROR(VLOOKUP(Tabla1[[#This Row],[SISMED]],TblDisponibilidad[],12,FALSE), 0)</f>
        <v>0</v>
      </c>
      <c r="I54">
        <f>IFERROR(VLOOKUP(Tabla1[[#This Row],[SISMED]],TblDisponibilidad[],13,FALSE), 0)</f>
        <v>0</v>
      </c>
      <c r="J54">
        <f>IFERROR(VLOOKUP(Tabla1[[#This Row],[SISMED]],TblDisponibilidad[],14,FALSE), 0)</f>
        <v>0</v>
      </c>
      <c r="K54">
        <f>IFERROR(VLOOKUP(Tabla1[[#This Row],[SISMED]],TblDisponibilidad[],15,FALSE), 0)</f>
        <v>0</v>
      </c>
      <c r="L54">
        <f>IFERROR(VLOOKUP(Tabla1[[#This Row],[SISMED]],TblDisponibilidad[],16,FALSE), 0)</f>
        <v>0</v>
      </c>
      <c r="M54">
        <f>IFERROR(VLOOKUP(Tabla1[[#This Row],[SISMED]],TblDisponibilidad[],17,FALSE), 0)</f>
        <v>0</v>
      </c>
      <c r="N54">
        <f>IFERROR(VLOOKUP(Tabla1[[#This Row],[SISMED]],TblDisponibilidad[],18,FALSE), 0)</f>
        <v>0</v>
      </c>
      <c r="O54">
        <f>IFERROR(VLOOKUP(Tabla1[[#This Row],[SISMED]],TblDisponibilidad[],19,FALSE), 0)</f>
        <v>0</v>
      </c>
      <c r="P54">
        <f>IFERROR(VLOOKUP(Tabla1[[#This Row],[SISMED]],TblDisponibilidad[],20,FALSE), 0)</f>
        <v>0</v>
      </c>
      <c r="Q54">
        <f>IFERROR(VLOOKUP(Tabla1[[#This Row],[SISMED]],TblDisponibilidad[],21,FALSE), 0)</f>
        <v>0</v>
      </c>
      <c r="R54">
        <f>IFERROR(VLOOKUP(Tabla1[[#This Row],[SISMED]],TblDisponibilidad[],22,FALSE), 0)</f>
        <v>0</v>
      </c>
      <c r="S54" s="15">
        <f>IFERROR(VLOOKUP(Tabla1[[#This Row],[SISMED]],TblDisponibilidad[],23,FALSE), 0)</f>
        <v>0</v>
      </c>
    </row>
    <row r="55" spans="1:19" x14ac:dyDescent="0.3">
      <c r="A55" s="15" t="s">
        <v>85</v>
      </c>
      <c r="B55" t="str">
        <f>IFERROR(VLOOKUP(Tabla1[[#This Row],[SISMED]],TblDisponibilidad[],2,FALSE), "")</f>
        <v/>
      </c>
      <c r="C55">
        <f>IFERROR(VLOOKUP(Tabla1[[#This Row],[SISMED]],TblDisponibilidad[],7,FALSE), 0)</f>
        <v>0</v>
      </c>
      <c r="D55">
        <f>IFERROR(VLOOKUP(Tabla1[[#This Row],[SISMED]],TblDisponibilidad[],8,FALSE), 0)</f>
        <v>0</v>
      </c>
      <c r="E55">
        <f>IFERROR(VLOOKUP(Tabla1[[#This Row],[SISMED]],TblDisponibilidad[],9,FALSE), 0)</f>
        <v>0</v>
      </c>
      <c r="F55">
        <f>IFERROR(VLOOKUP(Tabla1[[#This Row],[SISMED]],TblDisponibilidad[],10,FALSE), 0)</f>
        <v>0</v>
      </c>
      <c r="G55">
        <f>IFERROR(VLOOKUP(Tabla1[[#This Row],[SISMED]],TblDisponibilidad[],11,FALSE), 0)</f>
        <v>0</v>
      </c>
      <c r="H55">
        <f>IFERROR(VLOOKUP(Tabla1[[#This Row],[SISMED]],TblDisponibilidad[],12,FALSE), 0)</f>
        <v>0</v>
      </c>
      <c r="I55">
        <f>IFERROR(VLOOKUP(Tabla1[[#This Row],[SISMED]],TblDisponibilidad[],13,FALSE), 0)</f>
        <v>0</v>
      </c>
      <c r="J55">
        <f>IFERROR(VLOOKUP(Tabla1[[#This Row],[SISMED]],TblDisponibilidad[],14,FALSE), 0)</f>
        <v>0</v>
      </c>
      <c r="K55">
        <f>IFERROR(VLOOKUP(Tabla1[[#This Row],[SISMED]],TblDisponibilidad[],15,FALSE), 0)</f>
        <v>0</v>
      </c>
      <c r="L55">
        <f>IFERROR(VLOOKUP(Tabla1[[#This Row],[SISMED]],TblDisponibilidad[],16,FALSE), 0)</f>
        <v>0</v>
      </c>
      <c r="M55">
        <f>IFERROR(VLOOKUP(Tabla1[[#This Row],[SISMED]],TblDisponibilidad[],17,FALSE), 0)</f>
        <v>0</v>
      </c>
      <c r="N55">
        <f>IFERROR(VLOOKUP(Tabla1[[#This Row],[SISMED]],TblDisponibilidad[],18,FALSE), 0)</f>
        <v>0</v>
      </c>
      <c r="O55">
        <f>IFERROR(VLOOKUP(Tabla1[[#This Row],[SISMED]],TblDisponibilidad[],19,FALSE), 0)</f>
        <v>0</v>
      </c>
      <c r="P55">
        <f>IFERROR(VLOOKUP(Tabla1[[#This Row],[SISMED]],TblDisponibilidad[],20,FALSE), 0)</f>
        <v>0</v>
      </c>
      <c r="Q55">
        <f>IFERROR(VLOOKUP(Tabla1[[#This Row],[SISMED]],TblDisponibilidad[],21,FALSE), 0)</f>
        <v>0</v>
      </c>
      <c r="R55">
        <f>IFERROR(VLOOKUP(Tabla1[[#This Row],[SISMED]],TblDisponibilidad[],22,FALSE), 0)</f>
        <v>0</v>
      </c>
      <c r="S55" s="15">
        <f>IFERROR(VLOOKUP(Tabla1[[#This Row],[SISMED]],TblDisponibilidad[],23,FALSE), 0)</f>
        <v>0</v>
      </c>
    </row>
    <row r="56" spans="1:19" x14ac:dyDescent="0.3">
      <c r="A56" s="15" t="s">
        <v>86</v>
      </c>
      <c r="B56" t="str">
        <f>IFERROR(VLOOKUP(Tabla1[[#This Row],[SISMED]],TblDisponibilidad[],2,FALSE), "")</f>
        <v/>
      </c>
      <c r="C56">
        <f>IFERROR(VLOOKUP(Tabla1[[#This Row],[SISMED]],TblDisponibilidad[],7,FALSE), 0)</f>
        <v>0</v>
      </c>
      <c r="D56">
        <f>IFERROR(VLOOKUP(Tabla1[[#This Row],[SISMED]],TblDisponibilidad[],8,FALSE), 0)</f>
        <v>0</v>
      </c>
      <c r="E56">
        <f>IFERROR(VLOOKUP(Tabla1[[#This Row],[SISMED]],TblDisponibilidad[],9,FALSE), 0)</f>
        <v>0</v>
      </c>
      <c r="F56">
        <f>IFERROR(VLOOKUP(Tabla1[[#This Row],[SISMED]],TblDisponibilidad[],10,FALSE), 0)</f>
        <v>0</v>
      </c>
      <c r="G56">
        <f>IFERROR(VLOOKUP(Tabla1[[#This Row],[SISMED]],TblDisponibilidad[],11,FALSE), 0)</f>
        <v>0</v>
      </c>
      <c r="H56">
        <f>IFERROR(VLOOKUP(Tabla1[[#This Row],[SISMED]],TblDisponibilidad[],12,FALSE), 0)</f>
        <v>0</v>
      </c>
      <c r="I56">
        <f>IFERROR(VLOOKUP(Tabla1[[#This Row],[SISMED]],TblDisponibilidad[],13,FALSE), 0)</f>
        <v>0</v>
      </c>
      <c r="J56">
        <f>IFERROR(VLOOKUP(Tabla1[[#This Row],[SISMED]],TblDisponibilidad[],14,FALSE), 0)</f>
        <v>0</v>
      </c>
      <c r="K56">
        <f>IFERROR(VLOOKUP(Tabla1[[#This Row],[SISMED]],TblDisponibilidad[],15,FALSE), 0)</f>
        <v>0</v>
      </c>
      <c r="L56">
        <f>IFERROR(VLOOKUP(Tabla1[[#This Row],[SISMED]],TblDisponibilidad[],16,FALSE), 0)</f>
        <v>0</v>
      </c>
      <c r="M56">
        <f>IFERROR(VLOOKUP(Tabla1[[#This Row],[SISMED]],TblDisponibilidad[],17,FALSE), 0)</f>
        <v>0</v>
      </c>
      <c r="N56">
        <f>IFERROR(VLOOKUP(Tabla1[[#This Row],[SISMED]],TblDisponibilidad[],18,FALSE), 0)</f>
        <v>0</v>
      </c>
      <c r="O56">
        <f>IFERROR(VLOOKUP(Tabla1[[#This Row],[SISMED]],TblDisponibilidad[],19,FALSE), 0)</f>
        <v>0</v>
      </c>
      <c r="P56">
        <f>IFERROR(VLOOKUP(Tabla1[[#This Row],[SISMED]],TblDisponibilidad[],20,FALSE), 0)</f>
        <v>0</v>
      </c>
      <c r="Q56">
        <f>IFERROR(VLOOKUP(Tabla1[[#This Row],[SISMED]],TblDisponibilidad[],21,FALSE), 0)</f>
        <v>0</v>
      </c>
      <c r="R56">
        <f>IFERROR(VLOOKUP(Tabla1[[#This Row],[SISMED]],TblDisponibilidad[],22,FALSE), 0)</f>
        <v>0</v>
      </c>
      <c r="S56" s="15">
        <f>IFERROR(VLOOKUP(Tabla1[[#This Row],[SISMED]],TblDisponibilidad[],23,FALSE), 0)</f>
        <v>0</v>
      </c>
    </row>
    <row r="57" spans="1:19" x14ac:dyDescent="0.3">
      <c r="A57" s="15" t="s">
        <v>87</v>
      </c>
      <c r="B57" t="str">
        <f>IFERROR(VLOOKUP(Tabla1[[#This Row],[SISMED]],TblDisponibilidad[],2,FALSE), "")</f>
        <v/>
      </c>
      <c r="C57">
        <f>IFERROR(VLOOKUP(Tabla1[[#This Row],[SISMED]],TblDisponibilidad[],7,FALSE), 0)</f>
        <v>0</v>
      </c>
      <c r="D57">
        <f>IFERROR(VLOOKUP(Tabla1[[#This Row],[SISMED]],TblDisponibilidad[],8,FALSE), 0)</f>
        <v>0</v>
      </c>
      <c r="E57">
        <f>IFERROR(VLOOKUP(Tabla1[[#This Row],[SISMED]],TblDisponibilidad[],9,FALSE), 0)</f>
        <v>0</v>
      </c>
      <c r="F57">
        <f>IFERROR(VLOOKUP(Tabla1[[#This Row],[SISMED]],TblDisponibilidad[],10,FALSE), 0)</f>
        <v>0</v>
      </c>
      <c r="G57">
        <f>IFERROR(VLOOKUP(Tabla1[[#This Row],[SISMED]],TblDisponibilidad[],11,FALSE), 0)</f>
        <v>0</v>
      </c>
      <c r="H57">
        <f>IFERROR(VLOOKUP(Tabla1[[#This Row],[SISMED]],TblDisponibilidad[],12,FALSE), 0)</f>
        <v>0</v>
      </c>
      <c r="I57">
        <f>IFERROR(VLOOKUP(Tabla1[[#This Row],[SISMED]],TblDisponibilidad[],13,FALSE), 0)</f>
        <v>0</v>
      </c>
      <c r="J57">
        <f>IFERROR(VLOOKUP(Tabla1[[#This Row],[SISMED]],TblDisponibilidad[],14,FALSE), 0)</f>
        <v>0</v>
      </c>
      <c r="K57">
        <f>IFERROR(VLOOKUP(Tabla1[[#This Row],[SISMED]],TblDisponibilidad[],15,FALSE), 0)</f>
        <v>0</v>
      </c>
      <c r="L57">
        <f>IFERROR(VLOOKUP(Tabla1[[#This Row],[SISMED]],TblDisponibilidad[],16,FALSE), 0)</f>
        <v>0</v>
      </c>
      <c r="M57">
        <f>IFERROR(VLOOKUP(Tabla1[[#This Row],[SISMED]],TblDisponibilidad[],17,FALSE), 0)</f>
        <v>0</v>
      </c>
      <c r="N57">
        <f>IFERROR(VLOOKUP(Tabla1[[#This Row],[SISMED]],TblDisponibilidad[],18,FALSE), 0)</f>
        <v>0</v>
      </c>
      <c r="O57">
        <f>IFERROR(VLOOKUP(Tabla1[[#This Row],[SISMED]],TblDisponibilidad[],19,FALSE), 0)</f>
        <v>0</v>
      </c>
      <c r="P57">
        <f>IFERROR(VLOOKUP(Tabla1[[#This Row],[SISMED]],TblDisponibilidad[],20,FALSE), 0)</f>
        <v>0</v>
      </c>
      <c r="Q57">
        <f>IFERROR(VLOOKUP(Tabla1[[#This Row],[SISMED]],TblDisponibilidad[],21,FALSE), 0)</f>
        <v>0</v>
      </c>
      <c r="R57">
        <f>IFERROR(VLOOKUP(Tabla1[[#This Row],[SISMED]],TblDisponibilidad[],22,FALSE), 0)</f>
        <v>0</v>
      </c>
      <c r="S57" s="15">
        <f>IFERROR(VLOOKUP(Tabla1[[#This Row],[SISMED]],TblDisponibilidad[],23,FALSE), 0)</f>
        <v>0</v>
      </c>
    </row>
    <row r="58" spans="1:19" x14ac:dyDescent="0.3">
      <c r="A58" s="15" t="s">
        <v>88</v>
      </c>
      <c r="B58" t="str">
        <f>IFERROR(VLOOKUP(Tabla1[[#This Row],[SISMED]],TblDisponibilidad[],2,FALSE), "")</f>
        <v/>
      </c>
      <c r="C58">
        <f>IFERROR(VLOOKUP(Tabla1[[#This Row],[SISMED]],TblDisponibilidad[],7,FALSE), 0)</f>
        <v>0</v>
      </c>
      <c r="D58">
        <f>IFERROR(VLOOKUP(Tabla1[[#This Row],[SISMED]],TblDisponibilidad[],8,FALSE), 0)</f>
        <v>0</v>
      </c>
      <c r="E58">
        <f>IFERROR(VLOOKUP(Tabla1[[#This Row],[SISMED]],TblDisponibilidad[],9,FALSE), 0)</f>
        <v>0</v>
      </c>
      <c r="F58">
        <f>IFERROR(VLOOKUP(Tabla1[[#This Row],[SISMED]],TblDisponibilidad[],10,FALSE), 0)</f>
        <v>0</v>
      </c>
      <c r="G58">
        <f>IFERROR(VLOOKUP(Tabla1[[#This Row],[SISMED]],TblDisponibilidad[],11,FALSE), 0)</f>
        <v>0</v>
      </c>
      <c r="H58">
        <f>IFERROR(VLOOKUP(Tabla1[[#This Row],[SISMED]],TblDisponibilidad[],12,FALSE), 0)</f>
        <v>0</v>
      </c>
      <c r="I58">
        <f>IFERROR(VLOOKUP(Tabla1[[#This Row],[SISMED]],TblDisponibilidad[],13,FALSE), 0)</f>
        <v>0</v>
      </c>
      <c r="J58">
        <f>IFERROR(VLOOKUP(Tabla1[[#This Row],[SISMED]],TblDisponibilidad[],14,FALSE), 0)</f>
        <v>0</v>
      </c>
      <c r="K58">
        <f>IFERROR(VLOOKUP(Tabla1[[#This Row],[SISMED]],TblDisponibilidad[],15,FALSE), 0)</f>
        <v>0</v>
      </c>
      <c r="L58">
        <f>IFERROR(VLOOKUP(Tabla1[[#This Row],[SISMED]],TblDisponibilidad[],16,FALSE), 0)</f>
        <v>0</v>
      </c>
      <c r="M58">
        <f>IFERROR(VLOOKUP(Tabla1[[#This Row],[SISMED]],TblDisponibilidad[],17,FALSE), 0)</f>
        <v>0</v>
      </c>
      <c r="N58">
        <f>IFERROR(VLOOKUP(Tabla1[[#This Row],[SISMED]],TblDisponibilidad[],18,FALSE), 0)</f>
        <v>0</v>
      </c>
      <c r="O58">
        <f>IFERROR(VLOOKUP(Tabla1[[#This Row],[SISMED]],TblDisponibilidad[],19,FALSE), 0)</f>
        <v>0</v>
      </c>
      <c r="P58">
        <f>IFERROR(VLOOKUP(Tabla1[[#This Row],[SISMED]],TblDisponibilidad[],20,FALSE), 0)</f>
        <v>0</v>
      </c>
      <c r="Q58">
        <f>IFERROR(VLOOKUP(Tabla1[[#This Row],[SISMED]],TblDisponibilidad[],21,FALSE), 0)</f>
        <v>0</v>
      </c>
      <c r="R58">
        <f>IFERROR(VLOOKUP(Tabla1[[#This Row],[SISMED]],TblDisponibilidad[],22,FALSE), 0)</f>
        <v>0</v>
      </c>
      <c r="S58" s="15">
        <f>IFERROR(VLOOKUP(Tabla1[[#This Row],[SISMED]],TblDisponibilidad[],23,FALSE), 0)</f>
        <v>0</v>
      </c>
    </row>
    <row r="59" spans="1:19" x14ac:dyDescent="0.3">
      <c r="A59" s="15" t="s">
        <v>89</v>
      </c>
      <c r="B59" t="str">
        <f>IFERROR(VLOOKUP(Tabla1[[#This Row],[SISMED]],TblDisponibilidad[],2,FALSE), "")</f>
        <v/>
      </c>
      <c r="C59">
        <f>IFERROR(VLOOKUP(Tabla1[[#This Row],[SISMED]],TblDisponibilidad[],7,FALSE), 0)</f>
        <v>0</v>
      </c>
      <c r="D59">
        <f>IFERROR(VLOOKUP(Tabla1[[#This Row],[SISMED]],TblDisponibilidad[],8,FALSE), 0)</f>
        <v>0</v>
      </c>
      <c r="E59">
        <f>IFERROR(VLOOKUP(Tabla1[[#This Row],[SISMED]],TblDisponibilidad[],9,FALSE), 0)</f>
        <v>0</v>
      </c>
      <c r="F59">
        <f>IFERROR(VLOOKUP(Tabla1[[#This Row],[SISMED]],TblDisponibilidad[],10,FALSE), 0)</f>
        <v>0</v>
      </c>
      <c r="G59">
        <f>IFERROR(VLOOKUP(Tabla1[[#This Row],[SISMED]],TblDisponibilidad[],11,FALSE), 0)</f>
        <v>0</v>
      </c>
      <c r="H59">
        <f>IFERROR(VLOOKUP(Tabla1[[#This Row],[SISMED]],TblDisponibilidad[],12,FALSE), 0)</f>
        <v>0</v>
      </c>
      <c r="I59">
        <f>IFERROR(VLOOKUP(Tabla1[[#This Row],[SISMED]],TblDisponibilidad[],13,FALSE), 0)</f>
        <v>0</v>
      </c>
      <c r="J59">
        <f>IFERROR(VLOOKUP(Tabla1[[#This Row],[SISMED]],TblDisponibilidad[],14,FALSE), 0)</f>
        <v>0</v>
      </c>
      <c r="K59">
        <f>IFERROR(VLOOKUP(Tabla1[[#This Row],[SISMED]],TblDisponibilidad[],15,FALSE), 0)</f>
        <v>0</v>
      </c>
      <c r="L59">
        <f>IFERROR(VLOOKUP(Tabla1[[#This Row],[SISMED]],TblDisponibilidad[],16,FALSE), 0)</f>
        <v>0</v>
      </c>
      <c r="M59">
        <f>IFERROR(VLOOKUP(Tabla1[[#This Row],[SISMED]],TblDisponibilidad[],17,FALSE), 0)</f>
        <v>0</v>
      </c>
      <c r="N59">
        <f>IFERROR(VLOOKUP(Tabla1[[#This Row],[SISMED]],TblDisponibilidad[],18,FALSE), 0)</f>
        <v>0</v>
      </c>
      <c r="O59">
        <f>IFERROR(VLOOKUP(Tabla1[[#This Row],[SISMED]],TblDisponibilidad[],19,FALSE), 0)</f>
        <v>0</v>
      </c>
      <c r="P59">
        <f>IFERROR(VLOOKUP(Tabla1[[#This Row],[SISMED]],TblDisponibilidad[],20,FALSE), 0)</f>
        <v>0</v>
      </c>
      <c r="Q59">
        <f>IFERROR(VLOOKUP(Tabla1[[#This Row],[SISMED]],TblDisponibilidad[],21,FALSE), 0)</f>
        <v>0</v>
      </c>
      <c r="R59">
        <f>IFERROR(VLOOKUP(Tabla1[[#This Row],[SISMED]],TblDisponibilidad[],22,FALSE), 0)</f>
        <v>0</v>
      </c>
      <c r="S59" s="15">
        <f>IFERROR(VLOOKUP(Tabla1[[#This Row],[SISMED]],TblDisponibilidad[],23,FALSE), 0)</f>
        <v>0</v>
      </c>
    </row>
    <row r="60" spans="1:19" x14ac:dyDescent="0.3">
      <c r="A60" s="15" t="s">
        <v>90</v>
      </c>
      <c r="B60" t="str">
        <f>IFERROR(VLOOKUP(Tabla1[[#This Row],[SISMED]],TblDisponibilidad[],2,FALSE), "")</f>
        <v/>
      </c>
      <c r="C60">
        <f>IFERROR(VLOOKUP(Tabla1[[#This Row],[SISMED]],TblDisponibilidad[],7,FALSE), 0)</f>
        <v>0</v>
      </c>
      <c r="D60">
        <f>IFERROR(VLOOKUP(Tabla1[[#This Row],[SISMED]],TblDisponibilidad[],8,FALSE), 0)</f>
        <v>0</v>
      </c>
      <c r="E60">
        <f>IFERROR(VLOOKUP(Tabla1[[#This Row],[SISMED]],TblDisponibilidad[],9,FALSE), 0)</f>
        <v>0</v>
      </c>
      <c r="F60">
        <f>IFERROR(VLOOKUP(Tabla1[[#This Row],[SISMED]],TblDisponibilidad[],10,FALSE), 0)</f>
        <v>0</v>
      </c>
      <c r="G60">
        <f>IFERROR(VLOOKUP(Tabla1[[#This Row],[SISMED]],TblDisponibilidad[],11,FALSE), 0)</f>
        <v>0</v>
      </c>
      <c r="H60">
        <f>IFERROR(VLOOKUP(Tabla1[[#This Row],[SISMED]],TblDisponibilidad[],12,FALSE), 0)</f>
        <v>0</v>
      </c>
      <c r="I60">
        <f>IFERROR(VLOOKUP(Tabla1[[#This Row],[SISMED]],TblDisponibilidad[],13,FALSE), 0)</f>
        <v>0</v>
      </c>
      <c r="J60">
        <f>IFERROR(VLOOKUP(Tabla1[[#This Row],[SISMED]],TblDisponibilidad[],14,FALSE), 0)</f>
        <v>0</v>
      </c>
      <c r="K60">
        <f>IFERROR(VLOOKUP(Tabla1[[#This Row],[SISMED]],TblDisponibilidad[],15,FALSE), 0)</f>
        <v>0</v>
      </c>
      <c r="L60">
        <f>IFERROR(VLOOKUP(Tabla1[[#This Row],[SISMED]],TblDisponibilidad[],16,FALSE), 0)</f>
        <v>0</v>
      </c>
      <c r="M60">
        <f>IFERROR(VLOOKUP(Tabla1[[#This Row],[SISMED]],TblDisponibilidad[],17,FALSE), 0)</f>
        <v>0</v>
      </c>
      <c r="N60">
        <f>IFERROR(VLOOKUP(Tabla1[[#This Row],[SISMED]],TblDisponibilidad[],18,FALSE), 0)</f>
        <v>0</v>
      </c>
      <c r="O60">
        <f>IFERROR(VLOOKUP(Tabla1[[#This Row],[SISMED]],TblDisponibilidad[],19,FALSE), 0)</f>
        <v>0</v>
      </c>
      <c r="P60">
        <f>IFERROR(VLOOKUP(Tabla1[[#This Row],[SISMED]],TblDisponibilidad[],20,FALSE), 0)</f>
        <v>0</v>
      </c>
      <c r="Q60">
        <f>IFERROR(VLOOKUP(Tabla1[[#This Row],[SISMED]],TblDisponibilidad[],21,FALSE), 0)</f>
        <v>0</v>
      </c>
      <c r="R60">
        <f>IFERROR(VLOOKUP(Tabla1[[#This Row],[SISMED]],TblDisponibilidad[],22,FALSE), 0)</f>
        <v>0</v>
      </c>
      <c r="S60" s="15">
        <f>IFERROR(VLOOKUP(Tabla1[[#This Row],[SISMED]],TblDisponibilidad[],23,FALSE), 0)</f>
        <v>0</v>
      </c>
    </row>
    <row r="61" spans="1:19" x14ac:dyDescent="0.3">
      <c r="A61" s="15" t="s">
        <v>91</v>
      </c>
      <c r="B61" t="str">
        <f>IFERROR(VLOOKUP(Tabla1[[#This Row],[SISMED]],TblDisponibilidad[],2,FALSE), "")</f>
        <v/>
      </c>
      <c r="C61">
        <f>IFERROR(VLOOKUP(Tabla1[[#This Row],[SISMED]],TblDisponibilidad[],7,FALSE), 0)</f>
        <v>0</v>
      </c>
      <c r="D61">
        <f>IFERROR(VLOOKUP(Tabla1[[#This Row],[SISMED]],TblDisponibilidad[],8,FALSE), 0)</f>
        <v>0</v>
      </c>
      <c r="E61">
        <f>IFERROR(VLOOKUP(Tabla1[[#This Row],[SISMED]],TblDisponibilidad[],9,FALSE), 0)</f>
        <v>0</v>
      </c>
      <c r="F61">
        <f>IFERROR(VLOOKUP(Tabla1[[#This Row],[SISMED]],TblDisponibilidad[],10,FALSE), 0)</f>
        <v>0</v>
      </c>
      <c r="G61">
        <f>IFERROR(VLOOKUP(Tabla1[[#This Row],[SISMED]],TblDisponibilidad[],11,FALSE), 0)</f>
        <v>0</v>
      </c>
      <c r="H61">
        <f>IFERROR(VLOOKUP(Tabla1[[#This Row],[SISMED]],TblDisponibilidad[],12,FALSE), 0)</f>
        <v>0</v>
      </c>
      <c r="I61">
        <f>IFERROR(VLOOKUP(Tabla1[[#This Row],[SISMED]],TblDisponibilidad[],13,FALSE), 0)</f>
        <v>0</v>
      </c>
      <c r="J61">
        <f>IFERROR(VLOOKUP(Tabla1[[#This Row],[SISMED]],TblDisponibilidad[],14,FALSE), 0)</f>
        <v>0</v>
      </c>
      <c r="K61">
        <f>IFERROR(VLOOKUP(Tabla1[[#This Row],[SISMED]],TblDisponibilidad[],15,FALSE), 0)</f>
        <v>0</v>
      </c>
      <c r="L61">
        <f>IFERROR(VLOOKUP(Tabla1[[#This Row],[SISMED]],TblDisponibilidad[],16,FALSE), 0)</f>
        <v>0</v>
      </c>
      <c r="M61">
        <f>IFERROR(VLOOKUP(Tabla1[[#This Row],[SISMED]],TblDisponibilidad[],17,FALSE), 0)</f>
        <v>0</v>
      </c>
      <c r="N61">
        <f>IFERROR(VLOOKUP(Tabla1[[#This Row],[SISMED]],TblDisponibilidad[],18,FALSE), 0)</f>
        <v>0</v>
      </c>
      <c r="O61">
        <f>IFERROR(VLOOKUP(Tabla1[[#This Row],[SISMED]],TblDisponibilidad[],19,FALSE), 0)</f>
        <v>0</v>
      </c>
      <c r="P61">
        <f>IFERROR(VLOOKUP(Tabla1[[#This Row],[SISMED]],TblDisponibilidad[],20,FALSE), 0)</f>
        <v>0</v>
      </c>
      <c r="Q61">
        <f>IFERROR(VLOOKUP(Tabla1[[#This Row],[SISMED]],TblDisponibilidad[],21,FALSE), 0)</f>
        <v>0</v>
      </c>
      <c r="R61">
        <f>IFERROR(VLOOKUP(Tabla1[[#This Row],[SISMED]],TblDisponibilidad[],22,FALSE), 0)</f>
        <v>0</v>
      </c>
      <c r="S61" s="15">
        <f>IFERROR(VLOOKUP(Tabla1[[#This Row],[SISMED]],TblDisponibilidad[],23,FALSE), 0)</f>
        <v>0</v>
      </c>
    </row>
    <row r="62" spans="1:19" x14ac:dyDescent="0.3">
      <c r="A62" s="15" t="s">
        <v>92</v>
      </c>
      <c r="B62" t="str">
        <f>IFERROR(VLOOKUP(Tabla1[[#This Row],[SISMED]],TblDisponibilidad[],2,FALSE), "")</f>
        <v/>
      </c>
      <c r="C62">
        <f>IFERROR(VLOOKUP(Tabla1[[#This Row],[SISMED]],TblDisponibilidad[],7,FALSE), 0)</f>
        <v>0</v>
      </c>
      <c r="D62">
        <f>IFERROR(VLOOKUP(Tabla1[[#This Row],[SISMED]],TblDisponibilidad[],8,FALSE), 0)</f>
        <v>0</v>
      </c>
      <c r="E62">
        <f>IFERROR(VLOOKUP(Tabla1[[#This Row],[SISMED]],TblDisponibilidad[],9,FALSE), 0)</f>
        <v>0</v>
      </c>
      <c r="F62">
        <f>IFERROR(VLOOKUP(Tabla1[[#This Row],[SISMED]],TblDisponibilidad[],10,FALSE), 0)</f>
        <v>0</v>
      </c>
      <c r="G62">
        <f>IFERROR(VLOOKUP(Tabla1[[#This Row],[SISMED]],TblDisponibilidad[],11,FALSE), 0)</f>
        <v>0</v>
      </c>
      <c r="H62">
        <f>IFERROR(VLOOKUP(Tabla1[[#This Row],[SISMED]],TblDisponibilidad[],12,FALSE), 0)</f>
        <v>0</v>
      </c>
      <c r="I62">
        <f>IFERROR(VLOOKUP(Tabla1[[#This Row],[SISMED]],TblDisponibilidad[],13,FALSE), 0)</f>
        <v>0</v>
      </c>
      <c r="J62">
        <f>IFERROR(VLOOKUP(Tabla1[[#This Row],[SISMED]],TblDisponibilidad[],14,FALSE), 0)</f>
        <v>0</v>
      </c>
      <c r="K62">
        <f>IFERROR(VLOOKUP(Tabla1[[#This Row],[SISMED]],TblDisponibilidad[],15,FALSE), 0)</f>
        <v>0</v>
      </c>
      <c r="L62">
        <f>IFERROR(VLOOKUP(Tabla1[[#This Row],[SISMED]],TblDisponibilidad[],16,FALSE), 0)</f>
        <v>0</v>
      </c>
      <c r="M62">
        <f>IFERROR(VLOOKUP(Tabla1[[#This Row],[SISMED]],TblDisponibilidad[],17,FALSE), 0)</f>
        <v>0</v>
      </c>
      <c r="N62">
        <f>IFERROR(VLOOKUP(Tabla1[[#This Row],[SISMED]],TblDisponibilidad[],18,FALSE), 0)</f>
        <v>0</v>
      </c>
      <c r="O62">
        <f>IFERROR(VLOOKUP(Tabla1[[#This Row],[SISMED]],TblDisponibilidad[],19,FALSE), 0)</f>
        <v>0</v>
      </c>
      <c r="P62">
        <f>IFERROR(VLOOKUP(Tabla1[[#This Row],[SISMED]],TblDisponibilidad[],20,FALSE), 0)</f>
        <v>0</v>
      </c>
      <c r="Q62">
        <f>IFERROR(VLOOKUP(Tabla1[[#This Row],[SISMED]],TblDisponibilidad[],21,FALSE), 0)</f>
        <v>0</v>
      </c>
      <c r="R62">
        <f>IFERROR(VLOOKUP(Tabla1[[#This Row],[SISMED]],TblDisponibilidad[],22,FALSE), 0)</f>
        <v>0</v>
      </c>
      <c r="S62" s="15">
        <f>IFERROR(VLOOKUP(Tabla1[[#This Row],[SISMED]],TblDisponibilidad[],23,FALSE), 0)</f>
        <v>0</v>
      </c>
    </row>
    <row r="63" spans="1:19" x14ac:dyDescent="0.3">
      <c r="A63" s="15" t="s">
        <v>93</v>
      </c>
      <c r="B63" t="str">
        <f>IFERROR(VLOOKUP(Tabla1[[#This Row],[SISMED]],TblDisponibilidad[],2,FALSE), "")</f>
        <v/>
      </c>
      <c r="C63">
        <f>IFERROR(VLOOKUP(Tabla1[[#This Row],[SISMED]],TblDisponibilidad[],7,FALSE), 0)</f>
        <v>0</v>
      </c>
      <c r="D63">
        <f>IFERROR(VLOOKUP(Tabla1[[#This Row],[SISMED]],TblDisponibilidad[],8,FALSE), 0)</f>
        <v>0</v>
      </c>
      <c r="E63">
        <f>IFERROR(VLOOKUP(Tabla1[[#This Row],[SISMED]],TblDisponibilidad[],9,FALSE), 0)</f>
        <v>0</v>
      </c>
      <c r="F63">
        <f>IFERROR(VLOOKUP(Tabla1[[#This Row],[SISMED]],TblDisponibilidad[],10,FALSE), 0)</f>
        <v>0</v>
      </c>
      <c r="G63">
        <f>IFERROR(VLOOKUP(Tabla1[[#This Row],[SISMED]],TblDisponibilidad[],11,FALSE), 0)</f>
        <v>0</v>
      </c>
      <c r="H63">
        <f>IFERROR(VLOOKUP(Tabla1[[#This Row],[SISMED]],TblDisponibilidad[],12,FALSE), 0)</f>
        <v>0</v>
      </c>
      <c r="I63">
        <f>IFERROR(VLOOKUP(Tabla1[[#This Row],[SISMED]],TblDisponibilidad[],13,FALSE), 0)</f>
        <v>0</v>
      </c>
      <c r="J63">
        <f>IFERROR(VLOOKUP(Tabla1[[#This Row],[SISMED]],TblDisponibilidad[],14,FALSE), 0)</f>
        <v>0</v>
      </c>
      <c r="K63">
        <f>IFERROR(VLOOKUP(Tabla1[[#This Row],[SISMED]],TblDisponibilidad[],15,FALSE), 0)</f>
        <v>0</v>
      </c>
      <c r="L63">
        <f>IFERROR(VLOOKUP(Tabla1[[#This Row],[SISMED]],TblDisponibilidad[],16,FALSE), 0)</f>
        <v>0</v>
      </c>
      <c r="M63">
        <f>IFERROR(VLOOKUP(Tabla1[[#This Row],[SISMED]],TblDisponibilidad[],17,FALSE), 0)</f>
        <v>0</v>
      </c>
      <c r="N63">
        <f>IFERROR(VLOOKUP(Tabla1[[#This Row],[SISMED]],TblDisponibilidad[],18,FALSE), 0)</f>
        <v>0</v>
      </c>
      <c r="O63">
        <f>IFERROR(VLOOKUP(Tabla1[[#This Row],[SISMED]],TblDisponibilidad[],19,FALSE), 0)</f>
        <v>0</v>
      </c>
      <c r="P63">
        <f>IFERROR(VLOOKUP(Tabla1[[#This Row],[SISMED]],TblDisponibilidad[],20,FALSE), 0)</f>
        <v>0</v>
      </c>
      <c r="Q63">
        <f>IFERROR(VLOOKUP(Tabla1[[#This Row],[SISMED]],TblDisponibilidad[],21,FALSE), 0)</f>
        <v>0</v>
      </c>
      <c r="R63">
        <f>IFERROR(VLOOKUP(Tabla1[[#This Row],[SISMED]],TblDisponibilidad[],22,FALSE), 0)</f>
        <v>0</v>
      </c>
      <c r="S63" s="15">
        <f>IFERROR(VLOOKUP(Tabla1[[#This Row],[SISMED]],TblDisponibilidad[],23,FALSE), 0)</f>
        <v>0</v>
      </c>
    </row>
    <row r="64" spans="1:19" x14ac:dyDescent="0.3">
      <c r="A64" s="15" t="s">
        <v>94</v>
      </c>
      <c r="B64" t="str">
        <f>IFERROR(VLOOKUP(Tabla1[[#This Row],[SISMED]],TblDisponibilidad[],2,FALSE), "")</f>
        <v/>
      </c>
      <c r="C64">
        <f>IFERROR(VLOOKUP(Tabla1[[#This Row],[SISMED]],TblDisponibilidad[],7,FALSE), 0)</f>
        <v>0</v>
      </c>
      <c r="D64">
        <f>IFERROR(VLOOKUP(Tabla1[[#This Row],[SISMED]],TblDisponibilidad[],8,FALSE), 0)</f>
        <v>0</v>
      </c>
      <c r="E64">
        <f>IFERROR(VLOOKUP(Tabla1[[#This Row],[SISMED]],TblDisponibilidad[],9,FALSE), 0)</f>
        <v>0</v>
      </c>
      <c r="F64">
        <f>IFERROR(VLOOKUP(Tabla1[[#This Row],[SISMED]],TblDisponibilidad[],10,FALSE), 0)</f>
        <v>0</v>
      </c>
      <c r="G64">
        <f>IFERROR(VLOOKUP(Tabla1[[#This Row],[SISMED]],TblDisponibilidad[],11,FALSE), 0)</f>
        <v>0</v>
      </c>
      <c r="H64">
        <f>IFERROR(VLOOKUP(Tabla1[[#This Row],[SISMED]],TblDisponibilidad[],12,FALSE), 0)</f>
        <v>0</v>
      </c>
      <c r="I64">
        <f>IFERROR(VLOOKUP(Tabla1[[#This Row],[SISMED]],TblDisponibilidad[],13,FALSE), 0)</f>
        <v>0</v>
      </c>
      <c r="J64">
        <f>IFERROR(VLOOKUP(Tabla1[[#This Row],[SISMED]],TblDisponibilidad[],14,FALSE), 0)</f>
        <v>0</v>
      </c>
      <c r="K64">
        <f>IFERROR(VLOOKUP(Tabla1[[#This Row],[SISMED]],TblDisponibilidad[],15,FALSE), 0)</f>
        <v>0</v>
      </c>
      <c r="L64">
        <f>IFERROR(VLOOKUP(Tabla1[[#This Row],[SISMED]],TblDisponibilidad[],16,FALSE), 0)</f>
        <v>0</v>
      </c>
      <c r="M64">
        <f>IFERROR(VLOOKUP(Tabla1[[#This Row],[SISMED]],TblDisponibilidad[],17,FALSE), 0)</f>
        <v>0</v>
      </c>
      <c r="N64">
        <f>IFERROR(VLOOKUP(Tabla1[[#This Row],[SISMED]],TblDisponibilidad[],18,FALSE), 0)</f>
        <v>0</v>
      </c>
      <c r="O64">
        <f>IFERROR(VLOOKUP(Tabla1[[#This Row],[SISMED]],TblDisponibilidad[],19,FALSE), 0)</f>
        <v>0</v>
      </c>
      <c r="P64">
        <f>IFERROR(VLOOKUP(Tabla1[[#This Row],[SISMED]],TblDisponibilidad[],20,FALSE), 0)</f>
        <v>0</v>
      </c>
      <c r="Q64">
        <f>IFERROR(VLOOKUP(Tabla1[[#This Row],[SISMED]],TblDisponibilidad[],21,FALSE), 0)</f>
        <v>0</v>
      </c>
      <c r="R64">
        <f>IFERROR(VLOOKUP(Tabla1[[#This Row],[SISMED]],TblDisponibilidad[],22,FALSE), 0)</f>
        <v>0</v>
      </c>
      <c r="S64" s="15">
        <f>IFERROR(VLOOKUP(Tabla1[[#This Row],[SISMED]],TblDisponibilidad[],23,FALSE), 0)</f>
        <v>0</v>
      </c>
    </row>
    <row r="65" spans="1:19" x14ac:dyDescent="0.3">
      <c r="A65" s="15" t="s">
        <v>95</v>
      </c>
      <c r="B65" t="str">
        <f>IFERROR(VLOOKUP(Tabla1[[#This Row],[SISMED]],TblDisponibilidad[],2,FALSE), "")</f>
        <v/>
      </c>
      <c r="C65">
        <f>IFERROR(VLOOKUP(Tabla1[[#This Row],[SISMED]],TblDisponibilidad[],7,FALSE), 0)</f>
        <v>0</v>
      </c>
      <c r="D65">
        <f>IFERROR(VLOOKUP(Tabla1[[#This Row],[SISMED]],TblDisponibilidad[],8,FALSE), 0)</f>
        <v>0</v>
      </c>
      <c r="E65">
        <f>IFERROR(VLOOKUP(Tabla1[[#This Row],[SISMED]],TblDisponibilidad[],9,FALSE), 0)</f>
        <v>0</v>
      </c>
      <c r="F65">
        <f>IFERROR(VLOOKUP(Tabla1[[#This Row],[SISMED]],TblDisponibilidad[],10,FALSE), 0)</f>
        <v>0</v>
      </c>
      <c r="G65">
        <f>IFERROR(VLOOKUP(Tabla1[[#This Row],[SISMED]],TblDisponibilidad[],11,FALSE), 0)</f>
        <v>0</v>
      </c>
      <c r="H65">
        <f>IFERROR(VLOOKUP(Tabla1[[#This Row],[SISMED]],TblDisponibilidad[],12,FALSE), 0)</f>
        <v>0</v>
      </c>
      <c r="I65">
        <f>IFERROR(VLOOKUP(Tabla1[[#This Row],[SISMED]],TblDisponibilidad[],13,FALSE), 0)</f>
        <v>0</v>
      </c>
      <c r="J65">
        <f>IFERROR(VLOOKUP(Tabla1[[#This Row],[SISMED]],TblDisponibilidad[],14,FALSE), 0)</f>
        <v>0</v>
      </c>
      <c r="K65">
        <f>IFERROR(VLOOKUP(Tabla1[[#This Row],[SISMED]],TblDisponibilidad[],15,FALSE), 0)</f>
        <v>0</v>
      </c>
      <c r="L65">
        <f>IFERROR(VLOOKUP(Tabla1[[#This Row],[SISMED]],TblDisponibilidad[],16,FALSE), 0)</f>
        <v>0</v>
      </c>
      <c r="M65">
        <f>IFERROR(VLOOKUP(Tabla1[[#This Row],[SISMED]],TblDisponibilidad[],17,FALSE), 0)</f>
        <v>0</v>
      </c>
      <c r="N65">
        <f>IFERROR(VLOOKUP(Tabla1[[#This Row],[SISMED]],TblDisponibilidad[],18,FALSE), 0)</f>
        <v>0</v>
      </c>
      <c r="O65">
        <f>IFERROR(VLOOKUP(Tabla1[[#This Row],[SISMED]],TblDisponibilidad[],19,FALSE), 0)</f>
        <v>0</v>
      </c>
      <c r="P65">
        <f>IFERROR(VLOOKUP(Tabla1[[#This Row],[SISMED]],TblDisponibilidad[],20,FALSE), 0)</f>
        <v>0</v>
      </c>
      <c r="Q65">
        <f>IFERROR(VLOOKUP(Tabla1[[#This Row],[SISMED]],TblDisponibilidad[],21,FALSE), 0)</f>
        <v>0</v>
      </c>
      <c r="R65">
        <f>IFERROR(VLOOKUP(Tabla1[[#This Row],[SISMED]],TblDisponibilidad[],22,FALSE), 0)</f>
        <v>0</v>
      </c>
      <c r="S65" s="15">
        <f>IFERROR(VLOOKUP(Tabla1[[#This Row],[SISMED]],TblDisponibilidad[],23,FALSE), 0)</f>
        <v>0</v>
      </c>
    </row>
    <row r="66" spans="1:19" x14ac:dyDescent="0.3">
      <c r="A66" s="15" t="s">
        <v>96</v>
      </c>
      <c r="B66" t="str">
        <f>IFERROR(VLOOKUP(Tabla1[[#This Row],[SISMED]],TblDisponibilidad[],2,FALSE), "")</f>
        <v/>
      </c>
      <c r="C66">
        <f>IFERROR(VLOOKUP(Tabla1[[#This Row],[SISMED]],TblDisponibilidad[],7,FALSE), 0)</f>
        <v>0</v>
      </c>
      <c r="D66">
        <f>IFERROR(VLOOKUP(Tabla1[[#This Row],[SISMED]],TblDisponibilidad[],8,FALSE), 0)</f>
        <v>0</v>
      </c>
      <c r="E66">
        <f>IFERROR(VLOOKUP(Tabla1[[#This Row],[SISMED]],TblDisponibilidad[],9,FALSE), 0)</f>
        <v>0</v>
      </c>
      <c r="F66">
        <f>IFERROR(VLOOKUP(Tabla1[[#This Row],[SISMED]],TblDisponibilidad[],10,FALSE), 0)</f>
        <v>0</v>
      </c>
      <c r="G66">
        <f>IFERROR(VLOOKUP(Tabla1[[#This Row],[SISMED]],TblDisponibilidad[],11,FALSE), 0)</f>
        <v>0</v>
      </c>
      <c r="H66">
        <f>IFERROR(VLOOKUP(Tabla1[[#This Row],[SISMED]],TblDisponibilidad[],12,FALSE), 0)</f>
        <v>0</v>
      </c>
      <c r="I66">
        <f>IFERROR(VLOOKUP(Tabla1[[#This Row],[SISMED]],TblDisponibilidad[],13,FALSE), 0)</f>
        <v>0</v>
      </c>
      <c r="J66">
        <f>IFERROR(VLOOKUP(Tabla1[[#This Row],[SISMED]],TblDisponibilidad[],14,FALSE), 0)</f>
        <v>0</v>
      </c>
      <c r="K66">
        <f>IFERROR(VLOOKUP(Tabla1[[#This Row],[SISMED]],TblDisponibilidad[],15,FALSE), 0)</f>
        <v>0</v>
      </c>
      <c r="L66">
        <f>IFERROR(VLOOKUP(Tabla1[[#This Row],[SISMED]],TblDisponibilidad[],16,FALSE), 0)</f>
        <v>0</v>
      </c>
      <c r="M66">
        <f>IFERROR(VLOOKUP(Tabla1[[#This Row],[SISMED]],TblDisponibilidad[],17,FALSE), 0)</f>
        <v>0</v>
      </c>
      <c r="N66">
        <f>IFERROR(VLOOKUP(Tabla1[[#This Row],[SISMED]],TblDisponibilidad[],18,FALSE), 0)</f>
        <v>0</v>
      </c>
      <c r="O66">
        <f>IFERROR(VLOOKUP(Tabla1[[#This Row],[SISMED]],TblDisponibilidad[],19,FALSE), 0)</f>
        <v>0</v>
      </c>
      <c r="P66">
        <f>IFERROR(VLOOKUP(Tabla1[[#This Row],[SISMED]],TblDisponibilidad[],20,FALSE), 0)</f>
        <v>0</v>
      </c>
      <c r="Q66">
        <f>IFERROR(VLOOKUP(Tabla1[[#This Row],[SISMED]],TblDisponibilidad[],21,FALSE), 0)</f>
        <v>0</v>
      </c>
      <c r="R66">
        <f>IFERROR(VLOOKUP(Tabla1[[#This Row],[SISMED]],TblDisponibilidad[],22,FALSE), 0)</f>
        <v>0</v>
      </c>
      <c r="S66" s="15">
        <f>IFERROR(VLOOKUP(Tabla1[[#This Row],[SISMED]],TblDisponibilidad[],23,FALSE), 0)</f>
        <v>0</v>
      </c>
    </row>
    <row r="67" spans="1:19" x14ac:dyDescent="0.3">
      <c r="A67" s="15" t="s">
        <v>97</v>
      </c>
      <c r="B67" t="str">
        <f>IFERROR(VLOOKUP(Tabla1[[#This Row],[SISMED]],TblDisponibilidad[],2,FALSE), "")</f>
        <v/>
      </c>
      <c r="C67">
        <f>IFERROR(VLOOKUP(Tabla1[[#This Row],[SISMED]],TblDisponibilidad[],7,FALSE), 0)</f>
        <v>0</v>
      </c>
      <c r="D67">
        <f>IFERROR(VLOOKUP(Tabla1[[#This Row],[SISMED]],TblDisponibilidad[],8,FALSE), 0)</f>
        <v>0</v>
      </c>
      <c r="E67">
        <f>IFERROR(VLOOKUP(Tabla1[[#This Row],[SISMED]],TblDisponibilidad[],9,FALSE), 0)</f>
        <v>0</v>
      </c>
      <c r="F67">
        <f>IFERROR(VLOOKUP(Tabla1[[#This Row],[SISMED]],TblDisponibilidad[],10,FALSE), 0)</f>
        <v>0</v>
      </c>
      <c r="G67">
        <f>IFERROR(VLOOKUP(Tabla1[[#This Row],[SISMED]],TblDisponibilidad[],11,FALSE), 0)</f>
        <v>0</v>
      </c>
      <c r="H67">
        <f>IFERROR(VLOOKUP(Tabla1[[#This Row],[SISMED]],TblDisponibilidad[],12,FALSE), 0)</f>
        <v>0</v>
      </c>
      <c r="I67">
        <f>IFERROR(VLOOKUP(Tabla1[[#This Row],[SISMED]],TblDisponibilidad[],13,FALSE), 0)</f>
        <v>0</v>
      </c>
      <c r="J67">
        <f>IFERROR(VLOOKUP(Tabla1[[#This Row],[SISMED]],TblDisponibilidad[],14,FALSE), 0)</f>
        <v>0</v>
      </c>
      <c r="K67">
        <f>IFERROR(VLOOKUP(Tabla1[[#This Row],[SISMED]],TblDisponibilidad[],15,FALSE), 0)</f>
        <v>0</v>
      </c>
      <c r="L67">
        <f>IFERROR(VLOOKUP(Tabla1[[#This Row],[SISMED]],TblDisponibilidad[],16,FALSE), 0)</f>
        <v>0</v>
      </c>
      <c r="M67">
        <f>IFERROR(VLOOKUP(Tabla1[[#This Row],[SISMED]],TblDisponibilidad[],17,FALSE), 0)</f>
        <v>0</v>
      </c>
      <c r="N67">
        <f>IFERROR(VLOOKUP(Tabla1[[#This Row],[SISMED]],TblDisponibilidad[],18,FALSE), 0)</f>
        <v>0</v>
      </c>
      <c r="O67">
        <f>IFERROR(VLOOKUP(Tabla1[[#This Row],[SISMED]],TblDisponibilidad[],19,FALSE), 0)</f>
        <v>0</v>
      </c>
      <c r="P67">
        <f>IFERROR(VLOOKUP(Tabla1[[#This Row],[SISMED]],TblDisponibilidad[],20,FALSE), 0)</f>
        <v>0</v>
      </c>
      <c r="Q67">
        <f>IFERROR(VLOOKUP(Tabla1[[#This Row],[SISMED]],TblDisponibilidad[],21,FALSE), 0)</f>
        <v>0</v>
      </c>
      <c r="R67">
        <f>IFERROR(VLOOKUP(Tabla1[[#This Row],[SISMED]],TblDisponibilidad[],22,FALSE), 0)</f>
        <v>0</v>
      </c>
      <c r="S67" s="15">
        <f>IFERROR(VLOOKUP(Tabla1[[#This Row],[SISMED]],TblDisponibilidad[],23,FALSE), 0)</f>
        <v>0</v>
      </c>
    </row>
    <row r="68" spans="1:19" x14ac:dyDescent="0.3">
      <c r="A68" s="15" t="s">
        <v>98</v>
      </c>
      <c r="B68" t="str">
        <f>IFERROR(VLOOKUP(Tabla1[[#This Row],[SISMED]],TblDisponibilidad[],2,FALSE), "")</f>
        <v/>
      </c>
      <c r="C68">
        <f>IFERROR(VLOOKUP(Tabla1[[#This Row],[SISMED]],TblDisponibilidad[],7,FALSE), 0)</f>
        <v>0</v>
      </c>
      <c r="D68">
        <f>IFERROR(VLOOKUP(Tabla1[[#This Row],[SISMED]],TblDisponibilidad[],8,FALSE), 0)</f>
        <v>0</v>
      </c>
      <c r="E68">
        <f>IFERROR(VLOOKUP(Tabla1[[#This Row],[SISMED]],TblDisponibilidad[],9,FALSE), 0)</f>
        <v>0</v>
      </c>
      <c r="F68">
        <f>IFERROR(VLOOKUP(Tabla1[[#This Row],[SISMED]],TblDisponibilidad[],10,FALSE), 0)</f>
        <v>0</v>
      </c>
      <c r="G68">
        <f>IFERROR(VLOOKUP(Tabla1[[#This Row],[SISMED]],TblDisponibilidad[],11,FALSE), 0)</f>
        <v>0</v>
      </c>
      <c r="H68">
        <f>IFERROR(VLOOKUP(Tabla1[[#This Row],[SISMED]],TblDisponibilidad[],12,FALSE), 0)</f>
        <v>0</v>
      </c>
      <c r="I68">
        <f>IFERROR(VLOOKUP(Tabla1[[#This Row],[SISMED]],TblDisponibilidad[],13,FALSE), 0)</f>
        <v>0</v>
      </c>
      <c r="J68">
        <f>IFERROR(VLOOKUP(Tabla1[[#This Row],[SISMED]],TblDisponibilidad[],14,FALSE), 0)</f>
        <v>0</v>
      </c>
      <c r="K68">
        <f>IFERROR(VLOOKUP(Tabla1[[#This Row],[SISMED]],TblDisponibilidad[],15,FALSE), 0)</f>
        <v>0</v>
      </c>
      <c r="L68">
        <f>IFERROR(VLOOKUP(Tabla1[[#This Row],[SISMED]],TblDisponibilidad[],16,FALSE), 0)</f>
        <v>0</v>
      </c>
      <c r="M68">
        <f>IFERROR(VLOOKUP(Tabla1[[#This Row],[SISMED]],TblDisponibilidad[],17,FALSE), 0)</f>
        <v>0</v>
      </c>
      <c r="N68">
        <f>IFERROR(VLOOKUP(Tabla1[[#This Row],[SISMED]],TblDisponibilidad[],18,FALSE), 0)</f>
        <v>0</v>
      </c>
      <c r="O68">
        <f>IFERROR(VLOOKUP(Tabla1[[#This Row],[SISMED]],TblDisponibilidad[],19,FALSE), 0)</f>
        <v>0</v>
      </c>
      <c r="P68">
        <f>IFERROR(VLOOKUP(Tabla1[[#This Row],[SISMED]],TblDisponibilidad[],20,FALSE), 0)</f>
        <v>0</v>
      </c>
      <c r="Q68">
        <f>IFERROR(VLOOKUP(Tabla1[[#This Row],[SISMED]],TblDisponibilidad[],21,FALSE), 0)</f>
        <v>0</v>
      </c>
      <c r="R68">
        <f>IFERROR(VLOOKUP(Tabla1[[#This Row],[SISMED]],TblDisponibilidad[],22,FALSE), 0)</f>
        <v>0</v>
      </c>
      <c r="S68" s="15">
        <f>IFERROR(VLOOKUP(Tabla1[[#This Row],[SISMED]],TblDisponibilidad[],23,FALSE), 0)</f>
        <v>0</v>
      </c>
    </row>
    <row r="69" spans="1:19" x14ac:dyDescent="0.3">
      <c r="A69" s="15" t="s">
        <v>99</v>
      </c>
      <c r="B69" t="str">
        <f>IFERROR(VLOOKUP(Tabla1[[#This Row],[SISMED]],TblDisponibilidad[],2,FALSE), "")</f>
        <v/>
      </c>
      <c r="C69">
        <f>IFERROR(VLOOKUP(Tabla1[[#This Row],[SISMED]],TblDisponibilidad[],7,FALSE), 0)</f>
        <v>0</v>
      </c>
      <c r="D69">
        <f>IFERROR(VLOOKUP(Tabla1[[#This Row],[SISMED]],TblDisponibilidad[],8,FALSE), 0)</f>
        <v>0</v>
      </c>
      <c r="E69">
        <f>IFERROR(VLOOKUP(Tabla1[[#This Row],[SISMED]],TblDisponibilidad[],9,FALSE), 0)</f>
        <v>0</v>
      </c>
      <c r="F69">
        <f>IFERROR(VLOOKUP(Tabla1[[#This Row],[SISMED]],TblDisponibilidad[],10,FALSE), 0)</f>
        <v>0</v>
      </c>
      <c r="G69">
        <f>IFERROR(VLOOKUP(Tabla1[[#This Row],[SISMED]],TblDisponibilidad[],11,FALSE), 0)</f>
        <v>0</v>
      </c>
      <c r="H69">
        <f>IFERROR(VLOOKUP(Tabla1[[#This Row],[SISMED]],TblDisponibilidad[],12,FALSE), 0)</f>
        <v>0</v>
      </c>
      <c r="I69">
        <f>IFERROR(VLOOKUP(Tabla1[[#This Row],[SISMED]],TblDisponibilidad[],13,FALSE), 0)</f>
        <v>0</v>
      </c>
      <c r="J69">
        <f>IFERROR(VLOOKUP(Tabla1[[#This Row],[SISMED]],TblDisponibilidad[],14,FALSE), 0)</f>
        <v>0</v>
      </c>
      <c r="K69">
        <f>IFERROR(VLOOKUP(Tabla1[[#This Row],[SISMED]],TblDisponibilidad[],15,FALSE), 0)</f>
        <v>0</v>
      </c>
      <c r="L69">
        <f>IFERROR(VLOOKUP(Tabla1[[#This Row],[SISMED]],TblDisponibilidad[],16,FALSE), 0)</f>
        <v>0</v>
      </c>
      <c r="M69">
        <f>IFERROR(VLOOKUP(Tabla1[[#This Row],[SISMED]],TblDisponibilidad[],17,FALSE), 0)</f>
        <v>0</v>
      </c>
      <c r="N69">
        <f>IFERROR(VLOOKUP(Tabla1[[#This Row],[SISMED]],TblDisponibilidad[],18,FALSE), 0)</f>
        <v>0</v>
      </c>
      <c r="O69">
        <f>IFERROR(VLOOKUP(Tabla1[[#This Row],[SISMED]],TblDisponibilidad[],19,FALSE), 0)</f>
        <v>0</v>
      </c>
      <c r="P69">
        <f>IFERROR(VLOOKUP(Tabla1[[#This Row],[SISMED]],TblDisponibilidad[],20,FALSE), 0)</f>
        <v>0</v>
      </c>
      <c r="Q69">
        <f>IFERROR(VLOOKUP(Tabla1[[#This Row],[SISMED]],TblDisponibilidad[],21,FALSE), 0)</f>
        <v>0</v>
      </c>
      <c r="R69">
        <f>IFERROR(VLOOKUP(Tabla1[[#This Row],[SISMED]],TblDisponibilidad[],22,FALSE), 0)</f>
        <v>0</v>
      </c>
      <c r="S69" s="15">
        <f>IFERROR(VLOOKUP(Tabla1[[#This Row],[SISMED]],TblDisponibilidad[],23,FALSE), 0)</f>
        <v>0</v>
      </c>
    </row>
    <row r="70" spans="1:19" x14ac:dyDescent="0.3">
      <c r="A70" s="15" t="s">
        <v>100</v>
      </c>
      <c r="B70" t="str">
        <f>IFERROR(VLOOKUP(Tabla1[[#This Row],[SISMED]],TblDisponibilidad[],2,FALSE), "")</f>
        <v/>
      </c>
      <c r="C70">
        <f>IFERROR(VLOOKUP(Tabla1[[#This Row],[SISMED]],TblDisponibilidad[],7,FALSE), 0)</f>
        <v>0</v>
      </c>
      <c r="D70">
        <f>IFERROR(VLOOKUP(Tabla1[[#This Row],[SISMED]],TblDisponibilidad[],8,FALSE), 0)</f>
        <v>0</v>
      </c>
      <c r="E70">
        <f>IFERROR(VLOOKUP(Tabla1[[#This Row],[SISMED]],TblDisponibilidad[],9,FALSE), 0)</f>
        <v>0</v>
      </c>
      <c r="F70">
        <f>IFERROR(VLOOKUP(Tabla1[[#This Row],[SISMED]],TblDisponibilidad[],10,FALSE), 0)</f>
        <v>0</v>
      </c>
      <c r="G70">
        <f>IFERROR(VLOOKUP(Tabla1[[#This Row],[SISMED]],TblDisponibilidad[],11,FALSE), 0)</f>
        <v>0</v>
      </c>
      <c r="H70">
        <f>IFERROR(VLOOKUP(Tabla1[[#This Row],[SISMED]],TblDisponibilidad[],12,FALSE), 0)</f>
        <v>0</v>
      </c>
      <c r="I70">
        <f>IFERROR(VLOOKUP(Tabla1[[#This Row],[SISMED]],TblDisponibilidad[],13,FALSE), 0)</f>
        <v>0</v>
      </c>
      <c r="J70">
        <f>IFERROR(VLOOKUP(Tabla1[[#This Row],[SISMED]],TblDisponibilidad[],14,FALSE), 0)</f>
        <v>0</v>
      </c>
      <c r="K70">
        <f>IFERROR(VLOOKUP(Tabla1[[#This Row],[SISMED]],TblDisponibilidad[],15,FALSE), 0)</f>
        <v>0</v>
      </c>
      <c r="L70">
        <f>IFERROR(VLOOKUP(Tabla1[[#This Row],[SISMED]],TblDisponibilidad[],16,FALSE), 0)</f>
        <v>0</v>
      </c>
      <c r="M70">
        <f>IFERROR(VLOOKUP(Tabla1[[#This Row],[SISMED]],TblDisponibilidad[],17,FALSE), 0)</f>
        <v>0</v>
      </c>
      <c r="N70">
        <f>IFERROR(VLOOKUP(Tabla1[[#This Row],[SISMED]],TblDisponibilidad[],18,FALSE), 0)</f>
        <v>0</v>
      </c>
      <c r="O70">
        <f>IFERROR(VLOOKUP(Tabla1[[#This Row],[SISMED]],TblDisponibilidad[],19,FALSE), 0)</f>
        <v>0</v>
      </c>
      <c r="P70">
        <f>IFERROR(VLOOKUP(Tabla1[[#This Row],[SISMED]],TblDisponibilidad[],20,FALSE), 0)</f>
        <v>0</v>
      </c>
      <c r="Q70">
        <f>IFERROR(VLOOKUP(Tabla1[[#This Row],[SISMED]],TblDisponibilidad[],21,FALSE), 0)</f>
        <v>0</v>
      </c>
      <c r="R70">
        <f>IFERROR(VLOOKUP(Tabla1[[#This Row],[SISMED]],TblDisponibilidad[],22,FALSE), 0)</f>
        <v>0</v>
      </c>
      <c r="S70" s="15">
        <f>IFERROR(VLOOKUP(Tabla1[[#This Row],[SISMED]],TblDisponibilidad[],23,FALSE), 0)</f>
        <v>0</v>
      </c>
    </row>
    <row r="71" spans="1:19" x14ac:dyDescent="0.3">
      <c r="A71" s="15" t="s">
        <v>101</v>
      </c>
      <c r="B71" t="str">
        <f>IFERROR(VLOOKUP(Tabla1[[#This Row],[SISMED]],TblDisponibilidad[],2,FALSE), "")</f>
        <v/>
      </c>
      <c r="C71">
        <f>IFERROR(VLOOKUP(Tabla1[[#This Row],[SISMED]],TblDisponibilidad[],7,FALSE), 0)</f>
        <v>0</v>
      </c>
      <c r="D71">
        <f>IFERROR(VLOOKUP(Tabla1[[#This Row],[SISMED]],TblDisponibilidad[],8,FALSE), 0)</f>
        <v>0</v>
      </c>
      <c r="E71">
        <f>IFERROR(VLOOKUP(Tabla1[[#This Row],[SISMED]],TblDisponibilidad[],9,FALSE), 0)</f>
        <v>0</v>
      </c>
      <c r="F71">
        <f>IFERROR(VLOOKUP(Tabla1[[#This Row],[SISMED]],TblDisponibilidad[],10,FALSE), 0)</f>
        <v>0</v>
      </c>
      <c r="G71">
        <f>IFERROR(VLOOKUP(Tabla1[[#This Row],[SISMED]],TblDisponibilidad[],11,FALSE), 0)</f>
        <v>0</v>
      </c>
      <c r="H71">
        <f>IFERROR(VLOOKUP(Tabla1[[#This Row],[SISMED]],TblDisponibilidad[],12,FALSE), 0)</f>
        <v>0</v>
      </c>
      <c r="I71">
        <f>IFERROR(VLOOKUP(Tabla1[[#This Row],[SISMED]],TblDisponibilidad[],13,FALSE), 0)</f>
        <v>0</v>
      </c>
      <c r="J71">
        <f>IFERROR(VLOOKUP(Tabla1[[#This Row],[SISMED]],TblDisponibilidad[],14,FALSE), 0)</f>
        <v>0</v>
      </c>
      <c r="K71">
        <f>IFERROR(VLOOKUP(Tabla1[[#This Row],[SISMED]],TblDisponibilidad[],15,FALSE), 0)</f>
        <v>0</v>
      </c>
      <c r="L71">
        <f>IFERROR(VLOOKUP(Tabla1[[#This Row],[SISMED]],TblDisponibilidad[],16,FALSE), 0)</f>
        <v>0</v>
      </c>
      <c r="M71">
        <f>IFERROR(VLOOKUP(Tabla1[[#This Row],[SISMED]],TblDisponibilidad[],17,FALSE), 0)</f>
        <v>0</v>
      </c>
      <c r="N71">
        <f>IFERROR(VLOOKUP(Tabla1[[#This Row],[SISMED]],TblDisponibilidad[],18,FALSE), 0)</f>
        <v>0</v>
      </c>
      <c r="O71">
        <f>IFERROR(VLOOKUP(Tabla1[[#This Row],[SISMED]],TblDisponibilidad[],19,FALSE), 0)</f>
        <v>0</v>
      </c>
      <c r="P71">
        <f>IFERROR(VLOOKUP(Tabla1[[#This Row],[SISMED]],TblDisponibilidad[],20,FALSE), 0)</f>
        <v>0</v>
      </c>
      <c r="Q71">
        <f>IFERROR(VLOOKUP(Tabla1[[#This Row],[SISMED]],TblDisponibilidad[],21,FALSE), 0)</f>
        <v>0</v>
      </c>
      <c r="R71">
        <f>IFERROR(VLOOKUP(Tabla1[[#This Row],[SISMED]],TblDisponibilidad[],22,FALSE), 0)</f>
        <v>0</v>
      </c>
      <c r="S71" s="15">
        <f>IFERROR(VLOOKUP(Tabla1[[#This Row],[SISMED]],TblDisponibilidad[],23,FALSE), 0)</f>
        <v>0</v>
      </c>
    </row>
    <row r="72" spans="1:19" x14ac:dyDescent="0.3">
      <c r="A72" s="15" t="s">
        <v>102</v>
      </c>
      <c r="B72" t="str">
        <f>IFERROR(VLOOKUP(Tabla1[[#This Row],[SISMED]],TblDisponibilidad[],2,FALSE), "")</f>
        <v/>
      </c>
      <c r="C72">
        <f>IFERROR(VLOOKUP(Tabla1[[#This Row],[SISMED]],TblDisponibilidad[],7,FALSE), 0)</f>
        <v>0</v>
      </c>
      <c r="D72">
        <f>IFERROR(VLOOKUP(Tabla1[[#This Row],[SISMED]],TblDisponibilidad[],8,FALSE), 0)</f>
        <v>0</v>
      </c>
      <c r="E72">
        <f>IFERROR(VLOOKUP(Tabla1[[#This Row],[SISMED]],TblDisponibilidad[],9,FALSE), 0)</f>
        <v>0</v>
      </c>
      <c r="F72">
        <f>IFERROR(VLOOKUP(Tabla1[[#This Row],[SISMED]],TblDisponibilidad[],10,FALSE), 0)</f>
        <v>0</v>
      </c>
      <c r="G72">
        <f>IFERROR(VLOOKUP(Tabla1[[#This Row],[SISMED]],TblDisponibilidad[],11,FALSE), 0)</f>
        <v>0</v>
      </c>
      <c r="H72">
        <f>IFERROR(VLOOKUP(Tabla1[[#This Row],[SISMED]],TblDisponibilidad[],12,FALSE), 0)</f>
        <v>0</v>
      </c>
      <c r="I72">
        <f>IFERROR(VLOOKUP(Tabla1[[#This Row],[SISMED]],TblDisponibilidad[],13,FALSE), 0)</f>
        <v>0</v>
      </c>
      <c r="J72">
        <f>IFERROR(VLOOKUP(Tabla1[[#This Row],[SISMED]],TblDisponibilidad[],14,FALSE), 0)</f>
        <v>0</v>
      </c>
      <c r="K72">
        <f>IFERROR(VLOOKUP(Tabla1[[#This Row],[SISMED]],TblDisponibilidad[],15,FALSE), 0)</f>
        <v>0</v>
      </c>
      <c r="L72">
        <f>IFERROR(VLOOKUP(Tabla1[[#This Row],[SISMED]],TblDisponibilidad[],16,FALSE), 0)</f>
        <v>0</v>
      </c>
      <c r="M72">
        <f>IFERROR(VLOOKUP(Tabla1[[#This Row],[SISMED]],TblDisponibilidad[],17,FALSE), 0)</f>
        <v>0</v>
      </c>
      <c r="N72">
        <f>IFERROR(VLOOKUP(Tabla1[[#This Row],[SISMED]],TblDisponibilidad[],18,FALSE), 0)</f>
        <v>0</v>
      </c>
      <c r="O72">
        <f>IFERROR(VLOOKUP(Tabla1[[#This Row],[SISMED]],TblDisponibilidad[],19,FALSE), 0)</f>
        <v>0</v>
      </c>
      <c r="P72">
        <f>IFERROR(VLOOKUP(Tabla1[[#This Row],[SISMED]],TblDisponibilidad[],20,FALSE), 0)</f>
        <v>0</v>
      </c>
      <c r="Q72">
        <f>IFERROR(VLOOKUP(Tabla1[[#This Row],[SISMED]],TblDisponibilidad[],21,FALSE), 0)</f>
        <v>0</v>
      </c>
      <c r="R72">
        <f>IFERROR(VLOOKUP(Tabla1[[#This Row],[SISMED]],TblDisponibilidad[],22,FALSE), 0)</f>
        <v>0</v>
      </c>
      <c r="S72" s="15">
        <f>IFERROR(VLOOKUP(Tabla1[[#This Row],[SISMED]],TblDisponibilidad[],23,FALSE), 0)</f>
        <v>0</v>
      </c>
    </row>
    <row r="73" spans="1:19" x14ac:dyDescent="0.3">
      <c r="A73" s="15" t="s">
        <v>103</v>
      </c>
      <c r="B73" t="str">
        <f>IFERROR(VLOOKUP(Tabla1[[#This Row],[SISMED]],TblDisponibilidad[],2,FALSE), "")</f>
        <v/>
      </c>
      <c r="C73">
        <f>IFERROR(VLOOKUP(Tabla1[[#This Row],[SISMED]],TblDisponibilidad[],7,FALSE), 0)</f>
        <v>0</v>
      </c>
      <c r="D73">
        <f>IFERROR(VLOOKUP(Tabla1[[#This Row],[SISMED]],TblDisponibilidad[],8,FALSE), 0)</f>
        <v>0</v>
      </c>
      <c r="E73">
        <f>IFERROR(VLOOKUP(Tabla1[[#This Row],[SISMED]],TblDisponibilidad[],9,FALSE), 0)</f>
        <v>0</v>
      </c>
      <c r="F73">
        <f>IFERROR(VLOOKUP(Tabla1[[#This Row],[SISMED]],TblDisponibilidad[],10,FALSE), 0)</f>
        <v>0</v>
      </c>
      <c r="G73">
        <f>IFERROR(VLOOKUP(Tabla1[[#This Row],[SISMED]],TblDisponibilidad[],11,FALSE), 0)</f>
        <v>0</v>
      </c>
      <c r="H73">
        <f>IFERROR(VLOOKUP(Tabla1[[#This Row],[SISMED]],TblDisponibilidad[],12,FALSE), 0)</f>
        <v>0</v>
      </c>
      <c r="I73">
        <f>IFERROR(VLOOKUP(Tabla1[[#This Row],[SISMED]],TblDisponibilidad[],13,FALSE), 0)</f>
        <v>0</v>
      </c>
      <c r="J73">
        <f>IFERROR(VLOOKUP(Tabla1[[#This Row],[SISMED]],TblDisponibilidad[],14,FALSE), 0)</f>
        <v>0</v>
      </c>
      <c r="K73">
        <f>IFERROR(VLOOKUP(Tabla1[[#This Row],[SISMED]],TblDisponibilidad[],15,FALSE), 0)</f>
        <v>0</v>
      </c>
      <c r="L73">
        <f>IFERROR(VLOOKUP(Tabla1[[#This Row],[SISMED]],TblDisponibilidad[],16,FALSE), 0)</f>
        <v>0</v>
      </c>
      <c r="M73">
        <f>IFERROR(VLOOKUP(Tabla1[[#This Row],[SISMED]],TblDisponibilidad[],17,FALSE), 0)</f>
        <v>0</v>
      </c>
      <c r="N73">
        <f>IFERROR(VLOOKUP(Tabla1[[#This Row],[SISMED]],TblDisponibilidad[],18,FALSE), 0)</f>
        <v>0</v>
      </c>
      <c r="O73">
        <f>IFERROR(VLOOKUP(Tabla1[[#This Row],[SISMED]],TblDisponibilidad[],19,FALSE), 0)</f>
        <v>0</v>
      </c>
      <c r="P73">
        <f>IFERROR(VLOOKUP(Tabla1[[#This Row],[SISMED]],TblDisponibilidad[],20,FALSE), 0)</f>
        <v>0</v>
      </c>
      <c r="Q73">
        <f>IFERROR(VLOOKUP(Tabla1[[#This Row],[SISMED]],TblDisponibilidad[],21,FALSE), 0)</f>
        <v>0</v>
      </c>
      <c r="R73">
        <f>IFERROR(VLOOKUP(Tabla1[[#This Row],[SISMED]],TblDisponibilidad[],22,FALSE), 0)</f>
        <v>0</v>
      </c>
      <c r="S73" s="15">
        <f>IFERROR(VLOOKUP(Tabla1[[#This Row],[SISMED]],TblDisponibilidad[],23,FALSE), 0)</f>
        <v>0</v>
      </c>
    </row>
    <row r="74" spans="1:19" x14ac:dyDescent="0.3">
      <c r="A74" s="15" t="s">
        <v>104</v>
      </c>
      <c r="B74" t="str">
        <f>IFERROR(VLOOKUP(Tabla1[[#This Row],[SISMED]],TblDisponibilidad[],2,FALSE), "")</f>
        <v/>
      </c>
      <c r="C74">
        <f>IFERROR(VLOOKUP(Tabla1[[#This Row],[SISMED]],TblDisponibilidad[],7,FALSE), 0)</f>
        <v>0</v>
      </c>
      <c r="D74">
        <f>IFERROR(VLOOKUP(Tabla1[[#This Row],[SISMED]],TblDisponibilidad[],8,FALSE), 0)</f>
        <v>0</v>
      </c>
      <c r="E74">
        <f>IFERROR(VLOOKUP(Tabla1[[#This Row],[SISMED]],TblDisponibilidad[],9,FALSE), 0)</f>
        <v>0</v>
      </c>
      <c r="F74">
        <f>IFERROR(VLOOKUP(Tabla1[[#This Row],[SISMED]],TblDisponibilidad[],10,FALSE), 0)</f>
        <v>0</v>
      </c>
      <c r="G74">
        <f>IFERROR(VLOOKUP(Tabla1[[#This Row],[SISMED]],TblDisponibilidad[],11,FALSE), 0)</f>
        <v>0</v>
      </c>
      <c r="H74">
        <f>IFERROR(VLOOKUP(Tabla1[[#This Row],[SISMED]],TblDisponibilidad[],12,FALSE), 0)</f>
        <v>0</v>
      </c>
      <c r="I74">
        <f>IFERROR(VLOOKUP(Tabla1[[#This Row],[SISMED]],TblDisponibilidad[],13,FALSE), 0)</f>
        <v>0</v>
      </c>
      <c r="J74">
        <f>IFERROR(VLOOKUP(Tabla1[[#This Row],[SISMED]],TblDisponibilidad[],14,FALSE), 0)</f>
        <v>0</v>
      </c>
      <c r="K74">
        <f>IFERROR(VLOOKUP(Tabla1[[#This Row],[SISMED]],TblDisponibilidad[],15,FALSE), 0)</f>
        <v>0</v>
      </c>
      <c r="L74">
        <f>IFERROR(VLOOKUP(Tabla1[[#This Row],[SISMED]],TblDisponibilidad[],16,FALSE), 0)</f>
        <v>0</v>
      </c>
      <c r="M74">
        <f>IFERROR(VLOOKUP(Tabla1[[#This Row],[SISMED]],TblDisponibilidad[],17,FALSE), 0)</f>
        <v>0</v>
      </c>
      <c r="N74">
        <f>IFERROR(VLOOKUP(Tabla1[[#This Row],[SISMED]],TblDisponibilidad[],18,FALSE), 0)</f>
        <v>0</v>
      </c>
      <c r="O74">
        <f>IFERROR(VLOOKUP(Tabla1[[#This Row],[SISMED]],TblDisponibilidad[],19,FALSE), 0)</f>
        <v>0</v>
      </c>
      <c r="P74">
        <f>IFERROR(VLOOKUP(Tabla1[[#This Row],[SISMED]],TblDisponibilidad[],20,FALSE), 0)</f>
        <v>0</v>
      </c>
      <c r="Q74">
        <f>IFERROR(VLOOKUP(Tabla1[[#This Row],[SISMED]],TblDisponibilidad[],21,FALSE), 0)</f>
        <v>0</v>
      </c>
      <c r="R74">
        <f>IFERROR(VLOOKUP(Tabla1[[#This Row],[SISMED]],TblDisponibilidad[],22,FALSE), 0)</f>
        <v>0</v>
      </c>
      <c r="S74" s="15">
        <f>IFERROR(VLOOKUP(Tabla1[[#This Row],[SISMED]],TblDisponibilidad[],23,FALSE), 0)</f>
        <v>0</v>
      </c>
    </row>
    <row r="75" spans="1:19" x14ac:dyDescent="0.3">
      <c r="A75" s="15" t="s">
        <v>105</v>
      </c>
      <c r="B75" t="str">
        <f>IFERROR(VLOOKUP(Tabla1[[#This Row],[SISMED]],TblDisponibilidad[],2,FALSE), "")</f>
        <v/>
      </c>
      <c r="C75">
        <f>IFERROR(VLOOKUP(Tabla1[[#This Row],[SISMED]],TblDisponibilidad[],7,FALSE), 0)</f>
        <v>0</v>
      </c>
      <c r="D75">
        <f>IFERROR(VLOOKUP(Tabla1[[#This Row],[SISMED]],TblDisponibilidad[],8,FALSE), 0)</f>
        <v>0</v>
      </c>
      <c r="E75">
        <f>IFERROR(VLOOKUP(Tabla1[[#This Row],[SISMED]],TblDisponibilidad[],9,FALSE), 0)</f>
        <v>0</v>
      </c>
      <c r="F75">
        <f>IFERROR(VLOOKUP(Tabla1[[#This Row],[SISMED]],TblDisponibilidad[],10,FALSE), 0)</f>
        <v>0</v>
      </c>
      <c r="G75">
        <f>IFERROR(VLOOKUP(Tabla1[[#This Row],[SISMED]],TblDisponibilidad[],11,FALSE), 0)</f>
        <v>0</v>
      </c>
      <c r="H75">
        <f>IFERROR(VLOOKUP(Tabla1[[#This Row],[SISMED]],TblDisponibilidad[],12,FALSE), 0)</f>
        <v>0</v>
      </c>
      <c r="I75">
        <f>IFERROR(VLOOKUP(Tabla1[[#This Row],[SISMED]],TblDisponibilidad[],13,FALSE), 0)</f>
        <v>0</v>
      </c>
      <c r="J75">
        <f>IFERROR(VLOOKUP(Tabla1[[#This Row],[SISMED]],TblDisponibilidad[],14,FALSE), 0)</f>
        <v>0</v>
      </c>
      <c r="K75">
        <f>IFERROR(VLOOKUP(Tabla1[[#This Row],[SISMED]],TblDisponibilidad[],15,FALSE), 0)</f>
        <v>0</v>
      </c>
      <c r="L75">
        <f>IFERROR(VLOOKUP(Tabla1[[#This Row],[SISMED]],TblDisponibilidad[],16,FALSE), 0)</f>
        <v>0</v>
      </c>
      <c r="M75">
        <f>IFERROR(VLOOKUP(Tabla1[[#This Row],[SISMED]],TblDisponibilidad[],17,FALSE), 0)</f>
        <v>0</v>
      </c>
      <c r="N75">
        <f>IFERROR(VLOOKUP(Tabla1[[#This Row],[SISMED]],TblDisponibilidad[],18,FALSE), 0)</f>
        <v>0</v>
      </c>
      <c r="O75">
        <f>IFERROR(VLOOKUP(Tabla1[[#This Row],[SISMED]],TblDisponibilidad[],19,FALSE), 0)</f>
        <v>0</v>
      </c>
      <c r="P75">
        <f>IFERROR(VLOOKUP(Tabla1[[#This Row],[SISMED]],TblDisponibilidad[],20,FALSE), 0)</f>
        <v>0</v>
      </c>
      <c r="Q75">
        <f>IFERROR(VLOOKUP(Tabla1[[#This Row],[SISMED]],TblDisponibilidad[],21,FALSE), 0)</f>
        <v>0</v>
      </c>
      <c r="R75">
        <f>IFERROR(VLOOKUP(Tabla1[[#This Row],[SISMED]],TblDisponibilidad[],22,FALSE), 0)</f>
        <v>0</v>
      </c>
      <c r="S75" s="15">
        <f>IFERROR(VLOOKUP(Tabla1[[#This Row],[SISMED]],TblDisponibilidad[],23,FALSE), 0)</f>
        <v>0</v>
      </c>
    </row>
    <row r="76" spans="1:19" x14ac:dyDescent="0.3">
      <c r="A76" s="15" t="s">
        <v>106</v>
      </c>
      <c r="B76" t="str">
        <f>IFERROR(VLOOKUP(Tabla1[[#This Row],[SISMED]],TblDisponibilidad[],2,FALSE), "")</f>
        <v/>
      </c>
      <c r="C76">
        <f>IFERROR(VLOOKUP(Tabla1[[#This Row],[SISMED]],TblDisponibilidad[],7,FALSE), 0)</f>
        <v>0</v>
      </c>
      <c r="D76">
        <f>IFERROR(VLOOKUP(Tabla1[[#This Row],[SISMED]],TblDisponibilidad[],8,FALSE), 0)</f>
        <v>0</v>
      </c>
      <c r="E76">
        <f>IFERROR(VLOOKUP(Tabla1[[#This Row],[SISMED]],TblDisponibilidad[],9,FALSE), 0)</f>
        <v>0</v>
      </c>
      <c r="F76">
        <f>IFERROR(VLOOKUP(Tabla1[[#This Row],[SISMED]],TblDisponibilidad[],10,FALSE), 0)</f>
        <v>0</v>
      </c>
      <c r="G76">
        <f>IFERROR(VLOOKUP(Tabla1[[#This Row],[SISMED]],TblDisponibilidad[],11,FALSE), 0)</f>
        <v>0</v>
      </c>
      <c r="H76">
        <f>IFERROR(VLOOKUP(Tabla1[[#This Row],[SISMED]],TblDisponibilidad[],12,FALSE), 0)</f>
        <v>0</v>
      </c>
      <c r="I76">
        <f>IFERROR(VLOOKUP(Tabla1[[#This Row],[SISMED]],TblDisponibilidad[],13,FALSE), 0)</f>
        <v>0</v>
      </c>
      <c r="J76">
        <f>IFERROR(VLOOKUP(Tabla1[[#This Row],[SISMED]],TblDisponibilidad[],14,FALSE), 0)</f>
        <v>0</v>
      </c>
      <c r="K76">
        <f>IFERROR(VLOOKUP(Tabla1[[#This Row],[SISMED]],TblDisponibilidad[],15,FALSE), 0)</f>
        <v>0</v>
      </c>
      <c r="L76">
        <f>IFERROR(VLOOKUP(Tabla1[[#This Row],[SISMED]],TblDisponibilidad[],16,FALSE), 0)</f>
        <v>0</v>
      </c>
      <c r="M76">
        <f>IFERROR(VLOOKUP(Tabla1[[#This Row],[SISMED]],TblDisponibilidad[],17,FALSE), 0)</f>
        <v>0</v>
      </c>
      <c r="N76">
        <f>IFERROR(VLOOKUP(Tabla1[[#This Row],[SISMED]],TblDisponibilidad[],18,FALSE), 0)</f>
        <v>0</v>
      </c>
      <c r="O76">
        <f>IFERROR(VLOOKUP(Tabla1[[#This Row],[SISMED]],TblDisponibilidad[],19,FALSE), 0)</f>
        <v>0</v>
      </c>
      <c r="P76">
        <f>IFERROR(VLOOKUP(Tabla1[[#This Row],[SISMED]],TblDisponibilidad[],20,FALSE), 0)</f>
        <v>0</v>
      </c>
      <c r="Q76">
        <f>IFERROR(VLOOKUP(Tabla1[[#This Row],[SISMED]],TblDisponibilidad[],21,FALSE), 0)</f>
        <v>0</v>
      </c>
      <c r="R76">
        <f>IFERROR(VLOOKUP(Tabla1[[#This Row],[SISMED]],TblDisponibilidad[],22,FALSE), 0)</f>
        <v>0</v>
      </c>
      <c r="S76" s="15">
        <f>IFERROR(VLOOKUP(Tabla1[[#This Row],[SISMED]],TblDisponibilidad[],23,FALSE), 0)</f>
        <v>0</v>
      </c>
    </row>
    <row r="77" spans="1:19" x14ac:dyDescent="0.3">
      <c r="A77" s="15" t="s">
        <v>107</v>
      </c>
      <c r="B77" t="str">
        <f>IFERROR(VLOOKUP(Tabla1[[#This Row],[SISMED]],TblDisponibilidad[],2,FALSE), "")</f>
        <v/>
      </c>
      <c r="C77">
        <f>IFERROR(VLOOKUP(Tabla1[[#This Row],[SISMED]],TblDisponibilidad[],7,FALSE), 0)</f>
        <v>0</v>
      </c>
      <c r="D77">
        <f>IFERROR(VLOOKUP(Tabla1[[#This Row],[SISMED]],TblDisponibilidad[],8,FALSE), 0)</f>
        <v>0</v>
      </c>
      <c r="E77">
        <f>IFERROR(VLOOKUP(Tabla1[[#This Row],[SISMED]],TblDisponibilidad[],9,FALSE), 0)</f>
        <v>0</v>
      </c>
      <c r="F77">
        <f>IFERROR(VLOOKUP(Tabla1[[#This Row],[SISMED]],TblDisponibilidad[],10,FALSE), 0)</f>
        <v>0</v>
      </c>
      <c r="G77">
        <f>IFERROR(VLOOKUP(Tabla1[[#This Row],[SISMED]],TblDisponibilidad[],11,FALSE), 0)</f>
        <v>0</v>
      </c>
      <c r="H77">
        <f>IFERROR(VLOOKUP(Tabla1[[#This Row],[SISMED]],TblDisponibilidad[],12,FALSE), 0)</f>
        <v>0</v>
      </c>
      <c r="I77">
        <f>IFERROR(VLOOKUP(Tabla1[[#This Row],[SISMED]],TblDisponibilidad[],13,FALSE), 0)</f>
        <v>0</v>
      </c>
      <c r="J77">
        <f>IFERROR(VLOOKUP(Tabla1[[#This Row],[SISMED]],TblDisponibilidad[],14,FALSE), 0)</f>
        <v>0</v>
      </c>
      <c r="K77">
        <f>IFERROR(VLOOKUP(Tabla1[[#This Row],[SISMED]],TblDisponibilidad[],15,FALSE), 0)</f>
        <v>0</v>
      </c>
      <c r="L77">
        <f>IFERROR(VLOOKUP(Tabla1[[#This Row],[SISMED]],TblDisponibilidad[],16,FALSE), 0)</f>
        <v>0</v>
      </c>
      <c r="M77">
        <f>IFERROR(VLOOKUP(Tabla1[[#This Row],[SISMED]],TblDisponibilidad[],17,FALSE), 0)</f>
        <v>0</v>
      </c>
      <c r="N77">
        <f>IFERROR(VLOOKUP(Tabla1[[#This Row],[SISMED]],TblDisponibilidad[],18,FALSE), 0)</f>
        <v>0</v>
      </c>
      <c r="O77">
        <f>IFERROR(VLOOKUP(Tabla1[[#This Row],[SISMED]],TblDisponibilidad[],19,FALSE), 0)</f>
        <v>0</v>
      </c>
      <c r="P77">
        <f>IFERROR(VLOOKUP(Tabla1[[#This Row],[SISMED]],TblDisponibilidad[],20,FALSE), 0)</f>
        <v>0</v>
      </c>
      <c r="Q77">
        <f>IFERROR(VLOOKUP(Tabla1[[#This Row],[SISMED]],TblDisponibilidad[],21,FALSE), 0)</f>
        <v>0</v>
      </c>
      <c r="R77">
        <f>IFERROR(VLOOKUP(Tabla1[[#This Row],[SISMED]],TblDisponibilidad[],22,FALSE), 0)</f>
        <v>0</v>
      </c>
      <c r="S77" s="15">
        <f>IFERROR(VLOOKUP(Tabla1[[#This Row],[SISMED]],TblDisponibilidad[],23,FALSE), 0)</f>
        <v>0</v>
      </c>
    </row>
    <row r="78" spans="1:19" x14ac:dyDescent="0.3">
      <c r="A78" s="15" t="s">
        <v>108</v>
      </c>
      <c r="B78" t="str">
        <f>IFERROR(VLOOKUP(Tabla1[[#This Row],[SISMED]],TblDisponibilidad[],2,FALSE), "")</f>
        <v/>
      </c>
      <c r="C78">
        <f>IFERROR(VLOOKUP(Tabla1[[#This Row],[SISMED]],TblDisponibilidad[],7,FALSE), 0)</f>
        <v>0</v>
      </c>
      <c r="D78">
        <f>IFERROR(VLOOKUP(Tabla1[[#This Row],[SISMED]],TblDisponibilidad[],8,FALSE), 0)</f>
        <v>0</v>
      </c>
      <c r="E78">
        <f>IFERROR(VLOOKUP(Tabla1[[#This Row],[SISMED]],TblDisponibilidad[],9,FALSE), 0)</f>
        <v>0</v>
      </c>
      <c r="F78">
        <f>IFERROR(VLOOKUP(Tabla1[[#This Row],[SISMED]],TblDisponibilidad[],10,FALSE), 0)</f>
        <v>0</v>
      </c>
      <c r="G78">
        <f>IFERROR(VLOOKUP(Tabla1[[#This Row],[SISMED]],TblDisponibilidad[],11,FALSE), 0)</f>
        <v>0</v>
      </c>
      <c r="H78">
        <f>IFERROR(VLOOKUP(Tabla1[[#This Row],[SISMED]],TblDisponibilidad[],12,FALSE), 0)</f>
        <v>0</v>
      </c>
      <c r="I78">
        <f>IFERROR(VLOOKUP(Tabla1[[#This Row],[SISMED]],TblDisponibilidad[],13,FALSE), 0)</f>
        <v>0</v>
      </c>
      <c r="J78">
        <f>IFERROR(VLOOKUP(Tabla1[[#This Row],[SISMED]],TblDisponibilidad[],14,FALSE), 0)</f>
        <v>0</v>
      </c>
      <c r="K78">
        <f>IFERROR(VLOOKUP(Tabla1[[#This Row],[SISMED]],TblDisponibilidad[],15,FALSE), 0)</f>
        <v>0</v>
      </c>
      <c r="L78">
        <f>IFERROR(VLOOKUP(Tabla1[[#This Row],[SISMED]],TblDisponibilidad[],16,FALSE), 0)</f>
        <v>0</v>
      </c>
      <c r="M78">
        <f>IFERROR(VLOOKUP(Tabla1[[#This Row],[SISMED]],TblDisponibilidad[],17,FALSE), 0)</f>
        <v>0</v>
      </c>
      <c r="N78">
        <f>IFERROR(VLOOKUP(Tabla1[[#This Row],[SISMED]],TblDisponibilidad[],18,FALSE), 0)</f>
        <v>0</v>
      </c>
      <c r="O78">
        <f>IFERROR(VLOOKUP(Tabla1[[#This Row],[SISMED]],TblDisponibilidad[],19,FALSE), 0)</f>
        <v>0</v>
      </c>
      <c r="P78">
        <f>IFERROR(VLOOKUP(Tabla1[[#This Row],[SISMED]],TblDisponibilidad[],20,FALSE), 0)</f>
        <v>0</v>
      </c>
      <c r="Q78">
        <f>IFERROR(VLOOKUP(Tabla1[[#This Row],[SISMED]],TblDisponibilidad[],21,FALSE), 0)</f>
        <v>0</v>
      </c>
      <c r="R78">
        <f>IFERROR(VLOOKUP(Tabla1[[#This Row],[SISMED]],TblDisponibilidad[],22,FALSE), 0)</f>
        <v>0</v>
      </c>
      <c r="S78" s="15">
        <f>IFERROR(VLOOKUP(Tabla1[[#This Row],[SISMED]],TblDisponibilidad[],23,FALSE), 0)</f>
        <v>0</v>
      </c>
    </row>
    <row r="79" spans="1:19" x14ac:dyDescent="0.3">
      <c r="A79" s="15" t="s">
        <v>109</v>
      </c>
      <c r="B79" t="str">
        <f>IFERROR(VLOOKUP(Tabla1[[#This Row],[SISMED]],TblDisponibilidad[],2,FALSE), "")</f>
        <v/>
      </c>
      <c r="C79">
        <f>IFERROR(VLOOKUP(Tabla1[[#This Row],[SISMED]],TblDisponibilidad[],7,FALSE), 0)</f>
        <v>0</v>
      </c>
      <c r="D79">
        <f>IFERROR(VLOOKUP(Tabla1[[#This Row],[SISMED]],TblDisponibilidad[],8,FALSE), 0)</f>
        <v>0</v>
      </c>
      <c r="E79">
        <f>IFERROR(VLOOKUP(Tabla1[[#This Row],[SISMED]],TblDisponibilidad[],9,FALSE), 0)</f>
        <v>0</v>
      </c>
      <c r="F79">
        <f>IFERROR(VLOOKUP(Tabla1[[#This Row],[SISMED]],TblDisponibilidad[],10,FALSE), 0)</f>
        <v>0</v>
      </c>
      <c r="G79">
        <f>IFERROR(VLOOKUP(Tabla1[[#This Row],[SISMED]],TblDisponibilidad[],11,FALSE), 0)</f>
        <v>0</v>
      </c>
      <c r="H79">
        <f>IFERROR(VLOOKUP(Tabla1[[#This Row],[SISMED]],TblDisponibilidad[],12,FALSE), 0)</f>
        <v>0</v>
      </c>
      <c r="I79">
        <f>IFERROR(VLOOKUP(Tabla1[[#This Row],[SISMED]],TblDisponibilidad[],13,FALSE), 0)</f>
        <v>0</v>
      </c>
      <c r="J79">
        <f>IFERROR(VLOOKUP(Tabla1[[#This Row],[SISMED]],TblDisponibilidad[],14,FALSE), 0)</f>
        <v>0</v>
      </c>
      <c r="K79">
        <f>IFERROR(VLOOKUP(Tabla1[[#This Row],[SISMED]],TblDisponibilidad[],15,FALSE), 0)</f>
        <v>0</v>
      </c>
      <c r="L79">
        <f>IFERROR(VLOOKUP(Tabla1[[#This Row],[SISMED]],TblDisponibilidad[],16,FALSE), 0)</f>
        <v>0</v>
      </c>
      <c r="M79">
        <f>IFERROR(VLOOKUP(Tabla1[[#This Row],[SISMED]],TblDisponibilidad[],17,FALSE), 0)</f>
        <v>0</v>
      </c>
      <c r="N79">
        <f>IFERROR(VLOOKUP(Tabla1[[#This Row],[SISMED]],TblDisponibilidad[],18,FALSE), 0)</f>
        <v>0</v>
      </c>
      <c r="O79">
        <f>IFERROR(VLOOKUP(Tabla1[[#This Row],[SISMED]],TblDisponibilidad[],19,FALSE), 0)</f>
        <v>0</v>
      </c>
      <c r="P79">
        <f>IFERROR(VLOOKUP(Tabla1[[#This Row],[SISMED]],TblDisponibilidad[],20,FALSE), 0)</f>
        <v>0</v>
      </c>
      <c r="Q79">
        <f>IFERROR(VLOOKUP(Tabla1[[#This Row],[SISMED]],TblDisponibilidad[],21,FALSE), 0)</f>
        <v>0</v>
      </c>
      <c r="R79">
        <f>IFERROR(VLOOKUP(Tabla1[[#This Row],[SISMED]],TblDisponibilidad[],22,FALSE), 0)</f>
        <v>0</v>
      </c>
      <c r="S79" s="15">
        <f>IFERROR(VLOOKUP(Tabla1[[#This Row],[SISMED]],TblDisponibilidad[],23,FALSE), 0)</f>
        <v>0</v>
      </c>
    </row>
    <row r="80" spans="1:19" x14ac:dyDescent="0.3">
      <c r="A80" s="15" t="s">
        <v>110</v>
      </c>
      <c r="B80" t="str">
        <f>IFERROR(VLOOKUP(Tabla1[[#This Row],[SISMED]],TblDisponibilidad[],2,FALSE), "")</f>
        <v/>
      </c>
      <c r="C80">
        <f>IFERROR(VLOOKUP(Tabla1[[#This Row],[SISMED]],TblDisponibilidad[],7,FALSE), 0)</f>
        <v>0</v>
      </c>
      <c r="D80">
        <f>IFERROR(VLOOKUP(Tabla1[[#This Row],[SISMED]],TblDisponibilidad[],8,FALSE), 0)</f>
        <v>0</v>
      </c>
      <c r="E80">
        <f>IFERROR(VLOOKUP(Tabla1[[#This Row],[SISMED]],TblDisponibilidad[],9,FALSE), 0)</f>
        <v>0</v>
      </c>
      <c r="F80">
        <f>IFERROR(VLOOKUP(Tabla1[[#This Row],[SISMED]],TblDisponibilidad[],10,FALSE), 0)</f>
        <v>0</v>
      </c>
      <c r="G80">
        <f>IFERROR(VLOOKUP(Tabla1[[#This Row],[SISMED]],TblDisponibilidad[],11,FALSE), 0)</f>
        <v>0</v>
      </c>
      <c r="H80">
        <f>IFERROR(VLOOKUP(Tabla1[[#This Row],[SISMED]],TblDisponibilidad[],12,FALSE), 0)</f>
        <v>0</v>
      </c>
      <c r="I80">
        <f>IFERROR(VLOOKUP(Tabla1[[#This Row],[SISMED]],TblDisponibilidad[],13,FALSE), 0)</f>
        <v>0</v>
      </c>
      <c r="J80">
        <f>IFERROR(VLOOKUP(Tabla1[[#This Row],[SISMED]],TblDisponibilidad[],14,FALSE), 0)</f>
        <v>0</v>
      </c>
      <c r="K80">
        <f>IFERROR(VLOOKUP(Tabla1[[#This Row],[SISMED]],TblDisponibilidad[],15,FALSE), 0)</f>
        <v>0</v>
      </c>
      <c r="L80">
        <f>IFERROR(VLOOKUP(Tabla1[[#This Row],[SISMED]],TblDisponibilidad[],16,FALSE), 0)</f>
        <v>0</v>
      </c>
      <c r="M80">
        <f>IFERROR(VLOOKUP(Tabla1[[#This Row],[SISMED]],TblDisponibilidad[],17,FALSE), 0)</f>
        <v>0</v>
      </c>
      <c r="N80">
        <f>IFERROR(VLOOKUP(Tabla1[[#This Row],[SISMED]],TblDisponibilidad[],18,FALSE), 0)</f>
        <v>0</v>
      </c>
      <c r="O80">
        <f>IFERROR(VLOOKUP(Tabla1[[#This Row],[SISMED]],TblDisponibilidad[],19,FALSE), 0)</f>
        <v>0</v>
      </c>
      <c r="P80">
        <f>IFERROR(VLOOKUP(Tabla1[[#This Row],[SISMED]],TblDisponibilidad[],20,FALSE), 0)</f>
        <v>0</v>
      </c>
      <c r="Q80">
        <f>IFERROR(VLOOKUP(Tabla1[[#This Row],[SISMED]],TblDisponibilidad[],21,FALSE), 0)</f>
        <v>0</v>
      </c>
      <c r="R80">
        <f>IFERROR(VLOOKUP(Tabla1[[#This Row],[SISMED]],TblDisponibilidad[],22,FALSE), 0)</f>
        <v>0</v>
      </c>
      <c r="S80" s="15">
        <f>IFERROR(VLOOKUP(Tabla1[[#This Row],[SISMED]],TblDisponibilidad[],23,FALSE), 0)</f>
        <v>0</v>
      </c>
    </row>
    <row r="81" spans="1:19" x14ac:dyDescent="0.3">
      <c r="A81" s="15" t="s">
        <v>111</v>
      </c>
      <c r="B81" t="str">
        <f>IFERROR(VLOOKUP(Tabla1[[#This Row],[SISMED]],TblDisponibilidad[],2,FALSE), "")</f>
        <v/>
      </c>
      <c r="C81">
        <f>IFERROR(VLOOKUP(Tabla1[[#This Row],[SISMED]],TblDisponibilidad[],7,FALSE), 0)</f>
        <v>0</v>
      </c>
      <c r="D81">
        <f>IFERROR(VLOOKUP(Tabla1[[#This Row],[SISMED]],TblDisponibilidad[],8,FALSE), 0)</f>
        <v>0</v>
      </c>
      <c r="E81">
        <f>IFERROR(VLOOKUP(Tabla1[[#This Row],[SISMED]],TblDisponibilidad[],9,FALSE), 0)</f>
        <v>0</v>
      </c>
      <c r="F81">
        <f>IFERROR(VLOOKUP(Tabla1[[#This Row],[SISMED]],TblDisponibilidad[],10,FALSE), 0)</f>
        <v>0</v>
      </c>
      <c r="G81">
        <f>IFERROR(VLOOKUP(Tabla1[[#This Row],[SISMED]],TblDisponibilidad[],11,FALSE), 0)</f>
        <v>0</v>
      </c>
      <c r="H81">
        <f>IFERROR(VLOOKUP(Tabla1[[#This Row],[SISMED]],TblDisponibilidad[],12,FALSE), 0)</f>
        <v>0</v>
      </c>
      <c r="I81">
        <f>IFERROR(VLOOKUP(Tabla1[[#This Row],[SISMED]],TblDisponibilidad[],13,FALSE), 0)</f>
        <v>0</v>
      </c>
      <c r="J81">
        <f>IFERROR(VLOOKUP(Tabla1[[#This Row],[SISMED]],TblDisponibilidad[],14,FALSE), 0)</f>
        <v>0</v>
      </c>
      <c r="K81">
        <f>IFERROR(VLOOKUP(Tabla1[[#This Row],[SISMED]],TblDisponibilidad[],15,FALSE), 0)</f>
        <v>0</v>
      </c>
      <c r="L81">
        <f>IFERROR(VLOOKUP(Tabla1[[#This Row],[SISMED]],TblDisponibilidad[],16,FALSE), 0)</f>
        <v>0</v>
      </c>
      <c r="M81">
        <f>IFERROR(VLOOKUP(Tabla1[[#This Row],[SISMED]],TblDisponibilidad[],17,FALSE), 0)</f>
        <v>0</v>
      </c>
      <c r="N81">
        <f>IFERROR(VLOOKUP(Tabla1[[#This Row],[SISMED]],TblDisponibilidad[],18,FALSE), 0)</f>
        <v>0</v>
      </c>
      <c r="O81">
        <f>IFERROR(VLOOKUP(Tabla1[[#This Row],[SISMED]],TblDisponibilidad[],19,FALSE), 0)</f>
        <v>0</v>
      </c>
      <c r="P81">
        <f>IFERROR(VLOOKUP(Tabla1[[#This Row],[SISMED]],TblDisponibilidad[],20,FALSE), 0)</f>
        <v>0</v>
      </c>
      <c r="Q81">
        <f>IFERROR(VLOOKUP(Tabla1[[#This Row],[SISMED]],TblDisponibilidad[],21,FALSE), 0)</f>
        <v>0</v>
      </c>
      <c r="R81">
        <f>IFERROR(VLOOKUP(Tabla1[[#This Row],[SISMED]],TblDisponibilidad[],22,FALSE), 0)</f>
        <v>0</v>
      </c>
      <c r="S81" s="15">
        <f>IFERROR(VLOOKUP(Tabla1[[#This Row],[SISMED]],TblDisponibilidad[],23,FALSE), 0)</f>
        <v>0</v>
      </c>
    </row>
    <row r="82" spans="1:19" x14ac:dyDescent="0.3">
      <c r="A82" s="15" t="s">
        <v>112</v>
      </c>
      <c r="B82" t="str">
        <f>IFERROR(VLOOKUP(Tabla1[[#This Row],[SISMED]],TblDisponibilidad[],2,FALSE), "")</f>
        <v/>
      </c>
      <c r="C82">
        <f>IFERROR(VLOOKUP(Tabla1[[#This Row],[SISMED]],TblDisponibilidad[],7,FALSE), 0)</f>
        <v>0</v>
      </c>
      <c r="D82">
        <f>IFERROR(VLOOKUP(Tabla1[[#This Row],[SISMED]],TblDisponibilidad[],8,FALSE), 0)</f>
        <v>0</v>
      </c>
      <c r="E82">
        <f>IFERROR(VLOOKUP(Tabla1[[#This Row],[SISMED]],TblDisponibilidad[],9,FALSE), 0)</f>
        <v>0</v>
      </c>
      <c r="F82">
        <f>IFERROR(VLOOKUP(Tabla1[[#This Row],[SISMED]],TblDisponibilidad[],10,FALSE), 0)</f>
        <v>0</v>
      </c>
      <c r="G82">
        <f>IFERROR(VLOOKUP(Tabla1[[#This Row],[SISMED]],TblDisponibilidad[],11,FALSE), 0)</f>
        <v>0</v>
      </c>
      <c r="H82">
        <f>IFERROR(VLOOKUP(Tabla1[[#This Row],[SISMED]],TblDisponibilidad[],12,FALSE), 0)</f>
        <v>0</v>
      </c>
      <c r="I82">
        <f>IFERROR(VLOOKUP(Tabla1[[#This Row],[SISMED]],TblDisponibilidad[],13,FALSE), 0)</f>
        <v>0</v>
      </c>
      <c r="J82">
        <f>IFERROR(VLOOKUP(Tabla1[[#This Row],[SISMED]],TblDisponibilidad[],14,FALSE), 0)</f>
        <v>0</v>
      </c>
      <c r="K82">
        <f>IFERROR(VLOOKUP(Tabla1[[#This Row],[SISMED]],TblDisponibilidad[],15,FALSE), 0)</f>
        <v>0</v>
      </c>
      <c r="L82">
        <f>IFERROR(VLOOKUP(Tabla1[[#This Row],[SISMED]],TblDisponibilidad[],16,FALSE), 0)</f>
        <v>0</v>
      </c>
      <c r="M82">
        <f>IFERROR(VLOOKUP(Tabla1[[#This Row],[SISMED]],TblDisponibilidad[],17,FALSE), 0)</f>
        <v>0</v>
      </c>
      <c r="N82">
        <f>IFERROR(VLOOKUP(Tabla1[[#This Row],[SISMED]],TblDisponibilidad[],18,FALSE), 0)</f>
        <v>0</v>
      </c>
      <c r="O82">
        <f>IFERROR(VLOOKUP(Tabla1[[#This Row],[SISMED]],TblDisponibilidad[],19,FALSE), 0)</f>
        <v>0</v>
      </c>
      <c r="P82">
        <f>IFERROR(VLOOKUP(Tabla1[[#This Row],[SISMED]],TblDisponibilidad[],20,FALSE), 0)</f>
        <v>0</v>
      </c>
      <c r="Q82">
        <f>IFERROR(VLOOKUP(Tabla1[[#This Row],[SISMED]],TblDisponibilidad[],21,FALSE), 0)</f>
        <v>0</v>
      </c>
      <c r="R82">
        <f>IFERROR(VLOOKUP(Tabla1[[#This Row],[SISMED]],TblDisponibilidad[],22,FALSE), 0)</f>
        <v>0</v>
      </c>
      <c r="S82" s="15">
        <f>IFERROR(VLOOKUP(Tabla1[[#This Row],[SISMED]],TblDisponibilidad[],23,FALSE), 0)</f>
        <v>0</v>
      </c>
    </row>
    <row r="83" spans="1:19" x14ac:dyDescent="0.3">
      <c r="A83" s="15" t="s">
        <v>113</v>
      </c>
      <c r="B83" t="str">
        <f>IFERROR(VLOOKUP(Tabla1[[#This Row],[SISMED]],TblDisponibilidad[],2,FALSE), "")</f>
        <v/>
      </c>
      <c r="C83">
        <f>IFERROR(VLOOKUP(Tabla1[[#This Row],[SISMED]],TblDisponibilidad[],7,FALSE), 0)</f>
        <v>0</v>
      </c>
      <c r="D83">
        <f>IFERROR(VLOOKUP(Tabla1[[#This Row],[SISMED]],TblDisponibilidad[],8,FALSE), 0)</f>
        <v>0</v>
      </c>
      <c r="E83">
        <f>IFERROR(VLOOKUP(Tabla1[[#This Row],[SISMED]],TblDisponibilidad[],9,FALSE), 0)</f>
        <v>0</v>
      </c>
      <c r="F83">
        <f>IFERROR(VLOOKUP(Tabla1[[#This Row],[SISMED]],TblDisponibilidad[],10,FALSE), 0)</f>
        <v>0</v>
      </c>
      <c r="G83">
        <f>IFERROR(VLOOKUP(Tabla1[[#This Row],[SISMED]],TblDisponibilidad[],11,FALSE), 0)</f>
        <v>0</v>
      </c>
      <c r="H83">
        <f>IFERROR(VLOOKUP(Tabla1[[#This Row],[SISMED]],TblDisponibilidad[],12,FALSE), 0)</f>
        <v>0</v>
      </c>
      <c r="I83">
        <f>IFERROR(VLOOKUP(Tabla1[[#This Row],[SISMED]],TblDisponibilidad[],13,FALSE), 0)</f>
        <v>0</v>
      </c>
      <c r="J83">
        <f>IFERROR(VLOOKUP(Tabla1[[#This Row],[SISMED]],TblDisponibilidad[],14,FALSE), 0)</f>
        <v>0</v>
      </c>
      <c r="K83">
        <f>IFERROR(VLOOKUP(Tabla1[[#This Row],[SISMED]],TblDisponibilidad[],15,FALSE), 0)</f>
        <v>0</v>
      </c>
      <c r="L83">
        <f>IFERROR(VLOOKUP(Tabla1[[#This Row],[SISMED]],TblDisponibilidad[],16,FALSE), 0)</f>
        <v>0</v>
      </c>
      <c r="M83">
        <f>IFERROR(VLOOKUP(Tabla1[[#This Row],[SISMED]],TblDisponibilidad[],17,FALSE), 0)</f>
        <v>0</v>
      </c>
      <c r="N83">
        <f>IFERROR(VLOOKUP(Tabla1[[#This Row],[SISMED]],TblDisponibilidad[],18,FALSE), 0)</f>
        <v>0</v>
      </c>
      <c r="O83">
        <f>IFERROR(VLOOKUP(Tabla1[[#This Row],[SISMED]],TblDisponibilidad[],19,FALSE), 0)</f>
        <v>0</v>
      </c>
      <c r="P83">
        <f>IFERROR(VLOOKUP(Tabla1[[#This Row],[SISMED]],TblDisponibilidad[],20,FALSE), 0)</f>
        <v>0</v>
      </c>
      <c r="Q83">
        <f>IFERROR(VLOOKUP(Tabla1[[#This Row],[SISMED]],TblDisponibilidad[],21,FALSE), 0)</f>
        <v>0</v>
      </c>
      <c r="R83">
        <f>IFERROR(VLOOKUP(Tabla1[[#This Row],[SISMED]],TblDisponibilidad[],22,FALSE), 0)</f>
        <v>0</v>
      </c>
      <c r="S83" s="15">
        <f>IFERROR(VLOOKUP(Tabla1[[#This Row],[SISMED]],TblDisponibilidad[],23,FALSE), 0)</f>
        <v>0</v>
      </c>
    </row>
    <row r="84" spans="1:19" x14ac:dyDescent="0.3">
      <c r="A84" s="15" t="s">
        <v>114</v>
      </c>
      <c r="B84" t="str">
        <f>IFERROR(VLOOKUP(Tabla1[[#This Row],[SISMED]],TblDisponibilidad[],2,FALSE), "")</f>
        <v/>
      </c>
      <c r="C84">
        <f>IFERROR(VLOOKUP(Tabla1[[#This Row],[SISMED]],TblDisponibilidad[],7,FALSE), 0)</f>
        <v>0</v>
      </c>
      <c r="D84">
        <f>IFERROR(VLOOKUP(Tabla1[[#This Row],[SISMED]],TblDisponibilidad[],8,FALSE), 0)</f>
        <v>0</v>
      </c>
      <c r="E84">
        <f>IFERROR(VLOOKUP(Tabla1[[#This Row],[SISMED]],TblDisponibilidad[],9,FALSE), 0)</f>
        <v>0</v>
      </c>
      <c r="F84">
        <f>IFERROR(VLOOKUP(Tabla1[[#This Row],[SISMED]],TblDisponibilidad[],10,FALSE), 0)</f>
        <v>0</v>
      </c>
      <c r="G84">
        <f>IFERROR(VLOOKUP(Tabla1[[#This Row],[SISMED]],TblDisponibilidad[],11,FALSE), 0)</f>
        <v>0</v>
      </c>
      <c r="H84">
        <f>IFERROR(VLOOKUP(Tabla1[[#This Row],[SISMED]],TblDisponibilidad[],12,FALSE), 0)</f>
        <v>0</v>
      </c>
      <c r="I84">
        <f>IFERROR(VLOOKUP(Tabla1[[#This Row],[SISMED]],TblDisponibilidad[],13,FALSE), 0)</f>
        <v>0</v>
      </c>
      <c r="J84">
        <f>IFERROR(VLOOKUP(Tabla1[[#This Row],[SISMED]],TblDisponibilidad[],14,FALSE), 0)</f>
        <v>0</v>
      </c>
      <c r="K84">
        <f>IFERROR(VLOOKUP(Tabla1[[#This Row],[SISMED]],TblDisponibilidad[],15,FALSE), 0)</f>
        <v>0</v>
      </c>
      <c r="L84">
        <f>IFERROR(VLOOKUP(Tabla1[[#This Row],[SISMED]],TblDisponibilidad[],16,FALSE), 0)</f>
        <v>0</v>
      </c>
      <c r="M84">
        <f>IFERROR(VLOOKUP(Tabla1[[#This Row],[SISMED]],TblDisponibilidad[],17,FALSE), 0)</f>
        <v>0</v>
      </c>
      <c r="N84">
        <f>IFERROR(VLOOKUP(Tabla1[[#This Row],[SISMED]],TblDisponibilidad[],18,FALSE), 0)</f>
        <v>0</v>
      </c>
      <c r="O84">
        <f>IFERROR(VLOOKUP(Tabla1[[#This Row],[SISMED]],TblDisponibilidad[],19,FALSE), 0)</f>
        <v>0</v>
      </c>
      <c r="P84">
        <f>IFERROR(VLOOKUP(Tabla1[[#This Row],[SISMED]],TblDisponibilidad[],20,FALSE), 0)</f>
        <v>0</v>
      </c>
      <c r="Q84">
        <f>IFERROR(VLOOKUP(Tabla1[[#This Row],[SISMED]],TblDisponibilidad[],21,FALSE), 0)</f>
        <v>0</v>
      </c>
      <c r="R84">
        <f>IFERROR(VLOOKUP(Tabla1[[#This Row],[SISMED]],TblDisponibilidad[],22,FALSE), 0)</f>
        <v>0</v>
      </c>
      <c r="S84" s="15">
        <f>IFERROR(VLOOKUP(Tabla1[[#This Row],[SISMED]],TblDisponibilidad[],23,FALSE), 0)</f>
        <v>0</v>
      </c>
    </row>
    <row r="85" spans="1:19" x14ac:dyDescent="0.3">
      <c r="A85" s="15" t="s">
        <v>115</v>
      </c>
      <c r="B85" t="str">
        <f>IFERROR(VLOOKUP(Tabla1[[#This Row],[SISMED]],TblDisponibilidad[],2,FALSE), "")</f>
        <v/>
      </c>
      <c r="C85">
        <f>IFERROR(VLOOKUP(Tabla1[[#This Row],[SISMED]],TblDisponibilidad[],7,FALSE), 0)</f>
        <v>0</v>
      </c>
      <c r="D85">
        <f>IFERROR(VLOOKUP(Tabla1[[#This Row],[SISMED]],TblDisponibilidad[],8,FALSE), 0)</f>
        <v>0</v>
      </c>
      <c r="E85">
        <f>IFERROR(VLOOKUP(Tabla1[[#This Row],[SISMED]],TblDisponibilidad[],9,FALSE), 0)</f>
        <v>0</v>
      </c>
      <c r="F85">
        <f>IFERROR(VLOOKUP(Tabla1[[#This Row],[SISMED]],TblDisponibilidad[],10,FALSE), 0)</f>
        <v>0</v>
      </c>
      <c r="G85">
        <f>IFERROR(VLOOKUP(Tabla1[[#This Row],[SISMED]],TblDisponibilidad[],11,FALSE), 0)</f>
        <v>0</v>
      </c>
      <c r="H85">
        <f>IFERROR(VLOOKUP(Tabla1[[#This Row],[SISMED]],TblDisponibilidad[],12,FALSE), 0)</f>
        <v>0</v>
      </c>
      <c r="I85">
        <f>IFERROR(VLOOKUP(Tabla1[[#This Row],[SISMED]],TblDisponibilidad[],13,FALSE), 0)</f>
        <v>0</v>
      </c>
      <c r="J85">
        <f>IFERROR(VLOOKUP(Tabla1[[#This Row],[SISMED]],TblDisponibilidad[],14,FALSE), 0)</f>
        <v>0</v>
      </c>
      <c r="K85">
        <f>IFERROR(VLOOKUP(Tabla1[[#This Row],[SISMED]],TblDisponibilidad[],15,FALSE), 0)</f>
        <v>0</v>
      </c>
      <c r="L85">
        <f>IFERROR(VLOOKUP(Tabla1[[#This Row],[SISMED]],TblDisponibilidad[],16,FALSE), 0)</f>
        <v>0</v>
      </c>
      <c r="M85">
        <f>IFERROR(VLOOKUP(Tabla1[[#This Row],[SISMED]],TblDisponibilidad[],17,FALSE), 0)</f>
        <v>0</v>
      </c>
      <c r="N85">
        <f>IFERROR(VLOOKUP(Tabla1[[#This Row],[SISMED]],TblDisponibilidad[],18,FALSE), 0)</f>
        <v>0</v>
      </c>
      <c r="O85">
        <f>IFERROR(VLOOKUP(Tabla1[[#This Row],[SISMED]],TblDisponibilidad[],19,FALSE), 0)</f>
        <v>0</v>
      </c>
      <c r="P85">
        <f>IFERROR(VLOOKUP(Tabla1[[#This Row],[SISMED]],TblDisponibilidad[],20,FALSE), 0)</f>
        <v>0</v>
      </c>
      <c r="Q85">
        <f>IFERROR(VLOOKUP(Tabla1[[#This Row],[SISMED]],TblDisponibilidad[],21,FALSE), 0)</f>
        <v>0</v>
      </c>
      <c r="R85">
        <f>IFERROR(VLOOKUP(Tabla1[[#This Row],[SISMED]],TblDisponibilidad[],22,FALSE), 0)</f>
        <v>0</v>
      </c>
      <c r="S85" s="15">
        <f>IFERROR(VLOOKUP(Tabla1[[#This Row],[SISMED]],TblDisponibilidad[],23,FALSE), 0)</f>
        <v>0</v>
      </c>
    </row>
    <row r="86" spans="1:19" x14ac:dyDescent="0.3">
      <c r="A86" s="15" t="s">
        <v>116</v>
      </c>
      <c r="B86" t="str">
        <f>IFERROR(VLOOKUP(Tabla1[[#This Row],[SISMED]],TblDisponibilidad[],2,FALSE), "")</f>
        <v/>
      </c>
      <c r="C86">
        <f>IFERROR(VLOOKUP(Tabla1[[#This Row],[SISMED]],TblDisponibilidad[],7,FALSE), 0)</f>
        <v>0</v>
      </c>
      <c r="D86">
        <f>IFERROR(VLOOKUP(Tabla1[[#This Row],[SISMED]],TblDisponibilidad[],8,FALSE), 0)</f>
        <v>0</v>
      </c>
      <c r="E86">
        <f>IFERROR(VLOOKUP(Tabla1[[#This Row],[SISMED]],TblDisponibilidad[],9,FALSE), 0)</f>
        <v>0</v>
      </c>
      <c r="F86">
        <f>IFERROR(VLOOKUP(Tabla1[[#This Row],[SISMED]],TblDisponibilidad[],10,FALSE), 0)</f>
        <v>0</v>
      </c>
      <c r="G86">
        <f>IFERROR(VLOOKUP(Tabla1[[#This Row],[SISMED]],TblDisponibilidad[],11,FALSE), 0)</f>
        <v>0</v>
      </c>
      <c r="H86">
        <f>IFERROR(VLOOKUP(Tabla1[[#This Row],[SISMED]],TblDisponibilidad[],12,FALSE), 0)</f>
        <v>0</v>
      </c>
      <c r="I86">
        <f>IFERROR(VLOOKUP(Tabla1[[#This Row],[SISMED]],TblDisponibilidad[],13,FALSE), 0)</f>
        <v>0</v>
      </c>
      <c r="J86">
        <f>IFERROR(VLOOKUP(Tabla1[[#This Row],[SISMED]],TblDisponibilidad[],14,FALSE), 0)</f>
        <v>0</v>
      </c>
      <c r="K86">
        <f>IFERROR(VLOOKUP(Tabla1[[#This Row],[SISMED]],TblDisponibilidad[],15,FALSE), 0)</f>
        <v>0</v>
      </c>
      <c r="L86">
        <f>IFERROR(VLOOKUP(Tabla1[[#This Row],[SISMED]],TblDisponibilidad[],16,FALSE), 0)</f>
        <v>0</v>
      </c>
      <c r="M86">
        <f>IFERROR(VLOOKUP(Tabla1[[#This Row],[SISMED]],TblDisponibilidad[],17,FALSE), 0)</f>
        <v>0</v>
      </c>
      <c r="N86">
        <f>IFERROR(VLOOKUP(Tabla1[[#This Row],[SISMED]],TblDisponibilidad[],18,FALSE), 0)</f>
        <v>0</v>
      </c>
      <c r="O86">
        <f>IFERROR(VLOOKUP(Tabla1[[#This Row],[SISMED]],TblDisponibilidad[],19,FALSE), 0)</f>
        <v>0</v>
      </c>
      <c r="P86">
        <f>IFERROR(VLOOKUP(Tabla1[[#This Row],[SISMED]],TblDisponibilidad[],20,FALSE), 0)</f>
        <v>0</v>
      </c>
      <c r="Q86">
        <f>IFERROR(VLOOKUP(Tabla1[[#This Row],[SISMED]],TblDisponibilidad[],21,FALSE), 0)</f>
        <v>0</v>
      </c>
      <c r="R86">
        <f>IFERROR(VLOOKUP(Tabla1[[#This Row],[SISMED]],TblDisponibilidad[],22,FALSE), 0)</f>
        <v>0</v>
      </c>
      <c r="S86" s="15">
        <f>IFERROR(VLOOKUP(Tabla1[[#This Row],[SISMED]],TblDisponibilidad[],23,FALSE), 0)</f>
        <v>0</v>
      </c>
    </row>
    <row r="87" spans="1:19" x14ac:dyDescent="0.3">
      <c r="A87" s="15" t="s">
        <v>117</v>
      </c>
      <c r="B87" t="str">
        <f>IFERROR(VLOOKUP(Tabla1[[#This Row],[SISMED]],TblDisponibilidad[],2,FALSE), "")</f>
        <v/>
      </c>
      <c r="C87">
        <f>IFERROR(VLOOKUP(Tabla1[[#This Row],[SISMED]],TblDisponibilidad[],7,FALSE), 0)</f>
        <v>0</v>
      </c>
      <c r="D87">
        <f>IFERROR(VLOOKUP(Tabla1[[#This Row],[SISMED]],TblDisponibilidad[],8,FALSE), 0)</f>
        <v>0</v>
      </c>
      <c r="E87">
        <f>IFERROR(VLOOKUP(Tabla1[[#This Row],[SISMED]],TblDisponibilidad[],9,FALSE), 0)</f>
        <v>0</v>
      </c>
      <c r="F87">
        <f>IFERROR(VLOOKUP(Tabla1[[#This Row],[SISMED]],TblDisponibilidad[],10,FALSE), 0)</f>
        <v>0</v>
      </c>
      <c r="G87">
        <f>IFERROR(VLOOKUP(Tabla1[[#This Row],[SISMED]],TblDisponibilidad[],11,FALSE), 0)</f>
        <v>0</v>
      </c>
      <c r="H87">
        <f>IFERROR(VLOOKUP(Tabla1[[#This Row],[SISMED]],TblDisponibilidad[],12,FALSE), 0)</f>
        <v>0</v>
      </c>
      <c r="I87">
        <f>IFERROR(VLOOKUP(Tabla1[[#This Row],[SISMED]],TblDisponibilidad[],13,FALSE), 0)</f>
        <v>0</v>
      </c>
      <c r="J87">
        <f>IFERROR(VLOOKUP(Tabla1[[#This Row],[SISMED]],TblDisponibilidad[],14,FALSE), 0)</f>
        <v>0</v>
      </c>
      <c r="K87">
        <f>IFERROR(VLOOKUP(Tabla1[[#This Row],[SISMED]],TblDisponibilidad[],15,FALSE), 0)</f>
        <v>0</v>
      </c>
      <c r="L87">
        <f>IFERROR(VLOOKUP(Tabla1[[#This Row],[SISMED]],TblDisponibilidad[],16,FALSE), 0)</f>
        <v>0</v>
      </c>
      <c r="M87">
        <f>IFERROR(VLOOKUP(Tabla1[[#This Row],[SISMED]],TblDisponibilidad[],17,FALSE), 0)</f>
        <v>0</v>
      </c>
      <c r="N87">
        <f>IFERROR(VLOOKUP(Tabla1[[#This Row],[SISMED]],TblDisponibilidad[],18,FALSE), 0)</f>
        <v>0</v>
      </c>
      <c r="O87">
        <f>IFERROR(VLOOKUP(Tabla1[[#This Row],[SISMED]],TblDisponibilidad[],19,FALSE), 0)</f>
        <v>0</v>
      </c>
      <c r="P87">
        <f>IFERROR(VLOOKUP(Tabla1[[#This Row],[SISMED]],TblDisponibilidad[],20,FALSE), 0)</f>
        <v>0</v>
      </c>
      <c r="Q87">
        <f>IFERROR(VLOOKUP(Tabla1[[#This Row],[SISMED]],TblDisponibilidad[],21,FALSE), 0)</f>
        <v>0</v>
      </c>
      <c r="R87">
        <f>IFERROR(VLOOKUP(Tabla1[[#This Row],[SISMED]],TblDisponibilidad[],22,FALSE), 0)</f>
        <v>0</v>
      </c>
      <c r="S87" s="15">
        <f>IFERROR(VLOOKUP(Tabla1[[#This Row],[SISMED]],TblDisponibilidad[],23,FALSE), 0)</f>
        <v>0</v>
      </c>
    </row>
    <row r="88" spans="1:19" x14ac:dyDescent="0.3">
      <c r="A88" s="15" t="s">
        <v>118</v>
      </c>
      <c r="B88" t="str">
        <f>IFERROR(VLOOKUP(Tabla1[[#This Row],[SISMED]],TblDisponibilidad[],2,FALSE), "")</f>
        <v/>
      </c>
      <c r="C88">
        <f>IFERROR(VLOOKUP(Tabla1[[#This Row],[SISMED]],TblDisponibilidad[],7,FALSE), 0)</f>
        <v>0</v>
      </c>
      <c r="D88">
        <f>IFERROR(VLOOKUP(Tabla1[[#This Row],[SISMED]],TblDisponibilidad[],8,FALSE), 0)</f>
        <v>0</v>
      </c>
      <c r="E88">
        <f>IFERROR(VLOOKUP(Tabla1[[#This Row],[SISMED]],TblDisponibilidad[],9,FALSE), 0)</f>
        <v>0</v>
      </c>
      <c r="F88">
        <f>IFERROR(VLOOKUP(Tabla1[[#This Row],[SISMED]],TblDisponibilidad[],10,FALSE), 0)</f>
        <v>0</v>
      </c>
      <c r="G88">
        <f>IFERROR(VLOOKUP(Tabla1[[#This Row],[SISMED]],TblDisponibilidad[],11,FALSE), 0)</f>
        <v>0</v>
      </c>
      <c r="H88">
        <f>IFERROR(VLOOKUP(Tabla1[[#This Row],[SISMED]],TblDisponibilidad[],12,FALSE), 0)</f>
        <v>0</v>
      </c>
      <c r="I88">
        <f>IFERROR(VLOOKUP(Tabla1[[#This Row],[SISMED]],TblDisponibilidad[],13,FALSE), 0)</f>
        <v>0</v>
      </c>
      <c r="J88">
        <f>IFERROR(VLOOKUP(Tabla1[[#This Row],[SISMED]],TblDisponibilidad[],14,FALSE), 0)</f>
        <v>0</v>
      </c>
      <c r="K88">
        <f>IFERROR(VLOOKUP(Tabla1[[#This Row],[SISMED]],TblDisponibilidad[],15,FALSE), 0)</f>
        <v>0</v>
      </c>
      <c r="L88">
        <f>IFERROR(VLOOKUP(Tabla1[[#This Row],[SISMED]],TblDisponibilidad[],16,FALSE), 0)</f>
        <v>0</v>
      </c>
      <c r="M88">
        <f>IFERROR(VLOOKUP(Tabla1[[#This Row],[SISMED]],TblDisponibilidad[],17,FALSE), 0)</f>
        <v>0</v>
      </c>
      <c r="N88">
        <f>IFERROR(VLOOKUP(Tabla1[[#This Row],[SISMED]],TblDisponibilidad[],18,FALSE), 0)</f>
        <v>0</v>
      </c>
      <c r="O88">
        <f>IFERROR(VLOOKUP(Tabla1[[#This Row],[SISMED]],TblDisponibilidad[],19,FALSE), 0)</f>
        <v>0</v>
      </c>
      <c r="P88">
        <f>IFERROR(VLOOKUP(Tabla1[[#This Row],[SISMED]],TblDisponibilidad[],20,FALSE), 0)</f>
        <v>0</v>
      </c>
      <c r="Q88">
        <f>IFERROR(VLOOKUP(Tabla1[[#This Row],[SISMED]],TblDisponibilidad[],21,FALSE), 0)</f>
        <v>0</v>
      </c>
      <c r="R88">
        <f>IFERROR(VLOOKUP(Tabla1[[#This Row],[SISMED]],TblDisponibilidad[],22,FALSE), 0)</f>
        <v>0</v>
      </c>
      <c r="S88" s="15">
        <f>IFERROR(VLOOKUP(Tabla1[[#This Row],[SISMED]],TblDisponibilidad[],23,FALSE), 0)</f>
        <v>0</v>
      </c>
    </row>
    <row r="89" spans="1:19" x14ac:dyDescent="0.3">
      <c r="A89" s="15" t="s">
        <v>119</v>
      </c>
      <c r="B89" t="str">
        <f>IFERROR(VLOOKUP(Tabla1[[#This Row],[SISMED]],TblDisponibilidad[],2,FALSE), "")</f>
        <v/>
      </c>
      <c r="C89">
        <f>IFERROR(VLOOKUP(Tabla1[[#This Row],[SISMED]],TblDisponibilidad[],7,FALSE), 0)</f>
        <v>0</v>
      </c>
      <c r="D89">
        <f>IFERROR(VLOOKUP(Tabla1[[#This Row],[SISMED]],TblDisponibilidad[],8,FALSE), 0)</f>
        <v>0</v>
      </c>
      <c r="E89">
        <f>IFERROR(VLOOKUP(Tabla1[[#This Row],[SISMED]],TblDisponibilidad[],9,FALSE), 0)</f>
        <v>0</v>
      </c>
      <c r="F89">
        <f>IFERROR(VLOOKUP(Tabla1[[#This Row],[SISMED]],TblDisponibilidad[],10,FALSE), 0)</f>
        <v>0</v>
      </c>
      <c r="G89">
        <f>IFERROR(VLOOKUP(Tabla1[[#This Row],[SISMED]],TblDisponibilidad[],11,FALSE), 0)</f>
        <v>0</v>
      </c>
      <c r="H89">
        <f>IFERROR(VLOOKUP(Tabla1[[#This Row],[SISMED]],TblDisponibilidad[],12,FALSE), 0)</f>
        <v>0</v>
      </c>
      <c r="I89">
        <f>IFERROR(VLOOKUP(Tabla1[[#This Row],[SISMED]],TblDisponibilidad[],13,FALSE), 0)</f>
        <v>0</v>
      </c>
      <c r="J89">
        <f>IFERROR(VLOOKUP(Tabla1[[#This Row],[SISMED]],TblDisponibilidad[],14,FALSE), 0)</f>
        <v>0</v>
      </c>
      <c r="K89">
        <f>IFERROR(VLOOKUP(Tabla1[[#This Row],[SISMED]],TblDisponibilidad[],15,FALSE), 0)</f>
        <v>0</v>
      </c>
      <c r="L89">
        <f>IFERROR(VLOOKUP(Tabla1[[#This Row],[SISMED]],TblDisponibilidad[],16,FALSE), 0)</f>
        <v>0</v>
      </c>
      <c r="M89">
        <f>IFERROR(VLOOKUP(Tabla1[[#This Row],[SISMED]],TblDisponibilidad[],17,FALSE), 0)</f>
        <v>0</v>
      </c>
      <c r="N89">
        <f>IFERROR(VLOOKUP(Tabla1[[#This Row],[SISMED]],TblDisponibilidad[],18,FALSE), 0)</f>
        <v>0</v>
      </c>
      <c r="O89">
        <f>IFERROR(VLOOKUP(Tabla1[[#This Row],[SISMED]],TblDisponibilidad[],19,FALSE), 0)</f>
        <v>0</v>
      </c>
      <c r="P89">
        <f>IFERROR(VLOOKUP(Tabla1[[#This Row],[SISMED]],TblDisponibilidad[],20,FALSE), 0)</f>
        <v>0</v>
      </c>
      <c r="Q89">
        <f>IFERROR(VLOOKUP(Tabla1[[#This Row],[SISMED]],TblDisponibilidad[],21,FALSE), 0)</f>
        <v>0</v>
      </c>
      <c r="R89">
        <f>IFERROR(VLOOKUP(Tabla1[[#This Row],[SISMED]],TblDisponibilidad[],22,FALSE), 0)</f>
        <v>0</v>
      </c>
      <c r="S89" s="15">
        <f>IFERROR(VLOOKUP(Tabla1[[#This Row],[SISMED]],TblDisponibilidad[],23,FALSE), 0)</f>
        <v>0</v>
      </c>
    </row>
    <row r="90" spans="1:19" x14ac:dyDescent="0.3">
      <c r="A90" s="15" t="s">
        <v>120</v>
      </c>
      <c r="B90" t="str">
        <f>IFERROR(VLOOKUP(Tabla1[[#This Row],[SISMED]],TblDisponibilidad[],2,FALSE), "")</f>
        <v/>
      </c>
      <c r="C90">
        <f>IFERROR(VLOOKUP(Tabla1[[#This Row],[SISMED]],TblDisponibilidad[],7,FALSE), 0)</f>
        <v>0</v>
      </c>
      <c r="D90">
        <f>IFERROR(VLOOKUP(Tabla1[[#This Row],[SISMED]],TblDisponibilidad[],8,FALSE), 0)</f>
        <v>0</v>
      </c>
      <c r="E90">
        <f>IFERROR(VLOOKUP(Tabla1[[#This Row],[SISMED]],TblDisponibilidad[],9,FALSE), 0)</f>
        <v>0</v>
      </c>
      <c r="F90">
        <f>IFERROR(VLOOKUP(Tabla1[[#This Row],[SISMED]],TblDisponibilidad[],10,FALSE), 0)</f>
        <v>0</v>
      </c>
      <c r="G90">
        <f>IFERROR(VLOOKUP(Tabla1[[#This Row],[SISMED]],TblDisponibilidad[],11,FALSE), 0)</f>
        <v>0</v>
      </c>
      <c r="H90">
        <f>IFERROR(VLOOKUP(Tabla1[[#This Row],[SISMED]],TblDisponibilidad[],12,FALSE), 0)</f>
        <v>0</v>
      </c>
      <c r="I90">
        <f>IFERROR(VLOOKUP(Tabla1[[#This Row],[SISMED]],TblDisponibilidad[],13,FALSE), 0)</f>
        <v>0</v>
      </c>
      <c r="J90">
        <f>IFERROR(VLOOKUP(Tabla1[[#This Row],[SISMED]],TblDisponibilidad[],14,FALSE), 0)</f>
        <v>0</v>
      </c>
      <c r="K90">
        <f>IFERROR(VLOOKUP(Tabla1[[#This Row],[SISMED]],TblDisponibilidad[],15,FALSE), 0)</f>
        <v>0</v>
      </c>
      <c r="L90">
        <f>IFERROR(VLOOKUP(Tabla1[[#This Row],[SISMED]],TblDisponibilidad[],16,FALSE), 0)</f>
        <v>0</v>
      </c>
      <c r="M90">
        <f>IFERROR(VLOOKUP(Tabla1[[#This Row],[SISMED]],TblDisponibilidad[],17,FALSE), 0)</f>
        <v>0</v>
      </c>
      <c r="N90">
        <f>IFERROR(VLOOKUP(Tabla1[[#This Row],[SISMED]],TblDisponibilidad[],18,FALSE), 0)</f>
        <v>0</v>
      </c>
      <c r="O90">
        <f>IFERROR(VLOOKUP(Tabla1[[#This Row],[SISMED]],TblDisponibilidad[],19,FALSE), 0)</f>
        <v>0</v>
      </c>
      <c r="P90">
        <f>IFERROR(VLOOKUP(Tabla1[[#This Row],[SISMED]],TblDisponibilidad[],20,FALSE), 0)</f>
        <v>0</v>
      </c>
      <c r="Q90">
        <f>IFERROR(VLOOKUP(Tabla1[[#This Row],[SISMED]],TblDisponibilidad[],21,FALSE), 0)</f>
        <v>0</v>
      </c>
      <c r="R90">
        <f>IFERROR(VLOOKUP(Tabla1[[#This Row],[SISMED]],TblDisponibilidad[],22,FALSE), 0)</f>
        <v>0</v>
      </c>
      <c r="S90" s="15">
        <f>IFERROR(VLOOKUP(Tabla1[[#This Row],[SISMED]],TblDisponibilidad[],23,FALSE), 0)</f>
        <v>0</v>
      </c>
    </row>
    <row r="91" spans="1:19" x14ac:dyDescent="0.3">
      <c r="A91" s="15" t="s">
        <v>121</v>
      </c>
      <c r="B91" t="str">
        <f>IFERROR(VLOOKUP(Tabla1[[#This Row],[SISMED]],TblDisponibilidad[],2,FALSE), "")</f>
        <v/>
      </c>
      <c r="C91">
        <f>IFERROR(VLOOKUP(Tabla1[[#This Row],[SISMED]],TblDisponibilidad[],7,FALSE), 0)</f>
        <v>0</v>
      </c>
      <c r="D91">
        <f>IFERROR(VLOOKUP(Tabla1[[#This Row],[SISMED]],TblDisponibilidad[],8,FALSE), 0)</f>
        <v>0</v>
      </c>
      <c r="E91">
        <f>IFERROR(VLOOKUP(Tabla1[[#This Row],[SISMED]],TblDisponibilidad[],9,FALSE), 0)</f>
        <v>0</v>
      </c>
      <c r="F91">
        <f>IFERROR(VLOOKUP(Tabla1[[#This Row],[SISMED]],TblDisponibilidad[],10,FALSE), 0)</f>
        <v>0</v>
      </c>
      <c r="G91">
        <f>IFERROR(VLOOKUP(Tabla1[[#This Row],[SISMED]],TblDisponibilidad[],11,FALSE), 0)</f>
        <v>0</v>
      </c>
      <c r="H91">
        <f>IFERROR(VLOOKUP(Tabla1[[#This Row],[SISMED]],TblDisponibilidad[],12,FALSE), 0)</f>
        <v>0</v>
      </c>
      <c r="I91">
        <f>IFERROR(VLOOKUP(Tabla1[[#This Row],[SISMED]],TblDisponibilidad[],13,FALSE), 0)</f>
        <v>0</v>
      </c>
      <c r="J91">
        <f>IFERROR(VLOOKUP(Tabla1[[#This Row],[SISMED]],TblDisponibilidad[],14,FALSE), 0)</f>
        <v>0</v>
      </c>
      <c r="K91">
        <f>IFERROR(VLOOKUP(Tabla1[[#This Row],[SISMED]],TblDisponibilidad[],15,FALSE), 0)</f>
        <v>0</v>
      </c>
      <c r="L91">
        <f>IFERROR(VLOOKUP(Tabla1[[#This Row],[SISMED]],TblDisponibilidad[],16,FALSE), 0)</f>
        <v>0</v>
      </c>
      <c r="M91">
        <f>IFERROR(VLOOKUP(Tabla1[[#This Row],[SISMED]],TblDisponibilidad[],17,FALSE), 0)</f>
        <v>0</v>
      </c>
      <c r="N91">
        <f>IFERROR(VLOOKUP(Tabla1[[#This Row],[SISMED]],TblDisponibilidad[],18,FALSE), 0)</f>
        <v>0</v>
      </c>
      <c r="O91">
        <f>IFERROR(VLOOKUP(Tabla1[[#This Row],[SISMED]],TblDisponibilidad[],19,FALSE), 0)</f>
        <v>0</v>
      </c>
      <c r="P91">
        <f>IFERROR(VLOOKUP(Tabla1[[#This Row],[SISMED]],TblDisponibilidad[],20,FALSE), 0)</f>
        <v>0</v>
      </c>
      <c r="Q91">
        <f>IFERROR(VLOOKUP(Tabla1[[#This Row],[SISMED]],TblDisponibilidad[],21,FALSE), 0)</f>
        <v>0</v>
      </c>
      <c r="R91">
        <f>IFERROR(VLOOKUP(Tabla1[[#This Row],[SISMED]],TblDisponibilidad[],22,FALSE), 0)</f>
        <v>0</v>
      </c>
      <c r="S91" s="15">
        <f>IFERROR(VLOOKUP(Tabla1[[#This Row],[SISMED]],TblDisponibilidad[],23,FALSE), 0)</f>
        <v>0</v>
      </c>
    </row>
    <row r="92" spans="1:19" x14ac:dyDescent="0.3">
      <c r="A92" s="15" t="s">
        <v>122</v>
      </c>
      <c r="B92" t="str">
        <f>IFERROR(VLOOKUP(Tabla1[[#This Row],[SISMED]],TblDisponibilidad[],2,FALSE), "")</f>
        <v/>
      </c>
      <c r="C92">
        <f>IFERROR(VLOOKUP(Tabla1[[#This Row],[SISMED]],TblDisponibilidad[],7,FALSE), 0)</f>
        <v>0</v>
      </c>
      <c r="D92">
        <f>IFERROR(VLOOKUP(Tabla1[[#This Row],[SISMED]],TblDisponibilidad[],8,FALSE), 0)</f>
        <v>0</v>
      </c>
      <c r="E92">
        <f>IFERROR(VLOOKUP(Tabla1[[#This Row],[SISMED]],TblDisponibilidad[],9,FALSE), 0)</f>
        <v>0</v>
      </c>
      <c r="F92">
        <f>IFERROR(VLOOKUP(Tabla1[[#This Row],[SISMED]],TblDisponibilidad[],10,FALSE), 0)</f>
        <v>0</v>
      </c>
      <c r="G92">
        <f>IFERROR(VLOOKUP(Tabla1[[#This Row],[SISMED]],TblDisponibilidad[],11,FALSE), 0)</f>
        <v>0</v>
      </c>
      <c r="H92">
        <f>IFERROR(VLOOKUP(Tabla1[[#This Row],[SISMED]],TblDisponibilidad[],12,FALSE), 0)</f>
        <v>0</v>
      </c>
      <c r="I92">
        <f>IFERROR(VLOOKUP(Tabla1[[#This Row],[SISMED]],TblDisponibilidad[],13,FALSE), 0)</f>
        <v>0</v>
      </c>
      <c r="J92">
        <f>IFERROR(VLOOKUP(Tabla1[[#This Row],[SISMED]],TblDisponibilidad[],14,FALSE), 0)</f>
        <v>0</v>
      </c>
      <c r="K92">
        <f>IFERROR(VLOOKUP(Tabla1[[#This Row],[SISMED]],TblDisponibilidad[],15,FALSE), 0)</f>
        <v>0</v>
      </c>
      <c r="L92">
        <f>IFERROR(VLOOKUP(Tabla1[[#This Row],[SISMED]],TblDisponibilidad[],16,FALSE), 0)</f>
        <v>0</v>
      </c>
      <c r="M92">
        <f>IFERROR(VLOOKUP(Tabla1[[#This Row],[SISMED]],TblDisponibilidad[],17,FALSE), 0)</f>
        <v>0</v>
      </c>
      <c r="N92">
        <f>IFERROR(VLOOKUP(Tabla1[[#This Row],[SISMED]],TblDisponibilidad[],18,FALSE), 0)</f>
        <v>0</v>
      </c>
      <c r="O92">
        <f>IFERROR(VLOOKUP(Tabla1[[#This Row],[SISMED]],TblDisponibilidad[],19,FALSE), 0)</f>
        <v>0</v>
      </c>
      <c r="P92">
        <f>IFERROR(VLOOKUP(Tabla1[[#This Row],[SISMED]],TblDisponibilidad[],20,FALSE), 0)</f>
        <v>0</v>
      </c>
      <c r="Q92">
        <f>IFERROR(VLOOKUP(Tabla1[[#This Row],[SISMED]],TblDisponibilidad[],21,FALSE), 0)</f>
        <v>0</v>
      </c>
      <c r="R92">
        <f>IFERROR(VLOOKUP(Tabla1[[#This Row],[SISMED]],TblDisponibilidad[],22,FALSE), 0)</f>
        <v>0</v>
      </c>
      <c r="S92" s="15">
        <f>IFERROR(VLOOKUP(Tabla1[[#This Row],[SISMED]],TblDisponibilidad[],23,FALSE), 0)</f>
        <v>0</v>
      </c>
    </row>
    <row r="93" spans="1:19" x14ac:dyDescent="0.3">
      <c r="A93" s="15" t="s">
        <v>123</v>
      </c>
      <c r="B93" t="str">
        <f>IFERROR(VLOOKUP(Tabla1[[#This Row],[SISMED]],TblDisponibilidad[],2,FALSE), "")</f>
        <v/>
      </c>
      <c r="C93">
        <f>IFERROR(VLOOKUP(Tabla1[[#This Row],[SISMED]],TblDisponibilidad[],7,FALSE), 0)</f>
        <v>0</v>
      </c>
      <c r="D93">
        <f>IFERROR(VLOOKUP(Tabla1[[#This Row],[SISMED]],TblDisponibilidad[],8,FALSE), 0)</f>
        <v>0</v>
      </c>
      <c r="E93">
        <f>IFERROR(VLOOKUP(Tabla1[[#This Row],[SISMED]],TblDisponibilidad[],9,FALSE), 0)</f>
        <v>0</v>
      </c>
      <c r="F93">
        <f>IFERROR(VLOOKUP(Tabla1[[#This Row],[SISMED]],TblDisponibilidad[],10,FALSE), 0)</f>
        <v>0</v>
      </c>
      <c r="G93">
        <f>IFERROR(VLOOKUP(Tabla1[[#This Row],[SISMED]],TblDisponibilidad[],11,FALSE), 0)</f>
        <v>0</v>
      </c>
      <c r="H93">
        <f>IFERROR(VLOOKUP(Tabla1[[#This Row],[SISMED]],TblDisponibilidad[],12,FALSE), 0)</f>
        <v>0</v>
      </c>
      <c r="I93">
        <f>IFERROR(VLOOKUP(Tabla1[[#This Row],[SISMED]],TblDisponibilidad[],13,FALSE), 0)</f>
        <v>0</v>
      </c>
      <c r="J93">
        <f>IFERROR(VLOOKUP(Tabla1[[#This Row],[SISMED]],TblDisponibilidad[],14,FALSE), 0)</f>
        <v>0</v>
      </c>
      <c r="K93">
        <f>IFERROR(VLOOKUP(Tabla1[[#This Row],[SISMED]],TblDisponibilidad[],15,FALSE), 0)</f>
        <v>0</v>
      </c>
      <c r="L93">
        <f>IFERROR(VLOOKUP(Tabla1[[#This Row],[SISMED]],TblDisponibilidad[],16,FALSE), 0)</f>
        <v>0</v>
      </c>
      <c r="M93">
        <f>IFERROR(VLOOKUP(Tabla1[[#This Row],[SISMED]],TblDisponibilidad[],17,FALSE), 0)</f>
        <v>0</v>
      </c>
      <c r="N93">
        <f>IFERROR(VLOOKUP(Tabla1[[#This Row],[SISMED]],TblDisponibilidad[],18,FALSE), 0)</f>
        <v>0</v>
      </c>
      <c r="O93">
        <f>IFERROR(VLOOKUP(Tabla1[[#This Row],[SISMED]],TblDisponibilidad[],19,FALSE), 0)</f>
        <v>0</v>
      </c>
      <c r="P93">
        <f>IFERROR(VLOOKUP(Tabla1[[#This Row],[SISMED]],TblDisponibilidad[],20,FALSE), 0)</f>
        <v>0</v>
      </c>
      <c r="Q93">
        <f>IFERROR(VLOOKUP(Tabla1[[#This Row],[SISMED]],TblDisponibilidad[],21,FALSE), 0)</f>
        <v>0</v>
      </c>
      <c r="R93">
        <f>IFERROR(VLOOKUP(Tabla1[[#This Row],[SISMED]],TblDisponibilidad[],22,FALSE), 0)</f>
        <v>0</v>
      </c>
      <c r="S93" s="15">
        <f>IFERROR(VLOOKUP(Tabla1[[#This Row],[SISMED]],TblDisponibilidad[],23,FALSE), 0)</f>
        <v>0</v>
      </c>
    </row>
    <row r="94" spans="1:19" x14ac:dyDescent="0.3">
      <c r="A94" s="15" t="s">
        <v>124</v>
      </c>
      <c r="B94" t="str">
        <f>IFERROR(VLOOKUP(Tabla1[[#This Row],[SISMED]],TblDisponibilidad[],2,FALSE), "")</f>
        <v/>
      </c>
      <c r="C94">
        <f>IFERROR(VLOOKUP(Tabla1[[#This Row],[SISMED]],TblDisponibilidad[],7,FALSE), 0)</f>
        <v>0</v>
      </c>
      <c r="D94">
        <f>IFERROR(VLOOKUP(Tabla1[[#This Row],[SISMED]],TblDisponibilidad[],8,FALSE), 0)</f>
        <v>0</v>
      </c>
      <c r="E94">
        <f>IFERROR(VLOOKUP(Tabla1[[#This Row],[SISMED]],TblDisponibilidad[],9,FALSE), 0)</f>
        <v>0</v>
      </c>
      <c r="F94">
        <f>IFERROR(VLOOKUP(Tabla1[[#This Row],[SISMED]],TblDisponibilidad[],10,FALSE), 0)</f>
        <v>0</v>
      </c>
      <c r="G94">
        <f>IFERROR(VLOOKUP(Tabla1[[#This Row],[SISMED]],TblDisponibilidad[],11,FALSE), 0)</f>
        <v>0</v>
      </c>
      <c r="H94">
        <f>IFERROR(VLOOKUP(Tabla1[[#This Row],[SISMED]],TblDisponibilidad[],12,FALSE), 0)</f>
        <v>0</v>
      </c>
      <c r="I94">
        <f>IFERROR(VLOOKUP(Tabla1[[#This Row],[SISMED]],TblDisponibilidad[],13,FALSE), 0)</f>
        <v>0</v>
      </c>
      <c r="J94">
        <f>IFERROR(VLOOKUP(Tabla1[[#This Row],[SISMED]],TblDisponibilidad[],14,FALSE), 0)</f>
        <v>0</v>
      </c>
      <c r="K94">
        <f>IFERROR(VLOOKUP(Tabla1[[#This Row],[SISMED]],TblDisponibilidad[],15,FALSE), 0)</f>
        <v>0</v>
      </c>
      <c r="L94">
        <f>IFERROR(VLOOKUP(Tabla1[[#This Row],[SISMED]],TblDisponibilidad[],16,FALSE), 0)</f>
        <v>0</v>
      </c>
      <c r="M94">
        <f>IFERROR(VLOOKUP(Tabla1[[#This Row],[SISMED]],TblDisponibilidad[],17,FALSE), 0)</f>
        <v>0</v>
      </c>
      <c r="N94">
        <f>IFERROR(VLOOKUP(Tabla1[[#This Row],[SISMED]],TblDisponibilidad[],18,FALSE), 0)</f>
        <v>0</v>
      </c>
      <c r="O94">
        <f>IFERROR(VLOOKUP(Tabla1[[#This Row],[SISMED]],TblDisponibilidad[],19,FALSE), 0)</f>
        <v>0</v>
      </c>
      <c r="P94">
        <f>IFERROR(VLOOKUP(Tabla1[[#This Row],[SISMED]],TblDisponibilidad[],20,FALSE), 0)</f>
        <v>0</v>
      </c>
      <c r="Q94">
        <f>IFERROR(VLOOKUP(Tabla1[[#This Row],[SISMED]],TblDisponibilidad[],21,FALSE), 0)</f>
        <v>0</v>
      </c>
      <c r="R94">
        <f>IFERROR(VLOOKUP(Tabla1[[#This Row],[SISMED]],TblDisponibilidad[],22,FALSE), 0)</f>
        <v>0</v>
      </c>
      <c r="S94" s="15">
        <f>IFERROR(VLOOKUP(Tabla1[[#This Row],[SISMED]],TblDisponibilidad[],23,FALSE), 0)</f>
        <v>0</v>
      </c>
    </row>
    <row r="95" spans="1:19" x14ac:dyDescent="0.3">
      <c r="A95" s="15" t="s">
        <v>125</v>
      </c>
      <c r="B95" t="str">
        <f>IFERROR(VLOOKUP(Tabla1[[#This Row],[SISMED]],TblDisponibilidad[],2,FALSE), "")</f>
        <v/>
      </c>
      <c r="C95">
        <f>IFERROR(VLOOKUP(Tabla1[[#This Row],[SISMED]],TblDisponibilidad[],7,FALSE), 0)</f>
        <v>0</v>
      </c>
      <c r="D95">
        <f>IFERROR(VLOOKUP(Tabla1[[#This Row],[SISMED]],TblDisponibilidad[],8,FALSE), 0)</f>
        <v>0</v>
      </c>
      <c r="E95">
        <f>IFERROR(VLOOKUP(Tabla1[[#This Row],[SISMED]],TblDisponibilidad[],9,FALSE), 0)</f>
        <v>0</v>
      </c>
      <c r="F95">
        <f>IFERROR(VLOOKUP(Tabla1[[#This Row],[SISMED]],TblDisponibilidad[],10,FALSE), 0)</f>
        <v>0</v>
      </c>
      <c r="G95">
        <f>IFERROR(VLOOKUP(Tabla1[[#This Row],[SISMED]],TblDisponibilidad[],11,FALSE), 0)</f>
        <v>0</v>
      </c>
      <c r="H95">
        <f>IFERROR(VLOOKUP(Tabla1[[#This Row],[SISMED]],TblDisponibilidad[],12,FALSE), 0)</f>
        <v>0</v>
      </c>
      <c r="I95">
        <f>IFERROR(VLOOKUP(Tabla1[[#This Row],[SISMED]],TblDisponibilidad[],13,FALSE), 0)</f>
        <v>0</v>
      </c>
      <c r="J95">
        <f>IFERROR(VLOOKUP(Tabla1[[#This Row],[SISMED]],TblDisponibilidad[],14,FALSE), 0)</f>
        <v>0</v>
      </c>
      <c r="K95">
        <f>IFERROR(VLOOKUP(Tabla1[[#This Row],[SISMED]],TblDisponibilidad[],15,FALSE), 0)</f>
        <v>0</v>
      </c>
      <c r="L95">
        <f>IFERROR(VLOOKUP(Tabla1[[#This Row],[SISMED]],TblDisponibilidad[],16,FALSE), 0)</f>
        <v>0</v>
      </c>
      <c r="M95">
        <f>IFERROR(VLOOKUP(Tabla1[[#This Row],[SISMED]],TblDisponibilidad[],17,FALSE), 0)</f>
        <v>0</v>
      </c>
      <c r="N95">
        <f>IFERROR(VLOOKUP(Tabla1[[#This Row],[SISMED]],TblDisponibilidad[],18,FALSE), 0)</f>
        <v>0</v>
      </c>
      <c r="O95">
        <f>IFERROR(VLOOKUP(Tabla1[[#This Row],[SISMED]],TblDisponibilidad[],19,FALSE), 0)</f>
        <v>0</v>
      </c>
      <c r="P95">
        <f>IFERROR(VLOOKUP(Tabla1[[#This Row],[SISMED]],TblDisponibilidad[],20,FALSE), 0)</f>
        <v>0</v>
      </c>
      <c r="Q95">
        <f>IFERROR(VLOOKUP(Tabla1[[#This Row],[SISMED]],TblDisponibilidad[],21,FALSE), 0)</f>
        <v>0</v>
      </c>
      <c r="R95">
        <f>IFERROR(VLOOKUP(Tabla1[[#This Row],[SISMED]],TblDisponibilidad[],22,FALSE), 0)</f>
        <v>0</v>
      </c>
      <c r="S95" s="15">
        <f>IFERROR(VLOOKUP(Tabla1[[#This Row],[SISMED]],TblDisponibilidad[],23,FALSE), 0)</f>
        <v>0</v>
      </c>
    </row>
    <row r="96" spans="1:19" x14ac:dyDescent="0.3">
      <c r="A96" s="15" t="s">
        <v>126</v>
      </c>
      <c r="B96" t="str">
        <f>IFERROR(VLOOKUP(Tabla1[[#This Row],[SISMED]],TblDisponibilidad[],2,FALSE), "")</f>
        <v/>
      </c>
      <c r="C96">
        <f>IFERROR(VLOOKUP(Tabla1[[#This Row],[SISMED]],TblDisponibilidad[],7,FALSE), 0)</f>
        <v>0</v>
      </c>
      <c r="D96">
        <f>IFERROR(VLOOKUP(Tabla1[[#This Row],[SISMED]],TblDisponibilidad[],8,FALSE), 0)</f>
        <v>0</v>
      </c>
      <c r="E96">
        <f>IFERROR(VLOOKUP(Tabla1[[#This Row],[SISMED]],TblDisponibilidad[],9,FALSE), 0)</f>
        <v>0</v>
      </c>
      <c r="F96">
        <f>IFERROR(VLOOKUP(Tabla1[[#This Row],[SISMED]],TblDisponibilidad[],10,FALSE), 0)</f>
        <v>0</v>
      </c>
      <c r="G96">
        <f>IFERROR(VLOOKUP(Tabla1[[#This Row],[SISMED]],TblDisponibilidad[],11,FALSE), 0)</f>
        <v>0</v>
      </c>
      <c r="H96">
        <f>IFERROR(VLOOKUP(Tabla1[[#This Row],[SISMED]],TblDisponibilidad[],12,FALSE), 0)</f>
        <v>0</v>
      </c>
      <c r="I96">
        <f>IFERROR(VLOOKUP(Tabla1[[#This Row],[SISMED]],TblDisponibilidad[],13,FALSE), 0)</f>
        <v>0</v>
      </c>
      <c r="J96">
        <f>IFERROR(VLOOKUP(Tabla1[[#This Row],[SISMED]],TblDisponibilidad[],14,FALSE), 0)</f>
        <v>0</v>
      </c>
      <c r="K96">
        <f>IFERROR(VLOOKUP(Tabla1[[#This Row],[SISMED]],TblDisponibilidad[],15,FALSE), 0)</f>
        <v>0</v>
      </c>
      <c r="L96">
        <f>IFERROR(VLOOKUP(Tabla1[[#This Row],[SISMED]],TblDisponibilidad[],16,FALSE), 0)</f>
        <v>0</v>
      </c>
      <c r="M96">
        <f>IFERROR(VLOOKUP(Tabla1[[#This Row],[SISMED]],TblDisponibilidad[],17,FALSE), 0)</f>
        <v>0</v>
      </c>
      <c r="N96">
        <f>IFERROR(VLOOKUP(Tabla1[[#This Row],[SISMED]],TblDisponibilidad[],18,FALSE), 0)</f>
        <v>0</v>
      </c>
      <c r="O96">
        <f>IFERROR(VLOOKUP(Tabla1[[#This Row],[SISMED]],TblDisponibilidad[],19,FALSE), 0)</f>
        <v>0</v>
      </c>
      <c r="P96">
        <f>IFERROR(VLOOKUP(Tabla1[[#This Row],[SISMED]],TblDisponibilidad[],20,FALSE), 0)</f>
        <v>0</v>
      </c>
      <c r="Q96">
        <f>IFERROR(VLOOKUP(Tabla1[[#This Row],[SISMED]],TblDisponibilidad[],21,FALSE), 0)</f>
        <v>0</v>
      </c>
      <c r="R96">
        <f>IFERROR(VLOOKUP(Tabla1[[#This Row],[SISMED]],TblDisponibilidad[],22,FALSE), 0)</f>
        <v>0</v>
      </c>
      <c r="S96" s="15">
        <f>IFERROR(VLOOKUP(Tabla1[[#This Row],[SISMED]],TblDisponibilidad[],23,FALSE), 0)</f>
        <v>0</v>
      </c>
    </row>
    <row r="97" spans="1:19" x14ac:dyDescent="0.3">
      <c r="A97" s="15" t="s">
        <v>127</v>
      </c>
      <c r="B97" t="str">
        <f>IFERROR(VLOOKUP(Tabla1[[#This Row],[SISMED]],TblDisponibilidad[],2,FALSE), "")</f>
        <v/>
      </c>
      <c r="C97">
        <f>IFERROR(VLOOKUP(Tabla1[[#This Row],[SISMED]],TblDisponibilidad[],7,FALSE), 0)</f>
        <v>0</v>
      </c>
      <c r="D97">
        <f>IFERROR(VLOOKUP(Tabla1[[#This Row],[SISMED]],TblDisponibilidad[],8,FALSE), 0)</f>
        <v>0</v>
      </c>
      <c r="E97">
        <f>IFERROR(VLOOKUP(Tabla1[[#This Row],[SISMED]],TblDisponibilidad[],9,FALSE), 0)</f>
        <v>0</v>
      </c>
      <c r="F97">
        <f>IFERROR(VLOOKUP(Tabla1[[#This Row],[SISMED]],TblDisponibilidad[],10,FALSE), 0)</f>
        <v>0</v>
      </c>
      <c r="G97">
        <f>IFERROR(VLOOKUP(Tabla1[[#This Row],[SISMED]],TblDisponibilidad[],11,FALSE), 0)</f>
        <v>0</v>
      </c>
      <c r="H97">
        <f>IFERROR(VLOOKUP(Tabla1[[#This Row],[SISMED]],TblDisponibilidad[],12,FALSE), 0)</f>
        <v>0</v>
      </c>
      <c r="I97">
        <f>IFERROR(VLOOKUP(Tabla1[[#This Row],[SISMED]],TblDisponibilidad[],13,FALSE), 0)</f>
        <v>0</v>
      </c>
      <c r="J97">
        <f>IFERROR(VLOOKUP(Tabla1[[#This Row],[SISMED]],TblDisponibilidad[],14,FALSE), 0)</f>
        <v>0</v>
      </c>
      <c r="K97">
        <f>IFERROR(VLOOKUP(Tabla1[[#This Row],[SISMED]],TblDisponibilidad[],15,FALSE), 0)</f>
        <v>0</v>
      </c>
      <c r="L97">
        <f>IFERROR(VLOOKUP(Tabla1[[#This Row],[SISMED]],TblDisponibilidad[],16,FALSE), 0)</f>
        <v>0</v>
      </c>
      <c r="M97">
        <f>IFERROR(VLOOKUP(Tabla1[[#This Row],[SISMED]],TblDisponibilidad[],17,FALSE), 0)</f>
        <v>0</v>
      </c>
      <c r="N97">
        <f>IFERROR(VLOOKUP(Tabla1[[#This Row],[SISMED]],TblDisponibilidad[],18,FALSE), 0)</f>
        <v>0</v>
      </c>
      <c r="O97">
        <f>IFERROR(VLOOKUP(Tabla1[[#This Row],[SISMED]],TblDisponibilidad[],19,FALSE), 0)</f>
        <v>0</v>
      </c>
      <c r="P97">
        <f>IFERROR(VLOOKUP(Tabla1[[#This Row],[SISMED]],TblDisponibilidad[],20,FALSE), 0)</f>
        <v>0</v>
      </c>
      <c r="Q97">
        <f>IFERROR(VLOOKUP(Tabla1[[#This Row],[SISMED]],TblDisponibilidad[],21,FALSE), 0)</f>
        <v>0</v>
      </c>
      <c r="R97">
        <f>IFERROR(VLOOKUP(Tabla1[[#This Row],[SISMED]],TblDisponibilidad[],22,FALSE), 0)</f>
        <v>0</v>
      </c>
      <c r="S97" s="15">
        <f>IFERROR(VLOOKUP(Tabla1[[#This Row],[SISMED]],TblDisponibilidad[],23,FALSE), 0)</f>
        <v>0</v>
      </c>
    </row>
    <row r="98" spans="1:19" x14ac:dyDescent="0.3">
      <c r="A98" s="15" t="s">
        <v>128</v>
      </c>
      <c r="B98" t="str">
        <f>IFERROR(VLOOKUP(Tabla1[[#This Row],[SISMED]],TblDisponibilidad[],2,FALSE), "")</f>
        <v/>
      </c>
      <c r="C98">
        <f>IFERROR(VLOOKUP(Tabla1[[#This Row],[SISMED]],TblDisponibilidad[],7,FALSE), 0)</f>
        <v>0</v>
      </c>
      <c r="D98">
        <f>IFERROR(VLOOKUP(Tabla1[[#This Row],[SISMED]],TblDisponibilidad[],8,FALSE), 0)</f>
        <v>0</v>
      </c>
      <c r="E98">
        <f>IFERROR(VLOOKUP(Tabla1[[#This Row],[SISMED]],TblDisponibilidad[],9,FALSE), 0)</f>
        <v>0</v>
      </c>
      <c r="F98">
        <f>IFERROR(VLOOKUP(Tabla1[[#This Row],[SISMED]],TblDisponibilidad[],10,FALSE), 0)</f>
        <v>0</v>
      </c>
      <c r="G98">
        <f>IFERROR(VLOOKUP(Tabla1[[#This Row],[SISMED]],TblDisponibilidad[],11,FALSE), 0)</f>
        <v>0</v>
      </c>
      <c r="H98">
        <f>IFERROR(VLOOKUP(Tabla1[[#This Row],[SISMED]],TblDisponibilidad[],12,FALSE), 0)</f>
        <v>0</v>
      </c>
      <c r="I98">
        <f>IFERROR(VLOOKUP(Tabla1[[#This Row],[SISMED]],TblDisponibilidad[],13,FALSE), 0)</f>
        <v>0</v>
      </c>
      <c r="J98">
        <f>IFERROR(VLOOKUP(Tabla1[[#This Row],[SISMED]],TblDisponibilidad[],14,FALSE), 0)</f>
        <v>0</v>
      </c>
      <c r="K98">
        <f>IFERROR(VLOOKUP(Tabla1[[#This Row],[SISMED]],TblDisponibilidad[],15,FALSE), 0)</f>
        <v>0</v>
      </c>
      <c r="L98">
        <f>IFERROR(VLOOKUP(Tabla1[[#This Row],[SISMED]],TblDisponibilidad[],16,FALSE), 0)</f>
        <v>0</v>
      </c>
      <c r="M98">
        <f>IFERROR(VLOOKUP(Tabla1[[#This Row],[SISMED]],TblDisponibilidad[],17,FALSE), 0)</f>
        <v>0</v>
      </c>
      <c r="N98">
        <f>IFERROR(VLOOKUP(Tabla1[[#This Row],[SISMED]],TblDisponibilidad[],18,FALSE), 0)</f>
        <v>0</v>
      </c>
      <c r="O98">
        <f>IFERROR(VLOOKUP(Tabla1[[#This Row],[SISMED]],TblDisponibilidad[],19,FALSE), 0)</f>
        <v>0</v>
      </c>
      <c r="P98">
        <f>IFERROR(VLOOKUP(Tabla1[[#This Row],[SISMED]],TblDisponibilidad[],20,FALSE), 0)</f>
        <v>0</v>
      </c>
      <c r="Q98">
        <f>IFERROR(VLOOKUP(Tabla1[[#This Row],[SISMED]],TblDisponibilidad[],21,FALSE), 0)</f>
        <v>0</v>
      </c>
      <c r="R98">
        <f>IFERROR(VLOOKUP(Tabla1[[#This Row],[SISMED]],TblDisponibilidad[],22,FALSE), 0)</f>
        <v>0</v>
      </c>
      <c r="S98" s="15">
        <f>IFERROR(VLOOKUP(Tabla1[[#This Row],[SISMED]],TblDisponibilidad[],23,FALSE), 0)</f>
        <v>0</v>
      </c>
    </row>
    <row r="99" spans="1:19" x14ac:dyDescent="0.3">
      <c r="A99" s="15" t="s">
        <v>129</v>
      </c>
      <c r="B99" t="str">
        <f>IFERROR(VLOOKUP(Tabla1[[#This Row],[SISMED]],TblDisponibilidad[],2,FALSE), "")</f>
        <v/>
      </c>
      <c r="C99">
        <f>IFERROR(VLOOKUP(Tabla1[[#This Row],[SISMED]],TblDisponibilidad[],7,FALSE), 0)</f>
        <v>0</v>
      </c>
      <c r="D99">
        <f>IFERROR(VLOOKUP(Tabla1[[#This Row],[SISMED]],TblDisponibilidad[],8,FALSE), 0)</f>
        <v>0</v>
      </c>
      <c r="E99">
        <f>IFERROR(VLOOKUP(Tabla1[[#This Row],[SISMED]],TblDisponibilidad[],9,FALSE), 0)</f>
        <v>0</v>
      </c>
      <c r="F99">
        <f>IFERROR(VLOOKUP(Tabla1[[#This Row],[SISMED]],TblDisponibilidad[],10,FALSE), 0)</f>
        <v>0</v>
      </c>
      <c r="G99">
        <f>IFERROR(VLOOKUP(Tabla1[[#This Row],[SISMED]],TblDisponibilidad[],11,FALSE), 0)</f>
        <v>0</v>
      </c>
      <c r="H99">
        <f>IFERROR(VLOOKUP(Tabla1[[#This Row],[SISMED]],TblDisponibilidad[],12,FALSE), 0)</f>
        <v>0</v>
      </c>
      <c r="I99">
        <f>IFERROR(VLOOKUP(Tabla1[[#This Row],[SISMED]],TblDisponibilidad[],13,FALSE), 0)</f>
        <v>0</v>
      </c>
      <c r="J99">
        <f>IFERROR(VLOOKUP(Tabla1[[#This Row],[SISMED]],TblDisponibilidad[],14,FALSE), 0)</f>
        <v>0</v>
      </c>
      <c r="K99">
        <f>IFERROR(VLOOKUP(Tabla1[[#This Row],[SISMED]],TblDisponibilidad[],15,FALSE), 0)</f>
        <v>0</v>
      </c>
      <c r="L99">
        <f>IFERROR(VLOOKUP(Tabla1[[#This Row],[SISMED]],TblDisponibilidad[],16,FALSE), 0)</f>
        <v>0</v>
      </c>
      <c r="M99">
        <f>IFERROR(VLOOKUP(Tabla1[[#This Row],[SISMED]],TblDisponibilidad[],17,FALSE), 0)</f>
        <v>0</v>
      </c>
      <c r="N99">
        <f>IFERROR(VLOOKUP(Tabla1[[#This Row],[SISMED]],TblDisponibilidad[],18,FALSE), 0)</f>
        <v>0</v>
      </c>
      <c r="O99">
        <f>IFERROR(VLOOKUP(Tabla1[[#This Row],[SISMED]],TblDisponibilidad[],19,FALSE), 0)</f>
        <v>0</v>
      </c>
      <c r="P99">
        <f>IFERROR(VLOOKUP(Tabla1[[#This Row],[SISMED]],TblDisponibilidad[],20,FALSE), 0)</f>
        <v>0</v>
      </c>
      <c r="Q99">
        <f>IFERROR(VLOOKUP(Tabla1[[#This Row],[SISMED]],TblDisponibilidad[],21,FALSE), 0)</f>
        <v>0</v>
      </c>
      <c r="R99">
        <f>IFERROR(VLOOKUP(Tabla1[[#This Row],[SISMED]],TblDisponibilidad[],22,FALSE), 0)</f>
        <v>0</v>
      </c>
      <c r="S99" s="15">
        <f>IFERROR(VLOOKUP(Tabla1[[#This Row],[SISMED]],TblDisponibilidad[],23,FALSE), 0)</f>
        <v>0</v>
      </c>
    </row>
    <row r="100" spans="1:19" x14ac:dyDescent="0.3">
      <c r="A100" s="15" t="s">
        <v>130</v>
      </c>
      <c r="B100" t="str">
        <f>IFERROR(VLOOKUP(Tabla1[[#This Row],[SISMED]],TblDisponibilidad[],2,FALSE), "")</f>
        <v/>
      </c>
      <c r="C100">
        <f>IFERROR(VLOOKUP(Tabla1[[#This Row],[SISMED]],TblDisponibilidad[],7,FALSE), 0)</f>
        <v>0</v>
      </c>
      <c r="D100">
        <f>IFERROR(VLOOKUP(Tabla1[[#This Row],[SISMED]],TblDisponibilidad[],8,FALSE), 0)</f>
        <v>0</v>
      </c>
      <c r="E100">
        <f>IFERROR(VLOOKUP(Tabla1[[#This Row],[SISMED]],TblDisponibilidad[],9,FALSE), 0)</f>
        <v>0</v>
      </c>
      <c r="F100">
        <f>IFERROR(VLOOKUP(Tabla1[[#This Row],[SISMED]],TblDisponibilidad[],10,FALSE), 0)</f>
        <v>0</v>
      </c>
      <c r="G100">
        <f>IFERROR(VLOOKUP(Tabla1[[#This Row],[SISMED]],TblDisponibilidad[],11,FALSE), 0)</f>
        <v>0</v>
      </c>
      <c r="H100">
        <f>IFERROR(VLOOKUP(Tabla1[[#This Row],[SISMED]],TblDisponibilidad[],12,FALSE), 0)</f>
        <v>0</v>
      </c>
      <c r="I100">
        <f>IFERROR(VLOOKUP(Tabla1[[#This Row],[SISMED]],TblDisponibilidad[],13,FALSE), 0)</f>
        <v>0</v>
      </c>
      <c r="J100">
        <f>IFERROR(VLOOKUP(Tabla1[[#This Row],[SISMED]],TblDisponibilidad[],14,FALSE), 0)</f>
        <v>0</v>
      </c>
      <c r="K100">
        <f>IFERROR(VLOOKUP(Tabla1[[#This Row],[SISMED]],TblDisponibilidad[],15,FALSE), 0)</f>
        <v>0</v>
      </c>
      <c r="L100">
        <f>IFERROR(VLOOKUP(Tabla1[[#This Row],[SISMED]],TblDisponibilidad[],16,FALSE), 0)</f>
        <v>0</v>
      </c>
      <c r="M100">
        <f>IFERROR(VLOOKUP(Tabla1[[#This Row],[SISMED]],TblDisponibilidad[],17,FALSE), 0)</f>
        <v>0</v>
      </c>
      <c r="N100">
        <f>IFERROR(VLOOKUP(Tabla1[[#This Row],[SISMED]],TblDisponibilidad[],18,FALSE), 0)</f>
        <v>0</v>
      </c>
      <c r="O100">
        <f>IFERROR(VLOOKUP(Tabla1[[#This Row],[SISMED]],TblDisponibilidad[],19,FALSE), 0)</f>
        <v>0</v>
      </c>
      <c r="P100">
        <f>IFERROR(VLOOKUP(Tabla1[[#This Row],[SISMED]],TblDisponibilidad[],20,FALSE), 0)</f>
        <v>0</v>
      </c>
      <c r="Q100">
        <f>IFERROR(VLOOKUP(Tabla1[[#This Row],[SISMED]],TblDisponibilidad[],21,FALSE), 0)</f>
        <v>0</v>
      </c>
      <c r="R100">
        <f>IFERROR(VLOOKUP(Tabla1[[#This Row],[SISMED]],TblDisponibilidad[],22,FALSE), 0)</f>
        <v>0</v>
      </c>
      <c r="S100" s="15">
        <f>IFERROR(VLOOKUP(Tabla1[[#This Row],[SISMED]],TblDisponibilidad[],23,FALSE), 0)</f>
        <v>0</v>
      </c>
    </row>
    <row r="101" spans="1:19" x14ac:dyDescent="0.3">
      <c r="A101" s="15" t="s">
        <v>131</v>
      </c>
      <c r="B101" t="str">
        <f>IFERROR(VLOOKUP(Tabla1[[#This Row],[SISMED]],TblDisponibilidad[],2,FALSE), "")</f>
        <v/>
      </c>
      <c r="C101">
        <f>IFERROR(VLOOKUP(Tabla1[[#This Row],[SISMED]],TblDisponibilidad[],7,FALSE), 0)</f>
        <v>0</v>
      </c>
      <c r="D101">
        <f>IFERROR(VLOOKUP(Tabla1[[#This Row],[SISMED]],TblDisponibilidad[],8,FALSE), 0)</f>
        <v>0</v>
      </c>
      <c r="E101">
        <f>IFERROR(VLOOKUP(Tabla1[[#This Row],[SISMED]],TblDisponibilidad[],9,FALSE), 0)</f>
        <v>0</v>
      </c>
      <c r="F101">
        <f>IFERROR(VLOOKUP(Tabla1[[#This Row],[SISMED]],TblDisponibilidad[],10,FALSE), 0)</f>
        <v>0</v>
      </c>
      <c r="G101">
        <f>IFERROR(VLOOKUP(Tabla1[[#This Row],[SISMED]],TblDisponibilidad[],11,FALSE), 0)</f>
        <v>0</v>
      </c>
      <c r="H101">
        <f>IFERROR(VLOOKUP(Tabla1[[#This Row],[SISMED]],TblDisponibilidad[],12,FALSE), 0)</f>
        <v>0</v>
      </c>
      <c r="I101">
        <f>IFERROR(VLOOKUP(Tabla1[[#This Row],[SISMED]],TblDisponibilidad[],13,FALSE), 0)</f>
        <v>0</v>
      </c>
      <c r="J101">
        <f>IFERROR(VLOOKUP(Tabla1[[#This Row],[SISMED]],TblDisponibilidad[],14,FALSE), 0)</f>
        <v>0</v>
      </c>
      <c r="K101">
        <f>IFERROR(VLOOKUP(Tabla1[[#This Row],[SISMED]],TblDisponibilidad[],15,FALSE), 0)</f>
        <v>0</v>
      </c>
      <c r="L101">
        <f>IFERROR(VLOOKUP(Tabla1[[#This Row],[SISMED]],TblDisponibilidad[],16,FALSE), 0)</f>
        <v>0</v>
      </c>
      <c r="M101">
        <f>IFERROR(VLOOKUP(Tabla1[[#This Row],[SISMED]],TblDisponibilidad[],17,FALSE), 0)</f>
        <v>0</v>
      </c>
      <c r="N101">
        <f>IFERROR(VLOOKUP(Tabla1[[#This Row],[SISMED]],TblDisponibilidad[],18,FALSE), 0)</f>
        <v>0</v>
      </c>
      <c r="O101">
        <f>IFERROR(VLOOKUP(Tabla1[[#This Row],[SISMED]],TblDisponibilidad[],19,FALSE), 0)</f>
        <v>0</v>
      </c>
      <c r="P101">
        <f>IFERROR(VLOOKUP(Tabla1[[#This Row],[SISMED]],TblDisponibilidad[],20,FALSE), 0)</f>
        <v>0</v>
      </c>
      <c r="Q101">
        <f>IFERROR(VLOOKUP(Tabla1[[#This Row],[SISMED]],TblDisponibilidad[],21,FALSE), 0)</f>
        <v>0</v>
      </c>
      <c r="R101">
        <f>IFERROR(VLOOKUP(Tabla1[[#This Row],[SISMED]],TblDisponibilidad[],22,FALSE), 0)</f>
        <v>0</v>
      </c>
      <c r="S101" s="15">
        <f>IFERROR(VLOOKUP(Tabla1[[#This Row],[SISMED]],TblDisponibilidad[],23,FALSE), 0)</f>
        <v>0</v>
      </c>
    </row>
    <row r="102" spans="1:19" x14ac:dyDescent="0.3">
      <c r="A102" s="15" t="s">
        <v>132</v>
      </c>
      <c r="B102" t="str">
        <f>IFERROR(VLOOKUP(Tabla1[[#This Row],[SISMED]],TblDisponibilidad[],2,FALSE), "")</f>
        <v/>
      </c>
      <c r="C102">
        <f>IFERROR(VLOOKUP(Tabla1[[#This Row],[SISMED]],TblDisponibilidad[],7,FALSE), 0)</f>
        <v>0</v>
      </c>
      <c r="D102">
        <f>IFERROR(VLOOKUP(Tabla1[[#This Row],[SISMED]],TblDisponibilidad[],8,FALSE), 0)</f>
        <v>0</v>
      </c>
      <c r="E102">
        <f>IFERROR(VLOOKUP(Tabla1[[#This Row],[SISMED]],TblDisponibilidad[],9,FALSE), 0)</f>
        <v>0</v>
      </c>
      <c r="F102">
        <f>IFERROR(VLOOKUP(Tabla1[[#This Row],[SISMED]],TblDisponibilidad[],10,FALSE), 0)</f>
        <v>0</v>
      </c>
      <c r="G102">
        <f>IFERROR(VLOOKUP(Tabla1[[#This Row],[SISMED]],TblDisponibilidad[],11,FALSE), 0)</f>
        <v>0</v>
      </c>
      <c r="H102">
        <f>IFERROR(VLOOKUP(Tabla1[[#This Row],[SISMED]],TblDisponibilidad[],12,FALSE), 0)</f>
        <v>0</v>
      </c>
      <c r="I102">
        <f>IFERROR(VLOOKUP(Tabla1[[#This Row],[SISMED]],TblDisponibilidad[],13,FALSE), 0)</f>
        <v>0</v>
      </c>
      <c r="J102">
        <f>IFERROR(VLOOKUP(Tabla1[[#This Row],[SISMED]],TblDisponibilidad[],14,FALSE), 0)</f>
        <v>0</v>
      </c>
      <c r="K102">
        <f>IFERROR(VLOOKUP(Tabla1[[#This Row],[SISMED]],TblDisponibilidad[],15,FALSE), 0)</f>
        <v>0</v>
      </c>
      <c r="L102">
        <f>IFERROR(VLOOKUP(Tabla1[[#This Row],[SISMED]],TblDisponibilidad[],16,FALSE), 0)</f>
        <v>0</v>
      </c>
      <c r="M102">
        <f>IFERROR(VLOOKUP(Tabla1[[#This Row],[SISMED]],TblDisponibilidad[],17,FALSE), 0)</f>
        <v>0</v>
      </c>
      <c r="N102">
        <f>IFERROR(VLOOKUP(Tabla1[[#This Row],[SISMED]],TblDisponibilidad[],18,FALSE), 0)</f>
        <v>0</v>
      </c>
      <c r="O102">
        <f>IFERROR(VLOOKUP(Tabla1[[#This Row],[SISMED]],TblDisponibilidad[],19,FALSE), 0)</f>
        <v>0</v>
      </c>
      <c r="P102">
        <f>IFERROR(VLOOKUP(Tabla1[[#This Row],[SISMED]],TblDisponibilidad[],20,FALSE), 0)</f>
        <v>0</v>
      </c>
      <c r="Q102">
        <f>IFERROR(VLOOKUP(Tabla1[[#This Row],[SISMED]],TblDisponibilidad[],21,FALSE), 0)</f>
        <v>0</v>
      </c>
      <c r="R102">
        <f>IFERROR(VLOOKUP(Tabla1[[#This Row],[SISMED]],TblDisponibilidad[],22,FALSE), 0)</f>
        <v>0</v>
      </c>
      <c r="S102" s="15">
        <f>IFERROR(VLOOKUP(Tabla1[[#This Row],[SISMED]],TblDisponibilidad[],23,FALSE), 0)</f>
        <v>0</v>
      </c>
    </row>
    <row r="103" spans="1:19" x14ac:dyDescent="0.3">
      <c r="A103" s="15" t="s">
        <v>133</v>
      </c>
      <c r="B103" t="str">
        <f>IFERROR(VLOOKUP(Tabla1[[#This Row],[SISMED]],TblDisponibilidad[],2,FALSE), "")</f>
        <v/>
      </c>
      <c r="C103">
        <f>IFERROR(VLOOKUP(Tabla1[[#This Row],[SISMED]],TblDisponibilidad[],7,FALSE), 0)</f>
        <v>0</v>
      </c>
      <c r="D103">
        <f>IFERROR(VLOOKUP(Tabla1[[#This Row],[SISMED]],TblDisponibilidad[],8,FALSE), 0)</f>
        <v>0</v>
      </c>
      <c r="E103">
        <f>IFERROR(VLOOKUP(Tabla1[[#This Row],[SISMED]],TblDisponibilidad[],9,FALSE), 0)</f>
        <v>0</v>
      </c>
      <c r="F103">
        <f>IFERROR(VLOOKUP(Tabla1[[#This Row],[SISMED]],TblDisponibilidad[],10,FALSE), 0)</f>
        <v>0</v>
      </c>
      <c r="G103">
        <f>IFERROR(VLOOKUP(Tabla1[[#This Row],[SISMED]],TblDisponibilidad[],11,FALSE), 0)</f>
        <v>0</v>
      </c>
      <c r="H103">
        <f>IFERROR(VLOOKUP(Tabla1[[#This Row],[SISMED]],TblDisponibilidad[],12,FALSE), 0)</f>
        <v>0</v>
      </c>
      <c r="I103">
        <f>IFERROR(VLOOKUP(Tabla1[[#This Row],[SISMED]],TblDisponibilidad[],13,FALSE), 0)</f>
        <v>0</v>
      </c>
      <c r="J103">
        <f>IFERROR(VLOOKUP(Tabla1[[#This Row],[SISMED]],TblDisponibilidad[],14,FALSE), 0)</f>
        <v>0</v>
      </c>
      <c r="K103">
        <f>IFERROR(VLOOKUP(Tabla1[[#This Row],[SISMED]],TblDisponibilidad[],15,FALSE), 0)</f>
        <v>0</v>
      </c>
      <c r="L103">
        <f>IFERROR(VLOOKUP(Tabla1[[#This Row],[SISMED]],TblDisponibilidad[],16,FALSE), 0)</f>
        <v>0</v>
      </c>
      <c r="M103">
        <f>IFERROR(VLOOKUP(Tabla1[[#This Row],[SISMED]],TblDisponibilidad[],17,FALSE), 0)</f>
        <v>0</v>
      </c>
      <c r="N103">
        <f>IFERROR(VLOOKUP(Tabla1[[#This Row],[SISMED]],TblDisponibilidad[],18,FALSE), 0)</f>
        <v>0</v>
      </c>
      <c r="O103">
        <f>IFERROR(VLOOKUP(Tabla1[[#This Row],[SISMED]],TblDisponibilidad[],19,FALSE), 0)</f>
        <v>0</v>
      </c>
      <c r="P103">
        <f>IFERROR(VLOOKUP(Tabla1[[#This Row],[SISMED]],TblDisponibilidad[],20,FALSE), 0)</f>
        <v>0</v>
      </c>
      <c r="Q103">
        <f>IFERROR(VLOOKUP(Tabla1[[#This Row],[SISMED]],TblDisponibilidad[],21,FALSE), 0)</f>
        <v>0</v>
      </c>
      <c r="R103">
        <f>IFERROR(VLOOKUP(Tabla1[[#This Row],[SISMED]],TblDisponibilidad[],22,FALSE), 0)</f>
        <v>0</v>
      </c>
      <c r="S103" s="15">
        <f>IFERROR(VLOOKUP(Tabla1[[#This Row],[SISMED]],TblDisponibilidad[],23,FALSE), 0)</f>
        <v>0</v>
      </c>
    </row>
    <row r="104" spans="1:19" x14ac:dyDescent="0.3">
      <c r="A104" s="15" t="s">
        <v>134</v>
      </c>
      <c r="B104" t="str">
        <f>IFERROR(VLOOKUP(Tabla1[[#This Row],[SISMED]],TblDisponibilidad[],2,FALSE), "")</f>
        <v/>
      </c>
      <c r="C104">
        <f>IFERROR(VLOOKUP(Tabla1[[#This Row],[SISMED]],TblDisponibilidad[],7,FALSE), 0)</f>
        <v>0</v>
      </c>
      <c r="D104">
        <f>IFERROR(VLOOKUP(Tabla1[[#This Row],[SISMED]],TblDisponibilidad[],8,FALSE), 0)</f>
        <v>0</v>
      </c>
      <c r="E104">
        <f>IFERROR(VLOOKUP(Tabla1[[#This Row],[SISMED]],TblDisponibilidad[],9,FALSE), 0)</f>
        <v>0</v>
      </c>
      <c r="F104">
        <f>IFERROR(VLOOKUP(Tabla1[[#This Row],[SISMED]],TblDisponibilidad[],10,FALSE), 0)</f>
        <v>0</v>
      </c>
      <c r="G104">
        <f>IFERROR(VLOOKUP(Tabla1[[#This Row],[SISMED]],TblDisponibilidad[],11,FALSE), 0)</f>
        <v>0</v>
      </c>
      <c r="H104">
        <f>IFERROR(VLOOKUP(Tabla1[[#This Row],[SISMED]],TblDisponibilidad[],12,FALSE), 0)</f>
        <v>0</v>
      </c>
      <c r="I104">
        <f>IFERROR(VLOOKUP(Tabla1[[#This Row],[SISMED]],TblDisponibilidad[],13,FALSE), 0)</f>
        <v>0</v>
      </c>
      <c r="J104">
        <f>IFERROR(VLOOKUP(Tabla1[[#This Row],[SISMED]],TblDisponibilidad[],14,FALSE), 0)</f>
        <v>0</v>
      </c>
      <c r="K104">
        <f>IFERROR(VLOOKUP(Tabla1[[#This Row],[SISMED]],TblDisponibilidad[],15,FALSE), 0)</f>
        <v>0</v>
      </c>
      <c r="L104">
        <f>IFERROR(VLOOKUP(Tabla1[[#This Row],[SISMED]],TblDisponibilidad[],16,FALSE), 0)</f>
        <v>0</v>
      </c>
      <c r="M104">
        <f>IFERROR(VLOOKUP(Tabla1[[#This Row],[SISMED]],TblDisponibilidad[],17,FALSE), 0)</f>
        <v>0</v>
      </c>
      <c r="N104">
        <f>IFERROR(VLOOKUP(Tabla1[[#This Row],[SISMED]],TblDisponibilidad[],18,FALSE), 0)</f>
        <v>0</v>
      </c>
      <c r="O104">
        <f>IFERROR(VLOOKUP(Tabla1[[#This Row],[SISMED]],TblDisponibilidad[],19,FALSE), 0)</f>
        <v>0</v>
      </c>
      <c r="P104">
        <f>IFERROR(VLOOKUP(Tabla1[[#This Row],[SISMED]],TblDisponibilidad[],20,FALSE), 0)</f>
        <v>0</v>
      </c>
      <c r="Q104">
        <f>IFERROR(VLOOKUP(Tabla1[[#This Row],[SISMED]],TblDisponibilidad[],21,FALSE), 0)</f>
        <v>0</v>
      </c>
      <c r="R104">
        <f>IFERROR(VLOOKUP(Tabla1[[#This Row],[SISMED]],TblDisponibilidad[],22,FALSE), 0)</f>
        <v>0</v>
      </c>
      <c r="S104" s="15">
        <f>IFERROR(VLOOKUP(Tabla1[[#This Row],[SISMED]],TblDisponibilidad[],23,FALSE), 0)</f>
        <v>0</v>
      </c>
    </row>
    <row r="105" spans="1:19" x14ac:dyDescent="0.3">
      <c r="A105" s="15" t="s">
        <v>135</v>
      </c>
      <c r="B105" t="str">
        <f>IFERROR(VLOOKUP(Tabla1[[#This Row],[SISMED]],TblDisponibilidad[],2,FALSE), "")</f>
        <v/>
      </c>
      <c r="C105">
        <f>IFERROR(VLOOKUP(Tabla1[[#This Row],[SISMED]],TblDisponibilidad[],7,FALSE), 0)</f>
        <v>0</v>
      </c>
      <c r="D105">
        <f>IFERROR(VLOOKUP(Tabla1[[#This Row],[SISMED]],TblDisponibilidad[],8,FALSE), 0)</f>
        <v>0</v>
      </c>
      <c r="E105">
        <f>IFERROR(VLOOKUP(Tabla1[[#This Row],[SISMED]],TblDisponibilidad[],9,FALSE), 0)</f>
        <v>0</v>
      </c>
      <c r="F105">
        <f>IFERROR(VLOOKUP(Tabla1[[#This Row],[SISMED]],TblDisponibilidad[],10,FALSE), 0)</f>
        <v>0</v>
      </c>
      <c r="G105">
        <f>IFERROR(VLOOKUP(Tabla1[[#This Row],[SISMED]],TblDisponibilidad[],11,FALSE), 0)</f>
        <v>0</v>
      </c>
      <c r="H105">
        <f>IFERROR(VLOOKUP(Tabla1[[#This Row],[SISMED]],TblDisponibilidad[],12,FALSE), 0)</f>
        <v>0</v>
      </c>
      <c r="I105">
        <f>IFERROR(VLOOKUP(Tabla1[[#This Row],[SISMED]],TblDisponibilidad[],13,FALSE), 0)</f>
        <v>0</v>
      </c>
      <c r="J105">
        <f>IFERROR(VLOOKUP(Tabla1[[#This Row],[SISMED]],TblDisponibilidad[],14,FALSE), 0)</f>
        <v>0</v>
      </c>
      <c r="K105">
        <f>IFERROR(VLOOKUP(Tabla1[[#This Row],[SISMED]],TblDisponibilidad[],15,FALSE), 0)</f>
        <v>0</v>
      </c>
      <c r="L105">
        <f>IFERROR(VLOOKUP(Tabla1[[#This Row],[SISMED]],TblDisponibilidad[],16,FALSE), 0)</f>
        <v>0</v>
      </c>
      <c r="M105">
        <f>IFERROR(VLOOKUP(Tabla1[[#This Row],[SISMED]],TblDisponibilidad[],17,FALSE), 0)</f>
        <v>0</v>
      </c>
      <c r="N105">
        <f>IFERROR(VLOOKUP(Tabla1[[#This Row],[SISMED]],TblDisponibilidad[],18,FALSE), 0)</f>
        <v>0</v>
      </c>
      <c r="O105">
        <f>IFERROR(VLOOKUP(Tabla1[[#This Row],[SISMED]],TblDisponibilidad[],19,FALSE), 0)</f>
        <v>0</v>
      </c>
      <c r="P105">
        <f>IFERROR(VLOOKUP(Tabla1[[#This Row],[SISMED]],TblDisponibilidad[],20,FALSE), 0)</f>
        <v>0</v>
      </c>
      <c r="Q105">
        <f>IFERROR(VLOOKUP(Tabla1[[#This Row],[SISMED]],TblDisponibilidad[],21,FALSE), 0)</f>
        <v>0</v>
      </c>
      <c r="R105">
        <f>IFERROR(VLOOKUP(Tabla1[[#This Row],[SISMED]],TblDisponibilidad[],22,FALSE), 0)</f>
        <v>0</v>
      </c>
      <c r="S105" s="15">
        <f>IFERROR(VLOOKUP(Tabla1[[#This Row],[SISMED]],TblDisponibilidad[],23,FALSE), 0)</f>
        <v>0</v>
      </c>
    </row>
    <row r="106" spans="1:19" x14ac:dyDescent="0.3">
      <c r="A106" s="15" t="s">
        <v>136</v>
      </c>
      <c r="B106" t="str">
        <f>IFERROR(VLOOKUP(Tabla1[[#This Row],[SISMED]],TblDisponibilidad[],2,FALSE), "")</f>
        <v/>
      </c>
      <c r="C106">
        <f>IFERROR(VLOOKUP(Tabla1[[#This Row],[SISMED]],TblDisponibilidad[],7,FALSE), 0)</f>
        <v>0</v>
      </c>
      <c r="D106">
        <f>IFERROR(VLOOKUP(Tabla1[[#This Row],[SISMED]],TblDisponibilidad[],8,FALSE), 0)</f>
        <v>0</v>
      </c>
      <c r="E106">
        <f>IFERROR(VLOOKUP(Tabla1[[#This Row],[SISMED]],TblDisponibilidad[],9,FALSE), 0)</f>
        <v>0</v>
      </c>
      <c r="F106">
        <f>IFERROR(VLOOKUP(Tabla1[[#This Row],[SISMED]],TblDisponibilidad[],10,FALSE), 0)</f>
        <v>0</v>
      </c>
      <c r="G106">
        <f>IFERROR(VLOOKUP(Tabla1[[#This Row],[SISMED]],TblDisponibilidad[],11,FALSE), 0)</f>
        <v>0</v>
      </c>
      <c r="H106">
        <f>IFERROR(VLOOKUP(Tabla1[[#This Row],[SISMED]],TblDisponibilidad[],12,FALSE), 0)</f>
        <v>0</v>
      </c>
      <c r="I106">
        <f>IFERROR(VLOOKUP(Tabla1[[#This Row],[SISMED]],TblDisponibilidad[],13,FALSE), 0)</f>
        <v>0</v>
      </c>
      <c r="J106">
        <f>IFERROR(VLOOKUP(Tabla1[[#This Row],[SISMED]],TblDisponibilidad[],14,FALSE), 0)</f>
        <v>0</v>
      </c>
      <c r="K106">
        <f>IFERROR(VLOOKUP(Tabla1[[#This Row],[SISMED]],TblDisponibilidad[],15,FALSE), 0)</f>
        <v>0</v>
      </c>
      <c r="L106">
        <f>IFERROR(VLOOKUP(Tabla1[[#This Row],[SISMED]],TblDisponibilidad[],16,FALSE), 0)</f>
        <v>0</v>
      </c>
      <c r="M106">
        <f>IFERROR(VLOOKUP(Tabla1[[#This Row],[SISMED]],TblDisponibilidad[],17,FALSE), 0)</f>
        <v>0</v>
      </c>
      <c r="N106">
        <f>IFERROR(VLOOKUP(Tabla1[[#This Row],[SISMED]],TblDisponibilidad[],18,FALSE), 0)</f>
        <v>0</v>
      </c>
      <c r="O106">
        <f>IFERROR(VLOOKUP(Tabla1[[#This Row],[SISMED]],TblDisponibilidad[],19,FALSE), 0)</f>
        <v>0</v>
      </c>
      <c r="P106">
        <f>IFERROR(VLOOKUP(Tabla1[[#This Row],[SISMED]],TblDisponibilidad[],20,FALSE), 0)</f>
        <v>0</v>
      </c>
      <c r="Q106">
        <f>IFERROR(VLOOKUP(Tabla1[[#This Row],[SISMED]],TblDisponibilidad[],21,FALSE), 0)</f>
        <v>0</v>
      </c>
      <c r="R106">
        <f>IFERROR(VLOOKUP(Tabla1[[#This Row],[SISMED]],TblDisponibilidad[],22,FALSE), 0)</f>
        <v>0</v>
      </c>
      <c r="S106" s="15">
        <f>IFERROR(VLOOKUP(Tabla1[[#This Row],[SISMED]],TblDisponibilidad[],23,FALSE), 0)</f>
        <v>0</v>
      </c>
    </row>
    <row r="107" spans="1:19" x14ac:dyDescent="0.3">
      <c r="A107" s="15" t="s">
        <v>137</v>
      </c>
      <c r="B107" t="str">
        <f>IFERROR(VLOOKUP(Tabla1[[#This Row],[SISMED]],TblDisponibilidad[],2,FALSE), "")</f>
        <v/>
      </c>
      <c r="C107">
        <f>IFERROR(VLOOKUP(Tabla1[[#This Row],[SISMED]],TblDisponibilidad[],7,FALSE), 0)</f>
        <v>0</v>
      </c>
      <c r="D107">
        <f>IFERROR(VLOOKUP(Tabla1[[#This Row],[SISMED]],TblDisponibilidad[],8,FALSE), 0)</f>
        <v>0</v>
      </c>
      <c r="E107">
        <f>IFERROR(VLOOKUP(Tabla1[[#This Row],[SISMED]],TblDisponibilidad[],9,FALSE), 0)</f>
        <v>0</v>
      </c>
      <c r="F107">
        <f>IFERROR(VLOOKUP(Tabla1[[#This Row],[SISMED]],TblDisponibilidad[],10,FALSE), 0)</f>
        <v>0</v>
      </c>
      <c r="G107">
        <f>IFERROR(VLOOKUP(Tabla1[[#This Row],[SISMED]],TblDisponibilidad[],11,FALSE), 0)</f>
        <v>0</v>
      </c>
      <c r="H107">
        <f>IFERROR(VLOOKUP(Tabla1[[#This Row],[SISMED]],TblDisponibilidad[],12,FALSE), 0)</f>
        <v>0</v>
      </c>
      <c r="I107">
        <f>IFERROR(VLOOKUP(Tabla1[[#This Row],[SISMED]],TblDisponibilidad[],13,FALSE), 0)</f>
        <v>0</v>
      </c>
      <c r="J107">
        <f>IFERROR(VLOOKUP(Tabla1[[#This Row],[SISMED]],TblDisponibilidad[],14,FALSE), 0)</f>
        <v>0</v>
      </c>
      <c r="K107">
        <f>IFERROR(VLOOKUP(Tabla1[[#This Row],[SISMED]],TblDisponibilidad[],15,FALSE), 0)</f>
        <v>0</v>
      </c>
      <c r="L107">
        <f>IFERROR(VLOOKUP(Tabla1[[#This Row],[SISMED]],TblDisponibilidad[],16,FALSE), 0)</f>
        <v>0</v>
      </c>
      <c r="M107">
        <f>IFERROR(VLOOKUP(Tabla1[[#This Row],[SISMED]],TblDisponibilidad[],17,FALSE), 0)</f>
        <v>0</v>
      </c>
      <c r="N107">
        <f>IFERROR(VLOOKUP(Tabla1[[#This Row],[SISMED]],TblDisponibilidad[],18,FALSE), 0)</f>
        <v>0</v>
      </c>
      <c r="O107">
        <f>IFERROR(VLOOKUP(Tabla1[[#This Row],[SISMED]],TblDisponibilidad[],19,FALSE), 0)</f>
        <v>0</v>
      </c>
      <c r="P107">
        <f>IFERROR(VLOOKUP(Tabla1[[#This Row],[SISMED]],TblDisponibilidad[],20,FALSE), 0)</f>
        <v>0</v>
      </c>
      <c r="Q107">
        <f>IFERROR(VLOOKUP(Tabla1[[#This Row],[SISMED]],TblDisponibilidad[],21,FALSE), 0)</f>
        <v>0</v>
      </c>
      <c r="R107">
        <f>IFERROR(VLOOKUP(Tabla1[[#This Row],[SISMED]],TblDisponibilidad[],22,FALSE), 0)</f>
        <v>0</v>
      </c>
      <c r="S107" s="15">
        <f>IFERROR(VLOOKUP(Tabla1[[#This Row],[SISMED]],TblDisponibilidad[],23,FALSE), 0)</f>
        <v>0</v>
      </c>
    </row>
    <row r="108" spans="1:19" x14ac:dyDescent="0.3">
      <c r="A108" s="15" t="s">
        <v>138</v>
      </c>
      <c r="B108" t="str">
        <f>IFERROR(VLOOKUP(Tabla1[[#This Row],[SISMED]],TblDisponibilidad[],2,FALSE), "")</f>
        <v/>
      </c>
      <c r="C108">
        <f>IFERROR(VLOOKUP(Tabla1[[#This Row],[SISMED]],TblDisponibilidad[],7,FALSE), 0)</f>
        <v>0</v>
      </c>
      <c r="D108">
        <f>IFERROR(VLOOKUP(Tabla1[[#This Row],[SISMED]],TblDisponibilidad[],8,FALSE), 0)</f>
        <v>0</v>
      </c>
      <c r="E108">
        <f>IFERROR(VLOOKUP(Tabla1[[#This Row],[SISMED]],TblDisponibilidad[],9,FALSE), 0)</f>
        <v>0</v>
      </c>
      <c r="F108">
        <f>IFERROR(VLOOKUP(Tabla1[[#This Row],[SISMED]],TblDisponibilidad[],10,FALSE), 0)</f>
        <v>0</v>
      </c>
      <c r="G108">
        <f>IFERROR(VLOOKUP(Tabla1[[#This Row],[SISMED]],TblDisponibilidad[],11,FALSE), 0)</f>
        <v>0</v>
      </c>
      <c r="H108">
        <f>IFERROR(VLOOKUP(Tabla1[[#This Row],[SISMED]],TblDisponibilidad[],12,FALSE), 0)</f>
        <v>0</v>
      </c>
      <c r="I108">
        <f>IFERROR(VLOOKUP(Tabla1[[#This Row],[SISMED]],TblDisponibilidad[],13,FALSE), 0)</f>
        <v>0</v>
      </c>
      <c r="J108">
        <f>IFERROR(VLOOKUP(Tabla1[[#This Row],[SISMED]],TblDisponibilidad[],14,FALSE), 0)</f>
        <v>0</v>
      </c>
      <c r="K108">
        <f>IFERROR(VLOOKUP(Tabla1[[#This Row],[SISMED]],TblDisponibilidad[],15,FALSE), 0)</f>
        <v>0</v>
      </c>
      <c r="L108">
        <f>IFERROR(VLOOKUP(Tabla1[[#This Row],[SISMED]],TblDisponibilidad[],16,FALSE), 0)</f>
        <v>0</v>
      </c>
      <c r="M108">
        <f>IFERROR(VLOOKUP(Tabla1[[#This Row],[SISMED]],TblDisponibilidad[],17,FALSE), 0)</f>
        <v>0</v>
      </c>
      <c r="N108">
        <f>IFERROR(VLOOKUP(Tabla1[[#This Row],[SISMED]],TblDisponibilidad[],18,FALSE), 0)</f>
        <v>0</v>
      </c>
      <c r="O108">
        <f>IFERROR(VLOOKUP(Tabla1[[#This Row],[SISMED]],TblDisponibilidad[],19,FALSE), 0)</f>
        <v>0</v>
      </c>
      <c r="P108">
        <f>IFERROR(VLOOKUP(Tabla1[[#This Row],[SISMED]],TblDisponibilidad[],20,FALSE), 0)</f>
        <v>0</v>
      </c>
      <c r="Q108">
        <f>IFERROR(VLOOKUP(Tabla1[[#This Row],[SISMED]],TblDisponibilidad[],21,FALSE), 0)</f>
        <v>0</v>
      </c>
      <c r="R108">
        <f>IFERROR(VLOOKUP(Tabla1[[#This Row],[SISMED]],TblDisponibilidad[],22,FALSE), 0)</f>
        <v>0</v>
      </c>
      <c r="S108" s="15">
        <f>IFERROR(VLOOKUP(Tabla1[[#This Row],[SISMED]],TblDisponibilidad[],23,FALSE), 0)</f>
        <v>0</v>
      </c>
    </row>
    <row r="109" spans="1:19" x14ac:dyDescent="0.3">
      <c r="A109" s="15" t="s">
        <v>139</v>
      </c>
      <c r="B109" t="str">
        <f>IFERROR(VLOOKUP(Tabla1[[#This Row],[SISMED]],TblDisponibilidad[],2,FALSE), "")</f>
        <v/>
      </c>
      <c r="C109">
        <f>IFERROR(VLOOKUP(Tabla1[[#This Row],[SISMED]],TblDisponibilidad[],7,FALSE), 0)</f>
        <v>0</v>
      </c>
      <c r="D109">
        <f>IFERROR(VLOOKUP(Tabla1[[#This Row],[SISMED]],TblDisponibilidad[],8,FALSE), 0)</f>
        <v>0</v>
      </c>
      <c r="E109">
        <f>IFERROR(VLOOKUP(Tabla1[[#This Row],[SISMED]],TblDisponibilidad[],9,FALSE), 0)</f>
        <v>0</v>
      </c>
      <c r="F109">
        <f>IFERROR(VLOOKUP(Tabla1[[#This Row],[SISMED]],TblDisponibilidad[],10,FALSE), 0)</f>
        <v>0</v>
      </c>
      <c r="G109">
        <f>IFERROR(VLOOKUP(Tabla1[[#This Row],[SISMED]],TblDisponibilidad[],11,FALSE), 0)</f>
        <v>0</v>
      </c>
      <c r="H109">
        <f>IFERROR(VLOOKUP(Tabla1[[#This Row],[SISMED]],TblDisponibilidad[],12,FALSE), 0)</f>
        <v>0</v>
      </c>
      <c r="I109">
        <f>IFERROR(VLOOKUP(Tabla1[[#This Row],[SISMED]],TblDisponibilidad[],13,FALSE), 0)</f>
        <v>0</v>
      </c>
      <c r="J109">
        <f>IFERROR(VLOOKUP(Tabla1[[#This Row],[SISMED]],TblDisponibilidad[],14,FALSE), 0)</f>
        <v>0</v>
      </c>
      <c r="K109">
        <f>IFERROR(VLOOKUP(Tabla1[[#This Row],[SISMED]],TblDisponibilidad[],15,FALSE), 0)</f>
        <v>0</v>
      </c>
      <c r="L109">
        <f>IFERROR(VLOOKUP(Tabla1[[#This Row],[SISMED]],TblDisponibilidad[],16,FALSE), 0)</f>
        <v>0</v>
      </c>
      <c r="M109">
        <f>IFERROR(VLOOKUP(Tabla1[[#This Row],[SISMED]],TblDisponibilidad[],17,FALSE), 0)</f>
        <v>0</v>
      </c>
      <c r="N109">
        <f>IFERROR(VLOOKUP(Tabla1[[#This Row],[SISMED]],TblDisponibilidad[],18,FALSE), 0)</f>
        <v>0</v>
      </c>
      <c r="O109">
        <f>IFERROR(VLOOKUP(Tabla1[[#This Row],[SISMED]],TblDisponibilidad[],19,FALSE), 0)</f>
        <v>0</v>
      </c>
      <c r="P109">
        <f>IFERROR(VLOOKUP(Tabla1[[#This Row],[SISMED]],TblDisponibilidad[],20,FALSE), 0)</f>
        <v>0</v>
      </c>
      <c r="Q109">
        <f>IFERROR(VLOOKUP(Tabla1[[#This Row],[SISMED]],TblDisponibilidad[],21,FALSE), 0)</f>
        <v>0</v>
      </c>
      <c r="R109">
        <f>IFERROR(VLOOKUP(Tabla1[[#This Row],[SISMED]],TblDisponibilidad[],22,FALSE), 0)</f>
        <v>0</v>
      </c>
      <c r="S109" s="15">
        <f>IFERROR(VLOOKUP(Tabla1[[#This Row],[SISMED]],TblDisponibilidad[],23,FALSE), 0)</f>
        <v>0</v>
      </c>
    </row>
    <row r="110" spans="1:19" x14ac:dyDescent="0.3">
      <c r="A110" s="15" t="s">
        <v>140</v>
      </c>
      <c r="B110" t="str">
        <f>IFERROR(VLOOKUP(Tabla1[[#This Row],[SISMED]],TblDisponibilidad[],2,FALSE), "")</f>
        <v/>
      </c>
      <c r="C110">
        <f>IFERROR(VLOOKUP(Tabla1[[#This Row],[SISMED]],TblDisponibilidad[],7,FALSE), 0)</f>
        <v>0</v>
      </c>
      <c r="D110">
        <f>IFERROR(VLOOKUP(Tabla1[[#This Row],[SISMED]],TblDisponibilidad[],8,FALSE), 0)</f>
        <v>0</v>
      </c>
      <c r="E110">
        <f>IFERROR(VLOOKUP(Tabla1[[#This Row],[SISMED]],TblDisponibilidad[],9,FALSE), 0)</f>
        <v>0</v>
      </c>
      <c r="F110">
        <f>IFERROR(VLOOKUP(Tabla1[[#This Row],[SISMED]],TblDisponibilidad[],10,FALSE), 0)</f>
        <v>0</v>
      </c>
      <c r="G110">
        <f>IFERROR(VLOOKUP(Tabla1[[#This Row],[SISMED]],TblDisponibilidad[],11,FALSE), 0)</f>
        <v>0</v>
      </c>
      <c r="H110">
        <f>IFERROR(VLOOKUP(Tabla1[[#This Row],[SISMED]],TblDisponibilidad[],12,FALSE), 0)</f>
        <v>0</v>
      </c>
      <c r="I110">
        <f>IFERROR(VLOOKUP(Tabla1[[#This Row],[SISMED]],TblDisponibilidad[],13,FALSE), 0)</f>
        <v>0</v>
      </c>
      <c r="J110">
        <f>IFERROR(VLOOKUP(Tabla1[[#This Row],[SISMED]],TblDisponibilidad[],14,FALSE), 0)</f>
        <v>0</v>
      </c>
      <c r="K110">
        <f>IFERROR(VLOOKUP(Tabla1[[#This Row],[SISMED]],TblDisponibilidad[],15,FALSE), 0)</f>
        <v>0</v>
      </c>
      <c r="L110">
        <f>IFERROR(VLOOKUP(Tabla1[[#This Row],[SISMED]],TblDisponibilidad[],16,FALSE), 0)</f>
        <v>0</v>
      </c>
      <c r="M110">
        <f>IFERROR(VLOOKUP(Tabla1[[#This Row],[SISMED]],TblDisponibilidad[],17,FALSE), 0)</f>
        <v>0</v>
      </c>
      <c r="N110">
        <f>IFERROR(VLOOKUP(Tabla1[[#This Row],[SISMED]],TblDisponibilidad[],18,FALSE), 0)</f>
        <v>0</v>
      </c>
      <c r="O110">
        <f>IFERROR(VLOOKUP(Tabla1[[#This Row],[SISMED]],TblDisponibilidad[],19,FALSE), 0)</f>
        <v>0</v>
      </c>
      <c r="P110">
        <f>IFERROR(VLOOKUP(Tabla1[[#This Row],[SISMED]],TblDisponibilidad[],20,FALSE), 0)</f>
        <v>0</v>
      </c>
      <c r="Q110">
        <f>IFERROR(VLOOKUP(Tabla1[[#This Row],[SISMED]],TblDisponibilidad[],21,FALSE), 0)</f>
        <v>0</v>
      </c>
      <c r="R110">
        <f>IFERROR(VLOOKUP(Tabla1[[#This Row],[SISMED]],TblDisponibilidad[],22,FALSE), 0)</f>
        <v>0</v>
      </c>
      <c r="S110" s="15">
        <f>IFERROR(VLOOKUP(Tabla1[[#This Row],[SISMED]],TblDisponibilidad[],23,FALSE), 0)</f>
        <v>0</v>
      </c>
    </row>
    <row r="111" spans="1:19" x14ac:dyDescent="0.3">
      <c r="A111" s="15" t="s">
        <v>141</v>
      </c>
      <c r="B111" t="str">
        <f>IFERROR(VLOOKUP(Tabla1[[#This Row],[SISMED]],TblDisponibilidad[],2,FALSE), "")</f>
        <v/>
      </c>
      <c r="C111">
        <f>IFERROR(VLOOKUP(Tabla1[[#This Row],[SISMED]],TblDisponibilidad[],7,FALSE), 0)</f>
        <v>0</v>
      </c>
      <c r="D111">
        <f>IFERROR(VLOOKUP(Tabla1[[#This Row],[SISMED]],TblDisponibilidad[],8,FALSE), 0)</f>
        <v>0</v>
      </c>
      <c r="E111">
        <f>IFERROR(VLOOKUP(Tabla1[[#This Row],[SISMED]],TblDisponibilidad[],9,FALSE), 0)</f>
        <v>0</v>
      </c>
      <c r="F111">
        <f>IFERROR(VLOOKUP(Tabla1[[#This Row],[SISMED]],TblDisponibilidad[],10,FALSE), 0)</f>
        <v>0</v>
      </c>
      <c r="G111">
        <f>IFERROR(VLOOKUP(Tabla1[[#This Row],[SISMED]],TblDisponibilidad[],11,FALSE), 0)</f>
        <v>0</v>
      </c>
      <c r="H111">
        <f>IFERROR(VLOOKUP(Tabla1[[#This Row],[SISMED]],TblDisponibilidad[],12,FALSE), 0)</f>
        <v>0</v>
      </c>
      <c r="I111">
        <f>IFERROR(VLOOKUP(Tabla1[[#This Row],[SISMED]],TblDisponibilidad[],13,FALSE), 0)</f>
        <v>0</v>
      </c>
      <c r="J111">
        <f>IFERROR(VLOOKUP(Tabla1[[#This Row],[SISMED]],TblDisponibilidad[],14,FALSE), 0)</f>
        <v>0</v>
      </c>
      <c r="K111">
        <f>IFERROR(VLOOKUP(Tabla1[[#This Row],[SISMED]],TblDisponibilidad[],15,FALSE), 0)</f>
        <v>0</v>
      </c>
      <c r="L111">
        <f>IFERROR(VLOOKUP(Tabla1[[#This Row],[SISMED]],TblDisponibilidad[],16,FALSE), 0)</f>
        <v>0</v>
      </c>
      <c r="M111">
        <f>IFERROR(VLOOKUP(Tabla1[[#This Row],[SISMED]],TblDisponibilidad[],17,FALSE), 0)</f>
        <v>0</v>
      </c>
      <c r="N111">
        <f>IFERROR(VLOOKUP(Tabla1[[#This Row],[SISMED]],TblDisponibilidad[],18,FALSE), 0)</f>
        <v>0</v>
      </c>
      <c r="O111">
        <f>IFERROR(VLOOKUP(Tabla1[[#This Row],[SISMED]],TblDisponibilidad[],19,FALSE), 0)</f>
        <v>0</v>
      </c>
      <c r="P111">
        <f>IFERROR(VLOOKUP(Tabla1[[#This Row],[SISMED]],TblDisponibilidad[],20,FALSE), 0)</f>
        <v>0</v>
      </c>
      <c r="Q111">
        <f>IFERROR(VLOOKUP(Tabla1[[#This Row],[SISMED]],TblDisponibilidad[],21,FALSE), 0)</f>
        <v>0</v>
      </c>
      <c r="R111">
        <f>IFERROR(VLOOKUP(Tabla1[[#This Row],[SISMED]],TblDisponibilidad[],22,FALSE), 0)</f>
        <v>0</v>
      </c>
      <c r="S111" s="15">
        <f>IFERROR(VLOOKUP(Tabla1[[#This Row],[SISMED]],TblDisponibilidad[],23,FALSE), 0)</f>
        <v>0</v>
      </c>
    </row>
    <row r="112" spans="1:19" x14ac:dyDescent="0.3">
      <c r="A112" s="15" t="s">
        <v>142</v>
      </c>
      <c r="B112" t="str">
        <f>IFERROR(VLOOKUP(Tabla1[[#This Row],[SISMED]],TblDisponibilidad[],2,FALSE), "")</f>
        <v/>
      </c>
      <c r="C112">
        <f>IFERROR(VLOOKUP(Tabla1[[#This Row],[SISMED]],TblDisponibilidad[],7,FALSE), 0)</f>
        <v>0</v>
      </c>
      <c r="D112">
        <f>IFERROR(VLOOKUP(Tabla1[[#This Row],[SISMED]],TblDisponibilidad[],8,FALSE), 0)</f>
        <v>0</v>
      </c>
      <c r="E112">
        <f>IFERROR(VLOOKUP(Tabla1[[#This Row],[SISMED]],TblDisponibilidad[],9,FALSE), 0)</f>
        <v>0</v>
      </c>
      <c r="F112">
        <f>IFERROR(VLOOKUP(Tabla1[[#This Row],[SISMED]],TblDisponibilidad[],10,FALSE), 0)</f>
        <v>0</v>
      </c>
      <c r="G112">
        <f>IFERROR(VLOOKUP(Tabla1[[#This Row],[SISMED]],TblDisponibilidad[],11,FALSE), 0)</f>
        <v>0</v>
      </c>
      <c r="H112">
        <f>IFERROR(VLOOKUP(Tabla1[[#This Row],[SISMED]],TblDisponibilidad[],12,FALSE), 0)</f>
        <v>0</v>
      </c>
      <c r="I112">
        <f>IFERROR(VLOOKUP(Tabla1[[#This Row],[SISMED]],TblDisponibilidad[],13,FALSE), 0)</f>
        <v>0</v>
      </c>
      <c r="J112">
        <f>IFERROR(VLOOKUP(Tabla1[[#This Row],[SISMED]],TblDisponibilidad[],14,FALSE), 0)</f>
        <v>0</v>
      </c>
      <c r="K112">
        <f>IFERROR(VLOOKUP(Tabla1[[#This Row],[SISMED]],TblDisponibilidad[],15,FALSE), 0)</f>
        <v>0</v>
      </c>
      <c r="L112">
        <f>IFERROR(VLOOKUP(Tabla1[[#This Row],[SISMED]],TblDisponibilidad[],16,FALSE), 0)</f>
        <v>0</v>
      </c>
      <c r="M112">
        <f>IFERROR(VLOOKUP(Tabla1[[#This Row],[SISMED]],TblDisponibilidad[],17,FALSE), 0)</f>
        <v>0</v>
      </c>
      <c r="N112">
        <f>IFERROR(VLOOKUP(Tabla1[[#This Row],[SISMED]],TblDisponibilidad[],18,FALSE), 0)</f>
        <v>0</v>
      </c>
      <c r="O112">
        <f>IFERROR(VLOOKUP(Tabla1[[#This Row],[SISMED]],TblDisponibilidad[],19,FALSE), 0)</f>
        <v>0</v>
      </c>
      <c r="P112">
        <f>IFERROR(VLOOKUP(Tabla1[[#This Row],[SISMED]],TblDisponibilidad[],20,FALSE), 0)</f>
        <v>0</v>
      </c>
      <c r="Q112">
        <f>IFERROR(VLOOKUP(Tabla1[[#This Row],[SISMED]],TblDisponibilidad[],21,FALSE), 0)</f>
        <v>0</v>
      </c>
      <c r="R112">
        <f>IFERROR(VLOOKUP(Tabla1[[#This Row],[SISMED]],TblDisponibilidad[],22,FALSE), 0)</f>
        <v>0</v>
      </c>
      <c r="S112" s="15">
        <f>IFERROR(VLOOKUP(Tabla1[[#This Row],[SISMED]],TblDisponibilidad[],23,FALSE), 0)</f>
        <v>0</v>
      </c>
    </row>
    <row r="113" spans="1:19" x14ac:dyDescent="0.3">
      <c r="A113" s="15" t="s">
        <v>143</v>
      </c>
      <c r="B113" t="str">
        <f>IFERROR(VLOOKUP(Tabla1[[#This Row],[SISMED]],TblDisponibilidad[],2,FALSE), "")</f>
        <v/>
      </c>
      <c r="C113">
        <f>IFERROR(VLOOKUP(Tabla1[[#This Row],[SISMED]],TblDisponibilidad[],7,FALSE), 0)</f>
        <v>0</v>
      </c>
      <c r="D113">
        <f>IFERROR(VLOOKUP(Tabla1[[#This Row],[SISMED]],TblDisponibilidad[],8,FALSE), 0)</f>
        <v>0</v>
      </c>
      <c r="E113">
        <f>IFERROR(VLOOKUP(Tabla1[[#This Row],[SISMED]],TblDisponibilidad[],9,FALSE), 0)</f>
        <v>0</v>
      </c>
      <c r="F113">
        <f>IFERROR(VLOOKUP(Tabla1[[#This Row],[SISMED]],TblDisponibilidad[],10,FALSE), 0)</f>
        <v>0</v>
      </c>
      <c r="G113">
        <f>IFERROR(VLOOKUP(Tabla1[[#This Row],[SISMED]],TblDisponibilidad[],11,FALSE), 0)</f>
        <v>0</v>
      </c>
      <c r="H113">
        <f>IFERROR(VLOOKUP(Tabla1[[#This Row],[SISMED]],TblDisponibilidad[],12,FALSE), 0)</f>
        <v>0</v>
      </c>
      <c r="I113">
        <f>IFERROR(VLOOKUP(Tabla1[[#This Row],[SISMED]],TblDisponibilidad[],13,FALSE), 0)</f>
        <v>0</v>
      </c>
      <c r="J113">
        <f>IFERROR(VLOOKUP(Tabla1[[#This Row],[SISMED]],TblDisponibilidad[],14,FALSE), 0)</f>
        <v>0</v>
      </c>
      <c r="K113">
        <f>IFERROR(VLOOKUP(Tabla1[[#This Row],[SISMED]],TblDisponibilidad[],15,FALSE), 0)</f>
        <v>0</v>
      </c>
      <c r="L113">
        <f>IFERROR(VLOOKUP(Tabla1[[#This Row],[SISMED]],TblDisponibilidad[],16,FALSE), 0)</f>
        <v>0</v>
      </c>
      <c r="M113">
        <f>IFERROR(VLOOKUP(Tabla1[[#This Row],[SISMED]],TblDisponibilidad[],17,FALSE), 0)</f>
        <v>0</v>
      </c>
      <c r="N113">
        <f>IFERROR(VLOOKUP(Tabla1[[#This Row],[SISMED]],TblDisponibilidad[],18,FALSE), 0)</f>
        <v>0</v>
      </c>
      <c r="O113">
        <f>IFERROR(VLOOKUP(Tabla1[[#This Row],[SISMED]],TblDisponibilidad[],19,FALSE), 0)</f>
        <v>0</v>
      </c>
      <c r="P113">
        <f>IFERROR(VLOOKUP(Tabla1[[#This Row],[SISMED]],TblDisponibilidad[],20,FALSE), 0)</f>
        <v>0</v>
      </c>
      <c r="Q113">
        <f>IFERROR(VLOOKUP(Tabla1[[#This Row],[SISMED]],TblDisponibilidad[],21,FALSE), 0)</f>
        <v>0</v>
      </c>
      <c r="R113">
        <f>IFERROR(VLOOKUP(Tabla1[[#This Row],[SISMED]],TblDisponibilidad[],22,FALSE), 0)</f>
        <v>0</v>
      </c>
      <c r="S113" s="15">
        <f>IFERROR(VLOOKUP(Tabla1[[#This Row],[SISMED]],TblDisponibilidad[],23,FALSE), 0)</f>
        <v>0</v>
      </c>
    </row>
    <row r="114" spans="1:19" x14ac:dyDescent="0.3">
      <c r="A114" s="15" t="s">
        <v>144</v>
      </c>
      <c r="B114" t="str">
        <f>IFERROR(VLOOKUP(Tabla1[[#This Row],[SISMED]],TblDisponibilidad[],2,FALSE), "")</f>
        <v/>
      </c>
      <c r="C114">
        <f>IFERROR(VLOOKUP(Tabla1[[#This Row],[SISMED]],TblDisponibilidad[],7,FALSE), 0)</f>
        <v>0</v>
      </c>
      <c r="D114">
        <f>IFERROR(VLOOKUP(Tabla1[[#This Row],[SISMED]],TblDisponibilidad[],8,FALSE), 0)</f>
        <v>0</v>
      </c>
      <c r="E114">
        <f>IFERROR(VLOOKUP(Tabla1[[#This Row],[SISMED]],TblDisponibilidad[],9,FALSE), 0)</f>
        <v>0</v>
      </c>
      <c r="F114">
        <f>IFERROR(VLOOKUP(Tabla1[[#This Row],[SISMED]],TblDisponibilidad[],10,FALSE), 0)</f>
        <v>0</v>
      </c>
      <c r="G114">
        <f>IFERROR(VLOOKUP(Tabla1[[#This Row],[SISMED]],TblDisponibilidad[],11,FALSE), 0)</f>
        <v>0</v>
      </c>
      <c r="H114">
        <f>IFERROR(VLOOKUP(Tabla1[[#This Row],[SISMED]],TblDisponibilidad[],12,FALSE), 0)</f>
        <v>0</v>
      </c>
      <c r="I114">
        <f>IFERROR(VLOOKUP(Tabla1[[#This Row],[SISMED]],TblDisponibilidad[],13,FALSE), 0)</f>
        <v>0</v>
      </c>
      <c r="J114">
        <f>IFERROR(VLOOKUP(Tabla1[[#This Row],[SISMED]],TblDisponibilidad[],14,FALSE), 0)</f>
        <v>0</v>
      </c>
      <c r="K114">
        <f>IFERROR(VLOOKUP(Tabla1[[#This Row],[SISMED]],TblDisponibilidad[],15,FALSE), 0)</f>
        <v>0</v>
      </c>
      <c r="L114">
        <f>IFERROR(VLOOKUP(Tabla1[[#This Row],[SISMED]],TblDisponibilidad[],16,FALSE), 0)</f>
        <v>0</v>
      </c>
      <c r="M114">
        <f>IFERROR(VLOOKUP(Tabla1[[#This Row],[SISMED]],TblDisponibilidad[],17,FALSE), 0)</f>
        <v>0</v>
      </c>
      <c r="N114">
        <f>IFERROR(VLOOKUP(Tabla1[[#This Row],[SISMED]],TblDisponibilidad[],18,FALSE), 0)</f>
        <v>0</v>
      </c>
      <c r="O114">
        <f>IFERROR(VLOOKUP(Tabla1[[#This Row],[SISMED]],TblDisponibilidad[],19,FALSE), 0)</f>
        <v>0</v>
      </c>
      <c r="P114">
        <f>IFERROR(VLOOKUP(Tabla1[[#This Row],[SISMED]],TblDisponibilidad[],20,FALSE), 0)</f>
        <v>0</v>
      </c>
      <c r="Q114">
        <f>IFERROR(VLOOKUP(Tabla1[[#This Row],[SISMED]],TblDisponibilidad[],21,FALSE), 0)</f>
        <v>0</v>
      </c>
      <c r="R114">
        <f>IFERROR(VLOOKUP(Tabla1[[#This Row],[SISMED]],TblDisponibilidad[],22,FALSE), 0)</f>
        <v>0</v>
      </c>
      <c r="S114" s="15">
        <f>IFERROR(VLOOKUP(Tabla1[[#This Row],[SISMED]],TblDisponibilidad[],23,FALSE), 0)</f>
        <v>0</v>
      </c>
    </row>
    <row r="115" spans="1:19" x14ac:dyDescent="0.3">
      <c r="A115" s="15" t="s">
        <v>145</v>
      </c>
      <c r="B115" t="str">
        <f>IFERROR(VLOOKUP(Tabla1[[#This Row],[SISMED]],TblDisponibilidad[],2,FALSE), "")</f>
        <v/>
      </c>
      <c r="C115">
        <f>IFERROR(VLOOKUP(Tabla1[[#This Row],[SISMED]],TblDisponibilidad[],7,FALSE), 0)</f>
        <v>0</v>
      </c>
      <c r="D115">
        <f>IFERROR(VLOOKUP(Tabla1[[#This Row],[SISMED]],TblDisponibilidad[],8,FALSE), 0)</f>
        <v>0</v>
      </c>
      <c r="E115">
        <f>IFERROR(VLOOKUP(Tabla1[[#This Row],[SISMED]],TblDisponibilidad[],9,FALSE), 0)</f>
        <v>0</v>
      </c>
      <c r="F115">
        <f>IFERROR(VLOOKUP(Tabla1[[#This Row],[SISMED]],TblDisponibilidad[],10,FALSE), 0)</f>
        <v>0</v>
      </c>
      <c r="G115">
        <f>IFERROR(VLOOKUP(Tabla1[[#This Row],[SISMED]],TblDisponibilidad[],11,FALSE), 0)</f>
        <v>0</v>
      </c>
      <c r="H115">
        <f>IFERROR(VLOOKUP(Tabla1[[#This Row],[SISMED]],TblDisponibilidad[],12,FALSE), 0)</f>
        <v>0</v>
      </c>
      <c r="I115">
        <f>IFERROR(VLOOKUP(Tabla1[[#This Row],[SISMED]],TblDisponibilidad[],13,FALSE), 0)</f>
        <v>0</v>
      </c>
      <c r="J115">
        <f>IFERROR(VLOOKUP(Tabla1[[#This Row],[SISMED]],TblDisponibilidad[],14,FALSE), 0)</f>
        <v>0</v>
      </c>
      <c r="K115">
        <f>IFERROR(VLOOKUP(Tabla1[[#This Row],[SISMED]],TblDisponibilidad[],15,FALSE), 0)</f>
        <v>0</v>
      </c>
      <c r="L115">
        <f>IFERROR(VLOOKUP(Tabla1[[#This Row],[SISMED]],TblDisponibilidad[],16,FALSE), 0)</f>
        <v>0</v>
      </c>
      <c r="M115">
        <f>IFERROR(VLOOKUP(Tabla1[[#This Row],[SISMED]],TblDisponibilidad[],17,FALSE), 0)</f>
        <v>0</v>
      </c>
      <c r="N115">
        <f>IFERROR(VLOOKUP(Tabla1[[#This Row],[SISMED]],TblDisponibilidad[],18,FALSE), 0)</f>
        <v>0</v>
      </c>
      <c r="O115">
        <f>IFERROR(VLOOKUP(Tabla1[[#This Row],[SISMED]],TblDisponibilidad[],19,FALSE), 0)</f>
        <v>0</v>
      </c>
      <c r="P115">
        <f>IFERROR(VLOOKUP(Tabla1[[#This Row],[SISMED]],TblDisponibilidad[],20,FALSE), 0)</f>
        <v>0</v>
      </c>
      <c r="Q115">
        <f>IFERROR(VLOOKUP(Tabla1[[#This Row],[SISMED]],TblDisponibilidad[],21,FALSE), 0)</f>
        <v>0</v>
      </c>
      <c r="R115">
        <f>IFERROR(VLOOKUP(Tabla1[[#This Row],[SISMED]],TblDisponibilidad[],22,FALSE), 0)</f>
        <v>0</v>
      </c>
      <c r="S115" s="15">
        <f>IFERROR(VLOOKUP(Tabla1[[#This Row],[SISMED]],TblDisponibilidad[],23,FALSE), 0)</f>
        <v>0</v>
      </c>
    </row>
    <row r="116" spans="1:19" x14ac:dyDescent="0.3">
      <c r="A116" s="15" t="s">
        <v>146</v>
      </c>
      <c r="B116" t="str">
        <f>IFERROR(VLOOKUP(Tabla1[[#This Row],[SISMED]],TblDisponibilidad[],2,FALSE), "")</f>
        <v/>
      </c>
      <c r="C116">
        <f>IFERROR(VLOOKUP(Tabla1[[#This Row],[SISMED]],TblDisponibilidad[],7,FALSE), 0)</f>
        <v>0</v>
      </c>
      <c r="D116">
        <f>IFERROR(VLOOKUP(Tabla1[[#This Row],[SISMED]],TblDisponibilidad[],8,FALSE), 0)</f>
        <v>0</v>
      </c>
      <c r="E116">
        <f>IFERROR(VLOOKUP(Tabla1[[#This Row],[SISMED]],TblDisponibilidad[],9,FALSE), 0)</f>
        <v>0</v>
      </c>
      <c r="F116">
        <f>IFERROR(VLOOKUP(Tabla1[[#This Row],[SISMED]],TblDisponibilidad[],10,FALSE), 0)</f>
        <v>0</v>
      </c>
      <c r="G116">
        <f>IFERROR(VLOOKUP(Tabla1[[#This Row],[SISMED]],TblDisponibilidad[],11,FALSE), 0)</f>
        <v>0</v>
      </c>
      <c r="H116">
        <f>IFERROR(VLOOKUP(Tabla1[[#This Row],[SISMED]],TblDisponibilidad[],12,FALSE), 0)</f>
        <v>0</v>
      </c>
      <c r="I116">
        <f>IFERROR(VLOOKUP(Tabla1[[#This Row],[SISMED]],TblDisponibilidad[],13,FALSE), 0)</f>
        <v>0</v>
      </c>
      <c r="J116">
        <f>IFERROR(VLOOKUP(Tabla1[[#This Row],[SISMED]],TblDisponibilidad[],14,FALSE), 0)</f>
        <v>0</v>
      </c>
      <c r="K116">
        <f>IFERROR(VLOOKUP(Tabla1[[#This Row],[SISMED]],TblDisponibilidad[],15,FALSE), 0)</f>
        <v>0</v>
      </c>
      <c r="L116">
        <f>IFERROR(VLOOKUP(Tabla1[[#This Row],[SISMED]],TblDisponibilidad[],16,FALSE), 0)</f>
        <v>0</v>
      </c>
      <c r="M116">
        <f>IFERROR(VLOOKUP(Tabla1[[#This Row],[SISMED]],TblDisponibilidad[],17,FALSE), 0)</f>
        <v>0</v>
      </c>
      <c r="N116">
        <f>IFERROR(VLOOKUP(Tabla1[[#This Row],[SISMED]],TblDisponibilidad[],18,FALSE), 0)</f>
        <v>0</v>
      </c>
      <c r="O116">
        <f>IFERROR(VLOOKUP(Tabla1[[#This Row],[SISMED]],TblDisponibilidad[],19,FALSE), 0)</f>
        <v>0</v>
      </c>
      <c r="P116">
        <f>IFERROR(VLOOKUP(Tabla1[[#This Row],[SISMED]],TblDisponibilidad[],20,FALSE), 0)</f>
        <v>0</v>
      </c>
      <c r="Q116">
        <f>IFERROR(VLOOKUP(Tabla1[[#This Row],[SISMED]],TblDisponibilidad[],21,FALSE), 0)</f>
        <v>0</v>
      </c>
      <c r="R116">
        <f>IFERROR(VLOOKUP(Tabla1[[#This Row],[SISMED]],TblDisponibilidad[],22,FALSE), 0)</f>
        <v>0</v>
      </c>
      <c r="S116" s="15">
        <f>IFERROR(VLOOKUP(Tabla1[[#This Row],[SISMED]],TblDisponibilidad[],23,FALSE), 0)</f>
        <v>0</v>
      </c>
    </row>
    <row r="117" spans="1:19" x14ac:dyDescent="0.3">
      <c r="A117" s="15" t="s">
        <v>147</v>
      </c>
      <c r="B117" t="str">
        <f>IFERROR(VLOOKUP(Tabla1[[#This Row],[SISMED]],TblDisponibilidad[],2,FALSE), "")</f>
        <v/>
      </c>
      <c r="C117">
        <f>IFERROR(VLOOKUP(Tabla1[[#This Row],[SISMED]],TblDisponibilidad[],7,FALSE), 0)</f>
        <v>0</v>
      </c>
      <c r="D117">
        <f>IFERROR(VLOOKUP(Tabla1[[#This Row],[SISMED]],TblDisponibilidad[],8,FALSE), 0)</f>
        <v>0</v>
      </c>
      <c r="E117">
        <f>IFERROR(VLOOKUP(Tabla1[[#This Row],[SISMED]],TblDisponibilidad[],9,FALSE), 0)</f>
        <v>0</v>
      </c>
      <c r="F117">
        <f>IFERROR(VLOOKUP(Tabla1[[#This Row],[SISMED]],TblDisponibilidad[],10,FALSE), 0)</f>
        <v>0</v>
      </c>
      <c r="G117">
        <f>IFERROR(VLOOKUP(Tabla1[[#This Row],[SISMED]],TblDisponibilidad[],11,FALSE), 0)</f>
        <v>0</v>
      </c>
      <c r="H117">
        <f>IFERROR(VLOOKUP(Tabla1[[#This Row],[SISMED]],TblDisponibilidad[],12,FALSE), 0)</f>
        <v>0</v>
      </c>
      <c r="I117">
        <f>IFERROR(VLOOKUP(Tabla1[[#This Row],[SISMED]],TblDisponibilidad[],13,FALSE), 0)</f>
        <v>0</v>
      </c>
      <c r="J117">
        <f>IFERROR(VLOOKUP(Tabla1[[#This Row],[SISMED]],TblDisponibilidad[],14,FALSE), 0)</f>
        <v>0</v>
      </c>
      <c r="K117">
        <f>IFERROR(VLOOKUP(Tabla1[[#This Row],[SISMED]],TblDisponibilidad[],15,FALSE), 0)</f>
        <v>0</v>
      </c>
      <c r="L117">
        <f>IFERROR(VLOOKUP(Tabla1[[#This Row],[SISMED]],TblDisponibilidad[],16,FALSE), 0)</f>
        <v>0</v>
      </c>
      <c r="M117">
        <f>IFERROR(VLOOKUP(Tabla1[[#This Row],[SISMED]],TblDisponibilidad[],17,FALSE), 0)</f>
        <v>0</v>
      </c>
      <c r="N117">
        <f>IFERROR(VLOOKUP(Tabla1[[#This Row],[SISMED]],TblDisponibilidad[],18,FALSE), 0)</f>
        <v>0</v>
      </c>
      <c r="O117">
        <f>IFERROR(VLOOKUP(Tabla1[[#This Row],[SISMED]],TblDisponibilidad[],19,FALSE), 0)</f>
        <v>0</v>
      </c>
      <c r="P117">
        <f>IFERROR(VLOOKUP(Tabla1[[#This Row],[SISMED]],TblDisponibilidad[],20,FALSE), 0)</f>
        <v>0</v>
      </c>
      <c r="Q117">
        <f>IFERROR(VLOOKUP(Tabla1[[#This Row],[SISMED]],TblDisponibilidad[],21,FALSE), 0)</f>
        <v>0</v>
      </c>
      <c r="R117">
        <f>IFERROR(VLOOKUP(Tabla1[[#This Row],[SISMED]],TblDisponibilidad[],22,FALSE), 0)</f>
        <v>0</v>
      </c>
      <c r="S117" s="15">
        <f>IFERROR(VLOOKUP(Tabla1[[#This Row],[SISMED]],TblDisponibilidad[],23,FALSE), 0)</f>
        <v>0</v>
      </c>
    </row>
    <row r="118" spans="1:19" x14ac:dyDescent="0.3">
      <c r="A118" s="15" t="s">
        <v>148</v>
      </c>
      <c r="B118" t="str">
        <f>IFERROR(VLOOKUP(Tabla1[[#This Row],[SISMED]],TblDisponibilidad[],2,FALSE), "")</f>
        <v/>
      </c>
      <c r="C118">
        <f>IFERROR(VLOOKUP(Tabla1[[#This Row],[SISMED]],TblDisponibilidad[],7,FALSE), 0)</f>
        <v>0</v>
      </c>
      <c r="D118">
        <f>IFERROR(VLOOKUP(Tabla1[[#This Row],[SISMED]],TblDisponibilidad[],8,FALSE), 0)</f>
        <v>0</v>
      </c>
      <c r="E118">
        <f>IFERROR(VLOOKUP(Tabla1[[#This Row],[SISMED]],TblDisponibilidad[],9,FALSE), 0)</f>
        <v>0</v>
      </c>
      <c r="F118">
        <f>IFERROR(VLOOKUP(Tabla1[[#This Row],[SISMED]],TblDisponibilidad[],10,FALSE), 0)</f>
        <v>0</v>
      </c>
      <c r="G118">
        <f>IFERROR(VLOOKUP(Tabla1[[#This Row],[SISMED]],TblDisponibilidad[],11,FALSE), 0)</f>
        <v>0</v>
      </c>
      <c r="H118">
        <f>IFERROR(VLOOKUP(Tabla1[[#This Row],[SISMED]],TblDisponibilidad[],12,FALSE), 0)</f>
        <v>0</v>
      </c>
      <c r="I118">
        <f>IFERROR(VLOOKUP(Tabla1[[#This Row],[SISMED]],TblDisponibilidad[],13,FALSE), 0)</f>
        <v>0</v>
      </c>
      <c r="J118">
        <f>IFERROR(VLOOKUP(Tabla1[[#This Row],[SISMED]],TblDisponibilidad[],14,FALSE), 0)</f>
        <v>0</v>
      </c>
      <c r="K118">
        <f>IFERROR(VLOOKUP(Tabla1[[#This Row],[SISMED]],TblDisponibilidad[],15,FALSE), 0)</f>
        <v>0</v>
      </c>
      <c r="L118">
        <f>IFERROR(VLOOKUP(Tabla1[[#This Row],[SISMED]],TblDisponibilidad[],16,FALSE), 0)</f>
        <v>0</v>
      </c>
      <c r="M118">
        <f>IFERROR(VLOOKUP(Tabla1[[#This Row],[SISMED]],TblDisponibilidad[],17,FALSE), 0)</f>
        <v>0</v>
      </c>
      <c r="N118">
        <f>IFERROR(VLOOKUP(Tabla1[[#This Row],[SISMED]],TblDisponibilidad[],18,FALSE), 0)</f>
        <v>0</v>
      </c>
      <c r="O118">
        <f>IFERROR(VLOOKUP(Tabla1[[#This Row],[SISMED]],TblDisponibilidad[],19,FALSE), 0)</f>
        <v>0</v>
      </c>
      <c r="P118">
        <f>IFERROR(VLOOKUP(Tabla1[[#This Row],[SISMED]],TblDisponibilidad[],20,FALSE), 0)</f>
        <v>0</v>
      </c>
      <c r="Q118">
        <f>IFERROR(VLOOKUP(Tabla1[[#This Row],[SISMED]],TblDisponibilidad[],21,FALSE), 0)</f>
        <v>0</v>
      </c>
      <c r="R118">
        <f>IFERROR(VLOOKUP(Tabla1[[#This Row],[SISMED]],TblDisponibilidad[],22,FALSE), 0)</f>
        <v>0</v>
      </c>
      <c r="S118" s="15">
        <f>IFERROR(VLOOKUP(Tabla1[[#This Row],[SISMED]],TblDisponibilidad[],23,FALSE), 0)</f>
        <v>0</v>
      </c>
    </row>
    <row r="119" spans="1:19" x14ac:dyDescent="0.3">
      <c r="A119" s="15" t="s">
        <v>149</v>
      </c>
      <c r="B119" t="str">
        <f>IFERROR(VLOOKUP(Tabla1[[#This Row],[SISMED]],TblDisponibilidad[],2,FALSE), "")</f>
        <v/>
      </c>
      <c r="C119">
        <f>IFERROR(VLOOKUP(Tabla1[[#This Row],[SISMED]],TblDisponibilidad[],7,FALSE), 0)</f>
        <v>0</v>
      </c>
      <c r="D119">
        <f>IFERROR(VLOOKUP(Tabla1[[#This Row],[SISMED]],TblDisponibilidad[],8,FALSE), 0)</f>
        <v>0</v>
      </c>
      <c r="E119">
        <f>IFERROR(VLOOKUP(Tabla1[[#This Row],[SISMED]],TblDisponibilidad[],9,FALSE), 0)</f>
        <v>0</v>
      </c>
      <c r="F119">
        <f>IFERROR(VLOOKUP(Tabla1[[#This Row],[SISMED]],TblDisponibilidad[],10,FALSE), 0)</f>
        <v>0</v>
      </c>
      <c r="G119">
        <f>IFERROR(VLOOKUP(Tabla1[[#This Row],[SISMED]],TblDisponibilidad[],11,FALSE), 0)</f>
        <v>0</v>
      </c>
      <c r="H119">
        <f>IFERROR(VLOOKUP(Tabla1[[#This Row],[SISMED]],TblDisponibilidad[],12,FALSE), 0)</f>
        <v>0</v>
      </c>
      <c r="I119">
        <f>IFERROR(VLOOKUP(Tabla1[[#This Row],[SISMED]],TblDisponibilidad[],13,FALSE), 0)</f>
        <v>0</v>
      </c>
      <c r="J119">
        <f>IFERROR(VLOOKUP(Tabla1[[#This Row],[SISMED]],TblDisponibilidad[],14,FALSE), 0)</f>
        <v>0</v>
      </c>
      <c r="K119">
        <f>IFERROR(VLOOKUP(Tabla1[[#This Row],[SISMED]],TblDisponibilidad[],15,FALSE), 0)</f>
        <v>0</v>
      </c>
      <c r="L119">
        <f>IFERROR(VLOOKUP(Tabla1[[#This Row],[SISMED]],TblDisponibilidad[],16,FALSE), 0)</f>
        <v>0</v>
      </c>
      <c r="M119">
        <f>IFERROR(VLOOKUP(Tabla1[[#This Row],[SISMED]],TblDisponibilidad[],17,FALSE), 0)</f>
        <v>0</v>
      </c>
      <c r="N119">
        <f>IFERROR(VLOOKUP(Tabla1[[#This Row],[SISMED]],TblDisponibilidad[],18,FALSE), 0)</f>
        <v>0</v>
      </c>
      <c r="O119">
        <f>IFERROR(VLOOKUP(Tabla1[[#This Row],[SISMED]],TblDisponibilidad[],19,FALSE), 0)</f>
        <v>0</v>
      </c>
      <c r="P119">
        <f>IFERROR(VLOOKUP(Tabla1[[#This Row],[SISMED]],TblDisponibilidad[],20,FALSE), 0)</f>
        <v>0</v>
      </c>
      <c r="Q119">
        <f>IFERROR(VLOOKUP(Tabla1[[#This Row],[SISMED]],TblDisponibilidad[],21,FALSE), 0)</f>
        <v>0</v>
      </c>
      <c r="R119">
        <f>IFERROR(VLOOKUP(Tabla1[[#This Row],[SISMED]],TblDisponibilidad[],22,FALSE), 0)</f>
        <v>0</v>
      </c>
      <c r="S119" s="15">
        <f>IFERROR(VLOOKUP(Tabla1[[#This Row],[SISMED]],TblDisponibilidad[],23,FALSE), 0)</f>
        <v>0</v>
      </c>
    </row>
    <row r="120" spans="1:19" x14ac:dyDescent="0.3">
      <c r="A120" s="15" t="s">
        <v>150</v>
      </c>
      <c r="B120" t="str">
        <f>IFERROR(VLOOKUP(Tabla1[[#This Row],[SISMED]],TblDisponibilidad[],2,FALSE), "")</f>
        <v/>
      </c>
      <c r="C120">
        <f>IFERROR(VLOOKUP(Tabla1[[#This Row],[SISMED]],TblDisponibilidad[],7,FALSE), 0)</f>
        <v>0</v>
      </c>
      <c r="D120">
        <f>IFERROR(VLOOKUP(Tabla1[[#This Row],[SISMED]],TblDisponibilidad[],8,FALSE), 0)</f>
        <v>0</v>
      </c>
      <c r="E120">
        <f>IFERROR(VLOOKUP(Tabla1[[#This Row],[SISMED]],TblDisponibilidad[],9,FALSE), 0)</f>
        <v>0</v>
      </c>
      <c r="F120">
        <f>IFERROR(VLOOKUP(Tabla1[[#This Row],[SISMED]],TblDisponibilidad[],10,FALSE), 0)</f>
        <v>0</v>
      </c>
      <c r="G120">
        <f>IFERROR(VLOOKUP(Tabla1[[#This Row],[SISMED]],TblDisponibilidad[],11,FALSE), 0)</f>
        <v>0</v>
      </c>
      <c r="H120">
        <f>IFERROR(VLOOKUP(Tabla1[[#This Row],[SISMED]],TblDisponibilidad[],12,FALSE), 0)</f>
        <v>0</v>
      </c>
      <c r="I120">
        <f>IFERROR(VLOOKUP(Tabla1[[#This Row],[SISMED]],TblDisponibilidad[],13,FALSE), 0)</f>
        <v>0</v>
      </c>
      <c r="J120">
        <f>IFERROR(VLOOKUP(Tabla1[[#This Row],[SISMED]],TblDisponibilidad[],14,FALSE), 0)</f>
        <v>0</v>
      </c>
      <c r="K120">
        <f>IFERROR(VLOOKUP(Tabla1[[#This Row],[SISMED]],TblDisponibilidad[],15,FALSE), 0)</f>
        <v>0</v>
      </c>
      <c r="L120">
        <f>IFERROR(VLOOKUP(Tabla1[[#This Row],[SISMED]],TblDisponibilidad[],16,FALSE), 0)</f>
        <v>0</v>
      </c>
      <c r="M120">
        <f>IFERROR(VLOOKUP(Tabla1[[#This Row],[SISMED]],TblDisponibilidad[],17,FALSE), 0)</f>
        <v>0</v>
      </c>
      <c r="N120">
        <f>IFERROR(VLOOKUP(Tabla1[[#This Row],[SISMED]],TblDisponibilidad[],18,FALSE), 0)</f>
        <v>0</v>
      </c>
      <c r="O120">
        <f>IFERROR(VLOOKUP(Tabla1[[#This Row],[SISMED]],TblDisponibilidad[],19,FALSE), 0)</f>
        <v>0</v>
      </c>
      <c r="P120">
        <f>IFERROR(VLOOKUP(Tabla1[[#This Row],[SISMED]],TblDisponibilidad[],20,FALSE), 0)</f>
        <v>0</v>
      </c>
      <c r="Q120">
        <f>IFERROR(VLOOKUP(Tabla1[[#This Row],[SISMED]],TblDisponibilidad[],21,FALSE), 0)</f>
        <v>0</v>
      </c>
      <c r="R120">
        <f>IFERROR(VLOOKUP(Tabla1[[#This Row],[SISMED]],TblDisponibilidad[],22,FALSE), 0)</f>
        <v>0</v>
      </c>
      <c r="S120" s="15">
        <f>IFERROR(VLOOKUP(Tabla1[[#This Row],[SISMED]],TblDisponibilidad[],23,FALSE), 0)</f>
        <v>0</v>
      </c>
    </row>
    <row r="121" spans="1:19" x14ac:dyDescent="0.3">
      <c r="A121" s="15" t="s">
        <v>151</v>
      </c>
      <c r="B121" t="str">
        <f>IFERROR(VLOOKUP(Tabla1[[#This Row],[SISMED]],TblDisponibilidad[],2,FALSE), "")</f>
        <v/>
      </c>
      <c r="C121">
        <f>IFERROR(VLOOKUP(Tabla1[[#This Row],[SISMED]],TblDisponibilidad[],7,FALSE), 0)</f>
        <v>0</v>
      </c>
      <c r="D121">
        <f>IFERROR(VLOOKUP(Tabla1[[#This Row],[SISMED]],TblDisponibilidad[],8,FALSE), 0)</f>
        <v>0</v>
      </c>
      <c r="E121">
        <f>IFERROR(VLOOKUP(Tabla1[[#This Row],[SISMED]],TblDisponibilidad[],9,FALSE), 0)</f>
        <v>0</v>
      </c>
      <c r="F121">
        <f>IFERROR(VLOOKUP(Tabla1[[#This Row],[SISMED]],TblDisponibilidad[],10,FALSE), 0)</f>
        <v>0</v>
      </c>
      <c r="G121">
        <f>IFERROR(VLOOKUP(Tabla1[[#This Row],[SISMED]],TblDisponibilidad[],11,FALSE), 0)</f>
        <v>0</v>
      </c>
      <c r="H121">
        <f>IFERROR(VLOOKUP(Tabla1[[#This Row],[SISMED]],TblDisponibilidad[],12,FALSE), 0)</f>
        <v>0</v>
      </c>
      <c r="I121">
        <f>IFERROR(VLOOKUP(Tabla1[[#This Row],[SISMED]],TblDisponibilidad[],13,FALSE), 0)</f>
        <v>0</v>
      </c>
      <c r="J121">
        <f>IFERROR(VLOOKUP(Tabla1[[#This Row],[SISMED]],TblDisponibilidad[],14,FALSE), 0)</f>
        <v>0</v>
      </c>
      <c r="K121">
        <f>IFERROR(VLOOKUP(Tabla1[[#This Row],[SISMED]],TblDisponibilidad[],15,FALSE), 0)</f>
        <v>0</v>
      </c>
      <c r="L121">
        <f>IFERROR(VLOOKUP(Tabla1[[#This Row],[SISMED]],TblDisponibilidad[],16,FALSE), 0)</f>
        <v>0</v>
      </c>
      <c r="M121">
        <f>IFERROR(VLOOKUP(Tabla1[[#This Row],[SISMED]],TblDisponibilidad[],17,FALSE), 0)</f>
        <v>0</v>
      </c>
      <c r="N121">
        <f>IFERROR(VLOOKUP(Tabla1[[#This Row],[SISMED]],TblDisponibilidad[],18,FALSE), 0)</f>
        <v>0</v>
      </c>
      <c r="O121">
        <f>IFERROR(VLOOKUP(Tabla1[[#This Row],[SISMED]],TblDisponibilidad[],19,FALSE), 0)</f>
        <v>0</v>
      </c>
      <c r="P121">
        <f>IFERROR(VLOOKUP(Tabla1[[#This Row],[SISMED]],TblDisponibilidad[],20,FALSE), 0)</f>
        <v>0</v>
      </c>
      <c r="Q121">
        <f>IFERROR(VLOOKUP(Tabla1[[#This Row],[SISMED]],TblDisponibilidad[],21,FALSE), 0)</f>
        <v>0</v>
      </c>
      <c r="R121">
        <f>IFERROR(VLOOKUP(Tabla1[[#This Row],[SISMED]],TblDisponibilidad[],22,FALSE), 0)</f>
        <v>0</v>
      </c>
      <c r="S121" s="15">
        <f>IFERROR(VLOOKUP(Tabla1[[#This Row],[SISMED]],TblDisponibilidad[],23,FALSE), 0)</f>
        <v>0</v>
      </c>
    </row>
    <row r="122" spans="1:19" x14ac:dyDescent="0.3">
      <c r="A122" s="15" t="s">
        <v>152</v>
      </c>
      <c r="B122" t="str">
        <f>IFERROR(VLOOKUP(Tabla1[[#This Row],[SISMED]],TblDisponibilidad[],2,FALSE), "")</f>
        <v/>
      </c>
      <c r="C122">
        <f>IFERROR(VLOOKUP(Tabla1[[#This Row],[SISMED]],TblDisponibilidad[],7,FALSE), 0)</f>
        <v>0</v>
      </c>
      <c r="D122">
        <f>IFERROR(VLOOKUP(Tabla1[[#This Row],[SISMED]],TblDisponibilidad[],8,FALSE), 0)</f>
        <v>0</v>
      </c>
      <c r="E122">
        <f>IFERROR(VLOOKUP(Tabla1[[#This Row],[SISMED]],TblDisponibilidad[],9,FALSE), 0)</f>
        <v>0</v>
      </c>
      <c r="F122">
        <f>IFERROR(VLOOKUP(Tabla1[[#This Row],[SISMED]],TblDisponibilidad[],10,FALSE), 0)</f>
        <v>0</v>
      </c>
      <c r="G122">
        <f>IFERROR(VLOOKUP(Tabla1[[#This Row],[SISMED]],TblDisponibilidad[],11,FALSE), 0)</f>
        <v>0</v>
      </c>
      <c r="H122">
        <f>IFERROR(VLOOKUP(Tabla1[[#This Row],[SISMED]],TblDisponibilidad[],12,FALSE), 0)</f>
        <v>0</v>
      </c>
      <c r="I122">
        <f>IFERROR(VLOOKUP(Tabla1[[#This Row],[SISMED]],TblDisponibilidad[],13,FALSE), 0)</f>
        <v>0</v>
      </c>
      <c r="J122">
        <f>IFERROR(VLOOKUP(Tabla1[[#This Row],[SISMED]],TblDisponibilidad[],14,FALSE), 0)</f>
        <v>0</v>
      </c>
      <c r="K122">
        <f>IFERROR(VLOOKUP(Tabla1[[#This Row],[SISMED]],TblDisponibilidad[],15,FALSE), 0)</f>
        <v>0</v>
      </c>
      <c r="L122">
        <f>IFERROR(VLOOKUP(Tabla1[[#This Row],[SISMED]],TblDisponibilidad[],16,FALSE), 0)</f>
        <v>0</v>
      </c>
      <c r="M122">
        <f>IFERROR(VLOOKUP(Tabla1[[#This Row],[SISMED]],TblDisponibilidad[],17,FALSE), 0)</f>
        <v>0</v>
      </c>
      <c r="N122">
        <f>IFERROR(VLOOKUP(Tabla1[[#This Row],[SISMED]],TblDisponibilidad[],18,FALSE), 0)</f>
        <v>0</v>
      </c>
      <c r="O122">
        <f>IFERROR(VLOOKUP(Tabla1[[#This Row],[SISMED]],TblDisponibilidad[],19,FALSE), 0)</f>
        <v>0</v>
      </c>
      <c r="P122">
        <f>IFERROR(VLOOKUP(Tabla1[[#This Row],[SISMED]],TblDisponibilidad[],20,FALSE), 0)</f>
        <v>0</v>
      </c>
      <c r="Q122">
        <f>IFERROR(VLOOKUP(Tabla1[[#This Row],[SISMED]],TblDisponibilidad[],21,FALSE), 0)</f>
        <v>0</v>
      </c>
      <c r="R122">
        <f>IFERROR(VLOOKUP(Tabla1[[#This Row],[SISMED]],TblDisponibilidad[],22,FALSE), 0)</f>
        <v>0</v>
      </c>
      <c r="S122" s="15">
        <f>IFERROR(VLOOKUP(Tabla1[[#This Row],[SISMED]],TblDisponibilidad[],23,FALSE), 0)</f>
        <v>0</v>
      </c>
    </row>
    <row r="123" spans="1:19" x14ac:dyDescent="0.3">
      <c r="A123" s="15" t="s">
        <v>153</v>
      </c>
      <c r="B123" t="str">
        <f>IFERROR(VLOOKUP(Tabla1[[#This Row],[SISMED]],TblDisponibilidad[],2,FALSE), "")</f>
        <v/>
      </c>
      <c r="C123">
        <f>IFERROR(VLOOKUP(Tabla1[[#This Row],[SISMED]],TblDisponibilidad[],7,FALSE), 0)</f>
        <v>0</v>
      </c>
      <c r="D123">
        <f>IFERROR(VLOOKUP(Tabla1[[#This Row],[SISMED]],TblDisponibilidad[],8,FALSE), 0)</f>
        <v>0</v>
      </c>
      <c r="E123">
        <f>IFERROR(VLOOKUP(Tabla1[[#This Row],[SISMED]],TblDisponibilidad[],9,FALSE), 0)</f>
        <v>0</v>
      </c>
      <c r="F123">
        <f>IFERROR(VLOOKUP(Tabla1[[#This Row],[SISMED]],TblDisponibilidad[],10,FALSE), 0)</f>
        <v>0</v>
      </c>
      <c r="G123">
        <f>IFERROR(VLOOKUP(Tabla1[[#This Row],[SISMED]],TblDisponibilidad[],11,FALSE), 0)</f>
        <v>0</v>
      </c>
      <c r="H123">
        <f>IFERROR(VLOOKUP(Tabla1[[#This Row],[SISMED]],TblDisponibilidad[],12,FALSE), 0)</f>
        <v>0</v>
      </c>
      <c r="I123">
        <f>IFERROR(VLOOKUP(Tabla1[[#This Row],[SISMED]],TblDisponibilidad[],13,FALSE), 0)</f>
        <v>0</v>
      </c>
      <c r="J123">
        <f>IFERROR(VLOOKUP(Tabla1[[#This Row],[SISMED]],TblDisponibilidad[],14,FALSE), 0)</f>
        <v>0</v>
      </c>
      <c r="K123">
        <f>IFERROR(VLOOKUP(Tabla1[[#This Row],[SISMED]],TblDisponibilidad[],15,FALSE), 0)</f>
        <v>0</v>
      </c>
      <c r="L123">
        <f>IFERROR(VLOOKUP(Tabla1[[#This Row],[SISMED]],TblDisponibilidad[],16,FALSE), 0)</f>
        <v>0</v>
      </c>
      <c r="M123">
        <f>IFERROR(VLOOKUP(Tabla1[[#This Row],[SISMED]],TblDisponibilidad[],17,FALSE), 0)</f>
        <v>0</v>
      </c>
      <c r="N123">
        <f>IFERROR(VLOOKUP(Tabla1[[#This Row],[SISMED]],TblDisponibilidad[],18,FALSE), 0)</f>
        <v>0</v>
      </c>
      <c r="O123">
        <f>IFERROR(VLOOKUP(Tabla1[[#This Row],[SISMED]],TblDisponibilidad[],19,FALSE), 0)</f>
        <v>0</v>
      </c>
      <c r="P123">
        <f>IFERROR(VLOOKUP(Tabla1[[#This Row],[SISMED]],TblDisponibilidad[],20,FALSE), 0)</f>
        <v>0</v>
      </c>
      <c r="Q123">
        <f>IFERROR(VLOOKUP(Tabla1[[#This Row],[SISMED]],TblDisponibilidad[],21,FALSE), 0)</f>
        <v>0</v>
      </c>
      <c r="R123">
        <f>IFERROR(VLOOKUP(Tabla1[[#This Row],[SISMED]],TblDisponibilidad[],22,FALSE), 0)</f>
        <v>0</v>
      </c>
      <c r="S123" s="15">
        <f>IFERROR(VLOOKUP(Tabla1[[#This Row],[SISMED]],TblDisponibilidad[],23,FALSE), 0)</f>
        <v>0</v>
      </c>
    </row>
    <row r="124" spans="1:19" x14ac:dyDescent="0.3">
      <c r="A124" s="15" t="s">
        <v>154</v>
      </c>
      <c r="B124" t="str">
        <f>IFERROR(VLOOKUP(Tabla1[[#This Row],[SISMED]],TblDisponibilidad[],2,FALSE), "")</f>
        <v/>
      </c>
      <c r="C124">
        <f>IFERROR(VLOOKUP(Tabla1[[#This Row],[SISMED]],TblDisponibilidad[],7,FALSE), 0)</f>
        <v>0</v>
      </c>
      <c r="D124">
        <f>IFERROR(VLOOKUP(Tabla1[[#This Row],[SISMED]],TblDisponibilidad[],8,FALSE), 0)</f>
        <v>0</v>
      </c>
      <c r="E124">
        <f>IFERROR(VLOOKUP(Tabla1[[#This Row],[SISMED]],TblDisponibilidad[],9,FALSE), 0)</f>
        <v>0</v>
      </c>
      <c r="F124">
        <f>IFERROR(VLOOKUP(Tabla1[[#This Row],[SISMED]],TblDisponibilidad[],10,FALSE), 0)</f>
        <v>0</v>
      </c>
      <c r="G124">
        <f>IFERROR(VLOOKUP(Tabla1[[#This Row],[SISMED]],TblDisponibilidad[],11,FALSE), 0)</f>
        <v>0</v>
      </c>
      <c r="H124">
        <f>IFERROR(VLOOKUP(Tabla1[[#This Row],[SISMED]],TblDisponibilidad[],12,FALSE), 0)</f>
        <v>0</v>
      </c>
      <c r="I124">
        <f>IFERROR(VLOOKUP(Tabla1[[#This Row],[SISMED]],TblDisponibilidad[],13,FALSE), 0)</f>
        <v>0</v>
      </c>
      <c r="J124">
        <f>IFERROR(VLOOKUP(Tabla1[[#This Row],[SISMED]],TblDisponibilidad[],14,FALSE), 0)</f>
        <v>0</v>
      </c>
      <c r="K124">
        <f>IFERROR(VLOOKUP(Tabla1[[#This Row],[SISMED]],TblDisponibilidad[],15,FALSE), 0)</f>
        <v>0</v>
      </c>
      <c r="L124">
        <f>IFERROR(VLOOKUP(Tabla1[[#This Row],[SISMED]],TblDisponibilidad[],16,FALSE), 0)</f>
        <v>0</v>
      </c>
      <c r="M124">
        <f>IFERROR(VLOOKUP(Tabla1[[#This Row],[SISMED]],TblDisponibilidad[],17,FALSE), 0)</f>
        <v>0</v>
      </c>
      <c r="N124">
        <f>IFERROR(VLOOKUP(Tabla1[[#This Row],[SISMED]],TblDisponibilidad[],18,FALSE), 0)</f>
        <v>0</v>
      </c>
      <c r="O124">
        <f>IFERROR(VLOOKUP(Tabla1[[#This Row],[SISMED]],TblDisponibilidad[],19,FALSE), 0)</f>
        <v>0</v>
      </c>
      <c r="P124">
        <f>IFERROR(VLOOKUP(Tabla1[[#This Row],[SISMED]],TblDisponibilidad[],20,FALSE), 0)</f>
        <v>0</v>
      </c>
      <c r="Q124">
        <f>IFERROR(VLOOKUP(Tabla1[[#This Row],[SISMED]],TblDisponibilidad[],21,FALSE), 0)</f>
        <v>0</v>
      </c>
      <c r="R124">
        <f>IFERROR(VLOOKUP(Tabla1[[#This Row],[SISMED]],TblDisponibilidad[],22,FALSE), 0)</f>
        <v>0</v>
      </c>
      <c r="S124" s="15">
        <f>IFERROR(VLOOKUP(Tabla1[[#This Row],[SISMED]],TblDisponibilidad[],23,FALSE), 0)</f>
        <v>0</v>
      </c>
    </row>
    <row r="125" spans="1:19" x14ac:dyDescent="0.3">
      <c r="A125" s="15" t="s">
        <v>155</v>
      </c>
      <c r="B125" t="str">
        <f>IFERROR(VLOOKUP(Tabla1[[#This Row],[SISMED]],TblDisponibilidad[],2,FALSE), "")</f>
        <v/>
      </c>
      <c r="C125">
        <f>IFERROR(VLOOKUP(Tabla1[[#This Row],[SISMED]],TblDisponibilidad[],7,FALSE), 0)</f>
        <v>0</v>
      </c>
      <c r="D125">
        <f>IFERROR(VLOOKUP(Tabla1[[#This Row],[SISMED]],TblDisponibilidad[],8,FALSE), 0)</f>
        <v>0</v>
      </c>
      <c r="E125">
        <f>IFERROR(VLOOKUP(Tabla1[[#This Row],[SISMED]],TblDisponibilidad[],9,FALSE), 0)</f>
        <v>0</v>
      </c>
      <c r="F125">
        <f>IFERROR(VLOOKUP(Tabla1[[#This Row],[SISMED]],TblDisponibilidad[],10,FALSE), 0)</f>
        <v>0</v>
      </c>
      <c r="G125">
        <f>IFERROR(VLOOKUP(Tabla1[[#This Row],[SISMED]],TblDisponibilidad[],11,FALSE), 0)</f>
        <v>0</v>
      </c>
      <c r="H125">
        <f>IFERROR(VLOOKUP(Tabla1[[#This Row],[SISMED]],TblDisponibilidad[],12,FALSE), 0)</f>
        <v>0</v>
      </c>
      <c r="I125">
        <f>IFERROR(VLOOKUP(Tabla1[[#This Row],[SISMED]],TblDisponibilidad[],13,FALSE), 0)</f>
        <v>0</v>
      </c>
      <c r="J125">
        <f>IFERROR(VLOOKUP(Tabla1[[#This Row],[SISMED]],TblDisponibilidad[],14,FALSE), 0)</f>
        <v>0</v>
      </c>
      <c r="K125">
        <f>IFERROR(VLOOKUP(Tabla1[[#This Row],[SISMED]],TblDisponibilidad[],15,FALSE), 0)</f>
        <v>0</v>
      </c>
      <c r="L125">
        <f>IFERROR(VLOOKUP(Tabla1[[#This Row],[SISMED]],TblDisponibilidad[],16,FALSE), 0)</f>
        <v>0</v>
      </c>
      <c r="M125">
        <f>IFERROR(VLOOKUP(Tabla1[[#This Row],[SISMED]],TblDisponibilidad[],17,FALSE), 0)</f>
        <v>0</v>
      </c>
      <c r="N125">
        <f>IFERROR(VLOOKUP(Tabla1[[#This Row],[SISMED]],TblDisponibilidad[],18,FALSE), 0)</f>
        <v>0</v>
      </c>
      <c r="O125">
        <f>IFERROR(VLOOKUP(Tabla1[[#This Row],[SISMED]],TblDisponibilidad[],19,FALSE), 0)</f>
        <v>0</v>
      </c>
      <c r="P125">
        <f>IFERROR(VLOOKUP(Tabla1[[#This Row],[SISMED]],TblDisponibilidad[],20,FALSE), 0)</f>
        <v>0</v>
      </c>
      <c r="Q125">
        <f>IFERROR(VLOOKUP(Tabla1[[#This Row],[SISMED]],TblDisponibilidad[],21,FALSE), 0)</f>
        <v>0</v>
      </c>
      <c r="R125">
        <f>IFERROR(VLOOKUP(Tabla1[[#This Row],[SISMED]],TblDisponibilidad[],22,FALSE), 0)</f>
        <v>0</v>
      </c>
      <c r="S125" s="15">
        <f>IFERROR(VLOOKUP(Tabla1[[#This Row],[SISMED]],TblDisponibilidad[],23,FALSE), 0)</f>
        <v>0</v>
      </c>
    </row>
    <row r="126" spans="1:19" x14ac:dyDescent="0.3">
      <c r="A126" s="15" t="s">
        <v>156</v>
      </c>
      <c r="B126" t="str">
        <f>IFERROR(VLOOKUP(Tabla1[[#This Row],[SISMED]],TblDisponibilidad[],2,FALSE), "")</f>
        <v/>
      </c>
      <c r="C126">
        <f>IFERROR(VLOOKUP(Tabla1[[#This Row],[SISMED]],TblDisponibilidad[],7,FALSE), 0)</f>
        <v>0</v>
      </c>
      <c r="D126">
        <f>IFERROR(VLOOKUP(Tabla1[[#This Row],[SISMED]],TblDisponibilidad[],8,FALSE), 0)</f>
        <v>0</v>
      </c>
      <c r="E126">
        <f>IFERROR(VLOOKUP(Tabla1[[#This Row],[SISMED]],TblDisponibilidad[],9,FALSE), 0)</f>
        <v>0</v>
      </c>
      <c r="F126">
        <f>IFERROR(VLOOKUP(Tabla1[[#This Row],[SISMED]],TblDisponibilidad[],10,FALSE), 0)</f>
        <v>0</v>
      </c>
      <c r="G126">
        <f>IFERROR(VLOOKUP(Tabla1[[#This Row],[SISMED]],TblDisponibilidad[],11,FALSE), 0)</f>
        <v>0</v>
      </c>
      <c r="H126">
        <f>IFERROR(VLOOKUP(Tabla1[[#This Row],[SISMED]],TblDisponibilidad[],12,FALSE), 0)</f>
        <v>0</v>
      </c>
      <c r="I126">
        <f>IFERROR(VLOOKUP(Tabla1[[#This Row],[SISMED]],TblDisponibilidad[],13,FALSE), 0)</f>
        <v>0</v>
      </c>
      <c r="J126">
        <f>IFERROR(VLOOKUP(Tabla1[[#This Row],[SISMED]],TblDisponibilidad[],14,FALSE), 0)</f>
        <v>0</v>
      </c>
      <c r="K126">
        <f>IFERROR(VLOOKUP(Tabla1[[#This Row],[SISMED]],TblDisponibilidad[],15,FALSE), 0)</f>
        <v>0</v>
      </c>
      <c r="L126">
        <f>IFERROR(VLOOKUP(Tabla1[[#This Row],[SISMED]],TblDisponibilidad[],16,FALSE), 0)</f>
        <v>0</v>
      </c>
      <c r="M126">
        <f>IFERROR(VLOOKUP(Tabla1[[#This Row],[SISMED]],TblDisponibilidad[],17,FALSE), 0)</f>
        <v>0</v>
      </c>
      <c r="N126">
        <f>IFERROR(VLOOKUP(Tabla1[[#This Row],[SISMED]],TblDisponibilidad[],18,FALSE), 0)</f>
        <v>0</v>
      </c>
      <c r="O126">
        <f>IFERROR(VLOOKUP(Tabla1[[#This Row],[SISMED]],TblDisponibilidad[],19,FALSE), 0)</f>
        <v>0</v>
      </c>
      <c r="P126">
        <f>IFERROR(VLOOKUP(Tabla1[[#This Row],[SISMED]],TblDisponibilidad[],20,FALSE), 0)</f>
        <v>0</v>
      </c>
      <c r="Q126">
        <f>IFERROR(VLOOKUP(Tabla1[[#This Row],[SISMED]],TblDisponibilidad[],21,FALSE), 0)</f>
        <v>0</v>
      </c>
      <c r="R126">
        <f>IFERROR(VLOOKUP(Tabla1[[#This Row],[SISMED]],TblDisponibilidad[],22,FALSE), 0)</f>
        <v>0</v>
      </c>
      <c r="S126" s="15">
        <f>IFERROR(VLOOKUP(Tabla1[[#This Row],[SISMED]],TblDisponibilidad[],23,FALSE), 0)</f>
        <v>0</v>
      </c>
    </row>
    <row r="127" spans="1:19" x14ac:dyDescent="0.3">
      <c r="A127" s="15" t="s">
        <v>157</v>
      </c>
      <c r="B127" t="str">
        <f>IFERROR(VLOOKUP(Tabla1[[#This Row],[SISMED]],TblDisponibilidad[],2,FALSE), "")</f>
        <v/>
      </c>
      <c r="C127">
        <f>IFERROR(VLOOKUP(Tabla1[[#This Row],[SISMED]],TblDisponibilidad[],7,FALSE), 0)</f>
        <v>0</v>
      </c>
      <c r="D127">
        <f>IFERROR(VLOOKUP(Tabla1[[#This Row],[SISMED]],TblDisponibilidad[],8,FALSE), 0)</f>
        <v>0</v>
      </c>
      <c r="E127">
        <f>IFERROR(VLOOKUP(Tabla1[[#This Row],[SISMED]],TblDisponibilidad[],9,FALSE), 0)</f>
        <v>0</v>
      </c>
      <c r="F127">
        <f>IFERROR(VLOOKUP(Tabla1[[#This Row],[SISMED]],TblDisponibilidad[],10,FALSE), 0)</f>
        <v>0</v>
      </c>
      <c r="G127">
        <f>IFERROR(VLOOKUP(Tabla1[[#This Row],[SISMED]],TblDisponibilidad[],11,FALSE), 0)</f>
        <v>0</v>
      </c>
      <c r="H127">
        <f>IFERROR(VLOOKUP(Tabla1[[#This Row],[SISMED]],TblDisponibilidad[],12,FALSE), 0)</f>
        <v>0</v>
      </c>
      <c r="I127">
        <f>IFERROR(VLOOKUP(Tabla1[[#This Row],[SISMED]],TblDisponibilidad[],13,FALSE), 0)</f>
        <v>0</v>
      </c>
      <c r="J127">
        <f>IFERROR(VLOOKUP(Tabla1[[#This Row],[SISMED]],TblDisponibilidad[],14,FALSE), 0)</f>
        <v>0</v>
      </c>
      <c r="K127">
        <f>IFERROR(VLOOKUP(Tabla1[[#This Row],[SISMED]],TblDisponibilidad[],15,FALSE), 0)</f>
        <v>0</v>
      </c>
      <c r="L127">
        <f>IFERROR(VLOOKUP(Tabla1[[#This Row],[SISMED]],TblDisponibilidad[],16,FALSE), 0)</f>
        <v>0</v>
      </c>
      <c r="M127">
        <f>IFERROR(VLOOKUP(Tabla1[[#This Row],[SISMED]],TblDisponibilidad[],17,FALSE), 0)</f>
        <v>0</v>
      </c>
      <c r="N127">
        <f>IFERROR(VLOOKUP(Tabla1[[#This Row],[SISMED]],TblDisponibilidad[],18,FALSE), 0)</f>
        <v>0</v>
      </c>
      <c r="O127">
        <f>IFERROR(VLOOKUP(Tabla1[[#This Row],[SISMED]],TblDisponibilidad[],19,FALSE), 0)</f>
        <v>0</v>
      </c>
      <c r="P127">
        <f>IFERROR(VLOOKUP(Tabla1[[#This Row],[SISMED]],TblDisponibilidad[],20,FALSE), 0)</f>
        <v>0</v>
      </c>
      <c r="Q127">
        <f>IFERROR(VLOOKUP(Tabla1[[#This Row],[SISMED]],TblDisponibilidad[],21,FALSE), 0)</f>
        <v>0</v>
      </c>
      <c r="R127">
        <f>IFERROR(VLOOKUP(Tabla1[[#This Row],[SISMED]],TblDisponibilidad[],22,FALSE), 0)</f>
        <v>0</v>
      </c>
      <c r="S127" s="15">
        <f>IFERROR(VLOOKUP(Tabla1[[#This Row],[SISMED]],TblDisponibilidad[],23,FALSE), 0)</f>
        <v>0</v>
      </c>
    </row>
    <row r="128" spans="1:19" x14ac:dyDescent="0.3">
      <c r="A128" s="15" t="s">
        <v>158</v>
      </c>
      <c r="B128" t="str">
        <f>IFERROR(VLOOKUP(Tabla1[[#This Row],[SISMED]],TblDisponibilidad[],2,FALSE), "")</f>
        <v/>
      </c>
      <c r="C128">
        <f>IFERROR(VLOOKUP(Tabla1[[#This Row],[SISMED]],TblDisponibilidad[],7,FALSE), 0)</f>
        <v>0</v>
      </c>
      <c r="D128">
        <f>IFERROR(VLOOKUP(Tabla1[[#This Row],[SISMED]],TblDisponibilidad[],8,FALSE), 0)</f>
        <v>0</v>
      </c>
      <c r="E128">
        <f>IFERROR(VLOOKUP(Tabla1[[#This Row],[SISMED]],TblDisponibilidad[],9,FALSE), 0)</f>
        <v>0</v>
      </c>
      <c r="F128">
        <f>IFERROR(VLOOKUP(Tabla1[[#This Row],[SISMED]],TblDisponibilidad[],10,FALSE), 0)</f>
        <v>0</v>
      </c>
      <c r="G128">
        <f>IFERROR(VLOOKUP(Tabla1[[#This Row],[SISMED]],TblDisponibilidad[],11,FALSE), 0)</f>
        <v>0</v>
      </c>
      <c r="H128">
        <f>IFERROR(VLOOKUP(Tabla1[[#This Row],[SISMED]],TblDisponibilidad[],12,FALSE), 0)</f>
        <v>0</v>
      </c>
      <c r="I128">
        <f>IFERROR(VLOOKUP(Tabla1[[#This Row],[SISMED]],TblDisponibilidad[],13,FALSE), 0)</f>
        <v>0</v>
      </c>
      <c r="J128">
        <f>IFERROR(VLOOKUP(Tabla1[[#This Row],[SISMED]],TblDisponibilidad[],14,FALSE), 0)</f>
        <v>0</v>
      </c>
      <c r="K128">
        <f>IFERROR(VLOOKUP(Tabla1[[#This Row],[SISMED]],TblDisponibilidad[],15,FALSE), 0)</f>
        <v>0</v>
      </c>
      <c r="L128">
        <f>IFERROR(VLOOKUP(Tabla1[[#This Row],[SISMED]],TblDisponibilidad[],16,FALSE), 0)</f>
        <v>0</v>
      </c>
      <c r="M128">
        <f>IFERROR(VLOOKUP(Tabla1[[#This Row],[SISMED]],TblDisponibilidad[],17,FALSE), 0)</f>
        <v>0</v>
      </c>
      <c r="N128">
        <f>IFERROR(VLOOKUP(Tabla1[[#This Row],[SISMED]],TblDisponibilidad[],18,FALSE), 0)</f>
        <v>0</v>
      </c>
      <c r="O128">
        <f>IFERROR(VLOOKUP(Tabla1[[#This Row],[SISMED]],TblDisponibilidad[],19,FALSE), 0)</f>
        <v>0</v>
      </c>
      <c r="P128">
        <f>IFERROR(VLOOKUP(Tabla1[[#This Row],[SISMED]],TblDisponibilidad[],20,FALSE), 0)</f>
        <v>0</v>
      </c>
      <c r="Q128">
        <f>IFERROR(VLOOKUP(Tabla1[[#This Row],[SISMED]],TblDisponibilidad[],21,FALSE), 0)</f>
        <v>0</v>
      </c>
      <c r="R128">
        <f>IFERROR(VLOOKUP(Tabla1[[#This Row],[SISMED]],TblDisponibilidad[],22,FALSE), 0)</f>
        <v>0</v>
      </c>
      <c r="S128" s="15">
        <f>IFERROR(VLOOKUP(Tabla1[[#This Row],[SISMED]],TblDisponibilidad[],23,FALSE), 0)</f>
        <v>0</v>
      </c>
    </row>
    <row r="129" spans="1:19" x14ac:dyDescent="0.3">
      <c r="A129" s="15" t="s">
        <v>159</v>
      </c>
      <c r="B129" t="str">
        <f>IFERROR(VLOOKUP(Tabla1[[#This Row],[SISMED]],TblDisponibilidad[],2,FALSE), "")</f>
        <v/>
      </c>
      <c r="C129">
        <f>IFERROR(VLOOKUP(Tabla1[[#This Row],[SISMED]],TblDisponibilidad[],7,FALSE), 0)</f>
        <v>0</v>
      </c>
      <c r="D129">
        <f>IFERROR(VLOOKUP(Tabla1[[#This Row],[SISMED]],TblDisponibilidad[],8,FALSE), 0)</f>
        <v>0</v>
      </c>
      <c r="E129">
        <f>IFERROR(VLOOKUP(Tabla1[[#This Row],[SISMED]],TblDisponibilidad[],9,FALSE), 0)</f>
        <v>0</v>
      </c>
      <c r="F129">
        <f>IFERROR(VLOOKUP(Tabla1[[#This Row],[SISMED]],TblDisponibilidad[],10,FALSE), 0)</f>
        <v>0</v>
      </c>
      <c r="G129">
        <f>IFERROR(VLOOKUP(Tabla1[[#This Row],[SISMED]],TblDisponibilidad[],11,FALSE), 0)</f>
        <v>0</v>
      </c>
      <c r="H129">
        <f>IFERROR(VLOOKUP(Tabla1[[#This Row],[SISMED]],TblDisponibilidad[],12,FALSE), 0)</f>
        <v>0</v>
      </c>
      <c r="I129">
        <f>IFERROR(VLOOKUP(Tabla1[[#This Row],[SISMED]],TblDisponibilidad[],13,FALSE), 0)</f>
        <v>0</v>
      </c>
      <c r="J129">
        <f>IFERROR(VLOOKUP(Tabla1[[#This Row],[SISMED]],TblDisponibilidad[],14,FALSE), 0)</f>
        <v>0</v>
      </c>
      <c r="K129">
        <f>IFERROR(VLOOKUP(Tabla1[[#This Row],[SISMED]],TblDisponibilidad[],15,FALSE), 0)</f>
        <v>0</v>
      </c>
      <c r="L129">
        <f>IFERROR(VLOOKUP(Tabla1[[#This Row],[SISMED]],TblDisponibilidad[],16,FALSE), 0)</f>
        <v>0</v>
      </c>
      <c r="M129">
        <f>IFERROR(VLOOKUP(Tabla1[[#This Row],[SISMED]],TblDisponibilidad[],17,FALSE), 0)</f>
        <v>0</v>
      </c>
      <c r="N129">
        <f>IFERROR(VLOOKUP(Tabla1[[#This Row],[SISMED]],TblDisponibilidad[],18,FALSE), 0)</f>
        <v>0</v>
      </c>
      <c r="O129">
        <f>IFERROR(VLOOKUP(Tabla1[[#This Row],[SISMED]],TblDisponibilidad[],19,FALSE), 0)</f>
        <v>0</v>
      </c>
      <c r="P129">
        <f>IFERROR(VLOOKUP(Tabla1[[#This Row],[SISMED]],TblDisponibilidad[],20,FALSE), 0)</f>
        <v>0</v>
      </c>
      <c r="Q129">
        <f>IFERROR(VLOOKUP(Tabla1[[#This Row],[SISMED]],TblDisponibilidad[],21,FALSE), 0)</f>
        <v>0</v>
      </c>
      <c r="R129">
        <f>IFERROR(VLOOKUP(Tabla1[[#This Row],[SISMED]],TblDisponibilidad[],22,FALSE), 0)</f>
        <v>0</v>
      </c>
      <c r="S129" s="15">
        <f>IFERROR(VLOOKUP(Tabla1[[#This Row],[SISMED]],TblDisponibilidad[],23,FALSE), 0)</f>
        <v>0</v>
      </c>
    </row>
    <row r="130" spans="1:19" x14ac:dyDescent="0.3">
      <c r="A130" s="15" t="s">
        <v>160</v>
      </c>
      <c r="B130" t="str">
        <f>IFERROR(VLOOKUP(Tabla1[[#This Row],[SISMED]],TblDisponibilidad[],2,FALSE), "")</f>
        <v/>
      </c>
      <c r="C130">
        <f>IFERROR(VLOOKUP(Tabla1[[#This Row],[SISMED]],TblDisponibilidad[],7,FALSE), 0)</f>
        <v>0</v>
      </c>
      <c r="D130">
        <f>IFERROR(VLOOKUP(Tabla1[[#This Row],[SISMED]],TblDisponibilidad[],8,FALSE), 0)</f>
        <v>0</v>
      </c>
      <c r="E130">
        <f>IFERROR(VLOOKUP(Tabla1[[#This Row],[SISMED]],TblDisponibilidad[],9,FALSE), 0)</f>
        <v>0</v>
      </c>
      <c r="F130">
        <f>IFERROR(VLOOKUP(Tabla1[[#This Row],[SISMED]],TblDisponibilidad[],10,FALSE), 0)</f>
        <v>0</v>
      </c>
      <c r="G130">
        <f>IFERROR(VLOOKUP(Tabla1[[#This Row],[SISMED]],TblDisponibilidad[],11,FALSE), 0)</f>
        <v>0</v>
      </c>
      <c r="H130">
        <f>IFERROR(VLOOKUP(Tabla1[[#This Row],[SISMED]],TblDisponibilidad[],12,FALSE), 0)</f>
        <v>0</v>
      </c>
      <c r="I130">
        <f>IFERROR(VLOOKUP(Tabla1[[#This Row],[SISMED]],TblDisponibilidad[],13,FALSE), 0)</f>
        <v>0</v>
      </c>
      <c r="J130">
        <f>IFERROR(VLOOKUP(Tabla1[[#This Row],[SISMED]],TblDisponibilidad[],14,FALSE), 0)</f>
        <v>0</v>
      </c>
      <c r="K130">
        <f>IFERROR(VLOOKUP(Tabla1[[#This Row],[SISMED]],TblDisponibilidad[],15,FALSE), 0)</f>
        <v>0</v>
      </c>
      <c r="L130">
        <f>IFERROR(VLOOKUP(Tabla1[[#This Row],[SISMED]],TblDisponibilidad[],16,FALSE), 0)</f>
        <v>0</v>
      </c>
      <c r="M130">
        <f>IFERROR(VLOOKUP(Tabla1[[#This Row],[SISMED]],TblDisponibilidad[],17,FALSE), 0)</f>
        <v>0</v>
      </c>
      <c r="N130">
        <f>IFERROR(VLOOKUP(Tabla1[[#This Row],[SISMED]],TblDisponibilidad[],18,FALSE), 0)</f>
        <v>0</v>
      </c>
      <c r="O130">
        <f>IFERROR(VLOOKUP(Tabla1[[#This Row],[SISMED]],TblDisponibilidad[],19,FALSE), 0)</f>
        <v>0</v>
      </c>
      <c r="P130">
        <f>IFERROR(VLOOKUP(Tabla1[[#This Row],[SISMED]],TblDisponibilidad[],20,FALSE), 0)</f>
        <v>0</v>
      </c>
      <c r="Q130">
        <f>IFERROR(VLOOKUP(Tabla1[[#This Row],[SISMED]],TblDisponibilidad[],21,FALSE), 0)</f>
        <v>0</v>
      </c>
      <c r="R130">
        <f>IFERROR(VLOOKUP(Tabla1[[#This Row],[SISMED]],TblDisponibilidad[],22,FALSE), 0)</f>
        <v>0</v>
      </c>
      <c r="S130" s="15">
        <f>IFERROR(VLOOKUP(Tabla1[[#This Row],[SISMED]],TblDisponibilidad[],23,FALSE), 0)</f>
        <v>0</v>
      </c>
    </row>
    <row r="131" spans="1:19" x14ac:dyDescent="0.3">
      <c r="A131" s="15" t="s">
        <v>161</v>
      </c>
      <c r="B131" t="str">
        <f>IFERROR(VLOOKUP(Tabla1[[#This Row],[SISMED]],TblDisponibilidad[],2,FALSE), "")</f>
        <v/>
      </c>
      <c r="C131">
        <f>IFERROR(VLOOKUP(Tabla1[[#This Row],[SISMED]],TblDisponibilidad[],7,FALSE), 0)</f>
        <v>0</v>
      </c>
      <c r="D131">
        <f>IFERROR(VLOOKUP(Tabla1[[#This Row],[SISMED]],TblDisponibilidad[],8,FALSE), 0)</f>
        <v>0</v>
      </c>
      <c r="E131">
        <f>IFERROR(VLOOKUP(Tabla1[[#This Row],[SISMED]],TblDisponibilidad[],9,FALSE), 0)</f>
        <v>0</v>
      </c>
      <c r="F131">
        <f>IFERROR(VLOOKUP(Tabla1[[#This Row],[SISMED]],TblDisponibilidad[],10,FALSE), 0)</f>
        <v>0</v>
      </c>
      <c r="G131">
        <f>IFERROR(VLOOKUP(Tabla1[[#This Row],[SISMED]],TblDisponibilidad[],11,FALSE), 0)</f>
        <v>0</v>
      </c>
      <c r="H131">
        <f>IFERROR(VLOOKUP(Tabla1[[#This Row],[SISMED]],TblDisponibilidad[],12,FALSE), 0)</f>
        <v>0</v>
      </c>
      <c r="I131">
        <f>IFERROR(VLOOKUP(Tabla1[[#This Row],[SISMED]],TblDisponibilidad[],13,FALSE), 0)</f>
        <v>0</v>
      </c>
      <c r="J131">
        <f>IFERROR(VLOOKUP(Tabla1[[#This Row],[SISMED]],TblDisponibilidad[],14,FALSE), 0)</f>
        <v>0</v>
      </c>
      <c r="K131">
        <f>IFERROR(VLOOKUP(Tabla1[[#This Row],[SISMED]],TblDisponibilidad[],15,FALSE), 0)</f>
        <v>0</v>
      </c>
      <c r="L131">
        <f>IFERROR(VLOOKUP(Tabla1[[#This Row],[SISMED]],TblDisponibilidad[],16,FALSE), 0)</f>
        <v>0</v>
      </c>
      <c r="M131">
        <f>IFERROR(VLOOKUP(Tabla1[[#This Row],[SISMED]],TblDisponibilidad[],17,FALSE), 0)</f>
        <v>0</v>
      </c>
      <c r="N131">
        <f>IFERROR(VLOOKUP(Tabla1[[#This Row],[SISMED]],TblDisponibilidad[],18,FALSE), 0)</f>
        <v>0</v>
      </c>
      <c r="O131">
        <f>IFERROR(VLOOKUP(Tabla1[[#This Row],[SISMED]],TblDisponibilidad[],19,FALSE), 0)</f>
        <v>0</v>
      </c>
      <c r="P131">
        <f>IFERROR(VLOOKUP(Tabla1[[#This Row],[SISMED]],TblDisponibilidad[],20,FALSE), 0)</f>
        <v>0</v>
      </c>
      <c r="Q131">
        <f>IFERROR(VLOOKUP(Tabla1[[#This Row],[SISMED]],TblDisponibilidad[],21,FALSE), 0)</f>
        <v>0</v>
      </c>
      <c r="R131">
        <f>IFERROR(VLOOKUP(Tabla1[[#This Row],[SISMED]],TblDisponibilidad[],22,FALSE), 0)</f>
        <v>0</v>
      </c>
      <c r="S131" s="15">
        <f>IFERROR(VLOOKUP(Tabla1[[#This Row],[SISMED]],TblDisponibilidad[],23,FALSE), 0)</f>
        <v>0</v>
      </c>
    </row>
    <row r="132" spans="1:19" x14ac:dyDescent="0.3">
      <c r="A132" s="15" t="s">
        <v>162</v>
      </c>
      <c r="B132" t="str">
        <f>IFERROR(VLOOKUP(Tabla1[[#This Row],[SISMED]],TblDisponibilidad[],2,FALSE), "")</f>
        <v/>
      </c>
      <c r="C132">
        <f>IFERROR(VLOOKUP(Tabla1[[#This Row],[SISMED]],TblDisponibilidad[],7,FALSE), 0)</f>
        <v>0</v>
      </c>
      <c r="D132">
        <f>IFERROR(VLOOKUP(Tabla1[[#This Row],[SISMED]],TblDisponibilidad[],8,FALSE), 0)</f>
        <v>0</v>
      </c>
      <c r="E132">
        <f>IFERROR(VLOOKUP(Tabla1[[#This Row],[SISMED]],TblDisponibilidad[],9,FALSE), 0)</f>
        <v>0</v>
      </c>
      <c r="F132">
        <f>IFERROR(VLOOKUP(Tabla1[[#This Row],[SISMED]],TblDisponibilidad[],10,FALSE), 0)</f>
        <v>0</v>
      </c>
      <c r="G132">
        <f>IFERROR(VLOOKUP(Tabla1[[#This Row],[SISMED]],TblDisponibilidad[],11,FALSE), 0)</f>
        <v>0</v>
      </c>
      <c r="H132">
        <f>IFERROR(VLOOKUP(Tabla1[[#This Row],[SISMED]],TblDisponibilidad[],12,FALSE), 0)</f>
        <v>0</v>
      </c>
      <c r="I132">
        <f>IFERROR(VLOOKUP(Tabla1[[#This Row],[SISMED]],TblDisponibilidad[],13,FALSE), 0)</f>
        <v>0</v>
      </c>
      <c r="J132">
        <f>IFERROR(VLOOKUP(Tabla1[[#This Row],[SISMED]],TblDisponibilidad[],14,FALSE), 0)</f>
        <v>0</v>
      </c>
      <c r="K132">
        <f>IFERROR(VLOOKUP(Tabla1[[#This Row],[SISMED]],TblDisponibilidad[],15,FALSE), 0)</f>
        <v>0</v>
      </c>
      <c r="L132">
        <f>IFERROR(VLOOKUP(Tabla1[[#This Row],[SISMED]],TblDisponibilidad[],16,FALSE), 0)</f>
        <v>0</v>
      </c>
      <c r="M132">
        <f>IFERROR(VLOOKUP(Tabla1[[#This Row],[SISMED]],TblDisponibilidad[],17,FALSE), 0)</f>
        <v>0</v>
      </c>
      <c r="N132">
        <f>IFERROR(VLOOKUP(Tabla1[[#This Row],[SISMED]],TblDisponibilidad[],18,FALSE), 0)</f>
        <v>0</v>
      </c>
      <c r="O132">
        <f>IFERROR(VLOOKUP(Tabla1[[#This Row],[SISMED]],TblDisponibilidad[],19,FALSE), 0)</f>
        <v>0</v>
      </c>
      <c r="P132">
        <f>IFERROR(VLOOKUP(Tabla1[[#This Row],[SISMED]],TblDisponibilidad[],20,FALSE), 0)</f>
        <v>0</v>
      </c>
      <c r="Q132">
        <f>IFERROR(VLOOKUP(Tabla1[[#This Row],[SISMED]],TblDisponibilidad[],21,FALSE), 0)</f>
        <v>0</v>
      </c>
      <c r="R132">
        <f>IFERROR(VLOOKUP(Tabla1[[#This Row],[SISMED]],TblDisponibilidad[],22,FALSE), 0)</f>
        <v>0</v>
      </c>
      <c r="S132" s="15">
        <f>IFERROR(VLOOKUP(Tabla1[[#This Row],[SISMED]],TblDisponibilidad[],23,FALSE), 0)</f>
        <v>0</v>
      </c>
    </row>
    <row r="133" spans="1:19" x14ac:dyDescent="0.3">
      <c r="A133" s="15" t="s">
        <v>163</v>
      </c>
      <c r="B133" t="str">
        <f>IFERROR(VLOOKUP(Tabla1[[#This Row],[SISMED]],TblDisponibilidad[],2,FALSE), "")</f>
        <v/>
      </c>
      <c r="C133">
        <f>IFERROR(VLOOKUP(Tabla1[[#This Row],[SISMED]],TblDisponibilidad[],7,FALSE), 0)</f>
        <v>0</v>
      </c>
      <c r="D133">
        <f>IFERROR(VLOOKUP(Tabla1[[#This Row],[SISMED]],TblDisponibilidad[],8,FALSE), 0)</f>
        <v>0</v>
      </c>
      <c r="E133">
        <f>IFERROR(VLOOKUP(Tabla1[[#This Row],[SISMED]],TblDisponibilidad[],9,FALSE), 0)</f>
        <v>0</v>
      </c>
      <c r="F133">
        <f>IFERROR(VLOOKUP(Tabla1[[#This Row],[SISMED]],TblDisponibilidad[],10,FALSE), 0)</f>
        <v>0</v>
      </c>
      <c r="G133">
        <f>IFERROR(VLOOKUP(Tabla1[[#This Row],[SISMED]],TblDisponibilidad[],11,FALSE), 0)</f>
        <v>0</v>
      </c>
      <c r="H133">
        <f>IFERROR(VLOOKUP(Tabla1[[#This Row],[SISMED]],TblDisponibilidad[],12,FALSE), 0)</f>
        <v>0</v>
      </c>
      <c r="I133">
        <f>IFERROR(VLOOKUP(Tabla1[[#This Row],[SISMED]],TblDisponibilidad[],13,FALSE), 0)</f>
        <v>0</v>
      </c>
      <c r="J133">
        <f>IFERROR(VLOOKUP(Tabla1[[#This Row],[SISMED]],TblDisponibilidad[],14,FALSE), 0)</f>
        <v>0</v>
      </c>
      <c r="K133">
        <f>IFERROR(VLOOKUP(Tabla1[[#This Row],[SISMED]],TblDisponibilidad[],15,FALSE), 0)</f>
        <v>0</v>
      </c>
      <c r="L133">
        <f>IFERROR(VLOOKUP(Tabla1[[#This Row],[SISMED]],TblDisponibilidad[],16,FALSE), 0)</f>
        <v>0</v>
      </c>
      <c r="M133">
        <f>IFERROR(VLOOKUP(Tabla1[[#This Row],[SISMED]],TblDisponibilidad[],17,FALSE), 0)</f>
        <v>0</v>
      </c>
      <c r="N133">
        <f>IFERROR(VLOOKUP(Tabla1[[#This Row],[SISMED]],TblDisponibilidad[],18,FALSE), 0)</f>
        <v>0</v>
      </c>
      <c r="O133">
        <f>IFERROR(VLOOKUP(Tabla1[[#This Row],[SISMED]],TblDisponibilidad[],19,FALSE), 0)</f>
        <v>0</v>
      </c>
      <c r="P133">
        <f>IFERROR(VLOOKUP(Tabla1[[#This Row],[SISMED]],TblDisponibilidad[],20,FALSE), 0)</f>
        <v>0</v>
      </c>
      <c r="Q133">
        <f>IFERROR(VLOOKUP(Tabla1[[#This Row],[SISMED]],TblDisponibilidad[],21,FALSE), 0)</f>
        <v>0</v>
      </c>
      <c r="R133">
        <f>IFERROR(VLOOKUP(Tabla1[[#This Row],[SISMED]],TblDisponibilidad[],22,FALSE), 0)</f>
        <v>0</v>
      </c>
      <c r="S133" s="15">
        <f>IFERROR(VLOOKUP(Tabla1[[#This Row],[SISMED]],TblDisponibilidad[],23,FALSE), 0)</f>
        <v>0</v>
      </c>
    </row>
    <row r="134" spans="1:19" x14ac:dyDescent="0.3">
      <c r="A134" s="15" t="s">
        <v>164</v>
      </c>
      <c r="B134" t="str">
        <f>IFERROR(VLOOKUP(Tabla1[[#This Row],[SISMED]],TblDisponibilidad[],2,FALSE), "")</f>
        <v/>
      </c>
      <c r="C134">
        <f>IFERROR(VLOOKUP(Tabla1[[#This Row],[SISMED]],TblDisponibilidad[],7,FALSE), 0)</f>
        <v>0</v>
      </c>
      <c r="D134">
        <f>IFERROR(VLOOKUP(Tabla1[[#This Row],[SISMED]],TblDisponibilidad[],8,FALSE), 0)</f>
        <v>0</v>
      </c>
      <c r="E134">
        <f>IFERROR(VLOOKUP(Tabla1[[#This Row],[SISMED]],TblDisponibilidad[],9,FALSE), 0)</f>
        <v>0</v>
      </c>
      <c r="F134">
        <f>IFERROR(VLOOKUP(Tabla1[[#This Row],[SISMED]],TblDisponibilidad[],10,FALSE), 0)</f>
        <v>0</v>
      </c>
      <c r="G134">
        <f>IFERROR(VLOOKUP(Tabla1[[#This Row],[SISMED]],TblDisponibilidad[],11,FALSE), 0)</f>
        <v>0</v>
      </c>
      <c r="H134">
        <f>IFERROR(VLOOKUP(Tabla1[[#This Row],[SISMED]],TblDisponibilidad[],12,FALSE), 0)</f>
        <v>0</v>
      </c>
      <c r="I134">
        <f>IFERROR(VLOOKUP(Tabla1[[#This Row],[SISMED]],TblDisponibilidad[],13,FALSE), 0)</f>
        <v>0</v>
      </c>
      <c r="J134">
        <f>IFERROR(VLOOKUP(Tabla1[[#This Row],[SISMED]],TblDisponibilidad[],14,FALSE), 0)</f>
        <v>0</v>
      </c>
      <c r="K134">
        <f>IFERROR(VLOOKUP(Tabla1[[#This Row],[SISMED]],TblDisponibilidad[],15,FALSE), 0)</f>
        <v>0</v>
      </c>
      <c r="L134">
        <f>IFERROR(VLOOKUP(Tabla1[[#This Row],[SISMED]],TblDisponibilidad[],16,FALSE), 0)</f>
        <v>0</v>
      </c>
      <c r="M134">
        <f>IFERROR(VLOOKUP(Tabla1[[#This Row],[SISMED]],TblDisponibilidad[],17,FALSE), 0)</f>
        <v>0</v>
      </c>
      <c r="N134">
        <f>IFERROR(VLOOKUP(Tabla1[[#This Row],[SISMED]],TblDisponibilidad[],18,FALSE), 0)</f>
        <v>0</v>
      </c>
      <c r="O134">
        <f>IFERROR(VLOOKUP(Tabla1[[#This Row],[SISMED]],TblDisponibilidad[],19,FALSE), 0)</f>
        <v>0</v>
      </c>
      <c r="P134">
        <f>IFERROR(VLOOKUP(Tabla1[[#This Row],[SISMED]],TblDisponibilidad[],20,FALSE), 0)</f>
        <v>0</v>
      </c>
      <c r="Q134">
        <f>IFERROR(VLOOKUP(Tabla1[[#This Row],[SISMED]],TblDisponibilidad[],21,FALSE), 0)</f>
        <v>0</v>
      </c>
      <c r="R134">
        <f>IFERROR(VLOOKUP(Tabla1[[#This Row],[SISMED]],TblDisponibilidad[],22,FALSE), 0)</f>
        <v>0</v>
      </c>
      <c r="S134" s="15">
        <f>IFERROR(VLOOKUP(Tabla1[[#This Row],[SISMED]],TblDisponibilidad[],23,FALSE), 0)</f>
        <v>0</v>
      </c>
    </row>
    <row r="135" spans="1:19" x14ac:dyDescent="0.3">
      <c r="A135" s="15" t="s">
        <v>165</v>
      </c>
      <c r="B135" t="str">
        <f>IFERROR(VLOOKUP(Tabla1[[#This Row],[SISMED]],TblDisponibilidad[],2,FALSE), "")</f>
        <v/>
      </c>
      <c r="C135">
        <f>IFERROR(VLOOKUP(Tabla1[[#This Row],[SISMED]],TblDisponibilidad[],7,FALSE), 0)</f>
        <v>0</v>
      </c>
      <c r="D135">
        <f>IFERROR(VLOOKUP(Tabla1[[#This Row],[SISMED]],TblDisponibilidad[],8,FALSE), 0)</f>
        <v>0</v>
      </c>
      <c r="E135">
        <f>IFERROR(VLOOKUP(Tabla1[[#This Row],[SISMED]],TblDisponibilidad[],9,FALSE), 0)</f>
        <v>0</v>
      </c>
      <c r="F135">
        <f>IFERROR(VLOOKUP(Tabla1[[#This Row],[SISMED]],TblDisponibilidad[],10,FALSE), 0)</f>
        <v>0</v>
      </c>
      <c r="G135">
        <f>IFERROR(VLOOKUP(Tabla1[[#This Row],[SISMED]],TblDisponibilidad[],11,FALSE), 0)</f>
        <v>0</v>
      </c>
      <c r="H135">
        <f>IFERROR(VLOOKUP(Tabla1[[#This Row],[SISMED]],TblDisponibilidad[],12,FALSE), 0)</f>
        <v>0</v>
      </c>
      <c r="I135">
        <f>IFERROR(VLOOKUP(Tabla1[[#This Row],[SISMED]],TblDisponibilidad[],13,FALSE), 0)</f>
        <v>0</v>
      </c>
      <c r="J135">
        <f>IFERROR(VLOOKUP(Tabla1[[#This Row],[SISMED]],TblDisponibilidad[],14,FALSE), 0)</f>
        <v>0</v>
      </c>
      <c r="K135">
        <f>IFERROR(VLOOKUP(Tabla1[[#This Row],[SISMED]],TblDisponibilidad[],15,FALSE), 0)</f>
        <v>0</v>
      </c>
      <c r="L135">
        <f>IFERROR(VLOOKUP(Tabla1[[#This Row],[SISMED]],TblDisponibilidad[],16,FALSE), 0)</f>
        <v>0</v>
      </c>
      <c r="M135">
        <f>IFERROR(VLOOKUP(Tabla1[[#This Row],[SISMED]],TblDisponibilidad[],17,FALSE), 0)</f>
        <v>0</v>
      </c>
      <c r="N135">
        <f>IFERROR(VLOOKUP(Tabla1[[#This Row],[SISMED]],TblDisponibilidad[],18,FALSE), 0)</f>
        <v>0</v>
      </c>
      <c r="O135">
        <f>IFERROR(VLOOKUP(Tabla1[[#This Row],[SISMED]],TblDisponibilidad[],19,FALSE), 0)</f>
        <v>0</v>
      </c>
      <c r="P135">
        <f>IFERROR(VLOOKUP(Tabla1[[#This Row],[SISMED]],TblDisponibilidad[],20,FALSE), 0)</f>
        <v>0</v>
      </c>
      <c r="Q135">
        <f>IFERROR(VLOOKUP(Tabla1[[#This Row],[SISMED]],TblDisponibilidad[],21,FALSE), 0)</f>
        <v>0</v>
      </c>
      <c r="R135">
        <f>IFERROR(VLOOKUP(Tabla1[[#This Row],[SISMED]],TblDisponibilidad[],22,FALSE), 0)</f>
        <v>0</v>
      </c>
      <c r="S135" s="15">
        <f>IFERROR(VLOOKUP(Tabla1[[#This Row],[SISMED]],TblDisponibilidad[],23,FALSE), 0)</f>
        <v>0</v>
      </c>
    </row>
    <row r="136" spans="1:19" x14ac:dyDescent="0.3">
      <c r="A136" s="15" t="s">
        <v>166</v>
      </c>
      <c r="B136" t="str">
        <f>IFERROR(VLOOKUP(Tabla1[[#This Row],[SISMED]],TblDisponibilidad[],2,FALSE), "")</f>
        <v/>
      </c>
      <c r="C136">
        <f>IFERROR(VLOOKUP(Tabla1[[#This Row],[SISMED]],TblDisponibilidad[],7,FALSE), 0)</f>
        <v>0</v>
      </c>
      <c r="D136">
        <f>IFERROR(VLOOKUP(Tabla1[[#This Row],[SISMED]],TblDisponibilidad[],8,FALSE), 0)</f>
        <v>0</v>
      </c>
      <c r="E136">
        <f>IFERROR(VLOOKUP(Tabla1[[#This Row],[SISMED]],TblDisponibilidad[],9,FALSE), 0)</f>
        <v>0</v>
      </c>
      <c r="F136">
        <f>IFERROR(VLOOKUP(Tabla1[[#This Row],[SISMED]],TblDisponibilidad[],10,FALSE), 0)</f>
        <v>0</v>
      </c>
      <c r="G136">
        <f>IFERROR(VLOOKUP(Tabla1[[#This Row],[SISMED]],TblDisponibilidad[],11,FALSE), 0)</f>
        <v>0</v>
      </c>
      <c r="H136">
        <f>IFERROR(VLOOKUP(Tabla1[[#This Row],[SISMED]],TblDisponibilidad[],12,FALSE), 0)</f>
        <v>0</v>
      </c>
      <c r="I136">
        <f>IFERROR(VLOOKUP(Tabla1[[#This Row],[SISMED]],TblDisponibilidad[],13,FALSE), 0)</f>
        <v>0</v>
      </c>
      <c r="J136">
        <f>IFERROR(VLOOKUP(Tabla1[[#This Row],[SISMED]],TblDisponibilidad[],14,FALSE), 0)</f>
        <v>0</v>
      </c>
      <c r="K136">
        <f>IFERROR(VLOOKUP(Tabla1[[#This Row],[SISMED]],TblDisponibilidad[],15,FALSE), 0)</f>
        <v>0</v>
      </c>
      <c r="L136">
        <f>IFERROR(VLOOKUP(Tabla1[[#This Row],[SISMED]],TblDisponibilidad[],16,FALSE), 0)</f>
        <v>0</v>
      </c>
      <c r="M136">
        <f>IFERROR(VLOOKUP(Tabla1[[#This Row],[SISMED]],TblDisponibilidad[],17,FALSE), 0)</f>
        <v>0</v>
      </c>
      <c r="N136">
        <f>IFERROR(VLOOKUP(Tabla1[[#This Row],[SISMED]],TblDisponibilidad[],18,FALSE), 0)</f>
        <v>0</v>
      </c>
      <c r="O136">
        <f>IFERROR(VLOOKUP(Tabla1[[#This Row],[SISMED]],TblDisponibilidad[],19,FALSE), 0)</f>
        <v>0</v>
      </c>
      <c r="P136">
        <f>IFERROR(VLOOKUP(Tabla1[[#This Row],[SISMED]],TblDisponibilidad[],20,FALSE), 0)</f>
        <v>0</v>
      </c>
      <c r="Q136">
        <f>IFERROR(VLOOKUP(Tabla1[[#This Row],[SISMED]],TblDisponibilidad[],21,FALSE), 0)</f>
        <v>0</v>
      </c>
      <c r="R136">
        <f>IFERROR(VLOOKUP(Tabla1[[#This Row],[SISMED]],TblDisponibilidad[],22,FALSE), 0)</f>
        <v>0</v>
      </c>
      <c r="S136" s="15">
        <f>IFERROR(VLOOKUP(Tabla1[[#This Row],[SISMED]],TblDisponibilidad[],23,FALSE), 0)</f>
        <v>0</v>
      </c>
    </row>
    <row r="137" spans="1:19" x14ac:dyDescent="0.3">
      <c r="A137" s="15" t="s">
        <v>167</v>
      </c>
      <c r="B137" t="str">
        <f>IFERROR(VLOOKUP(Tabla1[[#This Row],[SISMED]],TblDisponibilidad[],2,FALSE), "")</f>
        <v/>
      </c>
      <c r="C137">
        <f>IFERROR(VLOOKUP(Tabla1[[#This Row],[SISMED]],TblDisponibilidad[],7,FALSE), 0)</f>
        <v>0</v>
      </c>
      <c r="D137">
        <f>IFERROR(VLOOKUP(Tabla1[[#This Row],[SISMED]],TblDisponibilidad[],8,FALSE), 0)</f>
        <v>0</v>
      </c>
      <c r="E137">
        <f>IFERROR(VLOOKUP(Tabla1[[#This Row],[SISMED]],TblDisponibilidad[],9,FALSE), 0)</f>
        <v>0</v>
      </c>
      <c r="F137">
        <f>IFERROR(VLOOKUP(Tabla1[[#This Row],[SISMED]],TblDisponibilidad[],10,FALSE), 0)</f>
        <v>0</v>
      </c>
      <c r="G137">
        <f>IFERROR(VLOOKUP(Tabla1[[#This Row],[SISMED]],TblDisponibilidad[],11,FALSE), 0)</f>
        <v>0</v>
      </c>
      <c r="H137">
        <f>IFERROR(VLOOKUP(Tabla1[[#This Row],[SISMED]],TblDisponibilidad[],12,FALSE), 0)</f>
        <v>0</v>
      </c>
      <c r="I137">
        <f>IFERROR(VLOOKUP(Tabla1[[#This Row],[SISMED]],TblDisponibilidad[],13,FALSE), 0)</f>
        <v>0</v>
      </c>
      <c r="J137">
        <f>IFERROR(VLOOKUP(Tabla1[[#This Row],[SISMED]],TblDisponibilidad[],14,FALSE), 0)</f>
        <v>0</v>
      </c>
      <c r="K137">
        <f>IFERROR(VLOOKUP(Tabla1[[#This Row],[SISMED]],TblDisponibilidad[],15,FALSE), 0)</f>
        <v>0</v>
      </c>
      <c r="L137">
        <f>IFERROR(VLOOKUP(Tabla1[[#This Row],[SISMED]],TblDisponibilidad[],16,FALSE), 0)</f>
        <v>0</v>
      </c>
      <c r="M137">
        <f>IFERROR(VLOOKUP(Tabla1[[#This Row],[SISMED]],TblDisponibilidad[],17,FALSE), 0)</f>
        <v>0</v>
      </c>
      <c r="N137">
        <f>IFERROR(VLOOKUP(Tabla1[[#This Row],[SISMED]],TblDisponibilidad[],18,FALSE), 0)</f>
        <v>0</v>
      </c>
      <c r="O137">
        <f>IFERROR(VLOOKUP(Tabla1[[#This Row],[SISMED]],TblDisponibilidad[],19,FALSE), 0)</f>
        <v>0</v>
      </c>
      <c r="P137">
        <f>IFERROR(VLOOKUP(Tabla1[[#This Row],[SISMED]],TblDisponibilidad[],20,FALSE), 0)</f>
        <v>0</v>
      </c>
      <c r="Q137">
        <f>IFERROR(VLOOKUP(Tabla1[[#This Row],[SISMED]],TblDisponibilidad[],21,FALSE), 0)</f>
        <v>0</v>
      </c>
      <c r="R137">
        <f>IFERROR(VLOOKUP(Tabla1[[#This Row],[SISMED]],TblDisponibilidad[],22,FALSE), 0)</f>
        <v>0</v>
      </c>
      <c r="S137" s="15">
        <f>IFERROR(VLOOKUP(Tabla1[[#This Row],[SISMED]],TblDisponibilidad[],23,FALSE), 0)</f>
        <v>0</v>
      </c>
    </row>
    <row r="138" spans="1:19" x14ac:dyDescent="0.3">
      <c r="A138" s="15" t="s">
        <v>168</v>
      </c>
      <c r="B138" t="str">
        <f>IFERROR(VLOOKUP(Tabla1[[#This Row],[SISMED]],TblDisponibilidad[],2,FALSE), "")</f>
        <v/>
      </c>
      <c r="C138">
        <f>IFERROR(VLOOKUP(Tabla1[[#This Row],[SISMED]],TblDisponibilidad[],7,FALSE), 0)</f>
        <v>0</v>
      </c>
      <c r="D138">
        <f>IFERROR(VLOOKUP(Tabla1[[#This Row],[SISMED]],TblDisponibilidad[],8,FALSE), 0)</f>
        <v>0</v>
      </c>
      <c r="E138">
        <f>IFERROR(VLOOKUP(Tabla1[[#This Row],[SISMED]],TblDisponibilidad[],9,FALSE), 0)</f>
        <v>0</v>
      </c>
      <c r="F138">
        <f>IFERROR(VLOOKUP(Tabla1[[#This Row],[SISMED]],TblDisponibilidad[],10,FALSE), 0)</f>
        <v>0</v>
      </c>
      <c r="G138">
        <f>IFERROR(VLOOKUP(Tabla1[[#This Row],[SISMED]],TblDisponibilidad[],11,FALSE), 0)</f>
        <v>0</v>
      </c>
      <c r="H138">
        <f>IFERROR(VLOOKUP(Tabla1[[#This Row],[SISMED]],TblDisponibilidad[],12,FALSE), 0)</f>
        <v>0</v>
      </c>
      <c r="I138">
        <f>IFERROR(VLOOKUP(Tabla1[[#This Row],[SISMED]],TblDisponibilidad[],13,FALSE), 0)</f>
        <v>0</v>
      </c>
      <c r="J138">
        <f>IFERROR(VLOOKUP(Tabla1[[#This Row],[SISMED]],TblDisponibilidad[],14,FALSE), 0)</f>
        <v>0</v>
      </c>
      <c r="K138">
        <f>IFERROR(VLOOKUP(Tabla1[[#This Row],[SISMED]],TblDisponibilidad[],15,FALSE), 0)</f>
        <v>0</v>
      </c>
      <c r="L138">
        <f>IFERROR(VLOOKUP(Tabla1[[#This Row],[SISMED]],TblDisponibilidad[],16,FALSE), 0)</f>
        <v>0</v>
      </c>
      <c r="M138">
        <f>IFERROR(VLOOKUP(Tabla1[[#This Row],[SISMED]],TblDisponibilidad[],17,FALSE), 0)</f>
        <v>0</v>
      </c>
      <c r="N138">
        <f>IFERROR(VLOOKUP(Tabla1[[#This Row],[SISMED]],TblDisponibilidad[],18,FALSE), 0)</f>
        <v>0</v>
      </c>
      <c r="O138">
        <f>IFERROR(VLOOKUP(Tabla1[[#This Row],[SISMED]],TblDisponibilidad[],19,FALSE), 0)</f>
        <v>0</v>
      </c>
      <c r="P138">
        <f>IFERROR(VLOOKUP(Tabla1[[#This Row],[SISMED]],TblDisponibilidad[],20,FALSE), 0)</f>
        <v>0</v>
      </c>
      <c r="Q138">
        <f>IFERROR(VLOOKUP(Tabla1[[#This Row],[SISMED]],TblDisponibilidad[],21,FALSE), 0)</f>
        <v>0</v>
      </c>
      <c r="R138">
        <f>IFERROR(VLOOKUP(Tabla1[[#This Row],[SISMED]],TblDisponibilidad[],22,FALSE), 0)</f>
        <v>0</v>
      </c>
      <c r="S138" s="15">
        <f>IFERROR(VLOOKUP(Tabla1[[#This Row],[SISMED]],TblDisponibilidad[],23,FALSE), 0)</f>
        <v>0</v>
      </c>
    </row>
    <row r="139" spans="1:19" x14ac:dyDescent="0.3">
      <c r="A139" s="15" t="s">
        <v>169</v>
      </c>
      <c r="B139" t="str">
        <f>IFERROR(VLOOKUP(Tabla1[[#This Row],[SISMED]],TblDisponibilidad[],2,FALSE), "")</f>
        <v/>
      </c>
      <c r="C139">
        <f>IFERROR(VLOOKUP(Tabla1[[#This Row],[SISMED]],TblDisponibilidad[],7,FALSE), 0)</f>
        <v>0</v>
      </c>
      <c r="D139">
        <f>IFERROR(VLOOKUP(Tabla1[[#This Row],[SISMED]],TblDisponibilidad[],8,FALSE), 0)</f>
        <v>0</v>
      </c>
      <c r="E139">
        <f>IFERROR(VLOOKUP(Tabla1[[#This Row],[SISMED]],TblDisponibilidad[],9,FALSE), 0)</f>
        <v>0</v>
      </c>
      <c r="F139">
        <f>IFERROR(VLOOKUP(Tabla1[[#This Row],[SISMED]],TblDisponibilidad[],10,FALSE), 0)</f>
        <v>0</v>
      </c>
      <c r="G139">
        <f>IFERROR(VLOOKUP(Tabla1[[#This Row],[SISMED]],TblDisponibilidad[],11,FALSE), 0)</f>
        <v>0</v>
      </c>
      <c r="H139">
        <f>IFERROR(VLOOKUP(Tabla1[[#This Row],[SISMED]],TblDisponibilidad[],12,FALSE), 0)</f>
        <v>0</v>
      </c>
      <c r="I139">
        <f>IFERROR(VLOOKUP(Tabla1[[#This Row],[SISMED]],TblDisponibilidad[],13,FALSE), 0)</f>
        <v>0</v>
      </c>
      <c r="J139">
        <f>IFERROR(VLOOKUP(Tabla1[[#This Row],[SISMED]],TblDisponibilidad[],14,FALSE), 0)</f>
        <v>0</v>
      </c>
      <c r="K139">
        <f>IFERROR(VLOOKUP(Tabla1[[#This Row],[SISMED]],TblDisponibilidad[],15,FALSE), 0)</f>
        <v>0</v>
      </c>
      <c r="L139">
        <f>IFERROR(VLOOKUP(Tabla1[[#This Row],[SISMED]],TblDisponibilidad[],16,FALSE), 0)</f>
        <v>0</v>
      </c>
      <c r="M139">
        <f>IFERROR(VLOOKUP(Tabla1[[#This Row],[SISMED]],TblDisponibilidad[],17,FALSE), 0)</f>
        <v>0</v>
      </c>
      <c r="N139">
        <f>IFERROR(VLOOKUP(Tabla1[[#This Row],[SISMED]],TblDisponibilidad[],18,FALSE), 0)</f>
        <v>0</v>
      </c>
      <c r="O139">
        <f>IFERROR(VLOOKUP(Tabla1[[#This Row],[SISMED]],TblDisponibilidad[],19,FALSE), 0)</f>
        <v>0</v>
      </c>
      <c r="P139">
        <f>IFERROR(VLOOKUP(Tabla1[[#This Row],[SISMED]],TblDisponibilidad[],20,FALSE), 0)</f>
        <v>0</v>
      </c>
      <c r="Q139">
        <f>IFERROR(VLOOKUP(Tabla1[[#This Row],[SISMED]],TblDisponibilidad[],21,FALSE), 0)</f>
        <v>0</v>
      </c>
      <c r="R139">
        <f>IFERROR(VLOOKUP(Tabla1[[#This Row],[SISMED]],TblDisponibilidad[],22,FALSE), 0)</f>
        <v>0</v>
      </c>
      <c r="S139" s="15">
        <f>IFERROR(VLOOKUP(Tabla1[[#This Row],[SISMED]],TblDisponibilidad[],23,FALSE), 0)</f>
        <v>0</v>
      </c>
    </row>
    <row r="140" spans="1:19" x14ac:dyDescent="0.3">
      <c r="A140" s="15" t="s">
        <v>170</v>
      </c>
      <c r="B140" t="str">
        <f>IFERROR(VLOOKUP(Tabla1[[#This Row],[SISMED]],TblDisponibilidad[],2,FALSE), "")</f>
        <v/>
      </c>
      <c r="C140">
        <f>IFERROR(VLOOKUP(Tabla1[[#This Row],[SISMED]],TblDisponibilidad[],7,FALSE), 0)</f>
        <v>0</v>
      </c>
      <c r="D140">
        <f>IFERROR(VLOOKUP(Tabla1[[#This Row],[SISMED]],TblDisponibilidad[],8,FALSE), 0)</f>
        <v>0</v>
      </c>
      <c r="E140">
        <f>IFERROR(VLOOKUP(Tabla1[[#This Row],[SISMED]],TblDisponibilidad[],9,FALSE), 0)</f>
        <v>0</v>
      </c>
      <c r="F140">
        <f>IFERROR(VLOOKUP(Tabla1[[#This Row],[SISMED]],TblDisponibilidad[],10,FALSE), 0)</f>
        <v>0</v>
      </c>
      <c r="G140">
        <f>IFERROR(VLOOKUP(Tabla1[[#This Row],[SISMED]],TblDisponibilidad[],11,FALSE), 0)</f>
        <v>0</v>
      </c>
      <c r="H140">
        <f>IFERROR(VLOOKUP(Tabla1[[#This Row],[SISMED]],TblDisponibilidad[],12,FALSE), 0)</f>
        <v>0</v>
      </c>
      <c r="I140">
        <f>IFERROR(VLOOKUP(Tabla1[[#This Row],[SISMED]],TblDisponibilidad[],13,FALSE), 0)</f>
        <v>0</v>
      </c>
      <c r="J140">
        <f>IFERROR(VLOOKUP(Tabla1[[#This Row],[SISMED]],TblDisponibilidad[],14,FALSE), 0)</f>
        <v>0</v>
      </c>
      <c r="K140">
        <f>IFERROR(VLOOKUP(Tabla1[[#This Row],[SISMED]],TblDisponibilidad[],15,FALSE), 0)</f>
        <v>0</v>
      </c>
      <c r="L140">
        <f>IFERROR(VLOOKUP(Tabla1[[#This Row],[SISMED]],TblDisponibilidad[],16,FALSE), 0)</f>
        <v>0</v>
      </c>
      <c r="M140">
        <f>IFERROR(VLOOKUP(Tabla1[[#This Row],[SISMED]],TblDisponibilidad[],17,FALSE), 0)</f>
        <v>0</v>
      </c>
      <c r="N140">
        <f>IFERROR(VLOOKUP(Tabla1[[#This Row],[SISMED]],TblDisponibilidad[],18,FALSE), 0)</f>
        <v>0</v>
      </c>
      <c r="O140">
        <f>IFERROR(VLOOKUP(Tabla1[[#This Row],[SISMED]],TblDisponibilidad[],19,FALSE), 0)</f>
        <v>0</v>
      </c>
      <c r="P140">
        <f>IFERROR(VLOOKUP(Tabla1[[#This Row],[SISMED]],TblDisponibilidad[],20,FALSE), 0)</f>
        <v>0</v>
      </c>
      <c r="Q140">
        <f>IFERROR(VLOOKUP(Tabla1[[#This Row],[SISMED]],TblDisponibilidad[],21,FALSE), 0)</f>
        <v>0</v>
      </c>
      <c r="R140">
        <f>IFERROR(VLOOKUP(Tabla1[[#This Row],[SISMED]],TblDisponibilidad[],22,FALSE), 0)</f>
        <v>0</v>
      </c>
      <c r="S140" s="15">
        <f>IFERROR(VLOOKUP(Tabla1[[#This Row],[SISMED]],TblDisponibilidad[],23,FALSE), 0)</f>
        <v>0</v>
      </c>
    </row>
    <row r="141" spans="1:19" x14ac:dyDescent="0.3">
      <c r="A141" s="15" t="s">
        <v>171</v>
      </c>
      <c r="B141" t="str">
        <f>IFERROR(VLOOKUP(Tabla1[[#This Row],[SISMED]],TblDisponibilidad[],2,FALSE), "")</f>
        <v/>
      </c>
      <c r="C141">
        <f>IFERROR(VLOOKUP(Tabla1[[#This Row],[SISMED]],TblDisponibilidad[],7,FALSE), 0)</f>
        <v>0</v>
      </c>
      <c r="D141">
        <f>IFERROR(VLOOKUP(Tabla1[[#This Row],[SISMED]],TblDisponibilidad[],8,FALSE), 0)</f>
        <v>0</v>
      </c>
      <c r="E141">
        <f>IFERROR(VLOOKUP(Tabla1[[#This Row],[SISMED]],TblDisponibilidad[],9,FALSE), 0)</f>
        <v>0</v>
      </c>
      <c r="F141">
        <f>IFERROR(VLOOKUP(Tabla1[[#This Row],[SISMED]],TblDisponibilidad[],10,FALSE), 0)</f>
        <v>0</v>
      </c>
      <c r="G141">
        <f>IFERROR(VLOOKUP(Tabla1[[#This Row],[SISMED]],TblDisponibilidad[],11,FALSE), 0)</f>
        <v>0</v>
      </c>
      <c r="H141">
        <f>IFERROR(VLOOKUP(Tabla1[[#This Row],[SISMED]],TblDisponibilidad[],12,FALSE), 0)</f>
        <v>0</v>
      </c>
      <c r="I141">
        <f>IFERROR(VLOOKUP(Tabla1[[#This Row],[SISMED]],TblDisponibilidad[],13,FALSE), 0)</f>
        <v>0</v>
      </c>
      <c r="J141">
        <f>IFERROR(VLOOKUP(Tabla1[[#This Row],[SISMED]],TblDisponibilidad[],14,FALSE), 0)</f>
        <v>0</v>
      </c>
      <c r="K141">
        <f>IFERROR(VLOOKUP(Tabla1[[#This Row],[SISMED]],TblDisponibilidad[],15,FALSE), 0)</f>
        <v>0</v>
      </c>
      <c r="L141">
        <f>IFERROR(VLOOKUP(Tabla1[[#This Row],[SISMED]],TblDisponibilidad[],16,FALSE), 0)</f>
        <v>0</v>
      </c>
      <c r="M141">
        <f>IFERROR(VLOOKUP(Tabla1[[#This Row],[SISMED]],TblDisponibilidad[],17,FALSE), 0)</f>
        <v>0</v>
      </c>
      <c r="N141">
        <f>IFERROR(VLOOKUP(Tabla1[[#This Row],[SISMED]],TblDisponibilidad[],18,FALSE), 0)</f>
        <v>0</v>
      </c>
      <c r="O141">
        <f>IFERROR(VLOOKUP(Tabla1[[#This Row],[SISMED]],TblDisponibilidad[],19,FALSE), 0)</f>
        <v>0</v>
      </c>
      <c r="P141">
        <f>IFERROR(VLOOKUP(Tabla1[[#This Row],[SISMED]],TblDisponibilidad[],20,FALSE), 0)</f>
        <v>0</v>
      </c>
      <c r="Q141">
        <f>IFERROR(VLOOKUP(Tabla1[[#This Row],[SISMED]],TblDisponibilidad[],21,FALSE), 0)</f>
        <v>0</v>
      </c>
      <c r="R141">
        <f>IFERROR(VLOOKUP(Tabla1[[#This Row],[SISMED]],TblDisponibilidad[],22,FALSE), 0)</f>
        <v>0</v>
      </c>
      <c r="S141" s="15">
        <f>IFERROR(VLOOKUP(Tabla1[[#This Row],[SISMED]],TblDisponibilidad[],23,FALSE), 0)</f>
        <v>0</v>
      </c>
    </row>
    <row r="142" spans="1:19" x14ac:dyDescent="0.3">
      <c r="A142" s="15" t="s">
        <v>172</v>
      </c>
      <c r="B142" t="str">
        <f>IFERROR(VLOOKUP(Tabla1[[#This Row],[SISMED]],TblDisponibilidad[],2,FALSE), "")</f>
        <v/>
      </c>
      <c r="C142">
        <f>IFERROR(VLOOKUP(Tabla1[[#This Row],[SISMED]],TblDisponibilidad[],7,FALSE), 0)</f>
        <v>0</v>
      </c>
      <c r="D142">
        <f>IFERROR(VLOOKUP(Tabla1[[#This Row],[SISMED]],TblDisponibilidad[],8,FALSE), 0)</f>
        <v>0</v>
      </c>
      <c r="E142">
        <f>IFERROR(VLOOKUP(Tabla1[[#This Row],[SISMED]],TblDisponibilidad[],9,FALSE), 0)</f>
        <v>0</v>
      </c>
      <c r="F142">
        <f>IFERROR(VLOOKUP(Tabla1[[#This Row],[SISMED]],TblDisponibilidad[],10,FALSE), 0)</f>
        <v>0</v>
      </c>
      <c r="G142">
        <f>IFERROR(VLOOKUP(Tabla1[[#This Row],[SISMED]],TblDisponibilidad[],11,FALSE), 0)</f>
        <v>0</v>
      </c>
      <c r="H142">
        <f>IFERROR(VLOOKUP(Tabla1[[#This Row],[SISMED]],TblDisponibilidad[],12,FALSE), 0)</f>
        <v>0</v>
      </c>
      <c r="I142">
        <f>IFERROR(VLOOKUP(Tabla1[[#This Row],[SISMED]],TblDisponibilidad[],13,FALSE), 0)</f>
        <v>0</v>
      </c>
      <c r="J142">
        <f>IFERROR(VLOOKUP(Tabla1[[#This Row],[SISMED]],TblDisponibilidad[],14,FALSE), 0)</f>
        <v>0</v>
      </c>
      <c r="K142">
        <f>IFERROR(VLOOKUP(Tabla1[[#This Row],[SISMED]],TblDisponibilidad[],15,FALSE), 0)</f>
        <v>0</v>
      </c>
      <c r="L142">
        <f>IFERROR(VLOOKUP(Tabla1[[#This Row],[SISMED]],TblDisponibilidad[],16,FALSE), 0)</f>
        <v>0</v>
      </c>
      <c r="M142">
        <f>IFERROR(VLOOKUP(Tabla1[[#This Row],[SISMED]],TblDisponibilidad[],17,FALSE), 0)</f>
        <v>0</v>
      </c>
      <c r="N142">
        <f>IFERROR(VLOOKUP(Tabla1[[#This Row],[SISMED]],TblDisponibilidad[],18,FALSE), 0)</f>
        <v>0</v>
      </c>
      <c r="O142">
        <f>IFERROR(VLOOKUP(Tabla1[[#This Row],[SISMED]],TblDisponibilidad[],19,FALSE), 0)</f>
        <v>0</v>
      </c>
      <c r="P142">
        <f>IFERROR(VLOOKUP(Tabla1[[#This Row],[SISMED]],TblDisponibilidad[],20,FALSE), 0)</f>
        <v>0</v>
      </c>
      <c r="Q142">
        <f>IFERROR(VLOOKUP(Tabla1[[#This Row],[SISMED]],TblDisponibilidad[],21,FALSE), 0)</f>
        <v>0</v>
      </c>
      <c r="R142">
        <f>IFERROR(VLOOKUP(Tabla1[[#This Row],[SISMED]],TblDisponibilidad[],22,FALSE), 0)</f>
        <v>0</v>
      </c>
      <c r="S142" s="15">
        <f>IFERROR(VLOOKUP(Tabla1[[#This Row],[SISMED]],TblDisponibilidad[],23,FALSE), 0)</f>
        <v>0</v>
      </c>
    </row>
    <row r="143" spans="1:19" x14ac:dyDescent="0.3">
      <c r="A143" s="15" t="s">
        <v>173</v>
      </c>
      <c r="B143" t="str">
        <f>IFERROR(VLOOKUP(Tabla1[[#This Row],[SISMED]],TblDisponibilidad[],2,FALSE), "")</f>
        <v/>
      </c>
      <c r="C143">
        <f>IFERROR(VLOOKUP(Tabla1[[#This Row],[SISMED]],TblDisponibilidad[],7,FALSE), 0)</f>
        <v>0</v>
      </c>
      <c r="D143">
        <f>IFERROR(VLOOKUP(Tabla1[[#This Row],[SISMED]],TblDisponibilidad[],8,FALSE), 0)</f>
        <v>0</v>
      </c>
      <c r="E143">
        <f>IFERROR(VLOOKUP(Tabla1[[#This Row],[SISMED]],TblDisponibilidad[],9,FALSE), 0)</f>
        <v>0</v>
      </c>
      <c r="F143">
        <f>IFERROR(VLOOKUP(Tabla1[[#This Row],[SISMED]],TblDisponibilidad[],10,FALSE), 0)</f>
        <v>0</v>
      </c>
      <c r="G143">
        <f>IFERROR(VLOOKUP(Tabla1[[#This Row],[SISMED]],TblDisponibilidad[],11,FALSE), 0)</f>
        <v>0</v>
      </c>
      <c r="H143">
        <f>IFERROR(VLOOKUP(Tabla1[[#This Row],[SISMED]],TblDisponibilidad[],12,FALSE), 0)</f>
        <v>0</v>
      </c>
      <c r="I143">
        <f>IFERROR(VLOOKUP(Tabla1[[#This Row],[SISMED]],TblDisponibilidad[],13,FALSE), 0)</f>
        <v>0</v>
      </c>
      <c r="J143">
        <f>IFERROR(VLOOKUP(Tabla1[[#This Row],[SISMED]],TblDisponibilidad[],14,FALSE), 0)</f>
        <v>0</v>
      </c>
      <c r="K143">
        <f>IFERROR(VLOOKUP(Tabla1[[#This Row],[SISMED]],TblDisponibilidad[],15,FALSE), 0)</f>
        <v>0</v>
      </c>
      <c r="L143">
        <f>IFERROR(VLOOKUP(Tabla1[[#This Row],[SISMED]],TblDisponibilidad[],16,FALSE), 0)</f>
        <v>0</v>
      </c>
      <c r="M143">
        <f>IFERROR(VLOOKUP(Tabla1[[#This Row],[SISMED]],TblDisponibilidad[],17,FALSE), 0)</f>
        <v>0</v>
      </c>
      <c r="N143">
        <f>IFERROR(VLOOKUP(Tabla1[[#This Row],[SISMED]],TblDisponibilidad[],18,FALSE), 0)</f>
        <v>0</v>
      </c>
      <c r="O143">
        <f>IFERROR(VLOOKUP(Tabla1[[#This Row],[SISMED]],TblDisponibilidad[],19,FALSE), 0)</f>
        <v>0</v>
      </c>
      <c r="P143">
        <f>IFERROR(VLOOKUP(Tabla1[[#This Row],[SISMED]],TblDisponibilidad[],20,FALSE), 0)</f>
        <v>0</v>
      </c>
      <c r="Q143">
        <f>IFERROR(VLOOKUP(Tabla1[[#This Row],[SISMED]],TblDisponibilidad[],21,FALSE), 0)</f>
        <v>0</v>
      </c>
      <c r="R143">
        <f>IFERROR(VLOOKUP(Tabla1[[#This Row],[SISMED]],TblDisponibilidad[],22,FALSE), 0)</f>
        <v>0</v>
      </c>
      <c r="S143" s="15">
        <f>IFERROR(VLOOKUP(Tabla1[[#This Row],[SISMED]],TblDisponibilidad[],23,FALSE), 0)</f>
        <v>0</v>
      </c>
    </row>
    <row r="144" spans="1:19" x14ac:dyDescent="0.3">
      <c r="A144" s="15" t="s">
        <v>174</v>
      </c>
      <c r="B144" t="str">
        <f>IFERROR(VLOOKUP(Tabla1[[#This Row],[SISMED]],TblDisponibilidad[],2,FALSE), "")</f>
        <v/>
      </c>
      <c r="C144">
        <f>IFERROR(VLOOKUP(Tabla1[[#This Row],[SISMED]],TblDisponibilidad[],7,FALSE), 0)</f>
        <v>0</v>
      </c>
      <c r="D144">
        <f>IFERROR(VLOOKUP(Tabla1[[#This Row],[SISMED]],TblDisponibilidad[],8,FALSE), 0)</f>
        <v>0</v>
      </c>
      <c r="E144">
        <f>IFERROR(VLOOKUP(Tabla1[[#This Row],[SISMED]],TblDisponibilidad[],9,FALSE), 0)</f>
        <v>0</v>
      </c>
      <c r="F144">
        <f>IFERROR(VLOOKUP(Tabla1[[#This Row],[SISMED]],TblDisponibilidad[],10,FALSE), 0)</f>
        <v>0</v>
      </c>
      <c r="G144">
        <f>IFERROR(VLOOKUP(Tabla1[[#This Row],[SISMED]],TblDisponibilidad[],11,FALSE), 0)</f>
        <v>0</v>
      </c>
      <c r="H144">
        <f>IFERROR(VLOOKUP(Tabla1[[#This Row],[SISMED]],TblDisponibilidad[],12,FALSE), 0)</f>
        <v>0</v>
      </c>
      <c r="I144">
        <f>IFERROR(VLOOKUP(Tabla1[[#This Row],[SISMED]],TblDisponibilidad[],13,FALSE), 0)</f>
        <v>0</v>
      </c>
      <c r="J144">
        <f>IFERROR(VLOOKUP(Tabla1[[#This Row],[SISMED]],TblDisponibilidad[],14,FALSE), 0)</f>
        <v>0</v>
      </c>
      <c r="K144">
        <f>IFERROR(VLOOKUP(Tabla1[[#This Row],[SISMED]],TblDisponibilidad[],15,FALSE), 0)</f>
        <v>0</v>
      </c>
      <c r="L144">
        <f>IFERROR(VLOOKUP(Tabla1[[#This Row],[SISMED]],TblDisponibilidad[],16,FALSE), 0)</f>
        <v>0</v>
      </c>
      <c r="M144">
        <f>IFERROR(VLOOKUP(Tabla1[[#This Row],[SISMED]],TblDisponibilidad[],17,FALSE), 0)</f>
        <v>0</v>
      </c>
      <c r="N144">
        <f>IFERROR(VLOOKUP(Tabla1[[#This Row],[SISMED]],TblDisponibilidad[],18,FALSE), 0)</f>
        <v>0</v>
      </c>
      <c r="O144">
        <f>IFERROR(VLOOKUP(Tabla1[[#This Row],[SISMED]],TblDisponibilidad[],19,FALSE), 0)</f>
        <v>0</v>
      </c>
      <c r="P144">
        <f>IFERROR(VLOOKUP(Tabla1[[#This Row],[SISMED]],TblDisponibilidad[],20,FALSE), 0)</f>
        <v>0</v>
      </c>
      <c r="Q144">
        <f>IFERROR(VLOOKUP(Tabla1[[#This Row],[SISMED]],TblDisponibilidad[],21,FALSE), 0)</f>
        <v>0</v>
      </c>
      <c r="R144">
        <f>IFERROR(VLOOKUP(Tabla1[[#This Row],[SISMED]],TblDisponibilidad[],22,FALSE), 0)</f>
        <v>0</v>
      </c>
      <c r="S144" s="15">
        <f>IFERROR(VLOOKUP(Tabla1[[#This Row],[SISMED]],TblDisponibilidad[],23,FALSE), 0)</f>
        <v>0</v>
      </c>
    </row>
    <row r="145" spans="1:19" x14ac:dyDescent="0.3">
      <c r="A145" s="15" t="s">
        <v>175</v>
      </c>
      <c r="B145" t="str">
        <f>IFERROR(VLOOKUP(Tabla1[[#This Row],[SISMED]],TblDisponibilidad[],2,FALSE), "")</f>
        <v/>
      </c>
      <c r="C145">
        <f>IFERROR(VLOOKUP(Tabla1[[#This Row],[SISMED]],TblDisponibilidad[],7,FALSE), 0)</f>
        <v>0</v>
      </c>
      <c r="D145">
        <f>IFERROR(VLOOKUP(Tabla1[[#This Row],[SISMED]],TblDisponibilidad[],8,FALSE), 0)</f>
        <v>0</v>
      </c>
      <c r="E145">
        <f>IFERROR(VLOOKUP(Tabla1[[#This Row],[SISMED]],TblDisponibilidad[],9,FALSE), 0)</f>
        <v>0</v>
      </c>
      <c r="F145">
        <f>IFERROR(VLOOKUP(Tabla1[[#This Row],[SISMED]],TblDisponibilidad[],10,FALSE), 0)</f>
        <v>0</v>
      </c>
      <c r="G145">
        <f>IFERROR(VLOOKUP(Tabla1[[#This Row],[SISMED]],TblDisponibilidad[],11,FALSE), 0)</f>
        <v>0</v>
      </c>
      <c r="H145">
        <f>IFERROR(VLOOKUP(Tabla1[[#This Row],[SISMED]],TblDisponibilidad[],12,FALSE), 0)</f>
        <v>0</v>
      </c>
      <c r="I145">
        <f>IFERROR(VLOOKUP(Tabla1[[#This Row],[SISMED]],TblDisponibilidad[],13,FALSE), 0)</f>
        <v>0</v>
      </c>
      <c r="J145">
        <f>IFERROR(VLOOKUP(Tabla1[[#This Row],[SISMED]],TblDisponibilidad[],14,FALSE), 0)</f>
        <v>0</v>
      </c>
      <c r="K145">
        <f>IFERROR(VLOOKUP(Tabla1[[#This Row],[SISMED]],TblDisponibilidad[],15,FALSE), 0)</f>
        <v>0</v>
      </c>
      <c r="L145">
        <f>IFERROR(VLOOKUP(Tabla1[[#This Row],[SISMED]],TblDisponibilidad[],16,FALSE), 0)</f>
        <v>0</v>
      </c>
      <c r="M145">
        <f>IFERROR(VLOOKUP(Tabla1[[#This Row],[SISMED]],TblDisponibilidad[],17,FALSE), 0)</f>
        <v>0</v>
      </c>
      <c r="N145">
        <f>IFERROR(VLOOKUP(Tabla1[[#This Row],[SISMED]],TblDisponibilidad[],18,FALSE), 0)</f>
        <v>0</v>
      </c>
      <c r="O145">
        <f>IFERROR(VLOOKUP(Tabla1[[#This Row],[SISMED]],TblDisponibilidad[],19,FALSE), 0)</f>
        <v>0</v>
      </c>
      <c r="P145">
        <f>IFERROR(VLOOKUP(Tabla1[[#This Row],[SISMED]],TblDisponibilidad[],20,FALSE), 0)</f>
        <v>0</v>
      </c>
      <c r="Q145">
        <f>IFERROR(VLOOKUP(Tabla1[[#This Row],[SISMED]],TblDisponibilidad[],21,FALSE), 0)</f>
        <v>0</v>
      </c>
      <c r="R145">
        <f>IFERROR(VLOOKUP(Tabla1[[#This Row],[SISMED]],TblDisponibilidad[],22,FALSE), 0)</f>
        <v>0</v>
      </c>
      <c r="S145" s="15">
        <f>IFERROR(VLOOKUP(Tabla1[[#This Row],[SISMED]],TblDisponibilidad[],23,FALSE), 0)</f>
        <v>0</v>
      </c>
    </row>
    <row r="146" spans="1:19" x14ac:dyDescent="0.3">
      <c r="A146" s="15" t="s">
        <v>176</v>
      </c>
      <c r="B146" t="str">
        <f>IFERROR(VLOOKUP(Tabla1[[#This Row],[SISMED]],TblDisponibilidad[],2,FALSE), "")</f>
        <v/>
      </c>
      <c r="C146">
        <f>IFERROR(VLOOKUP(Tabla1[[#This Row],[SISMED]],TblDisponibilidad[],7,FALSE), 0)</f>
        <v>0</v>
      </c>
      <c r="D146">
        <f>IFERROR(VLOOKUP(Tabla1[[#This Row],[SISMED]],TblDisponibilidad[],8,FALSE), 0)</f>
        <v>0</v>
      </c>
      <c r="E146">
        <f>IFERROR(VLOOKUP(Tabla1[[#This Row],[SISMED]],TblDisponibilidad[],9,FALSE), 0)</f>
        <v>0</v>
      </c>
      <c r="F146">
        <f>IFERROR(VLOOKUP(Tabla1[[#This Row],[SISMED]],TblDisponibilidad[],10,FALSE), 0)</f>
        <v>0</v>
      </c>
      <c r="G146">
        <f>IFERROR(VLOOKUP(Tabla1[[#This Row],[SISMED]],TblDisponibilidad[],11,FALSE), 0)</f>
        <v>0</v>
      </c>
      <c r="H146">
        <f>IFERROR(VLOOKUP(Tabla1[[#This Row],[SISMED]],TblDisponibilidad[],12,FALSE), 0)</f>
        <v>0</v>
      </c>
      <c r="I146">
        <f>IFERROR(VLOOKUP(Tabla1[[#This Row],[SISMED]],TblDisponibilidad[],13,FALSE), 0)</f>
        <v>0</v>
      </c>
      <c r="J146">
        <f>IFERROR(VLOOKUP(Tabla1[[#This Row],[SISMED]],TblDisponibilidad[],14,FALSE), 0)</f>
        <v>0</v>
      </c>
      <c r="K146">
        <f>IFERROR(VLOOKUP(Tabla1[[#This Row],[SISMED]],TblDisponibilidad[],15,FALSE), 0)</f>
        <v>0</v>
      </c>
      <c r="L146">
        <f>IFERROR(VLOOKUP(Tabla1[[#This Row],[SISMED]],TblDisponibilidad[],16,FALSE), 0)</f>
        <v>0</v>
      </c>
      <c r="M146">
        <f>IFERROR(VLOOKUP(Tabla1[[#This Row],[SISMED]],TblDisponibilidad[],17,FALSE), 0)</f>
        <v>0</v>
      </c>
      <c r="N146">
        <f>IFERROR(VLOOKUP(Tabla1[[#This Row],[SISMED]],TblDisponibilidad[],18,FALSE), 0)</f>
        <v>0</v>
      </c>
      <c r="O146">
        <f>IFERROR(VLOOKUP(Tabla1[[#This Row],[SISMED]],TblDisponibilidad[],19,FALSE), 0)</f>
        <v>0</v>
      </c>
      <c r="P146">
        <f>IFERROR(VLOOKUP(Tabla1[[#This Row],[SISMED]],TblDisponibilidad[],20,FALSE), 0)</f>
        <v>0</v>
      </c>
      <c r="Q146">
        <f>IFERROR(VLOOKUP(Tabla1[[#This Row],[SISMED]],TblDisponibilidad[],21,FALSE), 0)</f>
        <v>0</v>
      </c>
      <c r="R146">
        <f>IFERROR(VLOOKUP(Tabla1[[#This Row],[SISMED]],TblDisponibilidad[],22,FALSE), 0)</f>
        <v>0</v>
      </c>
      <c r="S146" s="15">
        <f>IFERROR(VLOOKUP(Tabla1[[#This Row],[SISMED]],TblDisponibilidad[],23,FALSE), 0)</f>
        <v>0</v>
      </c>
    </row>
    <row r="147" spans="1:19" x14ac:dyDescent="0.3">
      <c r="A147" s="15" t="s">
        <v>177</v>
      </c>
      <c r="B147" t="str">
        <f>IFERROR(VLOOKUP(Tabla1[[#This Row],[SISMED]],TblDisponibilidad[],2,FALSE), "")</f>
        <v/>
      </c>
      <c r="C147">
        <f>IFERROR(VLOOKUP(Tabla1[[#This Row],[SISMED]],TblDisponibilidad[],7,FALSE), 0)</f>
        <v>0</v>
      </c>
      <c r="D147">
        <f>IFERROR(VLOOKUP(Tabla1[[#This Row],[SISMED]],TblDisponibilidad[],8,FALSE), 0)</f>
        <v>0</v>
      </c>
      <c r="E147">
        <f>IFERROR(VLOOKUP(Tabla1[[#This Row],[SISMED]],TblDisponibilidad[],9,FALSE), 0)</f>
        <v>0</v>
      </c>
      <c r="F147">
        <f>IFERROR(VLOOKUP(Tabla1[[#This Row],[SISMED]],TblDisponibilidad[],10,FALSE), 0)</f>
        <v>0</v>
      </c>
      <c r="G147">
        <f>IFERROR(VLOOKUP(Tabla1[[#This Row],[SISMED]],TblDisponibilidad[],11,FALSE), 0)</f>
        <v>0</v>
      </c>
      <c r="H147">
        <f>IFERROR(VLOOKUP(Tabla1[[#This Row],[SISMED]],TblDisponibilidad[],12,FALSE), 0)</f>
        <v>0</v>
      </c>
      <c r="I147">
        <f>IFERROR(VLOOKUP(Tabla1[[#This Row],[SISMED]],TblDisponibilidad[],13,FALSE), 0)</f>
        <v>0</v>
      </c>
      <c r="J147">
        <f>IFERROR(VLOOKUP(Tabla1[[#This Row],[SISMED]],TblDisponibilidad[],14,FALSE), 0)</f>
        <v>0</v>
      </c>
      <c r="K147">
        <f>IFERROR(VLOOKUP(Tabla1[[#This Row],[SISMED]],TblDisponibilidad[],15,FALSE), 0)</f>
        <v>0</v>
      </c>
      <c r="L147">
        <f>IFERROR(VLOOKUP(Tabla1[[#This Row],[SISMED]],TblDisponibilidad[],16,FALSE), 0)</f>
        <v>0</v>
      </c>
      <c r="M147">
        <f>IFERROR(VLOOKUP(Tabla1[[#This Row],[SISMED]],TblDisponibilidad[],17,FALSE), 0)</f>
        <v>0</v>
      </c>
      <c r="N147">
        <f>IFERROR(VLOOKUP(Tabla1[[#This Row],[SISMED]],TblDisponibilidad[],18,FALSE), 0)</f>
        <v>0</v>
      </c>
      <c r="O147">
        <f>IFERROR(VLOOKUP(Tabla1[[#This Row],[SISMED]],TblDisponibilidad[],19,FALSE), 0)</f>
        <v>0</v>
      </c>
      <c r="P147">
        <f>IFERROR(VLOOKUP(Tabla1[[#This Row],[SISMED]],TblDisponibilidad[],20,FALSE), 0)</f>
        <v>0</v>
      </c>
      <c r="Q147">
        <f>IFERROR(VLOOKUP(Tabla1[[#This Row],[SISMED]],TblDisponibilidad[],21,FALSE), 0)</f>
        <v>0</v>
      </c>
      <c r="R147">
        <f>IFERROR(VLOOKUP(Tabla1[[#This Row],[SISMED]],TblDisponibilidad[],22,FALSE), 0)</f>
        <v>0</v>
      </c>
      <c r="S147" s="15">
        <f>IFERROR(VLOOKUP(Tabla1[[#This Row],[SISMED]],TblDisponibilidad[],23,FALSE), 0)</f>
        <v>0</v>
      </c>
    </row>
    <row r="148" spans="1:19" x14ac:dyDescent="0.3">
      <c r="A148" s="15" t="s">
        <v>178</v>
      </c>
      <c r="B148" t="str">
        <f>IFERROR(VLOOKUP(Tabla1[[#This Row],[SISMED]],TblDisponibilidad[],2,FALSE), "")</f>
        <v/>
      </c>
      <c r="C148">
        <f>IFERROR(VLOOKUP(Tabla1[[#This Row],[SISMED]],TblDisponibilidad[],7,FALSE), 0)</f>
        <v>0</v>
      </c>
      <c r="D148">
        <f>IFERROR(VLOOKUP(Tabla1[[#This Row],[SISMED]],TblDisponibilidad[],8,FALSE), 0)</f>
        <v>0</v>
      </c>
      <c r="E148">
        <f>IFERROR(VLOOKUP(Tabla1[[#This Row],[SISMED]],TblDisponibilidad[],9,FALSE), 0)</f>
        <v>0</v>
      </c>
      <c r="F148">
        <f>IFERROR(VLOOKUP(Tabla1[[#This Row],[SISMED]],TblDisponibilidad[],10,FALSE), 0)</f>
        <v>0</v>
      </c>
      <c r="G148">
        <f>IFERROR(VLOOKUP(Tabla1[[#This Row],[SISMED]],TblDisponibilidad[],11,FALSE), 0)</f>
        <v>0</v>
      </c>
      <c r="H148">
        <f>IFERROR(VLOOKUP(Tabla1[[#This Row],[SISMED]],TblDisponibilidad[],12,FALSE), 0)</f>
        <v>0</v>
      </c>
      <c r="I148">
        <f>IFERROR(VLOOKUP(Tabla1[[#This Row],[SISMED]],TblDisponibilidad[],13,FALSE), 0)</f>
        <v>0</v>
      </c>
      <c r="J148">
        <f>IFERROR(VLOOKUP(Tabla1[[#This Row],[SISMED]],TblDisponibilidad[],14,FALSE), 0)</f>
        <v>0</v>
      </c>
      <c r="K148">
        <f>IFERROR(VLOOKUP(Tabla1[[#This Row],[SISMED]],TblDisponibilidad[],15,FALSE), 0)</f>
        <v>0</v>
      </c>
      <c r="L148">
        <f>IFERROR(VLOOKUP(Tabla1[[#This Row],[SISMED]],TblDisponibilidad[],16,FALSE), 0)</f>
        <v>0</v>
      </c>
      <c r="M148">
        <f>IFERROR(VLOOKUP(Tabla1[[#This Row],[SISMED]],TblDisponibilidad[],17,FALSE), 0)</f>
        <v>0</v>
      </c>
      <c r="N148">
        <f>IFERROR(VLOOKUP(Tabla1[[#This Row],[SISMED]],TblDisponibilidad[],18,FALSE), 0)</f>
        <v>0</v>
      </c>
      <c r="O148">
        <f>IFERROR(VLOOKUP(Tabla1[[#This Row],[SISMED]],TblDisponibilidad[],19,FALSE), 0)</f>
        <v>0</v>
      </c>
      <c r="P148">
        <f>IFERROR(VLOOKUP(Tabla1[[#This Row],[SISMED]],TblDisponibilidad[],20,FALSE), 0)</f>
        <v>0</v>
      </c>
      <c r="Q148">
        <f>IFERROR(VLOOKUP(Tabla1[[#This Row],[SISMED]],TblDisponibilidad[],21,FALSE), 0)</f>
        <v>0</v>
      </c>
      <c r="R148">
        <f>IFERROR(VLOOKUP(Tabla1[[#This Row],[SISMED]],TblDisponibilidad[],22,FALSE), 0)</f>
        <v>0</v>
      </c>
      <c r="S148" s="15">
        <f>IFERROR(VLOOKUP(Tabla1[[#This Row],[SISMED]],TblDisponibilidad[],23,FALSE), 0)</f>
        <v>0</v>
      </c>
    </row>
    <row r="149" spans="1:19" x14ac:dyDescent="0.3">
      <c r="A149" s="15" t="s">
        <v>179</v>
      </c>
      <c r="B149" t="str">
        <f>IFERROR(VLOOKUP(Tabla1[[#This Row],[SISMED]],TblDisponibilidad[],2,FALSE), "")</f>
        <v/>
      </c>
      <c r="C149">
        <f>IFERROR(VLOOKUP(Tabla1[[#This Row],[SISMED]],TblDisponibilidad[],7,FALSE), 0)</f>
        <v>0</v>
      </c>
      <c r="D149">
        <f>IFERROR(VLOOKUP(Tabla1[[#This Row],[SISMED]],TblDisponibilidad[],8,FALSE), 0)</f>
        <v>0</v>
      </c>
      <c r="E149">
        <f>IFERROR(VLOOKUP(Tabla1[[#This Row],[SISMED]],TblDisponibilidad[],9,FALSE), 0)</f>
        <v>0</v>
      </c>
      <c r="F149">
        <f>IFERROR(VLOOKUP(Tabla1[[#This Row],[SISMED]],TblDisponibilidad[],10,FALSE), 0)</f>
        <v>0</v>
      </c>
      <c r="G149">
        <f>IFERROR(VLOOKUP(Tabla1[[#This Row],[SISMED]],TblDisponibilidad[],11,FALSE), 0)</f>
        <v>0</v>
      </c>
      <c r="H149">
        <f>IFERROR(VLOOKUP(Tabla1[[#This Row],[SISMED]],TblDisponibilidad[],12,FALSE), 0)</f>
        <v>0</v>
      </c>
      <c r="I149">
        <f>IFERROR(VLOOKUP(Tabla1[[#This Row],[SISMED]],TblDisponibilidad[],13,FALSE), 0)</f>
        <v>0</v>
      </c>
      <c r="J149">
        <f>IFERROR(VLOOKUP(Tabla1[[#This Row],[SISMED]],TblDisponibilidad[],14,FALSE), 0)</f>
        <v>0</v>
      </c>
      <c r="K149">
        <f>IFERROR(VLOOKUP(Tabla1[[#This Row],[SISMED]],TblDisponibilidad[],15,FALSE), 0)</f>
        <v>0</v>
      </c>
      <c r="L149">
        <f>IFERROR(VLOOKUP(Tabla1[[#This Row],[SISMED]],TblDisponibilidad[],16,FALSE), 0)</f>
        <v>0</v>
      </c>
      <c r="M149">
        <f>IFERROR(VLOOKUP(Tabla1[[#This Row],[SISMED]],TblDisponibilidad[],17,FALSE), 0)</f>
        <v>0</v>
      </c>
      <c r="N149">
        <f>IFERROR(VLOOKUP(Tabla1[[#This Row],[SISMED]],TblDisponibilidad[],18,FALSE), 0)</f>
        <v>0</v>
      </c>
      <c r="O149">
        <f>IFERROR(VLOOKUP(Tabla1[[#This Row],[SISMED]],TblDisponibilidad[],19,FALSE), 0)</f>
        <v>0</v>
      </c>
      <c r="P149">
        <f>IFERROR(VLOOKUP(Tabla1[[#This Row],[SISMED]],TblDisponibilidad[],20,FALSE), 0)</f>
        <v>0</v>
      </c>
      <c r="Q149">
        <f>IFERROR(VLOOKUP(Tabla1[[#This Row],[SISMED]],TblDisponibilidad[],21,FALSE), 0)</f>
        <v>0</v>
      </c>
      <c r="R149">
        <f>IFERROR(VLOOKUP(Tabla1[[#This Row],[SISMED]],TblDisponibilidad[],22,FALSE), 0)</f>
        <v>0</v>
      </c>
      <c r="S149" s="15">
        <f>IFERROR(VLOOKUP(Tabla1[[#This Row],[SISMED]],TblDisponibilidad[],23,FALSE), 0)</f>
        <v>0</v>
      </c>
    </row>
    <row r="150" spans="1:19" x14ac:dyDescent="0.3">
      <c r="A150" s="15" t="s">
        <v>180</v>
      </c>
      <c r="B150" t="str">
        <f>IFERROR(VLOOKUP(Tabla1[[#This Row],[SISMED]],TblDisponibilidad[],2,FALSE), "")</f>
        <v/>
      </c>
      <c r="C150">
        <f>IFERROR(VLOOKUP(Tabla1[[#This Row],[SISMED]],TblDisponibilidad[],7,FALSE), 0)</f>
        <v>0</v>
      </c>
      <c r="D150">
        <f>IFERROR(VLOOKUP(Tabla1[[#This Row],[SISMED]],TblDisponibilidad[],8,FALSE), 0)</f>
        <v>0</v>
      </c>
      <c r="E150">
        <f>IFERROR(VLOOKUP(Tabla1[[#This Row],[SISMED]],TblDisponibilidad[],9,FALSE), 0)</f>
        <v>0</v>
      </c>
      <c r="F150">
        <f>IFERROR(VLOOKUP(Tabla1[[#This Row],[SISMED]],TblDisponibilidad[],10,FALSE), 0)</f>
        <v>0</v>
      </c>
      <c r="G150">
        <f>IFERROR(VLOOKUP(Tabla1[[#This Row],[SISMED]],TblDisponibilidad[],11,FALSE), 0)</f>
        <v>0</v>
      </c>
      <c r="H150">
        <f>IFERROR(VLOOKUP(Tabla1[[#This Row],[SISMED]],TblDisponibilidad[],12,FALSE), 0)</f>
        <v>0</v>
      </c>
      <c r="I150">
        <f>IFERROR(VLOOKUP(Tabla1[[#This Row],[SISMED]],TblDisponibilidad[],13,FALSE), 0)</f>
        <v>0</v>
      </c>
      <c r="J150">
        <f>IFERROR(VLOOKUP(Tabla1[[#This Row],[SISMED]],TblDisponibilidad[],14,FALSE), 0)</f>
        <v>0</v>
      </c>
      <c r="K150">
        <f>IFERROR(VLOOKUP(Tabla1[[#This Row],[SISMED]],TblDisponibilidad[],15,FALSE), 0)</f>
        <v>0</v>
      </c>
      <c r="L150">
        <f>IFERROR(VLOOKUP(Tabla1[[#This Row],[SISMED]],TblDisponibilidad[],16,FALSE), 0)</f>
        <v>0</v>
      </c>
      <c r="M150">
        <f>IFERROR(VLOOKUP(Tabla1[[#This Row],[SISMED]],TblDisponibilidad[],17,FALSE), 0)</f>
        <v>0</v>
      </c>
      <c r="N150">
        <f>IFERROR(VLOOKUP(Tabla1[[#This Row],[SISMED]],TblDisponibilidad[],18,FALSE), 0)</f>
        <v>0</v>
      </c>
      <c r="O150">
        <f>IFERROR(VLOOKUP(Tabla1[[#This Row],[SISMED]],TblDisponibilidad[],19,FALSE), 0)</f>
        <v>0</v>
      </c>
      <c r="P150">
        <f>IFERROR(VLOOKUP(Tabla1[[#This Row],[SISMED]],TblDisponibilidad[],20,FALSE), 0)</f>
        <v>0</v>
      </c>
      <c r="Q150">
        <f>IFERROR(VLOOKUP(Tabla1[[#This Row],[SISMED]],TblDisponibilidad[],21,FALSE), 0)</f>
        <v>0</v>
      </c>
      <c r="R150">
        <f>IFERROR(VLOOKUP(Tabla1[[#This Row],[SISMED]],TblDisponibilidad[],22,FALSE), 0)</f>
        <v>0</v>
      </c>
      <c r="S150" s="15">
        <f>IFERROR(VLOOKUP(Tabla1[[#This Row],[SISMED]],TblDisponibilidad[],23,FALSE), 0)</f>
        <v>0</v>
      </c>
    </row>
    <row r="151" spans="1:19" x14ac:dyDescent="0.3">
      <c r="A151" s="15" t="s">
        <v>181</v>
      </c>
      <c r="B151" t="str">
        <f>IFERROR(VLOOKUP(Tabla1[[#This Row],[SISMED]],TblDisponibilidad[],2,FALSE), "")</f>
        <v/>
      </c>
      <c r="C151">
        <f>IFERROR(VLOOKUP(Tabla1[[#This Row],[SISMED]],TblDisponibilidad[],7,FALSE), 0)</f>
        <v>0</v>
      </c>
      <c r="D151">
        <f>IFERROR(VLOOKUP(Tabla1[[#This Row],[SISMED]],TblDisponibilidad[],8,FALSE), 0)</f>
        <v>0</v>
      </c>
      <c r="E151">
        <f>IFERROR(VLOOKUP(Tabla1[[#This Row],[SISMED]],TblDisponibilidad[],9,FALSE), 0)</f>
        <v>0</v>
      </c>
      <c r="F151">
        <f>IFERROR(VLOOKUP(Tabla1[[#This Row],[SISMED]],TblDisponibilidad[],10,FALSE), 0)</f>
        <v>0</v>
      </c>
      <c r="G151">
        <f>IFERROR(VLOOKUP(Tabla1[[#This Row],[SISMED]],TblDisponibilidad[],11,FALSE), 0)</f>
        <v>0</v>
      </c>
      <c r="H151">
        <f>IFERROR(VLOOKUP(Tabla1[[#This Row],[SISMED]],TblDisponibilidad[],12,FALSE), 0)</f>
        <v>0</v>
      </c>
      <c r="I151">
        <f>IFERROR(VLOOKUP(Tabla1[[#This Row],[SISMED]],TblDisponibilidad[],13,FALSE), 0)</f>
        <v>0</v>
      </c>
      <c r="J151">
        <f>IFERROR(VLOOKUP(Tabla1[[#This Row],[SISMED]],TblDisponibilidad[],14,FALSE), 0)</f>
        <v>0</v>
      </c>
      <c r="K151">
        <f>IFERROR(VLOOKUP(Tabla1[[#This Row],[SISMED]],TblDisponibilidad[],15,FALSE), 0)</f>
        <v>0</v>
      </c>
      <c r="L151">
        <f>IFERROR(VLOOKUP(Tabla1[[#This Row],[SISMED]],TblDisponibilidad[],16,FALSE), 0)</f>
        <v>0</v>
      </c>
      <c r="M151">
        <f>IFERROR(VLOOKUP(Tabla1[[#This Row],[SISMED]],TblDisponibilidad[],17,FALSE), 0)</f>
        <v>0</v>
      </c>
      <c r="N151">
        <f>IFERROR(VLOOKUP(Tabla1[[#This Row],[SISMED]],TblDisponibilidad[],18,FALSE), 0)</f>
        <v>0</v>
      </c>
      <c r="O151">
        <f>IFERROR(VLOOKUP(Tabla1[[#This Row],[SISMED]],TblDisponibilidad[],19,FALSE), 0)</f>
        <v>0</v>
      </c>
      <c r="P151">
        <f>IFERROR(VLOOKUP(Tabla1[[#This Row],[SISMED]],TblDisponibilidad[],20,FALSE), 0)</f>
        <v>0</v>
      </c>
      <c r="Q151">
        <f>IFERROR(VLOOKUP(Tabla1[[#This Row],[SISMED]],TblDisponibilidad[],21,FALSE), 0)</f>
        <v>0</v>
      </c>
      <c r="R151">
        <f>IFERROR(VLOOKUP(Tabla1[[#This Row],[SISMED]],TblDisponibilidad[],22,FALSE), 0)</f>
        <v>0</v>
      </c>
      <c r="S151" s="15">
        <f>IFERROR(VLOOKUP(Tabla1[[#This Row],[SISMED]],TblDisponibilidad[],23,FALSE), 0)</f>
        <v>0</v>
      </c>
    </row>
    <row r="152" spans="1:19" x14ac:dyDescent="0.3">
      <c r="A152" s="15" t="s">
        <v>182</v>
      </c>
      <c r="B152" t="str">
        <f>IFERROR(VLOOKUP(Tabla1[[#This Row],[SISMED]],TblDisponibilidad[],2,FALSE), "")</f>
        <v/>
      </c>
      <c r="C152">
        <f>IFERROR(VLOOKUP(Tabla1[[#This Row],[SISMED]],TblDisponibilidad[],7,FALSE), 0)</f>
        <v>0</v>
      </c>
      <c r="D152">
        <f>IFERROR(VLOOKUP(Tabla1[[#This Row],[SISMED]],TblDisponibilidad[],8,FALSE), 0)</f>
        <v>0</v>
      </c>
      <c r="E152">
        <f>IFERROR(VLOOKUP(Tabla1[[#This Row],[SISMED]],TblDisponibilidad[],9,FALSE), 0)</f>
        <v>0</v>
      </c>
      <c r="F152">
        <f>IFERROR(VLOOKUP(Tabla1[[#This Row],[SISMED]],TblDisponibilidad[],10,FALSE), 0)</f>
        <v>0</v>
      </c>
      <c r="G152">
        <f>IFERROR(VLOOKUP(Tabla1[[#This Row],[SISMED]],TblDisponibilidad[],11,FALSE), 0)</f>
        <v>0</v>
      </c>
      <c r="H152">
        <f>IFERROR(VLOOKUP(Tabla1[[#This Row],[SISMED]],TblDisponibilidad[],12,FALSE), 0)</f>
        <v>0</v>
      </c>
      <c r="I152">
        <f>IFERROR(VLOOKUP(Tabla1[[#This Row],[SISMED]],TblDisponibilidad[],13,FALSE), 0)</f>
        <v>0</v>
      </c>
      <c r="J152">
        <f>IFERROR(VLOOKUP(Tabla1[[#This Row],[SISMED]],TblDisponibilidad[],14,FALSE), 0)</f>
        <v>0</v>
      </c>
      <c r="K152">
        <f>IFERROR(VLOOKUP(Tabla1[[#This Row],[SISMED]],TblDisponibilidad[],15,FALSE), 0)</f>
        <v>0</v>
      </c>
      <c r="L152">
        <f>IFERROR(VLOOKUP(Tabla1[[#This Row],[SISMED]],TblDisponibilidad[],16,FALSE), 0)</f>
        <v>0</v>
      </c>
      <c r="M152">
        <f>IFERROR(VLOOKUP(Tabla1[[#This Row],[SISMED]],TblDisponibilidad[],17,FALSE), 0)</f>
        <v>0</v>
      </c>
      <c r="N152">
        <f>IFERROR(VLOOKUP(Tabla1[[#This Row],[SISMED]],TblDisponibilidad[],18,FALSE), 0)</f>
        <v>0</v>
      </c>
      <c r="O152">
        <f>IFERROR(VLOOKUP(Tabla1[[#This Row],[SISMED]],TblDisponibilidad[],19,FALSE), 0)</f>
        <v>0</v>
      </c>
      <c r="P152">
        <f>IFERROR(VLOOKUP(Tabla1[[#This Row],[SISMED]],TblDisponibilidad[],20,FALSE), 0)</f>
        <v>0</v>
      </c>
      <c r="Q152">
        <f>IFERROR(VLOOKUP(Tabla1[[#This Row],[SISMED]],TblDisponibilidad[],21,FALSE), 0)</f>
        <v>0</v>
      </c>
      <c r="R152">
        <f>IFERROR(VLOOKUP(Tabla1[[#This Row],[SISMED]],TblDisponibilidad[],22,FALSE), 0)</f>
        <v>0</v>
      </c>
      <c r="S152" s="15">
        <f>IFERROR(VLOOKUP(Tabla1[[#This Row],[SISMED]],TblDisponibilidad[],23,FALSE), 0)</f>
        <v>0</v>
      </c>
    </row>
    <row r="153" spans="1:19" x14ac:dyDescent="0.3">
      <c r="A153" s="15" t="s">
        <v>183</v>
      </c>
      <c r="B153" t="str">
        <f>IFERROR(VLOOKUP(Tabla1[[#This Row],[SISMED]],TblDisponibilidad[],2,FALSE), "")</f>
        <v/>
      </c>
      <c r="C153">
        <f>IFERROR(VLOOKUP(Tabla1[[#This Row],[SISMED]],TblDisponibilidad[],7,FALSE), 0)</f>
        <v>0</v>
      </c>
      <c r="D153">
        <f>IFERROR(VLOOKUP(Tabla1[[#This Row],[SISMED]],TblDisponibilidad[],8,FALSE), 0)</f>
        <v>0</v>
      </c>
      <c r="E153">
        <f>IFERROR(VLOOKUP(Tabla1[[#This Row],[SISMED]],TblDisponibilidad[],9,FALSE), 0)</f>
        <v>0</v>
      </c>
      <c r="F153">
        <f>IFERROR(VLOOKUP(Tabla1[[#This Row],[SISMED]],TblDisponibilidad[],10,FALSE), 0)</f>
        <v>0</v>
      </c>
      <c r="G153">
        <f>IFERROR(VLOOKUP(Tabla1[[#This Row],[SISMED]],TblDisponibilidad[],11,FALSE), 0)</f>
        <v>0</v>
      </c>
      <c r="H153">
        <f>IFERROR(VLOOKUP(Tabla1[[#This Row],[SISMED]],TblDisponibilidad[],12,FALSE), 0)</f>
        <v>0</v>
      </c>
      <c r="I153">
        <f>IFERROR(VLOOKUP(Tabla1[[#This Row],[SISMED]],TblDisponibilidad[],13,FALSE), 0)</f>
        <v>0</v>
      </c>
      <c r="J153">
        <f>IFERROR(VLOOKUP(Tabla1[[#This Row],[SISMED]],TblDisponibilidad[],14,FALSE), 0)</f>
        <v>0</v>
      </c>
      <c r="K153">
        <f>IFERROR(VLOOKUP(Tabla1[[#This Row],[SISMED]],TblDisponibilidad[],15,FALSE), 0)</f>
        <v>0</v>
      </c>
      <c r="L153">
        <f>IFERROR(VLOOKUP(Tabla1[[#This Row],[SISMED]],TblDisponibilidad[],16,FALSE), 0)</f>
        <v>0</v>
      </c>
      <c r="M153">
        <f>IFERROR(VLOOKUP(Tabla1[[#This Row],[SISMED]],TblDisponibilidad[],17,FALSE), 0)</f>
        <v>0</v>
      </c>
      <c r="N153">
        <f>IFERROR(VLOOKUP(Tabla1[[#This Row],[SISMED]],TblDisponibilidad[],18,FALSE), 0)</f>
        <v>0</v>
      </c>
      <c r="O153">
        <f>IFERROR(VLOOKUP(Tabla1[[#This Row],[SISMED]],TblDisponibilidad[],19,FALSE), 0)</f>
        <v>0</v>
      </c>
      <c r="P153">
        <f>IFERROR(VLOOKUP(Tabla1[[#This Row],[SISMED]],TblDisponibilidad[],20,FALSE), 0)</f>
        <v>0</v>
      </c>
      <c r="Q153">
        <f>IFERROR(VLOOKUP(Tabla1[[#This Row],[SISMED]],TblDisponibilidad[],21,FALSE), 0)</f>
        <v>0</v>
      </c>
      <c r="R153">
        <f>IFERROR(VLOOKUP(Tabla1[[#This Row],[SISMED]],TblDisponibilidad[],22,FALSE), 0)</f>
        <v>0</v>
      </c>
      <c r="S153" s="15">
        <f>IFERROR(VLOOKUP(Tabla1[[#This Row],[SISMED]],TblDisponibilidad[],23,FALSE), 0)</f>
        <v>0</v>
      </c>
    </row>
    <row r="154" spans="1:19" x14ac:dyDescent="0.3">
      <c r="A154" s="15" t="s">
        <v>184</v>
      </c>
      <c r="B154" t="str">
        <f>IFERROR(VLOOKUP(Tabla1[[#This Row],[SISMED]],TblDisponibilidad[],2,FALSE), "")</f>
        <v/>
      </c>
      <c r="C154">
        <f>IFERROR(VLOOKUP(Tabla1[[#This Row],[SISMED]],TblDisponibilidad[],7,FALSE), 0)</f>
        <v>0</v>
      </c>
      <c r="D154">
        <f>IFERROR(VLOOKUP(Tabla1[[#This Row],[SISMED]],TblDisponibilidad[],8,FALSE), 0)</f>
        <v>0</v>
      </c>
      <c r="E154">
        <f>IFERROR(VLOOKUP(Tabla1[[#This Row],[SISMED]],TblDisponibilidad[],9,FALSE), 0)</f>
        <v>0</v>
      </c>
      <c r="F154">
        <f>IFERROR(VLOOKUP(Tabla1[[#This Row],[SISMED]],TblDisponibilidad[],10,FALSE), 0)</f>
        <v>0</v>
      </c>
      <c r="G154">
        <f>IFERROR(VLOOKUP(Tabla1[[#This Row],[SISMED]],TblDisponibilidad[],11,FALSE), 0)</f>
        <v>0</v>
      </c>
      <c r="H154">
        <f>IFERROR(VLOOKUP(Tabla1[[#This Row],[SISMED]],TblDisponibilidad[],12,FALSE), 0)</f>
        <v>0</v>
      </c>
      <c r="I154">
        <f>IFERROR(VLOOKUP(Tabla1[[#This Row],[SISMED]],TblDisponibilidad[],13,FALSE), 0)</f>
        <v>0</v>
      </c>
      <c r="J154">
        <f>IFERROR(VLOOKUP(Tabla1[[#This Row],[SISMED]],TblDisponibilidad[],14,FALSE), 0)</f>
        <v>0</v>
      </c>
      <c r="K154">
        <f>IFERROR(VLOOKUP(Tabla1[[#This Row],[SISMED]],TblDisponibilidad[],15,FALSE), 0)</f>
        <v>0</v>
      </c>
      <c r="L154">
        <f>IFERROR(VLOOKUP(Tabla1[[#This Row],[SISMED]],TblDisponibilidad[],16,FALSE), 0)</f>
        <v>0</v>
      </c>
      <c r="M154">
        <f>IFERROR(VLOOKUP(Tabla1[[#This Row],[SISMED]],TblDisponibilidad[],17,FALSE), 0)</f>
        <v>0</v>
      </c>
      <c r="N154">
        <f>IFERROR(VLOOKUP(Tabla1[[#This Row],[SISMED]],TblDisponibilidad[],18,FALSE), 0)</f>
        <v>0</v>
      </c>
      <c r="O154">
        <f>IFERROR(VLOOKUP(Tabla1[[#This Row],[SISMED]],TblDisponibilidad[],19,FALSE), 0)</f>
        <v>0</v>
      </c>
      <c r="P154">
        <f>IFERROR(VLOOKUP(Tabla1[[#This Row],[SISMED]],TblDisponibilidad[],20,FALSE), 0)</f>
        <v>0</v>
      </c>
      <c r="Q154">
        <f>IFERROR(VLOOKUP(Tabla1[[#This Row],[SISMED]],TblDisponibilidad[],21,FALSE), 0)</f>
        <v>0</v>
      </c>
      <c r="R154">
        <f>IFERROR(VLOOKUP(Tabla1[[#This Row],[SISMED]],TblDisponibilidad[],22,FALSE), 0)</f>
        <v>0</v>
      </c>
      <c r="S154" s="15">
        <f>IFERROR(VLOOKUP(Tabla1[[#This Row],[SISMED]],TblDisponibilidad[],23,FALSE), 0)</f>
        <v>0</v>
      </c>
    </row>
    <row r="155" spans="1:19" x14ac:dyDescent="0.3">
      <c r="A155" s="15" t="s">
        <v>185</v>
      </c>
      <c r="B155" t="str">
        <f>IFERROR(VLOOKUP(Tabla1[[#This Row],[SISMED]],TblDisponibilidad[],2,FALSE), "")</f>
        <v/>
      </c>
      <c r="C155">
        <f>IFERROR(VLOOKUP(Tabla1[[#This Row],[SISMED]],TblDisponibilidad[],7,FALSE), 0)</f>
        <v>0</v>
      </c>
      <c r="D155">
        <f>IFERROR(VLOOKUP(Tabla1[[#This Row],[SISMED]],TblDisponibilidad[],8,FALSE), 0)</f>
        <v>0</v>
      </c>
      <c r="E155">
        <f>IFERROR(VLOOKUP(Tabla1[[#This Row],[SISMED]],TblDisponibilidad[],9,FALSE), 0)</f>
        <v>0</v>
      </c>
      <c r="F155">
        <f>IFERROR(VLOOKUP(Tabla1[[#This Row],[SISMED]],TblDisponibilidad[],10,FALSE), 0)</f>
        <v>0</v>
      </c>
      <c r="G155">
        <f>IFERROR(VLOOKUP(Tabla1[[#This Row],[SISMED]],TblDisponibilidad[],11,FALSE), 0)</f>
        <v>0</v>
      </c>
      <c r="H155">
        <f>IFERROR(VLOOKUP(Tabla1[[#This Row],[SISMED]],TblDisponibilidad[],12,FALSE), 0)</f>
        <v>0</v>
      </c>
      <c r="I155">
        <f>IFERROR(VLOOKUP(Tabla1[[#This Row],[SISMED]],TblDisponibilidad[],13,FALSE), 0)</f>
        <v>0</v>
      </c>
      <c r="J155">
        <f>IFERROR(VLOOKUP(Tabla1[[#This Row],[SISMED]],TblDisponibilidad[],14,FALSE), 0)</f>
        <v>0</v>
      </c>
      <c r="K155">
        <f>IFERROR(VLOOKUP(Tabla1[[#This Row],[SISMED]],TblDisponibilidad[],15,FALSE), 0)</f>
        <v>0</v>
      </c>
      <c r="L155">
        <f>IFERROR(VLOOKUP(Tabla1[[#This Row],[SISMED]],TblDisponibilidad[],16,FALSE), 0)</f>
        <v>0</v>
      </c>
      <c r="M155">
        <f>IFERROR(VLOOKUP(Tabla1[[#This Row],[SISMED]],TblDisponibilidad[],17,FALSE), 0)</f>
        <v>0</v>
      </c>
      <c r="N155">
        <f>IFERROR(VLOOKUP(Tabla1[[#This Row],[SISMED]],TblDisponibilidad[],18,FALSE), 0)</f>
        <v>0</v>
      </c>
      <c r="O155">
        <f>IFERROR(VLOOKUP(Tabla1[[#This Row],[SISMED]],TblDisponibilidad[],19,FALSE), 0)</f>
        <v>0</v>
      </c>
      <c r="P155">
        <f>IFERROR(VLOOKUP(Tabla1[[#This Row],[SISMED]],TblDisponibilidad[],20,FALSE), 0)</f>
        <v>0</v>
      </c>
      <c r="Q155">
        <f>IFERROR(VLOOKUP(Tabla1[[#This Row],[SISMED]],TblDisponibilidad[],21,FALSE), 0)</f>
        <v>0</v>
      </c>
      <c r="R155">
        <f>IFERROR(VLOOKUP(Tabla1[[#This Row],[SISMED]],TblDisponibilidad[],22,FALSE), 0)</f>
        <v>0</v>
      </c>
      <c r="S155" s="15">
        <f>IFERROR(VLOOKUP(Tabla1[[#This Row],[SISMED]],TblDisponibilidad[],23,FALSE), 0)</f>
        <v>0</v>
      </c>
    </row>
    <row r="156" spans="1:19" x14ac:dyDescent="0.3">
      <c r="A156" s="15" t="s">
        <v>186</v>
      </c>
      <c r="B156" t="str">
        <f>IFERROR(VLOOKUP(Tabla1[[#This Row],[SISMED]],TblDisponibilidad[],2,FALSE), "")</f>
        <v/>
      </c>
      <c r="C156">
        <f>IFERROR(VLOOKUP(Tabla1[[#This Row],[SISMED]],TblDisponibilidad[],7,FALSE), 0)</f>
        <v>0</v>
      </c>
      <c r="D156">
        <f>IFERROR(VLOOKUP(Tabla1[[#This Row],[SISMED]],TblDisponibilidad[],8,FALSE), 0)</f>
        <v>0</v>
      </c>
      <c r="E156">
        <f>IFERROR(VLOOKUP(Tabla1[[#This Row],[SISMED]],TblDisponibilidad[],9,FALSE), 0)</f>
        <v>0</v>
      </c>
      <c r="F156">
        <f>IFERROR(VLOOKUP(Tabla1[[#This Row],[SISMED]],TblDisponibilidad[],10,FALSE), 0)</f>
        <v>0</v>
      </c>
      <c r="G156">
        <f>IFERROR(VLOOKUP(Tabla1[[#This Row],[SISMED]],TblDisponibilidad[],11,FALSE), 0)</f>
        <v>0</v>
      </c>
      <c r="H156">
        <f>IFERROR(VLOOKUP(Tabla1[[#This Row],[SISMED]],TblDisponibilidad[],12,FALSE), 0)</f>
        <v>0</v>
      </c>
      <c r="I156">
        <f>IFERROR(VLOOKUP(Tabla1[[#This Row],[SISMED]],TblDisponibilidad[],13,FALSE), 0)</f>
        <v>0</v>
      </c>
      <c r="J156">
        <f>IFERROR(VLOOKUP(Tabla1[[#This Row],[SISMED]],TblDisponibilidad[],14,FALSE), 0)</f>
        <v>0</v>
      </c>
      <c r="K156">
        <f>IFERROR(VLOOKUP(Tabla1[[#This Row],[SISMED]],TblDisponibilidad[],15,FALSE), 0)</f>
        <v>0</v>
      </c>
      <c r="L156">
        <f>IFERROR(VLOOKUP(Tabla1[[#This Row],[SISMED]],TblDisponibilidad[],16,FALSE), 0)</f>
        <v>0</v>
      </c>
      <c r="M156">
        <f>IFERROR(VLOOKUP(Tabla1[[#This Row],[SISMED]],TblDisponibilidad[],17,FALSE), 0)</f>
        <v>0</v>
      </c>
      <c r="N156">
        <f>IFERROR(VLOOKUP(Tabla1[[#This Row],[SISMED]],TblDisponibilidad[],18,FALSE), 0)</f>
        <v>0</v>
      </c>
      <c r="O156">
        <f>IFERROR(VLOOKUP(Tabla1[[#This Row],[SISMED]],TblDisponibilidad[],19,FALSE), 0)</f>
        <v>0</v>
      </c>
      <c r="P156">
        <f>IFERROR(VLOOKUP(Tabla1[[#This Row],[SISMED]],TblDisponibilidad[],20,FALSE), 0)</f>
        <v>0</v>
      </c>
      <c r="Q156">
        <f>IFERROR(VLOOKUP(Tabla1[[#This Row],[SISMED]],TblDisponibilidad[],21,FALSE), 0)</f>
        <v>0</v>
      </c>
      <c r="R156">
        <f>IFERROR(VLOOKUP(Tabla1[[#This Row],[SISMED]],TblDisponibilidad[],22,FALSE), 0)</f>
        <v>0</v>
      </c>
      <c r="S156" s="15">
        <f>IFERROR(VLOOKUP(Tabla1[[#This Row],[SISMED]],TblDisponibilidad[],23,FALSE), 0)</f>
        <v>0</v>
      </c>
    </row>
    <row r="157" spans="1:19" x14ac:dyDescent="0.3">
      <c r="A157" s="15" t="s">
        <v>187</v>
      </c>
      <c r="B157" t="str">
        <f>IFERROR(VLOOKUP(Tabla1[[#This Row],[SISMED]],TblDisponibilidad[],2,FALSE), "")</f>
        <v/>
      </c>
      <c r="C157">
        <f>IFERROR(VLOOKUP(Tabla1[[#This Row],[SISMED]],TblDisponibilidad[],7,FALSE), 0)</f>
        <v>0</v>
      </c>
      <c r="D157">
        <f>IFERROR(VLOOKUP(Tabla1[[#This Row],[SISMED]],TblDisponibilidad[],8,FALSE), 0)</f>
        <v>0</v>
      </c>
      <c r="E157">
        <f>IFERROR(VLOOKUP(Tabla1[[#This Row],[SISMED]],TblDisponibilidad[],9,FALSE), 0)</f>
        <v>0</v>
      </c>
      <c r="F157">
        <f>IFERROR(VLOOKUP(Tabla1[[#This Row],[SISMED]],TblDisponibilidad[],10,FALSE), 0)</f>
        <v>0</v>
      </c>
      <c r="G157">
        <f>IFERROR(VLOOKUP(Tabla1[[#This Row],[SISMED]],TblDisponibilidad[],11,FALSE), 0)</f>
        <v>0</v>
      </c>
      <c r="H157">
        <f>IFERROR(VLOOKUP(Tabla1[[#This Row],[SISMED]],TblDisponibilidad[],12,FALSE), 0)</f>
        <v>0</v>
      </c>
      <c r="I157">
        <f>IFERROR(VLOOKUP(Tabla1[[#This Row],[SISMED]],TblDisponibilidad[],13,FALSE), 0)</f>
        <v>0</v>
      </c>
      <c r="J157">
        <f>IFERROR(VLOOKUP(Tabla1[[#This Row],[SISMED]],TblDisponibilidad[],14,FALSE), 0)</f>
        <v>0</v>
      </c>
      <c r="K157">
        <f>IFERROR(VLOOKUP(Tabla1[[#This Row],[SISMED]],TblDisponibilidad[],15,FALSE), 0)</f>
        <v>0</v>
      </c>
      <c r="L157">
        <f>IFERROR(VLOOKUP(Tabla1[[#This Row],[SISMED]],TblDisponibilidad[],16,FALSE), 0)</f>
        <v>0</v>
      </c>
      <c r="M157">
        <f>IFERROR(VLOOKUP(Tabla1[[#This Row],[SISMED]],TblDisponibilidad[],17,FALSE), 0)</f>
        <v>0</v>
      </c>
      <c r="N157">
        <f>IFERROR(VLOOKUP(Tabla1[[#This Row],[SISMED]],TblDisponibilidad[],18,FALSE), 0)</f>
        <v>0</v>
      </c>
      <c r="O157">
        <f>IFERROR(VLOOKUP(Tabla1[[#This Row],[SISMED]],TblDisponibilidad[],19,FALSE), 0)</f>
        <v>0</v>
      </c>
      <c r="P157">
        <f>IFERROR(VLOOKUP(Tabla1[[#This Row],[SISMED]],TblDisponibilidad[],20,FALSE), 0)</f>
        <v>0</v>
      </c>
      <c r="Q157">
        <f>IFERROR(VLOOKUP(Tabla1[[#This Row],[SISMED]],TblDisponibilidad[],21,FALSE), 0)</f>
        <v>0</v>
      </c>
      <c r="R157">
        <f>IFERROR(VLOOKUP(Tabla1[[#This Row],[SISMED]],TblDisponibilidad[],22,FALSE), 0)</f>
        <v>0</v>
      </c>
      <c r="S157" s="15">
        <f>IFERROR(VLOOKUP(Tabla1[[#This Row],[SISMED]],TblDisponibilidad[],23,FALSE), 0)</f>
        <v>0</v>
      </c>
    </row>
    <row r="158" spans="1:19" x14ac:dyDescent="0.3">
      <c r="A158" s="15" t="s">
        <v>188</v>
      </c>
      <c r="B158" t="str">
        <f>IFERROR(VLOOKUP(Tabla1[[#This Row],[SISMED]],TblDisponibilidad[],2,FALSE), "")</f>
        <v/>
      </c>
      <c r="C158">
        <f>IFERROR(VLOOKUP(Tabla1[[#This Row],[SISMED]],TblDisponibilidad[],7,FALSE), 0)</f>
        <v>0</v>
      </c>
      <c r="D158">
        <f>IFERROR(VLOOKUP(Tabla1[[#This Row],[SISMED]],TblDisponibilidad[],8,FALSE), 0)</f>
        <v>0</v>
      </c>
      <c r="E158">
        <f>IFERROR(VLOOKUP(Tabla1[[#This Row],[SISMED]],TblDisponibilidad[],9,FALSE), 0)</f>
        <v>0</v>
      </c>
      <c r="F158">
        <f>IFERROR(VLOOKUP(Tabla1[[#This Row],[SISMED]],TblDisponibilidad[],10,FALSE), 0)</f>
        <v>0</v>
      </c>
      <c r="G158">
        <f>IFERROR(VLOOKUP(Tabla1[[#This Row],[SISMED]],TblDisponibilidad[],11,FALSE), 0)</f>
        <v>0</v>
      </c>
      <c r="H158">
        <f>IFERROR(VLOOKUP(Tabla1[[#This Row],[SISMED]],TblDisponibilidad[],12,FALSE), 0)</f>
        <v>0</v>
      </c>
      <c r="I158">
        <f>IFERROR(VLOOKUP(Tabla1[[#This Row],[SISMED]],TblDisponibilidad[],13,FALSE), 0)</f>
        <v>0</v>
      </c>
      <c r="J158">
        <f>IFERROR(VLOOKUP(Tabla1[[#This Row],[SISMED]],TblDisponibilidad[],14,FALSE), 0)</f>
        <v>0</v>
      </c>
      <c r="K158">
        <f>IFERROR(VLOOKUP(Tabla1[[#This Row],[SISMED]],TblDisponibilidad[],15,FALSE), 0)</f>
        <v>0</v>
      </c>
      <c r="L158">
        <f>IFERROR(VLOOKUP(Tabla1[[#This Row],[SISMED]],TblDisponibilidad[],16,FALSE), 0)</f>
        <v>0</v>
      </c>
      <c r="M158">
        <f>IFERROR(VLOOKUP(Tabla1[[#This Row],[SISMED]],TblDisponibilidad[],17,FALSE), 0)</f>
        <v>0</v>
      </c>
      <c r="N158">
        <f>IFERROR(VLOOKUP(Tabla1[[#This Row],[SISMED]],TblDisponibilidad[],18,FALSE), 0)</f>
        <v>0</v>
      </c>
      <c r="O158">
        <f>IFERROR(VLOOKUP(Tabla1[[#This Row],[SISMED]],TblDisponibilidad[],19,FALSE), 0)</f>
        <v>0</v>
      </c>
      <c r="P158">
        <f>IFERROR(VLOOKUP(Tabla1[[#This Row],[SISMED]],TblDisponibilidad[],20,FALSE), 0)</f>
        <v>0</v>
      </c>
      <c r="Q158">
        <f>IFERROR(VLOOKUP(Tabla1[[#This Row],[SISMED]],TblDisponibilidad[],21,FALSE), 0)</f>
        <v>0</v>
      </c>
      <c r="R158">
        <f>IFERROR(VLOOKUP(Tabla1[[#This Row],[SISMED]],TblDisponibilidad[],22,FALSE), 0)</f>
        <v>0</v>
      </c>
      <c r="S158" s="15">
        <f>IFERROR(VLOOKUP(Tabla1[[#This Row],[SISMED]],TblDisponibilidad[],23,FALSE), 0)</f>
        <v>0</v>
      </c>
    </row>
    <row r="159" spans="1:19" x14ac:dyDescent="0.3">
      <c r="A159" s="15" t="s">
        <v>189</v>
      </c>
      <c r="B159" t="str">
        <f>IFERROR(VLOOKUP(Tabla1[[#This Row],[SISMED]],TblDisponibilidad[],2,FALSE), "")</f>
        <v/>
      </c>
      <c r="C159">
        <f>IFERROR(VLOOKUP(Tabla1[[#This Row],[SISMED]],TblDisponibilidad[],7,FALSE), 0)</f>
        <v>0</v>
      </c>
      <c r="D159">
        <f>IFERROR(VLOOKUP(Tabla1[[#This Row],[SISMED]],TblDisponibilidad[],8,FALSE), 0)</f>
        <v>0</v>
      </c>
      <c r="E159">
        <f>IFERROR(VLOOKUP(Tabla1[[#This Row],[SISMED]],TblDisponibilidad[],9,FALSE), 0)</f>
        <v>0</v>
      </c>
      <c r="F159">
        <f>IFERROR(VLOOKUP(Tabla1[[#This Row],[SISMED]],TblDisponibilidad[],10,FALSE), 0)</f>
        <v>0</v>
      </c>
      <c r="G159">
        <f>IFERROR(VLOOKUP(Tabla1[[#This Row],[SISMED]],TblDisponibilidad[],11,FALSE), 0)</f>
        <v>0</v>
      </c>
      <c r="H159">
        <f>IFERROR(VLOOKUP(Tabla1[[#This Row],[SISMED]],TblDisponibilidad[],12,FALSE), 0)</f>
        <v>0</v>
      </c>
      <c r="I159">
        <f>IFERROR(VLOOKUP(Tabla1[[#This Row],[SISMED]],TblDisponibilidad[],13,FALSE), 0)</f>
        <v>0</v>
      </c>
      <c r="J159">
        <f>IFERROR(VLOOKUP(Tabla1[[#This Row],[SISMED]],TblDisponibilidad[],14,FALSE), 0)</f>
        <v>0</v>
      </c>
      <c r="K159">
        <f>IFERROR(VLOOKUP(Tabla1[[#This Row],[SISMED]],TblDisponibilidad[],15,FALSE), 0)</f>
        <v>0</v>
      </c>
      <c r="L159">
        <f>IFERROR(VLOOKUP(Tabla1[[#This Row],[SISMED]],TblDisponibilidad[],16,FALSE), 0)</f>
        <v>0</v>
      </c>
      <c r="M159">
        <f>IFERROR(VLOOKUP(Tabla1[[#This Row],[SISMED]],TblDisponibilidad[],17,FALSE), 0)</f>
        <v>0</v>
      </c>
      <c r="N159">
        <f>IFERROR(VLOOKUP(Tabla1[[#This Row],[SISMED]],TblDisponibilidad[],18,FALSE), 0)</f>
        <v>0</v>
      </c>
      <c r="O159">
        <f>IFERROR(VLOOKUP(Tabla1[[#This Row],[SISMED]],TblDisponibilidad[],19,FALSE), 0)</f>
        <v>0</v>
      </c>
      <c r="P159">
        <f>IFERROR(VLOOKUP(Tabla1[[#This Row],[SISMED]],TblDisponibilidad[],20,FALSE), 0)</f>
        <v>0</v>
      </c>
      <c r="Q159">
        <f>IFERROR(VLOOKUP(Tabla1[[#This Row],[SISMED]],TblDisponibilidad[],21,FALSE), 0)</f>
        <v>0</v>
      </c>
      <c r="R159">
        <f>IFERROR(VLOOKUP(Tabla1[[#This Row],[SISMED]],TblDisponibilidad[],22,FALSE), 0)</f>
        <v>0</v>
      </c>
      <c r="S159" s="15">
        <f>IFERROR(VLOOKUP(Tabla1[[#This Row],[SISMED]],TblDisponibilidad[],23,FALSE), 0)</f>
        <v>0</v>
      </c>
    </row>
    <row r="160" spans="1:19" x14ac:dyDescent="0.3">
      <c r="A160" s="15" t="s">
        <v>190</v>
      </c>
      <c r="B160" t="str">
        <f>IFERROR(VLOOKUP(Tabla1[[#This Row],[SISMED]],TblDisponibilidad[],2,FALSE), "")</f>
        <v/>
      </c>
      <c r="C160">
        <f>IFERROR(VLOOKUP(Tabla1[[#This Row],[SISMED]],TblDisponibilidad[],7,FALSE), 0)</f>
        <v>0</v>
      </c>
      <c r="D160">
        <f>IFERROR(VLOOKUP(Tabla1[[#This Row],[SISMED]],TblDisponibilidad[],8,FALSE), 0)</f>
        <v>0</v>
      </c>
      <c r="E160">
        <f>IFERROR(VLOOKUP(Tabla1[[#This Row],[SISMED]],TblDisponibilidad[],9,FALSE), 0)</f>
        <v>0</v>
      </c>
      <c r="F160">
        <f>IFERROR(VLOOKUP(Tabla1[[#This Row],[SISMED]],TblDisponibilidad[],10,FALSE), 0)</f>
        <v>0</v>
      </c>
      <c r="G160">
        <f>IFERROR(VLOOKUP(Tabla1[[#This Row],[SISMED]],TblDisponibilidad[],11,FALSE), 0)</f>
        <v>0</v>
      </c>
      <c r="H160">
        <f>IFERROR(VLOOKUP(Tabla1[[#This Row],[SISMED]],TblDisponibilidad[],12,FALSE), 0)</f>
        <v>0</v>
      </c>
      <c r="I160">
        <f>IFERROR(VLOOKUP(Tabla1[[#This Row],[SISMED]],TblDisponibilidad[],13,FALSE), 0)</f>
        <v>0</v>
      </c>
      <c r="J160">
        <f>IFERROR(VLOOKUP(Tabla1[[#This Row],[SISMED]],TblDisponibilidad[],14,FALSE), 0)</f>
        <v>0</v>
      </c>
      <c r="K160">
        <f>IFERROR(VLOOKUP(Tabla1[[#This Row],[SISMED]],TblDisponibilidad[],15,FALSE), 0)</f>
        <v>0</v>
      </c>
      <c r="L160">
        <f>IFERROR(VLOOKUP(Tabla1[[#This Row],[SISMED]],TblDisponibilidad[],16,FALSE), 0)</f>
        <v>0</v>
      </c>
      <c r="M160">
        <f>IFERROR(VLOOKUP(Tabla1[[#This Row],[SISMED]],TblDisponibilidad[],17,FALSE), 0)</f>
        <v>0</v>
      </c>
      <c r="N160">
        <f>IFERROR(VLOOKUP(Tabla1[[#This Row],[SISMED]],TblDisponibilidad[],18,FALSE), 0)</f>
        <v>0</v>
      </c>
      <c r="O160">
        <f>IFERROR(VLOOKUP(Tabla1[[#This Row],[SISMED]],TblDisponibilidad[],19,FALSE), 0)</f>
        <v>0</v>
      </c>
      <c r="P160">
        <f>IFERROR(VLOOKUP(Tabla1[[#This Row],[SISMED]],TblDisponibilidad[],20,FALSE), 0)</f>
        <v>0</v>
      </c>
      <c r="Q160">
        <f>IFERROR(VLOOKUP(Tabla1[[#This Row],[SISMED]],TblDisponibilidad[],21,FALSE), 0)</f>
        <v>0</v>
      </c>
      <c r="R160">
        <f>IFERROR(VLOOKUP(Tabla1[[#This Row],[SISMED]],TblDisponibilidad[],22,FALSE), 0)</f>
        <v>0</v>
      </c>
      <c r="S160" s="15">
        <f>IFERROR(VLOOKUP(Tabla1[[#This Row],[SISMED]],TblDisponibilidad[],23,FALSE), 0)</f>
        <v>0</v>
      </c>
    </row>
    <row r="161" spans="1:19" x14ac:dyDescent="0.3">
      <c r="A161" s="15" t="s">
        <v>191</v>
      </c>
      <c r="B161" t="str">
        <f>IFERROR(VLOOKUP(Tabla1[[#This Row],[SISMED]],TblDisponibilidad[],2,FALSE), "")</f>
        <v/>
      </c>
      <c r="C161">
        <f>IFERROR(VLOOKUP(Tabla1[[#This Row],[SISMED]],TblDisponibilidad[],7,FALSE), 0)</f>
        <v>0</v>
      </c>
      <c r="D161">
        <f>IFERROR(VLOOKUP(Tabla1[[#This Row],[SISMED]],TblDisponibilidad[],8,FALSE), 0)</f>
        <v>0</v>
      </c>
      <c r="E161">
        <f>IFERROR(VLOOKUP(Tabla1[[#This Row],[SISMED]],TblDisponibilidad[],9,FALSE), 0)</f>
        <v>0</v>
      </c>
      <c r="F161">
        <f>IFERROR(VLOOKUP(Tabla1[[#This Row],[SISMED]],TblDisponibilidad[],10,FALSE), 0)</f>
        <v>0</v>
      </c>
      <c r="G161">
        <f>IFERROR(VLOOKUP(Tabla1[[#This Row],[SISMED]],TblDisponibilidad[],11,FALSE), 0)</f>
        <v>0</v>
      </c>
      <c r="H161">
        <f>IFERROR(VLOOKUP(Tabla1[[#This Row],[SISMED]],TblDisponibilidad[],12,FALSE), 0)</f>
        <v>0</v>
      </c>
      <c r="I161">
        <f>IFERROR(VLOOKUP(Tabla1[[#This Row],[SISMED]],TblDisponibilidad[],13,FALSE), 0)</f>
        <v>0</v>
      </c>
      <c r="J161">
        <f>IFERROR(VLOOKUP(Tabla1[[#This Row],[SISMED]],TblDisponibilidad[],14,FALSE), 0)</f>
        <v>0</v>
      </c>
      <c r="K161">
        <f>IFERROR(VLOOKUP(Tabla1[[#This Row],[SISMED]],TblDisponibilidad[],15,FALSE), 0)</f>
        <v>0</v>
      </c>
      <c r="L161">
        <f>IFERROR(VLOOKUP(Tabla1[[#This Row],[SISMED]],TblDisponibilidad[],16,FALSE), 0)</f>
        <v>0</v>
      </c>
      <c r="M161">
        <f>IFERROR(VLOOKUP(Tabla1[[#This Row],[SISMED]],TblDisponibilidad[],17,FALSE), 0)</f>
        <v>0</v>
      </c>
      <c r="N161">
        <f>IFERROR(VLOOKUP(Tabla1[[#This Row],[SISMED]],TblDisponibilidad[],18,FALSE), 0)</f>
        <v>0</v>
      </c>
      <c r="O161">
        <f>IFERROR(VLOOKUP(Tabla1[[#This Row],[SISMED]],TblDisponibilidad[],19,FALSE), 0)</f>
        <v>0</v>
      </c>
      <c r="P161">
        <f>IFERROR(VLOOKUP(Tabla1[[#This Row],[SISMED]],TblDisponibilidad[],20,FALSE), 0)</f>
        <v>0</v>
      </c>
      <c r="Q161">
        <f>IFERROR(VLOOKUP(Tabla1[[#This Row],[SISMED]],TblDisponibilidad[],21,FALSE), 0)</f>
        <v>0</v>
      </c>
      <c r="R161">
        <f>IFERROR(VLOOKUP(Tabla1[[#This Row],[SISMED]],TblDisponibilidad[],22,FALSE), 0)</f>
        <v>0</v>
      </c>
      <c r="S161" s="15">
        <f>IFERROR(VLOOKUP(Tabla1[[#This Row],[SISMED]],TblDisponibilidad[],23,FALSE), 0)</f>
        <v>0</v>
      </c>
    </row>
    <row r="162" spans="1:19" x14ac:dyDescent="0.3">
      <c r="A162" s="15" t="s">
        <v>192</v>
      </c>
      <c r="B162" t="str">
        <f>IFERROR(VLOOKUP(Tabla1[[#This Row],[SISMED]],TblDisponibilidad[],2,FALSE), "")</f>
        <v/>
      </c>
      <c r="C162">
        <f>IFERROR(VLOOKUP(Tabla1[[#This Row],[SISMED]],TblDisponibilidad[],7,FALSE), 0)</f>
        <v>0</v>
      </c>
      <c r="D162">
        <f>IFERROR(VLOOKUP(Tabla1[[#This Row],[SISMED]],TblDisponibilidad[],8,FALSE), 0)</f>
        <v>0</v>
      </c>
      <c r="E162">
        <f>IFERROR(VLOOKUP(Tabla1[[#This Row],[SISMED]],TblDisponibilidad[],9,FALSE), 0)</f>
        <v>0</v>
      </c>
      <c r="F162">
        <f>IFERROR(VLOOKUP(Tabla1[[#This Row],[SISMED]],TblDisponibilidad[],10,FALSE), 0)</f>
        <v>0</v>
      </c>
      <c r="G162">
        <f>IFERROR(VLOOKUP(Tabla1[[#This Row],[SISMED]],TblDisponibilidad[],11,FALSE), 0)</f>
        <v>0</v>
      </c>
      <c r="H162">
        <f>IFERROR(VLOOKUP(Tabla1[[#This Row],[SISMED]],TblDisponibilidad[],12,FALSE), 0)</f>
        <v>0</v>
      </c>
      <c r="I162">
        <f>IFERROR(VLOOKUP(Tabla1[[#This Row],[SISMED]],TblDisponibilidad[],13,FALSE), 0)</f>
        <v>0</v>
      </c>
      <c r="J162">
        <f>IFERROR(VLOOKUP(Tabla1[[#This Row],[SISMED]],TblDisponibilidad[],14,FALSE), 0)</f>
        <v>0</v>
      </c>
      <c r="K162">
        <f>IFERROR(VLOOKUP(Tabla1[[#This Row],[SISMED]],TblDisponibilidad[],15,FALSE), 0)</f>
        <v>0</v>
      </c>
      <c r="L162">
        <f>IFERROR(VLOOKUP(Tabla1[[#This Row],[SISMED]],TblDisponibilidad[],16,FALSE), 0)</f>
        <v>0</v>
      </c>
      <c r="M162">
        <f>IFERROR(VLOOKUP(Tabla1[[#This Row],[SISMED]],TblDisponibilidad[],17,FALSE), 0)</f>
        <v>0</v>
      </c>
      <c r="N162">
        <f>IFERROR(VLOOKUP(Tabla1[[#This Row],[SISMED]],TblDisponibilidad[],18,FALSE), 0)</f>
        <v>0</v>
      </c>
      <c r="O162">
        <f>IFERROR(VLOOKUP(Tabla1[[#This Row],[SISMED]],TblDisponibilidad[],19,FALSE), 0)</f>
        <v>0</v>
      </c>
      <c r="P162">
        <f>IFERROR(VLOOKUP(Tabla1[[#This Row],[SISMED]],TblDisponibilidad[],20,FALSE), 0)</f>
        <v>0</v>
      </c>
      <c r="Q162">
        <f>IFERROR(VLOOKUP(Tabla1[[#This Row],[SISMED]],TblDisponibilidad[],21,FALSE), 0)</f>
        <v>0</v>
      </c>
      <c r="R162">
        <f>IFERROR(VLOOKUP(Tabla1[[#This Row],[SISMED]],TblDisponibilidad[],22,FALSE), 0)</f>
        <v>0</v>
      </c>
      <c r="S162" s="15">
        <f>IFERROR(VLOOKUP(Tabla1[[#This Row],[SISMED]],TblDisponibilidad[],23,FALSE), 0)</f>
        <v>0</v>
      </c>
    </row>
    <row r="163" spans="1:19" x14ac:dyDescent="0.3">
      <c r="A163" s="15" t="s">
        <v>193</v>
      </c>
      <c r="B163" t="str">
        <f>IFERROR(VLOOKUP(Tabla1[[#This Row],[SISMED]],TblDisponibilidad[],2,FALSE), "")</f>
        <v/>
      </c>
      <c r="C163">
        <f>IFERROR(VLOOKUP(Tabla1[[#This Row],[SISMED]],TblDisponibilidad[],7,FALSE), 0)</f>
        <v>0</v>
      </c>
      <c r="D163">
        <f>IFERROR(VLOOKUP(Tabla1[[#This Row],[SISMED]],TblDisponibilidad[],8,FALSE), 0)</f>
        <v>0</v>
      </c>
      <c r="E163">
        <f>IFERROR(VLOOKUP(Tabla1[[#This Row],[SISMED]],TblDisponibilidad[],9,FALSE), 0)</f>
        <v>0</v>
      </c>
      <c r="F163">
        <f>IFERROR(VLOOKUP(Tabla1[[#This Row],[SISMED]],TblDisponibilidad[],10,FALSE), 0)</f>
        <v>0</v>
      </c>
      <c r="G163">
        <f>IFERROR(VLOOKUP(Tabla1[[#This Row],[SISMED]],TblDisponibilidad[],11,FALSE), 0)</f>
        <v>0</v>
      </c>
      <c r="H163">
        <f>IFERROR(VLOOKUP(Tabla1[[#This Row],[SISMED]],TblDisponibilidad[],12,FALSE), 0)</f>
        <v>0</v>
      </c>
      <c r="I163">
        <f>IFERROR(VLOOKUP(Tabla1[[#This Row],[SISMED]],TblDisponibilidad[],13,FALSE), 0)</f>
        <v>0</v>
      </c>
      <c r="J163">
        <f>IFERROR(VLOOKUP(Tabla1[[#This Row],[SISMED]],TblDisponibilidad[],14,FALSE), 0)</f>
        <v>0</v>
      </c>
      <c r="K163">
        <f>IFERROR(VLOOKUP(Tabla1[[#This Row],[SISMED]],TblDisponibilidad[],15,FALSE), 0)</f>
        <v>0</v>
      </c>
      <c r="L163">
        <f>IFERROR(VLOOKUP(Tabla1[[#This Row],[SISMED]],TblDisponibilidad[],16,FALSE), 0)</f>
        <v>0</v>
      </c>
      <c r="M163">
        <f>IFERROR(VLOOKUP(Tabla1[[#This Row],[SISMED]],TblDisponibilidad[],17,FALSE), 0)</f>
        <v>0</v>
      </c>
      <c r="N163">
        <f>IFERROR(VLOOKUP(Tabla1[[#This Row],[SISMED]],TblDisponibilidad[],18,FALSE), 0)</f>
        <v>0</v>
      </c>
      <c r="O163">
        <f>IFERROR(VLOOKUP(Tabla1[[#This Row],[SISMED]],TblDisponibilidad[],19,FALSE), 0)</f>
        <v>0</v>
      </c>
      <c r="P163">
        <f>IFERROR(VLOOKUP(Tabla1[[#This Row],[SISMED]],TblDisponibilidad[],20,FALSE), 0)</f>
        <v>0</v>
      </c>
      <c r="Q163">
        <f>IFERROR(VLOOKUP(Tabla1[[#This Row],[SISMED]],TblDisponibilidad[],21,FALSE), 0)</f>
        <v>0</v>
      </c>
      <c r="R163">
        <f>IFERROR(VLOOKUP(Tabla1[[#This Row],[SISMED]],TblDisponibilidad[],22,FALSE), 0)</f>
        <v>0</v>
      </c>
      <c r="S163" s="15">
        <f>IFERROR(VLOOKUP(Tabla1[[#This Row],[SISMED]],TblDisponibilidad[],23,FALSE), 0)</f>
        <v>0</v>
      </c>
    </row>
    <row r="164" spans="1:19" x14ac:dyDescent="0.3">
      <c r="A164" s="15" t="s">
        <v>194</v>
      </c>
      <c r="B164" t="str">
        <f>IFERROR(VLOOKUP(Tabla1[[#This Row],[SISMED]],TblDisponibilidad[],2,FALSE), "")</f>
        <v/>
      </c>
      <c r="C164">
        <f>IFERROR(VLOOKUP(Tabla1[[#This Row],[SISMED]],TblDisponibilidad[],7,FALSE), 0)</f>
        <v>0</v>
      </c>
      <c r="D164">
        <f>IFERROR(VLOOKUP(Tabla1[[#This Row],[SISMED]],TblDisponibilidad[],8,FALSE), 0)</f>
        <v>0</v>
      </c>
      <c r="E164">
        <f>IFERROR(VLOOKUP(Tabla1[[#This Row],[SISMED]],TblDisponibilidad[],9,FALSE), 0)</f>
        <v>0</v>
      </c>
      <c r="F164">
        <f>IFERROR(VLOOKUP(Tabla1[[#This Row],[SISMED]],TblDisponibilidad[],10,FALSE), 0)</f>
        <v>0</v>
      </c>
      <c r="G164">
        <f>IFERROR(VLOOKUP(Tabla1[[#This Row],[SISMED]],TblDisponibilidad[],11,FALSE), 0)</f>
        <v>0</v>
      </c>
      <c r="H164">
        <f>IFERROR(VLOOKUP(Tabla1[[#This Row],[SISMED]],TblDisponibilidad[],12,FALSE), 0)</f>
        <v>0</v>
      </c>
      <c r="I164">
        <f>IFERROR(VLOOKUP(Tabla1[[#This Row],[SISMED]],TblDisponibilidad[],13,FALSE), 0)</f>
        <v>0</v>
      </c>
      <c r="J164">
        <f>IFERROR(VLOOKUP(Tabla1[[#This Row],[SISMED]],TblDisponibilidad[],14,FALSE), 0)</f>
        <v>0</v>
      </c>
      <c r="K164">
        <f>IFERROR(VLOOKUP(Tabla1[[#This Row],[SISMED]],TblDisponibilidad[],15,FALSE), 0)</f>
        <v>0</v>
      </c>
      <c r="L164">
        <f>IFERROR(VLOOKUP(Tabla1[[#This Row],[SISMED]],TblDisponibilidad[],16,FALSE), 0)</f>
        <v>0</v>
      </c>
      <c r="M164">
        <f>IFERROR(VLOOKUP(Tabla1[[#This Row],[SISMED]],TblDisponibilidad[],17,FALSE), 0)</f>
        <v>0</v>
      </c>
      <c r="N164">
        <f>IFERROR(VLOOKUP(Tabla1[[#This Row],[SISMED]],TblDisponibilidad[],18,FALSE), 0)</f>
        <v>0</v>
      </c>
      <c r="O164">
        <f>IFERROR(VLOOKUP(Tabla1[[#This Row],[SISMED]],TblDisponibilidad[],19,FALSE), 0)</f>
        <v>0</v>
      </c>
      <c r="P164">
        <f>IFERROR(VLOOKUP(Tabla1[[#This Row],[SISMED]],TblDisponibilidad[],20,FALSE), 0)</f>
        <v>0</v>
      </c>
      <c r="Q164">
        <f>IFERROR(VLOOKUP(Tabla1[[#This Row],[SISMED]],TblDisponibilidad[],21,FALSE), 0)</f>
        <v>0</v>
      </c>
      <c r="R164">
        <f>IFERROR(VLOOKUP(Tabla1[[#This Row],[SISMED]],TblDisponibilidad[],22,FALSE), 0)</f>
        <v>0</v>
      </c>
      <c r="S164" s="15">
        <f>IFERROR(VLOOKUP(Tabla1[[#This Row],[SISMED]],TblDisponibilidad[],23,FALSE), 0)</f>
        <v>0</v>
      </c>
    </row>
    <row r="165" spans="1:19" x14ac:dyDescent="0.3">
      <c r="A165" s="15" t="s">
        <v>195</v>
      </c>
      <c r="B165" t="str">
        <f>IFERROR(VLOOKUP(Tabla1[[#This Row],[SISMED]],TblDisponibilidad[],2,FALSE), "")</f>
        <v/>
      </c>
      <c r="C165">
        <f>IFERROR(VLOOKUP(Tabla1[[#This Row],[SISMED]],TblDisponibilidad[],7,FALSE), 0)</f>
        <v>0</v>
      </c>
      <c r="D165">
        <f>IFERROR(VLOOKUP(Tabla1[[#This Row],[SISMED]],TblDisponibilidad[],8,FALSE), 0)</f>
        <v>0</v>
      </c>
      <c r="E165">
        <f>IFERROR(VLOOKUP(Tabla1[[#This Row],[SISMED]],TblDisponibilidad[],9,FALSE), 0)</f>
        <v>0</v>
      </c>
      <c r="F165">
        <f>IFERROR(VLOOKUP(Tabla1[[#This Row],[SISMED]],TblDisponibilidad[],10,FALSE), 0)</f>
        <v>0</v>
      </c>
      <c r="G165">
        <f>IFERROR(VLOOKUP(Tabla1[[#This Row],[SISMED]],TblDisponibilidad[],11,FALSE), 0)</f>
        <v>0</v>
      </c>
      <c r="H165">
        <f>IFERROR(VLOOKUP(Tabla1[[#This Row],[SISMED]],TblDisponibilidad[],12,FALSE), 0)</f>
        <v>0</v>
      </c>
      <c r="I165">
        <f>IFERROR(VLOOKUP(Tabla1[[#This Row],[SISMED]],TblDisponibilidad[],13,FALSE), 0)</f>
        <v>0</v>
      </c>
      <c r="J165">
        <f>IFERROR(VLOOKUP(Tabla1[[#This Row],[SISMED]],TblDisponibilidad[],14,FALSE), 0)</f>
        <v>0</v>
      </c>
      <c r="K165">
        <f>IFERROR(VLOOKUP(Tabla1[[#This Row],[SISMED]],TblDisponibilidad[],15,FALSE), 0)</f>
        <v>0</v>
      </c>
      <c r="L165">
        <f>IFERROR(VLOOKUP(Tabla1[[#This Row],[SISMED]],TblDisponibilidad[],16,FALSE), 0)</f>
        <v>0</v>
      </c>
      <c r="M165">
        <f>IFERROR(VLOOKUP(Tabla1[[#This Row],[SISMED]],TblDisponibilidad[],17,FALSE), 0)</f>
        <v>0</v>
      </c>
      <c r="N165">
        <f>IFERROR(VLOOKUP(Tabla1[[#This Row],[SISMED]],TblDisponibilidad[],18,FALSE), 0)</f>
        <v>0</v>
      </c>
      <c r="O165">
        <f>IFERROR(VLOOKUP(Tabla1[[#This Row],[SISMED]],TblDisponibilidad[],19,FALSE), 0)</f>
        <v>0</v>
      </c>
      <c r="P165">
        <f>IFERROR(VLOOKUP(Tabla1[[#This Row],[SISMED]],TblDisponibilidad[],20,FALSE), 0)</f>
        <v>0</v>
      </c>
      <c r="Q165">
        <f>IFERROR(VLOOKUP(Tabla1[[#This Row],[SISMED]],TblDisponibilidad[],21,FALSE), 0)</f>
        <v>0</v>
      </c>
      <c r="R165">
        <f>IFERROR(VLOOKUP(Tabla1[[#This Row],[SISMED]],TblDisponibilidad[],22,FALSE), 0)</f>
        <v>0</v>
      </c>
      <c r="S165" s="15">
        <f>IFERROR(VLOOKUP(Tabla1[[#This Row],[SISMED]],TblDisponibilidad[],23,FALSE), 0)</f>
        <v>0</v>
      </c>
    </row>
    <row r="166" spans="1:19" x14ac:dyDescent="0.3">
      <c r="A166" s="15" t="s">
        <v>196</v>
      </c>
      <c r="B166" t="str">
        <f>IFERROR(VLOOKUP(Tabla1[[#This Row],[SISMED]],TblDisponibilidad[],2,FALSE), "")</f>
        <v/>
      </c>
      <c r="C166">
        <f>IFERROR(VLOOKUP(Tabla1[[#This Row],[SISMED]],TblDisponibilidad[],7,FALSE), 0)</f>
        <v>0</v>
      </c>
      <c r="D166">
        <f>IFERROR(VLOOKUP(Tabla1[[#This Row],[SISMED]],TblDisponibilidad[],8,FALSE), 0)</f>
        <v>0</v>
      </c>
      <c r="E166">
        <f>IFERROR(VLOOKUP(Tabla1[[#This Row],[SISMED]],TblDisponibilidad[],9,FALSE), 0)</f>
        <v>0</v>
      </c>
      <c r="F166">
        <f>IFERROR(VLOOKUP(Tabla1[[#This Row],[SISMED]],TblDisponibilidad[],10,FALSE), 0)</f>
        <v>0</v>
      </c>
      <c r="G166">
        <f>IFERROR(VLOOKUP(Tabla1[[#This Row],[SISMED]],TblDisponibilidad[],11,FALSE), 0)</f>
        <v>0</v>
      </c>
      <c r="H166">
        <f>IFERROR(VLOOKUP(Tabla1[[#This Row],[SISMED]],TblDisponibilidad[],12,FALSE), 0)</f>
        <v>0</v>
      </c>
      <c r="I166">
        <f>IFERROR(VLOOKUP(Tabla1[[#This Row],[SISMED]],TblDisponibilidad[],13,FALSE), 0)</f>
        <v>0</v>
      </c>
      <c r="J166">
        <f>IFERROR(VLOOKUP(Tabla1[[#This Row],[SISMED]],TblDisponibilidad[],14,FALSE), 0)</f>
        <v>0</v>
      </c>
      <c r="K166">
        <f>IFERROR(VLOOKUP(Tabla1[[#This Row],[SISMED]],TblDisponibilidad[],15,FALSE), 0)</f>
        <v>0</v>
      </c>
      <c r="L166">
        <f>IFERROR(VLOOKUP(Tabla1[[#This Row],[SISMED]],TblDisponibilidad[],16,FALSE), 0)</f>
        <v>0</v>
      </c>
      <c r="M166">
        <f>IFERROR(VLOOKUP(Tabla1[[#This Row],[SISMED]],TblDisponibilidad[],17,FALSE), 0)</f>
        <v>0</v>
      </c>
      <c r="N166">
        <f>IFERROR(VLOOKUP(Tabla1[[#This Row],[SISMED]],TblDisponibilidad[],18,FALSE), 0)</f>
        <v>0</v>
      </c>
      <c r="O166">
        <f>IFERROR(VLOOKUP(Tabla1[[#This Row],[SISMED]],TblDisponibilidad[],19,FALSE), 0)</f>
        <v>0</v>
      </c>
      <c r="P166">
        <f>IFERROR(VLOOKUP(Tabla1[[#This Row],[SISMED]],TblDisponibilidad[],20,FALSE), 0)</f>
        <v>0</v>
      </c>
      <c r="Q166">
        <f>IFERROR(VLOOKUP(Tabla1[[#This Row],[SISMED]],TblDisponibilidad[],21,FALSE), 0)</f>
        <v>0</v>
      </c>
      <c r="R166">
        <f>IFERROR(VLOOKUP(Tabla1[[#This Row],[SISMED]],TblDisponibilidad[],22,FALSE), 0)</f>
        <v>0</v>
      </c>
      <c r="S166" s="15">
        <f>IFERROR(VLOOKUP(Tabla1[[#This Row],[SISMED]],TblDisponibilidad[],23,FALSE), 0)</f>
        <v>0</v>
      </c>
    </row>
    <row r="167" spans="1:19" x14ac:dyDescent="0.3">
      <c r="A167" s="15" t="s">
        <v>197</v>
      </c>
      <c r="B167" t="str">
        <f>IFERROR(VLOOKUP(Tabla1[[#This Row],[SISMED]],TblDisponibilidad[],2,FALSE), "")</f>
        <v/>
      </c>
      <c r="C167">
        <f>IFERROR(VLOOKUP(Tabla1[[#This Row],[SISMED]],TblDisponibilidad[],7,FALSE), 0)</f>
        <v>0</v>
      </c>
      <c r="D167">
        <f>IFERROR(VLOOKUP(Tabla1[[#This Row],[SISMED]],TblDisponibilidad[],8,FALSE), 0)</f>
        <v>0</v>
      </c>
      <c r="E167">
        <f>IFERROR(VLOOKUP(Tabla1[[#This Row],[SISMED]],TblDisponibilidad[],9,FALSE), 0)</f>
        <v>0</v>
      </c>
      <c r="F167">
        <f>IFERROR(VLOOKUP(Tabla1[[#This Row],[SISMED]],TblDisponibilidad[],10,FALSE), 0)</f>
        <v>0</v>
      </c>
      <c r="G167">
        <f>IFERROR(VLOOKUP(Tabla1[[#This Row],[SISMED]],TblDisponibilidad[],11,FALSE), 0)</f>
        <v>0</v>
      </c>
      <c r="H167">
        <f>IFERROR(VLOOKUP(Tabla1[[#This Row],[SISMED]],TblDisponibilidad[],12,FALSE), 0)</f>
        <v>0</v>
      </c>
      <c r="I167">
        <f>IFERROR(VLOOKUP(Tabla1[[#This Row],[SISMED]],TblDisponibilidad[],13,FALSE), 0)</f>
        <v>0</v>
      </c>
      <c r="J167">
        <f>IFERROR(VLOOKUP(Tabla1[[#This Row],[SISMED]],TblDisponibilidad[],14,FALSE), 0)</f>
        <v>0</v>
      </c>
      <c r="K167">
        <f>IFERROR(VLOOKUP(Tabla1[[#This Row],[SISMED]],TblDisponibilidad[],15,FALSE), 0)</f>
        <v>0</v>
      </c>
      <c r="L167">
        <f>IFERROR(VLOOKUP(Tabla1[[#This Row],[SISMED]],TblDisponibilidad[],16,FALSE), 0)</f>
        <v>0</v>
      </c>
      <c r="M167">
        <f>IFERROR(VLOOKUP(Tabla1[[#This Row],[SISMED]],TblDisponibilidad[],17,FALSE), 0)</f>
        <v>0</v>
      </c>
      <c r="N167">
        <f>IFERROR(VLOOKUP(Tabla1[[#This Row],[SISMED]],TblDisponibilidad[],18,FALSE), 0)</f>
        <v>0</v>
      </c>
      <c r="O167">
        <f>IFERROR(VLOOKUP(Tabla1[[#This Row],[SISMED]],TblDisponibilidad[],19,FALSE), 0)</f>
        <v>0</v>
      </c>
      <c r="P167">
        <f>IFERROR(VLOOKUP(Tabla1[[#This Row],[SISMED]],TblDisponibilidad[],20,FALSE), 0)</f>
        <v>0</v>
      </c>
      <c r="Q167">
        <f>IFERROR(VLOOKUP(Tabla1[[#This Row],[SISMED]],TblDisponibilidad[],21,FALSE), 0)</f>
        <v>0</v>
      </c>
      <c r="R167">
        <f>IFERROR(VLOOKUP(Tabla1[[#This Row],[SISMED]],TblDisponibilidad[],22,FALSE), 0)</f>
        <v>0</v>
      </c>
      <c r="S167" s="15">
        <f>IFERROR(VLOOKUP(Tabla1[[#This Row],[SISMED]],TblDisponibilidad[],23,FALSE), 0)</f>
        <v>0</v>
      </c>
    </row>
    <row r="168" spans="1:19" x14ac:dyDescent="0.3">
      <c r="A168" s="15" t="s">
        <v>198</v>
      </c>
      <c r="B168" t="str">
        <f>IFERROR(VLOOKUP(Tabla1[[#This Row],[SISMED]],TblDisponibilidad[],2,FALSE), "")</f>
        <v/>
      </c>
      <c r="C168">
        <f>IFERROR(VLOOKUP(Tabla1[[#This Row],[SISMED]],TblDisponibilidad[],7,FALSE), 0)</f>
        <v>0</v>
      </c>
      <c r="D168">
        <f>IFERROR(VLOOKUP(Tabla1[[#This Row],[SISMED]],TblDisponibilidad[],8,FALSE), 0)</f>
        <v>0</v>
      </c>
      <c r="E168">
        <f>IFERROR(VLOOKUP(Tabla1[[#This Row],[SISMED]],TblDisponibilidad[],9,FALSE), 0)</f>
        <v>0</v>
      </c>
      <c r="F168">
        <f>IFERROR(VLOOKUP(Tabla1[[#This Row],[SISMED]],TblDisponibilidad[],10,FALSE), 0)</f>
        <v>0</v>
      </c>
      <c r="G168">
        <f>IFERROR(VLOOKUP(Tabla1[[#This Row],[SISMED]],TblDisponibilidad[],11,FALSE), 0)</f>
        <v>0</v>
      </c>
      <c r="H168">
        <f>IFERROR(VLOOKUP(Tabla1[[#This Row],[SISMED]],TblDisponibilidad[],12,FALSE), 0)</f>
        <v>0</v>
      </c>
      <c r="I168">
        <f>IFERROR(VLOOKUP(Tabla1[[#This Row],[SISMED]],TblDisponibilidad[],13,FALSE), 0)</f>
        <v>0</v>
      </c>
      <c r="J168">
        <f>IFERROR(VLOOKUP(Tabla1[[#This Row],[SISMED]],TblDisponibilidad[],14,FALSE), 0)</f>
        <v>0</v>
      </c>
      <c r="K168">
        <f>IFERROR(VLOOKUP(Tabla1[[#This Row],[SISMED]],TblDisponibilidad[],15,FALSE), 0)</f>
        <v>0</v>
      </c>
      <c r="L168">
        <f>IFERROR(VLOOKUP(Tabla1[[#This Row],[SISMED]],TblDisponibilidad[],16,FALSE), 0)</f>
        <v>0</v>
      </c>
      <c r="M168">
        <f>IFERROR(VLOOKUP(Tabla1[[#This Row],[SISMED]],TblDisponibilidad[],17,FALSE), 0)</f>
        <v>0</v>
      </c>
      <c r="N168">
        <f>IFERROR(VLOOKUP(Tabla1[[#This Row],[SISMED]],TblDisponibilidad[],18,FALSE), 0)</f>
        <v>0</v>
      </c>
      <c r="O168">
        <f>IFERROR(VLOOKUP(Tabla1[[#This Row],[SISMED]],TblDisponibilidad[],19,FALSE), 0)</f>
        <v>0</v>
      </c>
      <c r="P168">
        <f>IFERROR(VLOOKUP(Tabla1[[#This Row],[SISMED]],TblDisponibilidad[],20,FALSE), 0)</f>
        <v>0</v>
      </c>
      <c r="Q168">
        <f>IFERROR(VLOOKUP(Tabla1[[#This Row],[SISMED]],TblDisponibilidad[],21,FALSE), 0)</f>
        <v>0</v>
      </c>
      <c r="R168">
        <f>IFERROR(VLOOKUP(Tabla1[[#This Row],[SISMED]],TblDisponibilidad[],22,FALSE), 0)</f>
        <v>0</v>
      </c>
      <c r="S168" s="15">
        <f>IFERROR(VLOOKUP(Tabla1[[#This Row],[SISMED]],TblDisponibilidad[],23,FALSE), 0)</f>
        <v>0</v>
      </c>
    </row>
    <row r="169" spans="1:19" x14ac:dyDescent="0.3">
      <c r="A169" s="15" t="s">
        <v>199</v>
      </c>
      <c r="B169" t="str">
        <f>IFERROR(VLOOKUP(Tabla1[[#This Row],[SISMED]],TblDisponibilidad[],2,FALSE), "")</f>
        <v/>
      </c>
      <c r="C169">
        <f>IFERROR(VLOOKUP(Tabla1[[#This Row],[SISMED]],TblDisponibilidad[],7,FALSE), 0)</f>
        <v>0</v>
      </c>
      <c r="D169">
        <f>IFERROR(VLOOKUP(Tabla1[[#This Row],[SISMED]],TblDisponibilidad[],8,FALSE), 0)</f>
        <v>0</v>
      </c>
      <c r="E169">
        <f>IFERROR(VLOOKUP(Tabla1[[#This Row],[SISMED]],TblDisponibilidad[],9,FALSE), 0)</f>
        <v>0</v>
      </c>
      <c r="F169">
        <f>IFERROR(VLOOKUP(Tabla1[[#This Row],[SISMED]],TblDisponibilidad[],10,FALSE), 0)</f>
        <v>0</v>
      </c>
      <c r="G169">
        <f>IFERROR(VLOOKUP(Tabla1[[#This Row],[SISMED]],TblDisponibilidad[],11,FALSE), 0)</f>
        <v>0</v>
      </c>
      <c r="H169">
        <f>IFERROR(VLOOKUP(Tabla1[[#This Row],[SISMED]],TblDisponibilidad[],12,FALSE), 0)</f>
        <v>0</v>
      </c>
      <c r="I169">
        <f>IFERROR(VLOOKUP(Tabla1[[#This Row],[SISMED]],TblDisponibilidad[],13,FALSE), 0)</f>
        <v>0</v>
      </c>
      <c r="J169">
        <f>IFERROR(VLOOKUP(Tabla1[[#This Row],[SISMED]],TblDisponibilidad[],14,FALSE), 0)</f>
        <v>0</v>
      </c>
      <c r="K169">
        <f>IFERROR(VLOOKUP(Tabla1[[#This Row],[SISMED]],TblDisponibilidad[],15,FALSE), 0)</f>
        <v>0</v>
      </c>
      <c r="L169">
        <f>IFERROR(VLOOKUP(Tabla1[[#This Row],[SISMED]],TblDisponibilidad[],16,FALSE), 0)</f>
        <v>0</v>
      </c>
      <c r="M169">
        <f>IFERROR(VLOOKUP(Tabla1[[#This Row],[SISMED]],TblDisponibilidad[],17,FALSE), 0)</f>
        <v>0</v>
      </c>
      <c r="N169">
        <f>IFERROR(VLOOKUP(Tabla1[[#This Row],[SISMED]],TblDisponibilidad[],18,FALSE), 0)</f>
        <v>0</v>
      </c>
      <c r="O169">
        <f>IFERROR(VLOOKUP(Tabla1[[#This Row],[SISMED]],TblDisponibilidad[],19,FALSE), 0)</f>
        <v>0</v>
      </c>
      <c r="P169">
        <f>IFERROR(VLOOKUP(Tabla1[[#This Row],[SISMED]],TblDisponibilidad[],20,FALSE), 0)</f>
        <v>0</v>
      </c>
      <c r="Q169">
        <f>IFERROR(VLOOKUP(Tabla1[[#This Row],[SISMED]],TblDisponibilidad[],21,FALSE), 0)</f>
        <v>0</v>
      </c>
      <c r="R169">
        <f>IFERROR(VLOOKUP(Tabla1[[#This Row],[SISMED]],TblDisponibilidad[],22,FALSE), 0)</f>
        <v>0</v>
      </c>
      <c r="S169" s="15">
        <f>IFERROR(VLOOKUP(Tabla1[[#This Row],[SISMED]],TblDisponibilidad[],23,FALSE), 0)</f>
        <v>0</v>
      </c>
    </row>
    <row r="170" spans="1:19" x14ac:dyDescent="0.3">
      <c r="A170" s="15" t="s">
        <v>200</v>
      </c>
      <c r="B170" t="str">
        <f>IFERROR(VLOOKUP(Tabla1[[#This Row],[SISMED]],TblDisponibilidad[],2,FALSE), "")</f>
        <v/>
      </c>
      <c r="C170">
        <f>IFERROR(VLOOKUP(Tabla1[[#This Row],[SISMED]],TblDisponibilidad[],7,FALSE), 0)</f>
        <v>0</v>
      </c>
      <c r="D170">
        <f>IFERROR(VLOOKUP(Tabla1[[#This Row],[SISMED]],TblDisponibilidad[],8,FALSE), 0)</f>
        <v>0</v>
      </c>
      <c r="E170">
        <f>IFERROR(VLOOKUP(Tabla1[[#This Row],[SISMED]],TblDisponibilidad[],9,FALSE), 0)</f>
        <v>0</v>
      </c>
      <c r="F170">
        <f>IFERROR(VLOOKUP(Tabla1[[#This Row],[SISMED]],TblDisponibilidad[],10,FALSE), 0)</f>
        <v>0</v>
      </c>
      <c r="G170">
        <f>IFERROR(VLOOKUP(Tabla1[[#This Row],[SISMED]],TblDisponibilidad[],11,FALSE), 0)</f>
        <v>0</v>
      </c>
      <c r="H170">
        <f>IFERROR(VLOOKUP(Tabla1[[#This Row],[SISMED]],TblDisponibilidad[],12,FALSE), 0)</f>
        <v>0</v>
      </c>
      <c r="I170">
        <f>IFERROR(VLOOKUP(Tabla1[[#This Row],[SISMED]],TblDisponibilidad[],13,FALSE), 0)</f>
        <v>0</v>
      </c>
      <c r="J170">
        <f>IFERROR(VLOOKUP(Tabla1[[#This Row],[SISMED]],TblDisponibilidad[],14,FALSE), 0)</f>
        <v>0</v>
      </c>
      <c r="K170">
        <f>IFERROR(VLOOKUP(Tabla1[[#This Row],[SISMED]],TblDisponibilidad[],15,FALSE), 0)</f>
        <v>0</v>
      </c>
      <c r="L170">
        <f>IFERROR(VLOOKUP(Tabla1[[#This Row],[SISMED]],TblDisponibilidad[],16,FALSE), 0)</f>
        <v>0</v>
      </c>
      <c r="M170">
        <f>IFERROR(VLOOKUP(Tabla1[[#This Row],[SISMED]],TblDisponibilidad[],17,FALSE), 0)</f>
        <v>0</v>
      </c>
      <c r="N170">
        <f>IFERROR(VLOOKUP(Tabla1[[#This Row],[SISMED]],TblDisponibilidad[],18,FALSE), 0)</f>
        <v>0</v>
      </c>
      <c r="O170">
        <f>IFERROR(VLOOKUP(Tabla1[[#This Row],[SISMED]],TblDisponibilidad[],19,FALSE), 0)</f>
        <v>0</v>
      </c>
      <c r="P170">
        <f>IFERROR(VLOOKUP(Tabla1[[#This Row],[SISMED]],TblDisponibilidad[],20,FALSE), 0)</f>
        <v>0</v>
      </c>
      <c r="Q170">
        <f>IFERROR(VLOOKUP(Tabla1[[#This Row],[SISMED]],TblDisponibilidad[],21,FALSE), 0)</f>
        <v>0</v>
      </c>
      <c r="R170">
        <f>IFERROR(VLOOKUP(Tabla1[[#This Row],[SISMED]],TblDisponibilidad[],22,FALSE), 0)</f>
        <v>0</v>
      </c>
      <c r="S170" s="15">
        <f>IFERROR(VLOOKUP(Tabla1[[#This Row],[SISMED]],TblDisponibilidad[],23,FALSE), 0)</f>
        <v>0</v>
      </c>
    </row>
    <row r="171" spans="1:19" x14ac:dyDescent="0.3">
      <c r="A171" s="15" t="s">
        <v>201</v>
      </c>
      <c r="B171" t="str">
        <f>IFERROR(VLOOKUP(Tabla1[[#This Row],[SISMED]],TblDisponibilidad[],2,FALSE), "")</f>
        <v/>
      </c>
      <c r="C171">
        <f>IFERROR(VLOOKUP(Tabla1[[#This Row],[SISMED]],TblDisponibilidad[],7,FALSE), 0)</f>
        <v>0</v>
      </c>
      <c r="D171">
        <f>IFERROR(VLOOKUP(Tabla1[[#This Row],[SISMED]],TblDisponibilidad[],8,FALSE), 0)</f>
        <v>0</v>
      </c>
      <c r="E171">
        <f>IFERROR(VLOOKUP(Tabla1[[#This Row],[SISMED]],TblDisponibilidad[],9,FALSE), 0)</f>
        <v>0</v>
      </c>
      <c r="F171">
        <f>IFERROR(VLOOKUP(Tabla1[[#This Row],[SISMED]],TblDisponibilidad[],10,FALSE), 0)</f>
        <v>0</v>
      </c>
      <c r="G171">
        <f>IFERROR(VLOOKUP(Tabla1[[#This Row],[SISMED]],TblDisponibilidad[],11,FALSE), 0)</f>
        <v>0</v>
      </c>
      <c r="H171">
        <f>IFERROR(VLOOKUP(Tabla1[[#This Row],[SISMED]],TblDisponibilidad[],12,FALSE), 0)</f>
        <v>0</v>
      </c>
      <c r="I171">
        <f>IFERROR(VLOOKUP(Tabla1[[#This Row],[SISMED]],TblDisponibilidad[],13,FALSE), 0)</f>
        <v>0</v>
      </c>
      <c r="J171">
        <f>IFERROR(VLOOKUP(Tabla1[[#This Row],[SISMED]],TblDisponibilidad[],14,FALSE), 0)</f>
        <v>0</v>
      </c>
      <c r="K171">
        <f>IFERROR(VLOOKUP(Tabla1[[#This Row],[SISMED]],TblDisponibilidad[],15,FALSE), 0)</f>
        <v>0</v>
      </c>
      <c r="L171">
        <f>IFERROR(VLOOKUP(Tabla1[[#This Row],[SISMED]],TblDisponibilidad[],16,FALSE), 0)</f>
        <v>0</v>
      </c>
      <c r="M171">
        <f>IFERROR(VLOOKUP(Tabla1[[#This Row],[SISMED]],TblDisponibilidad[],17,FALSE), 0)</f>
        <v>0</v>
      </c>
      <c r="N171">
        <f>IFERROR(VLOOKUP(Tabla1[[#This Row],[SISMED]],TblDisponibilidad[],18,FALSE), 0)</f>
        <v>0</v>
      </c>
      <c r="O171">
        <f>IFERROR(VLOOKUP(Tabla1[[#This Row],[SISMED]],TblDisponibilidad[],19,FALSE), 0)</f>
        <v>0</v>
      </c>
      <c r="P171">
        <f>IFERROR(VLOOKUP(Tabla1[[#This Row],[SISMED]],TblDisponibilidad[],20,FALSE), 0)</f>
        <v>0</v>
      </c>
      <c r="Q171">
        <f>IFERROR(VLOOKUP(Tabla1[[#This Row],[SISMED]],TblDisponibilidad[],21,FALSE), 0)</f>
        <v>0</v>
      </c>
      <c r="R171">
        <f>IFERROR(VLOOKUP(Tabla1[[#This Row],[SISMED]],TblDisponibilidad[],22,FALSE), 0)</f>
        <v>0</v>
      </c>
      <c r="S171" s="15">
        <f>IFERROR(VLOOKUP(Tabla1[[#This Row],[SISMED]],TblDisponibilidad[],23,FALSE), 0)</f>
        <v>0</v>
      </c>
    </row>
    <row r="172" spans="1:19" x14ac:dyDescent="0.3">
      <c r="A172" s="15" t="s">
        <v>202</v>
      </c>
      <c r="B172" t="str">
        <f>IFERROR(VLOOKUP(Tabla1[[#This Row],[SISMED]],TblDisponibilidad[],2,FALSE), "")</f>
        <v/>
      </c>
      <c r="C172">
        <f>IFERROR(VLOOKUP(Tabla1[[#This Row],[SISMED]],TblDisponibilidad[],7,FALSE), 0)</f>
        <v>0</v>
      </c>
      <c r="D172">
        <f>IFERROR(VLOOKUP(Tabla1[[#This Row],[SISMED]],TblDisponibilidad[],8,FALSE), 0)</f>
        <v>0</v>
      </c>
      <c r="E172">
        <f>IFERROR(VLOOKUP(Tabla1[[#This Row],[SISMED]],TblDisponibilidad[],9,FALSE), 0)</f>
        <v>0</v>
      </c>
      <c r="F172">
        <f>IFERROR(VLOOKUP(Tabla1[[#This Row],[SISMED]],TblDisponibilidad[],10,FALSE), 0)</f>
        <v>0</v>
      </c>
      <c r="G172">
        <f>IFERROR(VLOOKUP(Tabla1[[#This Row],[SISMED]],TblDisponibilidad[],11,FALSE), 0)</f>
        <v>0</v>
      </c>
      <c r="H172">
        <f>IFERROR(VLOOKUP(Tabla1[[#This Row],[SISMED]],TblDisponibilidad[],12,FALSE), 0)</f>
        <v>0</v>
      </c>
      <c r="I172">
        <f>IFERROR(VLOOKUP(Tabla1[[#This Row],[SISMED]],TblDisponibilidad[],13,FALSE), 0)</f>
        <v>0</v>
      </c>
      <c r="J172">
        <f>IFERROR(VLOOKUP(Tabla1[[#This Row],[SISMED]],TblDisponibilidad[],14,FALSE), 0)</f>
        <v>0</v>
      </c>
      <c r="K172">
        <f>IFERROR(VLOOKUP(Tabla1[[#This Row],[SISMED]],TblDisponibilidad[],15,FALSE), 0)</f>
        <v>0</v>
      </c>
      <c r="L172">
        <f>IFERROR(VLOOKUP(Tabla1[[#This Row],[SISMED]],TblDisponibilidad[],16,FALSE), 0)</f>
        <v>0</v>
      </c>
      <c r="M172">
        <f>IFERROR(VLOOKUP(Tabla1[[#This Row],[SISMED]],TblDisponibilidad[],17,FALSE), 0)</f>
        <v>0</v>
      </c>
      <c r="N172">
        <f>IFERROR(VLOOKUP(Tabla1[[#This Row],[SISMED]],TblDisponibilidad[],18,FALSE), 0)</f>
        <v>0</v>
      </c>
      <c r="O172">
        <f>IFERROR(VLOOKUP(Tabla1[[#This Row],[SISMED]],TblDisponibilidad[],19,FALSE), 0)</f>
        <v>0</v>
      </c>
      <c r="P172">
        <f>IFERROR(VLOOKUP(Tabla1[[#This Row],[SISMED]],TblDisponibilidad[],20,FALSE), 0)</f>
        <v>0</v>
      </c>
      <c r="Q172">
        <f>IFERROR(VLOOKUP(Tabla1[[#This Row],[SISMED]],TblDisponibilidad[],21,FALSE), 0)</f>
        <v>0</v>
      </c>
      <c r="R172">
        <f>IFERROR(VLOOKUP(Tabla1[[#This Row],[SISMED]],TblDisponibilidad[],22,FALSE), 0)</f>
        <v>0</v>
      </c>
      <c r="S172" s="15">
        <f>IFERROR(VLOOKUP(Tabla1[[#This Row],[SISMED]],TblDisponibilidad[],23,FALSE), 0)</f>
        <v>0</v>
      </c>
    </row>
    <row r="173" spans="1:19" x14ac:dyDescent="0.3">
      <c r="A173" s="15" t="s">
        <v>203</v>
      </c>
      <c r="B173" t="str">
        <f>IFERROR(VLOOKUP(Tabla1[[#This Row],[SISMED]],TblDisponibilidad[],2,FALSE), "")</f>
        <v/>
      </c>
      <c r="C173">
        <f>IFERROR(VLOOKUP(Tabla1[[#This Row],[SISMED]],TblDisponibilidad[],7,FALSE), 0)</f>
        <v>0</v>
      </c>
      <c r="D173">
        <f>IFERROR(VLOOKUP(Tabla1[[#This Row],[SISMED]],TblDisponibilidad[],8,FALSE), 0)</f>
        <v>0</v>
      </c>
      <c r="E173">
        <f>IFERROR(VLOOKUP(Tabla1[[#This Row],[SISMED]],TblDisponibilidad[],9,FALSE), 0)</f>
        <v>0</v>
      </c>
      <c r="F173">
        <f>IFERROR(VLOOKUP(Tabla1[[#This Row],[SISMED]],TblDisponibilidad[],10,FALSE), 0)</f>
        <v>0</v>
      </c>
      <c r="G173">
        <f>IFERROR(VLOOKUP(Tabla1[[#This Row],[SISMED]],TblDisponibilidad[],11,FALSE), 0)</f>
        <v>0</v>
      </c>
      <c r="H173">
        <f>IFERROR(VLOOKUP(Tabla1[[#This Row],[SISMED]],TblDisponibilidad[],12,FALSE), 0)</f>
        <v>0</v>
      </c>
      <c r="I173">
        <f>IFERROR(VLOOKUP(Tabla1[[#This Row],[SISMED]],TblDisponibilidad[],13,FALSE), 0)</f>
        <v>0</v>
      </c>
      <c r="J173">
        <f>IFERROR(VLOOKUP(Tabla1[[#This Row],[SISMED]],TblDisponibilidad[],14,FALSE), 0)</f>
        <v>0</v>
      </c>
      <c r="K173">
        <f>IFERROR(VLOOKUP(Tabla1[[#This Row],[SISMED]],TblDisponibilidad[],15,FALSE), 0)</f>
        <v>0</v>
      </c>
      <c r="L173">
        <f>IFERROR(VLOOKUP(Tabla1[[#This Row],[SISMED]],TblDisponibilidad[],16,FALSE), 0)</f>
        <v>0</v>
      </c>
      <c r="M173">
        <f>IFERROR(VLOOKUP(Tabla1[[#This Row],[SISMED]],TblDisponibilidad[],17,FALSE), 0)</f>
        <v>0</v>
      </c>
      <c r="N173">
        <f>IFERROR(VLOOKUP(Tabla1[[#This Row],[SISMED]],TblDisponibilidad[],18,FALSE), 0)</f>
        <v>0</v>
      </c>
      <c r="O173">
        <f>IFERROR(VLOOKUP(Tabla1[[#This Row],[SISMED]],TblDisponibilidad[],19,FALSE), 0)</f>
        <v>0</v>
      </c>
      <c r="P173">
        <f>IFERROR(VLOOKUP(Tabla1[[#This Row],[SISMED]],TblDisponibilidad[],20,FALSE), 0)</f>
        <v>0</v>
      </c>
      <c r="Q173">
        <f>IFERROR(VLOOKUP(Tabla1[[#This Row],[SISMED]],TblDisponibilidad[],21,FALSE), 0)</f>
        <v>0</v>
      </c>
      <c r="R173">
        <f>IFERROR(VLOOKUP(Tabla1[[#This Row],[SISMED]],TblDisponibilidad[],22,FALSE), 0)</f>
        <v>0</v>
      </c>
      <c r="S173" s="15">
        <f>IFERROR(VLOOKUP(Tabla1[[#This Row],[SISMED]],TblDisponibilidad[],23,FALSE), 0)</f>
        <v>0</v>
      </c>
    </row>
    <row r="174" spans="1:19" x14ac:dyDescent="0.3">
      <c r="A174" s="15" t="s">
        <v>204</v>
      </c>
      <c r="B174" t="str">
        <f>IFERROR(VLOOKUP(Tabla1[[#This Row],[SISMED]],TblDisponibilidad[],2,FALSE), "")</f>
        <v/>
      </c>
      <c r="C174">
        <f>IFERROR(VLOOKUP(Tabla1[[#This Row],[SISMED]],TblDisponibilidad[],7,FALSE), 0)</f>
        <v>0</v>
      </c>
      <c r="D174">
        <f>IFERROR(VLOOKUP(Tabla1[[#This Row],[SISMED]],TblDisponibilidad[],8,FALSE), 0)</f>
        <v>0</v>
      </c>
      <c r="E174">
        <f>IFERROR(VLOOKUP(Tabla1[[#This Row],[SISMED]],TblDisponibilidad[],9,FALSE), 0)</f>
        <v>0</v>
      </c>
      <c r="F174">
        <f>IFERROR(VLOOKUP(Tabla1[[#This Row],[SISMED]],TblDisponibilidad[],10,FALSE), 0)</f>
        <v>0</v>
      </c>
      <c r="G174">
        <f>IFERROR(VLOOKUP(Tabla1[[#This Row],[SISMED]],TblDisponibilidad[],11,FALSE), 0)</f>
        <v>0</v>
      </c>
      <c r="H174">
        <f>IFERROR(VLOOKUP(Tabla1[[#This Row],[SISMED]],TblDisponibilidad[],12,FALSE), 0)</f>
        <v>0</v>
      </c>
      <c r="I174">
        <f>IFERROR(VLOOKUP(Tabla1[[#This Row],[SISMED]],TblDisponibilidad[],13,FALSE), 0)</f>
        <v>0</v>
      </c>
      <c r="J174">
        <f>IFERROR(VLOOKUP(Tabla1[[#This Row],[SISMED]],TblDisponibilidad[],14,FALSE), 0)</f>
        <v>0</v>
      </c>
      <c r="K174">
        <f>IFERROR(VLOOKUP(Tabla1[[#This Row],[SISMED]],TblDisponibilidad[],15,FALSE), 0)</f>
        <v>0</v>
      </c>
      <c r="L174">
        <f>IFERROR(VLOOKUP(Tabla1[[#This Row],[SISMED]],TblDisponibilidad[],16,FALSE), 0)</f>
        <v>0</v>
      </c>
      <c r="M174">
        <f>IFERROR(VLOOKUP(Tabla1[[#This Row],[SISMED]],TblDisponibilidad[],17,FALSE), 0)</f>
        <v>0</v>
      </c>
      <c r="N174">
        <f>IFERROR(VLOOKUP(Tabla1[[#This Row],[SISMED]],TblDisponibilidad[],18,FALSE), 0)</f>
        <v>0</v>
      </c>
      <c r="O174">
        <f>IFERROR(VLOOKUP(Tabla1[[#This Row],[SISMED]],TblDisponibilidad[],19,FALSE), 0)</f>
        <v>0</v>
      </c>
      <c r="P174">
        <f>IFERROR(VLOOKUP(Tabla1[[#This Row],[SISMED]],TblDisponibilidad[],20,FALSE), 0)</f>
        <v>0</v>
      </c>
      <c r="Q174">
        <f>IFERROR(VLOOKUP(Tabla1[[#This Row],[SISMED]],TblDisponibilidad[],21,FALSE), 0)</f>
        <v>0</v>
      </c>
      <c r="R174">
        <f>IFERROR(VLOOKUP(Tabla1[[#This Row],[SISMED]],TblDisponibilidad[],22,FALSE), 0)</f>
        <v>0</v>
      </c>
      <c r="S174" s="15">
        <f>IFERROR(VLOOKUP(Tabla1[[#This Row],[SISMED]],TblDisponibilidad[],23,FALSE), 0)</f>
        <v>0</v>
      </c>
    </row>
    <row r="175" spans="1:19" x14ac:dyDescent="0.3">
      <c r="A175" s="15" t="s">
        <v>205</v>
      </c>
      <c r="B175" t="str">
        <f>IFERROR(VLOOKUP(Tabla1[[#This Row],[SISMED]],TblDisponibilidad[],2,FALSE), "")</f>
        <v/>
      </c>
      <c r="C175">
        <f>IFERROR(VLOOKUP(Tabla1[[#This Row],[SISMED]],TblDisponibilidad[],7,FALSE), 0)</f>
        <v>0</v>
      </c>
      <c r="D175">
        <f>IFERROR(VLOOKUP(Tabla1[[#This Row],[SISMED]],TblDisponibilidad[],8,FALSE), 0)</f>
        <v>0</v>
      </c>
      <c r="E175">
        <f>IFERROR(VLOOKUP(Tabla1[[#This Row],[SISMED]],TblDisponibilidad[],9,FALSE), 0)</f>
        <v>0</v>
      </c>
      <c r="F175">
        <f>IFERROR(VLOOKUP(Tabla1[[#This Row],[SISMED]],TblDisponibilidad[],10,FALSE), 0)</f>
        <v>0</v>
      </c>
      <c r="G175">
        <f>IFERROR(VLOOKUP(Tabla1[[#This Row],[SISMED]],TblDisponibilidad[],11,FALSE), 0)</f>
        <v>0</v>
      </c>
      <c r="H175">
        <f>IFERROR(VLOOKUP(Tabla1[[#This Row],[SISMED]],TblDisponibilidad[],12,FALSE), 0)</f>
        <v>0</v>
      </c>
      <c r="I175">
        <f>IFERROR(VLOOKUP(Tabla1[[#This Row],[SISMED]],TblDisponibilidad[],13,FALSE), 0)</f>
        <v>0</v>
      </c>
      <c r="J175">
        <f>IFERROR(VLOOKUP(Tabla1[[#This Row],[SISMED]],TblDisponibilidad[],14,FALSE), 0)</f>
        <v>0</v>
      </c>
      <c r="K175">
        <f>IFERROR(VLOOKUP(Tabla1[[#This Row],[SISMED]],TblDisponibilidad[],15,FALSE), 0)</f>
        <v>0</v>
      </c>
      <c r="L175">
        <f>IFERROR(VLOOKUP(Tabla1[[#This Row],[SISMED]],TblDisponibilidad[],16,FALSE), 0)</f>
        <v>0</v>
      </c>
      <c r="M175">
        <f>IFERROR(VLOOKUP(Tabla1[[#This Row],[SISMED]],TblDisponibilidad[],17,FALSE), 0)</f>
        <v>0</v>
      </c>
      <c r="N175">
        <f>IFERROR(VLOOKUP(Tabla1[[#This Row],[SISMED]],TblDisponibilidad[],18,FALSE), 0)</f>
        <v>0</v>
      </c>
      <c r="O175">
        <f>IFERROR(VLOOKUP(Tabla1[[#This Row],[SISMED]],TblDisponibilidad[],19,FALSE), 0)</f>
        <v>0</v>
      </c>
      <c r="P175">
        <f>IFERROR(VLOOKUP(Tabla1[[#This Row],[SISMED]],TblDisponibilidad[],20,FALSE), 0)</f>
        <v>0</v>
      </c>
      <c r="Q175">
        <f>IFERROR(VLOOKUP(Tabla1[[#This Row],[SISMED]],TblDisponibilidad[],21,FALSE), 0)</f>
        <v>0</v>
      </c>
      <c r="R175">
        <f>IFERROR(VLOOKUP(Tabla1[[#This Row],[SISMED]],TblDisponibilidad[],22,FALSE), 0)</f>
        <v>0</v>
      </c>
      <c r="S175" s="15">
        <f>IFERROR(VLOOKUP(Tabla1[[#This Row],[SISMED]],TblDisponibilidad[],23,FALSE), 0)</f>
        <v>0</v>
      </c>
    </row>
    <row r="176" spans="1:19" x14ac:dyDescent="0.3">
      <c r="A176" s="15" t="s">
        <v>206</v>
      </c>
      <c r="B176" t="str">
        <f>IFERROR(VLOOKUP(Tabla1[[#This Row],[SISMED]],TblDisponibilidad[],2,FALSE), "")</f>
        <v/>
      </c>
      <c r="C176">
        <f>IFERROR(VLOOKUP(Tabla1[[#This Row],[SISMED]],TblDisponibilidad[],7,FALSE), 0)</f>
        <v>0</v>
      </c>
      <c r="D176">
        <f>IFERROR(VLOOKUP(Tabla1[[#This Row],[SISMED]],TblDisponibilidad[],8,FALSE), 0)</f>
        <v>0</v>
      </c>
      <c r="E176">
        <f>IFERROR(VLOOKUP(Tabla1[[#This Row],[SISMED]],TblDisponibilidad[],9,FALSE), 0)</f>
        <v>0</v>
      </c>
      <c r="F176">
        <f>IFERROR(VLOOKUP(Tabla1[[#This Row],[SISMED]],TblDisponibilidad[],10,FALSE), 0)</f>
        <v>0</v>
      </c>
      <c r="G176">
        <f>IFERROR(VLOOKUP(Tabla1[[#This Row],[SISMED]],TblDisponibilidad[],11,FALSE), 0)</f>
        <v>0</v>
      </c>
      <c r="H176">
        <f>IFERROR(VLOOKUP(Tabla1[[#This Row],[SISMED]],TblDisponibilidad[],12,FALSE), 0)</f>
        <v>0</v>
      </c>
      <c r="I176">
        <f>IFERROR(VLOOKUP(Tabla1[[#This Row],[SISMED]],TblDisponibilidad[],13,FALSE), 0)</f>
        <v>0</v>
      </c>
      <c r="J176">
        <f>IFERROR(VLOOKUP(Tabla1[[#This Row],[SISMED]],TblDisponibilidad[],14,FALSE), 0)</f>
        <v>0</v>
      </c>
      <c r="K176">
        <f>IFERROR(VLOOKUP(Tabla1[[#This Row],[SISMED]],TblDisponibilidad[],15,FALSE), 0)</f>
        <v>0</v>
      </c>
      <c r="L176">
        <f>IFERROR(VLOOKUP(Tabla1[[#This Row],[SISMED]],TblDisponibilidad[],16,FALSE), 0)</f>
        <v>0</v>
      </c>
      <c r="M176">
        <f>IFERROR(VLOOKUP(Tabla1[[#This Row],[SISMED]],TblDisponibilidad[],17,FALSE), 0)</f>
        <v>0</v>
      </c>
      <c r="N176">
        <f>IFERROR(VLOOKUP(Tabla1[[#This Row],[SISMED]],TblDisponibilidad[],18,FALSE), 0)</f>
        <v>0</v>
      </c>
      <c r="O176">
        <f>IFERROR(VLOOKUP(Tabla1[[#This Row],[SISMED]],TblDisponibilidad[],19,FALSE), 0)</f>
        <v>0</v>
      </c>
      <c r="P176">
        <f>IFERROR(VLOOKUP(Tabla1[[#This Row],[SISMED]],TblDisponibilidad[],20,FALSE), 0)</f>
        <v>0</v>
      </c>
      <c r="Q176">
        <f>IFERROR(VLOOKUP(Tabla1[[#This Row],[SISMED]],TblDisponibilidad[],21,FALSE), 0)</f>
        <v>0</v>
      </c>
      <c r="R176">
        <f>IFERROR(VLOOKUP(Tabla1[[#This Row],[SISMED]],TblDisponibilidad[],22,FALSE), 0)</f>
        <v>0</v>
      </c>
      <c r="S176" s="15">
        <f>IFERROR(VLOOKUP(Tabla1[[#This Row],[SISMED]],TblDisponibilidad[],23,FALSE), 0)</f>
        <v>0</v>
      </c>
    </row>
    <row r="177" spans="1:19" x14ac:dyDescent="0.3">
      <c r="A177" s="15" t="s">
        <v>207</v>
      </c>
      <c r="B177" t="str">
        <f>IFERROR(VLOOKUP(Tabla1[[#This Row],[SISMED]],TblDisponibilidad[],2,FALSE), "")</f>
        <v/>
      </c>
      <c r="C177">
        <f>IFERROR(VLOOKUP(Tabla1[[#This Row],[SISMED]],TblDisponibilidad[],7,FALSE), 0)</f>
        <v>0</v>
      </c>
      <c r="D177">
        <f>IFERROR(VLOOKUP(Tabla1[[#This Row],[SISMED]],TblDisponibilidad[],8,FALSE), 0)</f>
        <v>0</v>
      </c>
      <c r="E177">
        <f>IFERROR(VLOOKUP(Tabla1[[#This Row],[SISMED]],TblDisponibilidad[],9,FALSE), 0)</f>
        <v>0</v>
      </c>
      <c r="F177">
        <f>IFERROR(VLOOKUP(Tabla1[[#This Row],[SISMED]],TblDisponibilidad[],10,FALSE), 0)</f>
        <v>0</v>
      </c>
      <c r="G177">
        <f>IFERROR(VLOOKUP(Tabla1[[#This Row],[SISMED]],TblDisponibilidad[],11,FALSE), 0)</f>
        <v>0</v>
      </c>
      <c r="H177">
        <f>IFERROR(VLOOKUP(Tabla1[[#This Row],[SISMED]],TblDisponibilidad[],12,FALSE), 0)</f>
        <v>0</v>
      </c>
      <c r="I177">
        <f>IFERROR(VLOOKUP(Tabla1[[#This Row],[SISMED]],TblDisponibilidad[],13,FALSE), 0)</f>
        <v>0</v>
      </c>
      <c r="J177">
        <f>IFERROR(VLOOKUP(Tabla1[[#This Row],[SISMED]],TblDisponibilidad[],14,FALSE), 0)</f>
        <v>0</v>
      </c>
      <c r="K177">
        <f>IFERROR(VLOOKUP(Tabla1[[#This Row],[SISMED]],TblDisponibilidad[],15,FALSE), 0)</f>
        <v>0</v>
      </c>
      <c r="L177">
        <f>IFERROR(VLOOKUP(Tabla1[[#This Row],[SISMED]],TblDisponibilidad[],16,FALSE), 0)</f>
        <v>0</v>
      </c>
      <c r="M177">
        <f>IFERROR(VLOOKUP(Tabla1[[#This Row],[SISMED]],TblDisponibilidad[],17,FALSE), 0)</f>
        <v>0</v>
      </c>
      <c r="N177">
        <f>IFERROR(VLOOKUP(Tabla1[[#This Row],[SISMED]],TblDisponibilidad[],18,FALSE), 0)</f>
        <v>0</v>
      </c>
      <c r="O177">
        <f>IFERROR(VLOOKUP(Tabla1[[#This Row],[SISMED]],TblDisponibilidad[],19,FALSE), 0)</f>
        <v>0</v>
      </c>
      <c r="P177">
        <f>IFERROR(VLOOKUP(Tabla1[[#This Row],[SISMED]],TblDisponibilidad[],20,FALSE), 0)</f>
        <v>0</v>
      </c>
      <c r="Q177">
        <f>IFERROR(VLOOKUP(Tabla1[[#This Row],[SISMED]],TblDisponibilidad[],21,FALSE), 0)</f>
        <v>0</v>
      </c>
      <c r="R177">
        <f>IFERROR(VLOOKUP(Tabla1[[#This Row],[SISMED]],TblDisponibilidad[],22,FALSE), 0)</f>
        <v>0</v>
      </c>
      <c r="S177" s="15">
        <f>IFERROR(VLOOKUP(Tabla1[[#This Row],[SISMED]],TblDisponibilidad[],23,FALSE), 0)</f>
        <v>0</v>
      </c>
    </row>
    <row r="178" spans="1:19" x14ac:dyDescent="0.3">
      <c r="A178" s="15" t="s">
        <v>208</v>
      </c>
      <c r="B178" t="str">
        <f>IFERROR(VLOOKUP(Tabla1[[#This Row],[SISMED]],TblDisponibilidad[],2,FALSE), "")</f>
        <v/>
      </c>
      <c r="C178">
        <f>IFERROR(VLOOKUP(Tabla1[[#This Row],[SISMED]],TblDisponibilidad[],7,FALSE), 0)</f>
        <v>0</v>
      </c>
      <c r="D178">
        <f>IFERROR(VLOOKUP(Tabla1[[#This Row],[SISMED]],TblDisponibilidad[],8,FALSE), 0)</f>
        <v>0</v>
      </c>
      <c r="E178">
        <f>IFERROR(VLOOKUP(Tabla1[[#This Row],[SISMED]],TblDisponibilidad[],9,FALSE), 0)</f>
        <v>0</v>
      </c>
      <c r="F178">
        <f>IFERROR(VLOOKUP(Tabla1[[#This Row],[SISMED]],TblDisponibilidad[],10,FALSE), 0)</f>
        <v>0</v>
      </c>
      <c r="G178">
        <f>IFERROR(VLOOKUP(Tabla1[[#This Row],[SISMED]],TblDisponibilidad[],11,FALSE), 0)</f>
        <v>0</v>
      </c>
      <c r="H178">
        <f>IFERROR(VLOOKUP(Tabla1[[#This Row],[SISMED]],TblDisponibilidad[],12,FALSE), 0)</f>
        <v>0</v>
      </c>
      <c r="I178">
        <f>IFERROR(VLOOKUP(Tabla1[[#This Row],[SISMED]],TblDisponibilidad[],13,FALSE), 0)</f>
        <v>0</v>
      </c>
      <c r="J178">
        <f>IFERROR(VLOOKUP(Tabla1[[#This Row],[SISMED]],TblDisponibilidad[],14,FALSE), 0)</f>
        <v>0</v>
      </c>
      <c r="K178">
        <f>IFERROR(VLOOKUP(Tabla1[[#This Row],[SISMED]],TblDisponibilidad[],15,FALSE), 0)</f>
        <v>0</v>
      </c>
      <c r="L178">
        <f>IFERROR(VLOOKUP(Tabla1[[#This Row],[SISMED]],TblDisponibilidad[],16,FALSE), 0)</f>
        <v>0</v>
      </c>
      <c r="M178">
        <f>IFERROR(VLOOKUP(Tabla1[[#This Row],[SISMED]],TblDisponibilidad[],17,FALSE), 0)</f>
        <v>0</v>
      </c>
      <c r="N178">
        <f>IFERROR(VLOOKUP(Tabla1[[#This Row],[SISMED]],TblDisponibilidad[],18,FALSE), 0)</f>
        <v>0</v>
      </c>
      <c r="O178">
        <f>IFERROR(VLOOKUP(Tabla1[[#This Row],[SISMED]],TblDisponibilidad[],19,FALSE), 0)</f>
        <v>0</v>
      </c>
      <c r="P178">
        <f>IFERROR(VLOOKUP(Tabla1[[#This Row],[SISMED]],TblDisponibilidad[],20,FALSE), 0)</f>
        <v>0</v>
      </c>
      <c r="Q178">
        <f>IFERROR(VLOOKUP(Tabla1[[#This Row],[SISMED]],TblDisponibilidad[],21,FALSE), 0)</f>
        <v>0</v>
      </c>
      <c r="R178">
        <f>IFERROR(VLOOKUP(Tabla1[[#This Row],[SISMED]],TblDisponibilidad[],22,FALSE), 0)</f>
        <v>0</v>
      </c>
      <c r="S178" s="15">
        <f>IFERROR(VLOOKUP(Tabla1[[#This Row],[SISMED]],TblDisponibilidad[],23,FALSE), 0)</f>
        <v>0</v>
      </c>
    </row>
    <row r="179" spans="1:19" x14ac:dyDescent="0.3">
      <c r="A179" s="15" t="s">
        <v>209</v>
      </c>
      <c r="B179" t="str">
        <f>IFERROR(VLOOKUP(Tabla1[[#This Row],[SISMED]],TblDisponibilidad[],2,FALSE), "")</f>
        <v/>
      </c>
      <c r="C179">
        <f>IFERROR(VLOOKUP(Tabla1[[#This Row],[SISMED]],TblDisponibilidad[],7,FALSE), 0)</f>
        <v>0</v>
      </c>
      <c r="D179">
        <f>IFERROR(VLOOKUP(Tabla1[[#This Row],[SISMED]],TblDisponibilidad[],8,FALSE), 0)</f>
        <v>0</v>
      </c>
      <c r="E179">
        <f>IFERROR(VLOOKUP(Tabla1[[#This Row],[SISMED]],TblDisponibilidad[],9,FALSE), 0)</f>
        <v>0</v>
      </c>
      <c r="F179">
        <f>IFERROR(VLOOKUP(Tabla1[[#This Row],[SISMED]],TblDisponibilidad[],10,FALSE), 0)</f>
        <v>0</v>
      </c>
      <c r="G179">
        <f>IFERROR(VLOOKUP(Tabla1[[#This Row],[SISMED]],TblDisponibilidad[],11,FALSE), 0)</f>
        <v>0</v>
      </c>
      <c r="H179">
        <f>IFERROR(VLOOKUP(Tabla1[[#This Row],[SISMED]],TblDisponibilidad[],12,FALSE), 0)</f>
        <v>0</v>
      </c>
      <c r="I179">
        <f>IFERROR(VLOOKUP(Tabla1[[#This Row],[SISMED]],TblDisponibilidad[],13,FALSE), 0)</f>
        <v>0</v>
      </c>
      <c r="J179">
        <f>IFERROR(VLOOKUP(Tabla1[[#This Row],[SISMED]],TblDisponibilidad[],14,FALSE), 0)</f>
        <v>0</v>
      </c>
      <c r="K179">
        <f>IFERROR(VLOOKUP(Tabla1[[#This Row],[SISMED]],TblDisponibilidad[],15,FALSE), 0)</f>
        <v>0</v>
      </c>
      <c r="L179">
        <f>IFERROR(VLOOKUP(Tabla1[[#This Row],[SISMED]],TblDisponibilidad[],16,FALSE), 0)</f>
        <v>0</v>
      </c>
      <c r="M179">
        <f>IFERROR(VLOOKUP(Tabla1[[#This Row],[SISMED]],TblDisponibilidad[],17,FALSE), 0)</f>
        <v>0</v>
      </c>
      <c r="N179">
        <f>IFERROR(VLOOKUP(Tabla1[[#This Row],[SISMED]],TblDisponibilidad[],18,FALSE), 0)</f>
        <v>0</v>
      </c>
      <c r="O179">
        <f>IFERROR(VLOOKUP(Tabla1[[#This Row],[SISMED]],TblDisponibilidad[],19,FALSE), 0)</f>
        <v>0</v>
      </c>
      <c r="P179">
        <f>IFERROR(VLOOKUP(Tabla1[[#This Row],[SISMED]],TblDisponibilidad[],20,FALSE), 0)</f>
        <v>0</v>
      </c>
      <c r="Q179">
        <f>IFERROR(VLOOKUP(Tabla1[[#This Row],[SISMED]],TblDisponibilidad[],21,FALSE), 0)</f>
        <v>0</v>
      </c>
      <c r="R179">
        <f>IFERROR(VLOOKUP(Tabla1[[#This Row],[SISMED]],TblDisponibilidad[],22,FALSE), 0)</f>
        <v>0</v>
      </c>
      <c r="S179" s="15">
        <f>IFERROR(VLOOKUP(Tabla1[[#This Row],[SISMED]],TblDisponibilidad[],23,FALSE), 0)</f>
        <v>0</v>
      </c>
    </row>
    <row r="180" spans="1:19" x14ac:dyDescent="0.3">
      <c r="A180" s="15" t="s">
        <v>210</v>
      </c>
      <c r="B180" t="str">
        <f>IFERROR(VLOOKUP(Tabla1[[#This Row],[SISMED]],TblDisponibilidad[],2,FALSE), "")</f>
        <v/>
      </c>
      <c r="C180">
        <f>IFERROR(VLOOKUP(Tabla1[[#This Row],[SISMED]],TblDisponibilidad[],7,FALSE), 0)</f>
        <v>0</v>
      </c>
      <c r="D180">
        <f>IFERROR(VLOOKUP(Tabla1[[#This Row],[SISMED]],TblDisponibilidad[],8,FALSE), 0)</f>
        <v>0</v>
      </c>
      <c r="E180">
        <f>IFERROR(VLOOKUP(Tabla1[[#This Row],[SISMED]],TblDisponibilidad[],9,FALSE), 0)</f>
        <v>0</v>
      </c>
      <c r="F180">
        <f>IFERROR(VLOOKUP(Tabla1[[#This Row],[SISMED]],TblDisponibilidad[],10,FALSE), 0)</f>
        <v>0</v>
      </c>
      <c r="G180">
        <f>IFERROR(VLOOKUP(Tabla1[[#This Row],[SISMED]],TblDisponibilidad[],11,FALSE), 0)</f>
        <v>0</v>
      </c>
      <c r="H180">
        <f>IFERROR(VLOOKUP(Tabla1[[#This Row],[SISMED]],TblDisponibilidad[],12,FALSE), 0)</f>
        <v>0</v>
      </c>
      <c r="I180">
        <f>IFERROR(VLOOKUP(Tabla1[[#This Row],[SISMED]],TblDisponibilidad[],13,FALSE), 0)</f>
        <v>0</v>
      </c>
      <c r="J180">
        <f>IFERROR(VLOOKUP(Tabla1[[#This Row],[SISMED]],TblDisponibilidad[],14,FALSE), 0)</f>
        <v>0</v>
      </c>
      <c r="K180">
        <f>IFERROR(VLOOKUP(Tabla1[[#This Row],[SISMED]],TblDisponibilidad[],15,FALSE), 0)</f>
        <v>0</v>
      </c>
      <c r="L180">
        <f>IFERROR(VLOOKUP(Tabla1[[#This Row],[SISMED]],TblDisponibilidad[],16,FALSE), 0)</f>
        <v>0</v>
      </c>
      <c r="M180">
        <f>IFERROR(VLOOKUP(Tabla1[[#This Row],[SISMED]],TblDisponibilidad[],17,FALSE), 0)</f>
        <v>0</v>
      </c>
      <c r="N180">
        <f>IFERROR(VLOOKUP(Tabla1[[#This Row],[SISMED]],TblDisponibilidad[],18,FALSE), 0)</f>
        <v>0</v>
      </c>
      <c r="O180">
        <f>IFERROR(VLOOKUP(Tabla1[[#This Row],[SISMED]],TblDisponibilidad[],19,FALSE), 0)</f>
        <v>0</v>
      </c>
      <c r="P180">
        <f>IFERROR(VLOOKUP(Tabla1[[#This Row],[SISMED]],TblDisponibilidad[],20,FALSE), 0)</f>
        <v>0</v>
      </c>
      <c r="Q180">
        <f>IFERROR(VLOOKUP(Tabla1[[#This Row],[SISMED]],TblDisponibilidad[],21,FALSE), 0)</f>
        <v>0</v>
      </c>
      <c r="R180">
        <f>IFERROR(VLOOKUP(Tabla1[[#This Row],[SISMED]],TblDisponibilidad[],22,FALSE), 0)</f>
        <v>0</v>
      </c>
      <c r="S180" s="15">
        <f>IFERROR(VLOOKUP(Tabla1[[#This Row],[SISMED]],TblDisponibilidad[],23,FALSE), 0)</f>
        <v>0</v>
      </c>
    </row>
    <row r="181" spans="1:19" x14ac:dyDescent="0.3">
      <c r="A181" s="15" t="s">
        <v>211</v>
      </c>
      <c r="B181" t="str">
        <f>IFERROR(VLOOKUP(Tabla1[[#This Row],[SISMED]],TblDisponibilidad[],2,FALSE), "")</f>
        <v/>
      </c>
      <c r="C181">
        <f>IFERROR(VLOOKUP(Tabla1[[#This Row],[SISMED]],TblDisponibilidad[],7,FALSE), 0)</f>
        <v>0</v>
      </c>
      <c r="D181">
        <f>IFERROR(VLOOKUP(Tabla1[[#This Row],[SISMED]],TblDisponibilidad[],8,FALSE), 0)</f>
        <v>0</v>
      </c>
      <c r="E181">
        <f>IFERROR(VLOOKUP(Tabla1[[#This Row],[SISMED]],TblDisponibilidad[],9,FALSE), 0)</f>
        <v>0</v>
      </c>
      <c r="F181">
        <f>IFERROR(VLOOKUP(Tabla1[[#This Row],[SISMED]],TblDisponibilidad[],10,FALSE), 0)</f>
        <v>0</v>
      </c>
      <c r="G181">
        <f>IFERROR(VLOOKUP(Tabla1[[#This Row],[SISMED]],TblDisponibilidad[],11,FALSE), 0)</f>
        <v>0</v>
      </c>
      <c r="H181">
        <f>IFERROR(VLOOKUP(Tabla1[[#This Row],[SISMED]],TblDisponibilidad[],12,FALSE), 0)</f>
        <v>0</v>
      </c>
      <c r="I181">
        <f>IFERROR(VLOOKUP(Tabla1[[#This Row],[SISMED]],TblDisponibilidad[],13,FALSE), 0)</f>
        <v>0</v>
      </c>
      <c r="J181">
        <f>IFERROR(VLOOKUP(Tabla1[[#This Row],[SISMED]],TblDisponibilidad[],14,FALSE), 0)</f>
        <v>0</v>
      </c>
      <c r="K181">
        <f>IFERROR(VLOOKUP(Tabla1[[#This Row],[SISMED]],TblDisponibilidad[],15,FALSE), 0)</f>
        <v>0</v>
      </c>
      <c r="L181">
        <f>IFERROR(VLOOKUP(Tabla1[[#This Row],[SISMED]],TblDisponibilidad[],16,FALSE), 0)</f>
        <v>0</v>
      </c>
      <c r="M181">
        <f>IFERROR(VLOOKUP(Tabla1[[#This Row],[SISMED]],TblDisponibilidad[],17,FALSE), 0)</f>
        <v>0</v>
      </c>
      <c r="N181">
        <f>IFERROR(VLOOKUP(Tabla1[[#This Row],[SISMED]],TblDisponibilidad[],18,FALSE), 0)</f>
        <v>0</v>
      </c>
      <c r="O181">
        <f>IFERROR(VLOOKUP(Tabla1[[#This Row],[SISMED]],TblDisponibilidad[],19,FALSE), 0)</f>
        <v>0</v>
      </c>
      <c r="P181">
        <f>IFERROR(VLOOKUP(Tabla1[[#This Row],[SISMED]],TblDisponibilidad[],20,FALSE), 0)</f>
        <v>0</v>
      </c>
      <c r="Q181">
        <f>IFERROR(VLOOKUP(Tabla1[[#This Row],[SISMED]],TblDisponibilidad[],21,FALSE), 0)</f>
        <v>0</v>
      </c>
      <c r="R181">
        <f>IFERROR(VLOOKUP(Tabla1[[#This Row],[SISMED]],TblDisponibilidad[],22,FALSE), 0)</f>
        <v>0</v>
      </c>
      <c r="S181" s="15">
        <f>IFERROR(VLOOKUP(Tabla1[[#This Row],[SISMED]],TblDisponibilidad[],23,FALSE), 0)</f>
        <v>0</v>
      </c>
    </row>
    <row r="182" spans="1:19" x14ac:dyDescent="0.3">
      <c r="A182" s="15" t="s">
        <v>212</v>
      </c>
      <c r="B182" t="str">
        <f>IFERROR(VLOOKUP(Tabla1[[#This Row],[SISMED]],TblDisponibilidad[],2,FALSE), "")</f>
        <v/>
      </c>
      <c r="C182">
        <f>IFERROR(VLOOKUP(Tabla1[[#This Row],[SISMED]],TblDisponibilidad[],7,FALSE), 0)</f>
        <v>0</v>
      </c>
      <c r="D182">
        <f>IFERROR(VLOOKUP(Tabla1[[#This Row],[SISMED]],TblDisponibilidad[],8,FALSE), 0)</f>
        <v>0</v>
      </c>
      <c r="E182">
        <f>IFERROR(VLOOKUP(Tabla1[[#This Row],[SISMED]],TblDisponibilidad[],9,FALSE), 0)</f>
        <v>0</v>
      </c>
      <c r="F182">
        <f>IFERROR(VLOOKUP(Tabla1[[#This Row],[SISMED]],TblDisponibilidad[],10,FALSE), 0)</f>
        <v>0</v>
      </c>
      <c r="G182">
        <f>IFERROR(VLOOKUP(Tabla1[[#This Row],[SISMED]],TblDisponibilidad[],11,FALSE), 0)</f>
        <v>0</v>
      </c>
      <c r="H182">
        <f>IFERROR(VLOOKUP(Tabla1[[#This Row],[SISMED]],TblDisponibilidad[],12,FALSE), 0)</f>
        <v>0</v>
      </c>
      <c r="I182">
        <f>IFERROR(VLOOKUP(Tabla1[[#This Row],[SISMED]],TblDisponibilidad[],13,FALSE), 0)</f>
        <v>0</v>
      </c>
      <c r="J182">
        <f>IFERROR(VLOOKUP(Tabla1[[#This Row],[SISMED]],TblDisponibilidad[],14,FALSE), 0)</f>
        <v>0</v>
      </c>
      <c r="K182">
        <f>IFERROR(VLOOKUP(Tabla1[[#This Row],[SISMED]],TblDisponibilidad[],15,FALSE), 0)</f>
        <v>0</v>
      </c>
      <c r="L182">
        <f>IFERROR(VLOOKUP(Tabla1[[#This Row],[SISMED]],TblDisponibilidad[],16,FALSE), 0)</f>
        <v>0</v>
      </c>
      <c r="M182">
        <f>IFERROR(VLOOKUP(Tabla1[[#This Row],[SISMED]],TblDisponibilidad[],17,FALSE), 0)</f>
        <v>0</v>
      </c>
      <c r="N182">
        <f>IFERROR(VLOOKUP(Tabla1[[#This Row],[SISMED]],TblDisponibilidad[],18,FALSE), 0)</f>
        <v>0</v>
      </c>
      <c r="O182">
        <f>IFERROR(VLOOKUP(Tabla1[[#This Row],[SISMED]],TblDisponibilidad[],19,FALSE), 0)</f>
        <v>0</v>
      </c>
      <c r="P182">
        <f>IFERROR(VLOOKUP(Tabla1[[#This Row],[SISMED]],TblDisponibilidad[],20,FALSE), 0)</f>
        <v>0</v>
      </c>
      <c r="Q182">
        <f>IFERROR(VLOOKUP(Tabla1[[#This Row],[SISMED]],TblDisponibilidad[],21,FALSE), 0)</f>
        <v>0</v>
      </c>
      <c r="R182">
        <f>IFERROR(VLOOKUP(Tabla1[[#This Row],[SISMED]],TblDisponibilidad[],22,FALSE), 0)</f>
        <v>0</v>
      </c>
      <c r="S182" s="15">
        <f>IFERROR(VLOOKUP(Tabla1[[#This Row],[SISMED]],TblDisponibilidad[],23,FALSE), 0)</f>
        <v>0</v>
      </c>
    </row>
    <row r="183" spans="1:19" x14ac:dyDescent="0.3">
      <c r="A183" s="15" t="s">
        <v>213</v>
      </c>
      <c r="B183" t="str">
        <f>IFERROR(VLOOKUP(Tabla1[[#This Row],[SISMED]],TblDisponibilidad[],2,FALSE), "")</f>
        <v/>
      </c>
      <c r="C183">
        <f>IFERROR(VLOOKUP(Tabla1[[#This Row],[SISMED]],TblDisponibilidad[],7,FALSE), 0)</f>
        <v>0</v>
      </c>
      <c r="D183">
        <f>IFERROR(VLOOKUP(Tabla1[[#This Row],[SISMED]],TblDisponibilidad[],8,FALSE), 0)</f>
        <v>0</v>
      </c>
      <c r="E183">
        <f>IFERROR(VLOOKUP(Tabla1[[#This Row],[SISMED]],TblDisponibilidad[],9,FALSE), 0)</f>
        <v>0</v>
      </c>
      <c r="F183">
        <f>IFERROR(VLOOKUP(Tabla1[[#This Row],[SISMED]],TblDisponibilidad[],10,FALSE), 0)</f>
        <v>0</v>
      </c>
      <c r="G183">
        <f>IFERROR(VLOOKUP(Tabla1[[#This Row],[SISMED]],TblDisponibilidad[],11,FALSE), 0)</f>
        <v>0</v>
      </c>
      <c r="H183">
        <f>IFERROR(VLOOKUP(Tabla1[[#This Row],[SISMED]],TblDisponibilidad[],12,FALSE), 0)</f>
        <v>0</v>
      </c>
      <c r="I183">
        <f>IFERROR(VLOOKUP(Tabla1[[#This Row],[SISMED]],TblDisponibilidad[],13,FALSE), 0)</f>
        <v>0</v>
      </c>
      <c r="J183">
        <f>IFERROR(VLOOKUP(Tabla1[[#This Row],[SISMED]],TblDisponibilidad[],14,FALSE), 0)</f>
        <v>0</v>
      </c>
      <c r="K183">
        <f>IFERROR(VLOOKUP(Tabla1[[#This Row],[SISMED]],TblDisponibilidad[],15,FALSE), 0)</f>
        <v>0</v>
      </c>
      <c r="L183">
        <f>IFERROR(VLOOKUP(Tabla1[[#This Row],[SISMED]],TblDisponibilidad[],16,FALSE), 0)</f>
        <v>0</v>
      </c>
      <c r="M183">
        <f>IFERROR(VLOOKUP(Tabla1[[#This Row],[SISMED]],TblDisponibilidad[],17,FALSE), 0)</f>
        <v>0</v>
      </c>
      <c r="N183">
        <f>IFERROR(VLOOKUP(Tabla1[[#This Row],[SISMED]],TblDisponibilidad[],18,FALSE), 0)</f>
        <v>0</v>
      </c>
      <c r="O183">
        <f>IFERROR(VLOOKUP(Tabla1[[#This Row],[SISMED]],TblDisponibilidad[],19,FALSE), 0)</f>
        <v>0</v>
      </c>
      <c r="P183">
        <f>IFERROR(VLOOKUP(Tabla1[[#This Row],[SISMED]],TblDisponibilidad[],20,FALSE), 0)</f>
        <v>0</v>
      </c>
      <c r="Q183">
        <f>IFERROR(VLOOKUP(Tabla1[[#This Row],[SISMED]],TblDisponibilidad[],21,FALSE), 0)</f>
        <v>0</v>
      </c>
      <c r="R183">
        <f>IFERROR(VLOOKUP(Tabla1[[#This Row],[SISMED]],TblDisponibilidad[],22,FALSE), 0)</f>
        <v>0</v>
      </c>
      <c r="S183" s="15">
        <f>IFERROR(VLOOKUP(Tabla1[[#This Row],[SISMED]],TblDisponibilidad[],23,FALSE), 0)</f>
        <v>0</v>
      </c>
    </row>
    <row r="184" spans="1:19" x14ac:dyDescent="0.3">
      <c r="A184" s="15" t="s">
        <v>214</v>
      </c>
      <c r="B184" t="str">
        <f>IFERROR(VLOOKUP(Tabla1[[#This Row],[SISMED]],TblDisponibilidad[],2,FALSE), "")</f>
        <v/>
      </c>
      <c r="C184">
        <f>IFERROR(VLOOKUP(Tabla1[[#This Row],[SISMED]],TblDisponibilidad[],7,FALSE), 0)</f>
        <v>0</v>
      </c>
      <c r="D184">
        <f>IFERROR(VLOOKUP(Tabla1[[#This Row],[SISMED]],TblDisponibilidad[],8,FALSE), 0)</f>
        <v>0</v>
      </c>
      <c r="E184">
        <f>IFERROR(VLOOKUP(Tabla1[[#This Row],[SISMED]],TblDisponibilidad[],9,FALSE), 0)</f>
        <v>0</v>
      </c>
      <c r="F184">
        <f>IFERROR(VLOOKUP(Tabla1[[#This Row],[SISMED]],TblDisponibilidad[],10,FALSE), 0)</f>
        <v>0</v>
      </c>
      <c r="G184">
        <f>IFERROR(VLOOKUP(Tabla1[[#This Row],[SISMED]],TblDisponibilidad[],11,FALSE), 0)</f>
        <v>0</v>
      </c>
      <c r="H184">
        <f>IFERROR(VLOOKUP(Tabla1[[#This Row],[SISMED]],TblDisponibilidad[],12,FALSE), 0)</f>
        <v>0</v>
      </c>
      <c r="I184">
        <f>IFERROR(VLOOKUP(Tabla1[[#This Row],[SISMED]],TblDisponibilidad[],13,FALSE), 0)</f>
        <v>0</v>
      </c>
      <c r="J184">
        <f>IFERROR(VLOOKUP(Tabla1[[#This Row],[SISMED]],TblDisponibilidad[],14,FALSE), 0)</f>
        <v>0</v>
      </c>
      <c r="K184">
        <f>IFERROR(VLOOKUP(Tabla1[[#This Row],[SISMED]],TblDisponibilidad[],15,FALSE), 0)</f>
        <v>0</v>
      </c>
      <c r="L184">
        <f>IFERROR(VLOOKUP(Tabla1[[#This Row],[SISMED]],TblDisponibilidad[],16,FALSE), 0)</f>
        <v>0</v>
      </c>
      <c r="M184">
        <f>IFERROR(VLOOKUP(Tabla1[[#This Row],[SISMED]],TblDisponibilidad[],17,FALSE), 0)</f>
        <v>0</v>
      </c>
      <c r="N184">
        <f>IFERROR(VLOOKUP(Tabla1[[#This Row],[SISMED]],TblDisponibilidad[],18,FALSE), 0)</f>
        <v>0</v>
      </c>
      <c r="O184">
        <f>IFERROR(VLOOKUP(Tabla1[[#This Row],[SISMED]],TblDisponibilidad[],19,FALSE), 0)</f>
        <v>0</v>
      </c>
      <c r="P184">
        <f>IFERROR(VLOOKUP(Tabla1[[#This Row],[SISMED]],TblDisponibilidad[],20,FALSE), 0)</f>
        <v>0</v>
      </c>
      <c r="Q184">
        <f>IFERROR(VLOOKUP(Tabla1[[#This Row],[SISMED]],TblDisponibilidad[],21,FALSE), 0)</f>
        <v>0</v>
      </c>
      <c r="R184">
        <f>IFERROR(VLOOKUP(Tabla1[[#This Row],[SISMED]],TblDisponibilidad[],22,FALSE), 0)</f>
        <v>0</v>
      </c>
      <c r="S184" s="15">
        <f>IFERROR(VLOOKUP(Tabla1[[#This Row],[SISMED]],TblDisponibilidad[],23,FALSE), 0)</f>
        <v>0</v>
      </c>
    </row>
    <row r="185" spans="1:19" x14ac:dyDescent="0.3">
      <c r="A185" s="15" t="s">
        <v>215</v>
      </c>
      <c r="B185" t="str">
        <f>IFERROR(VLOOKUP(Tabla1[[#This Row],[SISMED]],TblDisponibilidad[],2,FALSE), "")</f>
        <v/>
      </c>
      <c r="C185">
        <f>IFERROR(VLOOKUP(Tabla1[[#This Row],[SISMED]],TblDisponibilidad[],7,FALSE), 0)</f>
        <v>0</v>
      </c>
      <c r="D185">
        <f>IFERROR(VLOOKUP(Tabla1[[#This Row],[SISMED]],TblDisponibilidad[],8,FALSE), 0)</f>
        <v>0</v>
      </c>
      <c r="E185">
        <f>IFERROR(VLOOKUP(Tabla1[[#This Row],[SISMED]],TblDisponibilidad[],9,FALSE), 0)</f>
        <v>0</v>
      </c>
      <c r="F185">
        <f>IFERROR(VLOOKUP(Tabla1[[#This Row],[SISMED]],TblDisponibilidad[],10,FALSE), 0)</f>
        <v>0</v>
      </c>
      <c r="G185">
        <f>IFERROR(VLOOKUP(Tabla1[[#This Row],[SISMED]],TblDisponibilidad[],11,FALSE), 0)</f>
        <v>0</v>
      </c>
      <c r="H185">
        <f>IFERROR(VLOOKUP(Tabla1[[#This Row],[SISMED]],TblDisponibilidad[],12,FALSE), 0)</f>
        <v>0</v>
      </c>
      <c r="I185">
        <f>IFERROR(VLOOKUP(Tabla1[[#This Row],[SISMED]],TblDisponibilidad[],13,FALSE), 0)</f>
        <v>0</v>
      </c>
      <c r="J185">
        <f>IFERROR(VLOOKUP(Tabla1[[#This Row],[SISMED]],TblDisponibilidad[],14,FALSE), 0)</f>
        <v>0</v>
      </c>
      <c r="K185">
        <f>IFERROR(VLOOKUP(Tabla1[[#This Row],[SISMED]],TblDisponibilidad[],15,FALSE), 0)</f>
        <v>0</v>
      </c>
      <c r="L185">
        <f>IFERROR(VLOOKUP(Tabla1[[#This Row],[SISMED]],TblDisponibilidad[],16,FALSE), 0)</f>
        <v>0</v>
      </c>
      <c r="M185">
        <f>IFERROR(VLOOKUP(Tabla1[[#This Row],[SISMED]],TblDisponibilidad[],17,FALSE), 0)</f>
        <v>0</v>
      </c>
      <c r="N185">
        <f>IFERROR(VLOOKUP(Tabla1[[#This Row],[SISMED]],TblDisponibilidad[],18,FALSE), 0)</f>
        <v>0</v>
      </c>
      <c r="O185">
        <f>IFERROR(VLOOKUP(Tabla1[[#This Row],[SISMED]],TblDisponibilidad[],19,FALSE), 0)</f>
        <v>0</v>
      </c>
      <c r="P185">
        <f>IFERROR(VLOOKUP(Tabla1[[#This Row],[SISMED]],TblDisponibilidad[],20,FALSE), 0)</f>
        <v>0</v>
      </c>
      <c r="Q185">
        <f>IFERROR(VLOOKUP(Tabla1[[#This Row],[SISMED]],TblDisponibilidad[],21,FALSE), 0)</f>
        <v>0</v>
      </c>
      <c r="R185">
        <f>IFERROR(VLOOKUP(Tabla1[[#This Row],[SISMED]],TblDisponibilidad[],22,FALSE), 0)</f>
        <v>0</v>
      </c>
      <c r="S185" s="15">
        <f>IFERROR(VLOOKUP(Tabla1[[#This Row],[SISMED]],TblDisponibilidad[],23,FALSE), 0)</f>
        <v>0</v>
      </c>
    </row>
    <row r="186" spans="1:19" x14ac:dyDescent="0.3">
      <c r="A186" s="15" t="s">
        <v>216</v>
      </c>
      <c r="B186" t="str">
        <f>IFERROR(VLOOKUP(Tabla1[[#This Row],[SISMED]],TblDisponibilidad[],2,FALSE), "")</f>
        <v/>
      </c>
      <c r="C186">
        <f>IFERROR(VLOOKUP(Tabla1[[#This Row],[SISMED]],TblDisponibilidad[],7,FALSE), 0)</f>
        <v>0</v>
      </c>
      <c r="D186">
        <f>IFERROR(VLOOKUP(Tabla1[[#This Row],[SISMED]],TblDisponibilidad[],8,FALSE), 0)</f>
        <v>0</v>
      </c>
      <c r="E186">
        <f>IFERROR(VLOOKUP(Tabla1[[#This Row],[SISMED]],TblDisponibilidad[],9,FALSE), 0)</f>
        <v>0</v>
      </c>
      <c r="F186">
        <f>IFERROR(VLOOKUP(Tabla1[[#This Row],[SISMED]],TblDisponibilidad[],10,FALSE), 0)</f>
        <v>0</v>
      </c>
      <c r="G186">
        <f>IFERROR(VLOOKUP(Tabla1[[#This Row],[SISMED]],TblDisponibilidad[],11,FALSE), 0)</f>
        <v>0</v>
      </c>
      <c r="H186">
        <f>IFERROR(VLOOKUP(Tabla1[[#This Row],[SISMED]],TblDisponibilidad[],12,FALSE), 0)</f>
        <v>0</v>
      </c>
      <c r="I186">
        <f>IFERROR(VLOOKUP(Tabla1[[#This Row],[SISMED]],TblDisponibilidad[],13,FALSE), 0)</f>
        <v>0</v>
      </c>
      <c r="J186">
        <f>IFERROR(VLOOKUP(Tabla1[[#This Row],[SISMED]],TblDisponibilidad[],14,FALSE), 0)</f>
        <v>0</v>
      </c>
      <c r="K186">
        <f>IFERROR(VLOOKUP(Tabla1[[#This Row],[SISMED]],TblDisponibilidad[],15,FALSE), 0)</f>
        <v>0</v>
      </c>
      <c r="L186">
        <f>IFERROR(VLOOKUP(Tabla1[[#This Row],[SISMED]],TblDisponibilidad[],16,FALSE), 0)</f>
        <v>0</v>
      </c>
      <c r="M186">
        <f>IFERROR(VLOOKUP(Tabla1[[#This Row],[SISMED]],TblDisponibilidad[],17,FALSE), 0)</f>
        <v>0</v>
      </c>
      <c r="N186">
        <f>IFERROR(VLOOKUP(Tabla1[[#This Row],[SISMED]],TblDisponibilidad[],18,FALSE), 0)</f>
        <v>0</v>
      </c>
      <c r="O186">
        <f>IFERROR(VLOOKUP(Tabla1[[#This Row],[SISMED]],TblDisponibilidad[],19,FALSE), 0)</f>
        <v>0</v>
      </c>
      <c r="P186">
        <f>IFERROR(VLOOKUP(Tabla1[[#This Row],[SISMED]],TblDisponibilidad[],20,FALSE), 0)</f>
        <v>0</v>
      </c>
      <c r="Q186">
        <f>IFERROR(VLOOKUP(Tabla1[[#This Row],[SISMED]],TblDisponibilidad[],21,FALSE), 0)</f>
        <v>0</v>
      </c>
      <c r="R186">
        <f>IFERROR(VLOOKUP(Tabla1[[#This Row],[SISMED]],TblDisponibilidad[],22,FALSE), 0)</f>
        <v>0</v>
      </c>
      <c r="S186" s="15">
        <f>IFERROR(VLOOKUP(Tabla1[[#This Row],[SISMED]],TblDisponibilidad[],23,FALSE), 0)</f>
        <v>0</v>
      </c>
    </row>
    <row r="187" spans="1:19" x14ac:dyDescent="0.3">
      <c r="A187" s="15" t="s">
        <v>217</v>
      </c>
      <c r="B187" t="str">
        <f>IFERROR(VLOOKUP(Tabla1[[#This Row],[SISMED]],TblDisponibilidad[],2,FALSE), "")</f>
        <v/>
      </c>
      <c r="C187">
        <f>IFERROR(VLOOKUP(Tabla1[[#This Row],[SISMED]],TblDisponibilidad[],7,FALSE), 0)</f>
        <v>0</v>
      </c>
      <c r="D187">
        <f>IFERROR(VLOOKUP(Tabla1[[#This Row],[SISMED]],TblDisponibilidad[],8,FALSE), 0)</f>
        <v>0</v>
      </c>
      <c r="E187">
        <f>IFERROR(VLOOKUP(Tabla1[[#This Row],[SISMED]],TblDisponibilidad[],9,FALSE), 0)</f>
        <v>0</v>
      </c>
      <c r="F187">
        <f>IFERROR(VLOOKUP(Tabla1[[#This Row],[SISMED]],TblDisponibilidad[],10,FALSE), 0)</f>
        <v>0</v>
      </c>
      <c r="G187">
        <f>IFERROR(VLOOKUP(Tabla1[[#This Row],[SISMED]],TblDisponibilidad[],11,FALSE), 0)</f>
        <v>0</v>
      </c>
      <c r="H187">
        <f>IFERROR(VLOOKUP(Tabla1[[#This Row],[SISMED]],TblDisponibilidad[],12,FALSE), 0)</f>
        <v>0</v>
      </c>
      <c r="I187">
        <f>IFERROR(VLOOKUP(Tabla1[[#This Row],[SISMED]],TblDisponibilidad[],13,FALSE), 0)</f>
        <v>0</v>
      </c>
      <c r="J187">
        <f>IFERROR(VLOOKUP(Tabla1[[#This Row],[SISMED]],TblDisponibilidad[],14,FALSE), 0)</f>
        <v>0</v>
      </c>
      <c r="K187">
        <f>IFERROR(VLOOKUP(Tabla1[[#This Row],[SISMED]],TblDisponibilidad[],15,FALSE), 0)</f>
        <v>0</v>
      </c>
      <c r="L187">
        <f>IFERROR(VLOOKUP(Tabla1[[#This Row],[SISMED]],TblDisponibilidad[],16,FALSE), 0)</f>
        <v>0</v>
      </c>
      <c r="M187">
        <f>IFERROR(VLOOKUP(Tabla1[[#This Row],[SISMED]],TblDisponibilidad[],17,FALSE), 0)</f>
        <v>0</v>
      </c>
      <c r="N187">
        <f>IFERROR(VLOOKUP(Tabla1[[#This Row],[SISMED]],TblDisponibilidad[],18,FALSE), 0)</f>
        <v>0</v>
      </c>
      <c r="O187">
        <f>IFERROR(VLOOKUP(Tabla1[[#This Row],[SISMED]],TblDisponibilidad[],19,FALSE), 0)</f>
        <v>0</v>
      </c>
      <c r="P187">
        <f>IFERROR(VLOOKUP(Tabla1[[#This Row],[SISMED]],TblDisponibilidad[],20,FALSE), 0)</f>
        <v>0</v>
      </c>
      <c r="Q187">
        <f>IFERROR(VLOOKUP(Tabla1[[#This Row],[SISMED]],TblDisponibilidad[],21,FALSE), 0)</f>
        <v>0</v>
      </c>
      <c r="R187">
        <f>IFERROR(VLOOKUP(Tabla1[[#This Row],[SISMED]],TblDisponibilidad[],22,FALSE), 0)</f>
        <v>0</v>
      </c>
      <c r="S187" s="15">
        <f>IFERROR(VLOOKUP(Tabla1[[#This Row],[SISMED]],TblDisponibilidad[],23,FALSE), 0)</f>
        <v>0</v>
      </c>
    </row>
    <row r="188" spans="1:19" x14ac:dyDescent="0.3">
      <c r="A188" s="15" t="s">
        <v>218</v>
      </c>
      <c r="B188" t="str">
        <f>IFERROR(VLOOKUP(Tabla1[[#This Row],[SISMED]],TblDisponibilidad[],2,FALSE), "")</f>
        <v/>
      </c>
      <c r="C188">
        <f>IFERROR(VLOOKUP(Tabla1[[#This Row],[SISMED]],TblDisponibilidad[],7,FALSE), 0)</f>
        <v>0</v>
      </c>
      <c r="D188">
        <f>IFERROR(VLOOKUP(Tabla1[[#This Row],[SISMED]],TblDisponibilidad[],8,FALSE), 0)</f>
        <v>0</v>
      </c>
      <c r="E188">
        <f>IFERROR(VLOOKUP(Tabla1[[#This Row],[SISMED]],TblDisponibilidad[],9,FALSE), 0)</f>
        <v>0</v>
      </c>
      <c r="F188">
        <f>IFERROR(VLOOKUP(Tabla1[[#This Row],[SISMED]],TblDisponibilidad[],10,FALSE), 0)</f>
        <v>0</v>
      </c>
      <c r="G188">
        <f>IFERROR(VLOOKUP(Tabla1[[#This Row],[SISMED]],TblDisponibilidad[],11,FALSE), 0)</f>
        <v>0</v>
      </c>
      <c r="H188">
        <f>IFERROR(VLOOKUP(Tabla1[[#This Row],[SISMED]],TblDisponibilidad[],12,FALSE), 0)</f>
        <v>0</v>
      </c>
      <c r="I188">
        <f>IFERROR(VLOOKUP(Tabla1[[#This Row],[SISMED]],TblDisponibilidad[],13,FALSE), 0)</f>
        <v>0</v>
      </c>
      <c r="J188">
        <f>IFERROR(VLOOKUP(Tabla1[[#This Row],[SISMED]],TblDisponibilidad[],14,FALSE), 0)</f>
        <v>0</v>
      </c>
      <c r="K188">
        <f>IFERROR(VLOOKUP(Tabla1[[#This Row],[SISMED]],TblDisponibilidad[],15,FALSE), 0)</f>
        <v>0</v>
      </c>
      <c r="L188">
        <f>IFERROR(VLOOKUP(Tabla1[[#This Row],[SISMED]],TblDisponibilidad[],16,FALSE), 0)</f>
        <v>0</v>
      </c>
      <c r="M188">
        <f>IFERROR(VLOOKUP(Tabla1[[#This Row],[SISMED]],TblDisponibilidad[],17,FALSE), 0)</f>
        <v>0</v>
      </c>
      <c r="N188">
        <f>IFERROR(VLOOKUP(Tabla1[[#This Row],[SISMED]],TblDisponibilidad[],18,FALSE), 0)</f>
        <v>0</v>
      </c>
      <c r="O188">
        <f>IFERROR(VLOOKUP(Tabla1[[#This Row],[SISMED]],TblDisponibilidad[],19,FALSE), 0)</f>
        <v>0</v>
      </c>
      <c r="P188">
        <f>IFERROR(VLOOKUP(Tabla1[[#This Row],[SISMED]],TblDisponibilidad[],20,FALSE), 0)</f>
        <v>0</v>
      </c>
      <c r="Q188">
        <f>IFERROR(VLOOKUP(Tabla1[[#This Row],[SISMED]],TblDisponibilidad[],21,FALSE), 0)</f>
        <v>0</v>
      </c>
      <c r="R188">
        <f>IFERROR(VLOOKUP(Tabla1[[#This Row],[SISMED]],TblDisponibilidad[],22,FALSE), 0)</f>
        <v>0</v>
      </c>
      <c r="S188" s="15">
        <f>IFERROR(VLOOKUP(Tabla1[[#This Row],[SISMED]],TblDisponibilidad[],23,FALSE), 0)</f>
        <v>0</v>
      </c>
    </row>
    <row r="189" spans="1:19" x14ac:dyDescent="0.3">
      <c r="A189" s="15" t="s">
        <v>219</v>
      </c>
      <c r="B189" t="str">
        <f>IFERROR(VLOOKUP(Tabla1[[#This Row],[SISMED]],TblDisponibilidad[],2,FALSE), "")</f>
        <v/>
      </c>
      <c r="C189">
        <f>IFERROR(VLOOKUP(Tabla1[[#This Row],[SISMED]],TblDisponibilidad[],7,FALSE), 0)</f>
        <v>0</v>
      </c>
      <c r="D189">
        <f>IFERROR(VLOOKUP(Tabla1[[#This Row],[SISMED]],TblDisponibilidad[],8,FALSE), 0)</f>
        <v>0</v>
      </c>
      <c r="E189">
        <f>IFERROR(VLOOKUP(Tabla1[[#This Row],[SISMED]],TblDisponibilidad[],9,FALSE), 0)</f>
        <v>0</v>
      </c>
      <c r="F189">
        <f>IFERROR(VLOOKUP(Tabla1[[#This Row],[SISMED]],TblDisponibilidad[],10,FALSE), 0)</f>
        <v>0</v>
      </c>
      <c r="G189">
        <f>IFERROR(VLOOKUP(Tabla1[[#This Row],[SISMED]],TblDisponibilidad[],11,FALSE), 0)</f>
        <v>0</v>
      </c>
      <c r="H189">
        <f>IFERROR(VLOOKUP(Tabla1[[#This Row],[SISMED]],TblDisponibilidad[],12,FALSE), 0)</f>
        <v>0</v>
      </c>
      <c r="I189">
        <f>IFERROR(VLOOKUP(Tabla1[[#This Row],[SISMED]],TblDisponibilidad[],13,FALSE), 0)</f>
        <v>0</v>
      </c>
      <c r="J189">
        <f>IFERROR(VLOOKUP(Tabla1[[#This Row],[SISMED]],TblDisponibilidad[],14,FALSE), 0)</f>
        <v>0</v>
      </c>
      <c r="K189">
        <f>IFERROR(VLOOKUP(Tabla1[[#This Row],[SISMED]],TblDisponibilidad[],15,FALSE), 0)</f>
        <v>0</v>
      </c>
      <c r="L189">
        <f>IFERROR(VLOOKUP(Tabla1[[#This Row],[SISMED]],TblDisponibilidad[],16,FALSE), 0)</f>
        <v>0</v>
      </c>
      <c r="M189">
        <f>IFERROR(VLOOKUP(Tabla1[[#This Row],[SISMED]],TblDisponibilidad[],17,FALSE), 0)</f>
        <v>0</v>
      </c>
      <c r="N189">
        <f>IFERROR(VLOOKUP(Tabla1[[#This Row],[SISMED]],TblDisponibilidad[],18,FALSE), 0)</f>
        <v>0</v>
      </c>
      <c r="O189">
        <f>IFERROR(VLOOKUP(Tabla1[[#This Row],[SISMED]],TblDisponibilidad[],19,FALSE), 0)</f>
        <v>0</v>
      </c>
      <c r="P189">
        <f>IFERROR(VLOOKUP(Tabla1[[#This Row],[SISMED]],TblDisponibilidad[],20,FALSE), 0)</f>
        <v>0</v>
      </c>
      <c r="Q189">
        <f>IFERROR(VLOOKUP(Tabla1[[#This Row],[SISMED]],TblDisponibilidad[],21,FALSE), 0)</f>
        <v>0</v>
      </c>
      <c r="R189">
        <f>IFERROR(VLOOKUP(Tabla1[[#This Row],[SISMED]],TblDisponibilidad[],22,FALSE), 0)</f>
        <v>0</v>
      </c>
      <c r="S189" s="15">
        <f>IFERROR(VLOOKUP(Tabla1[[#This Row],[SISMED]],TblDisponibilidad[],23,FALSE), 0)</f>
        <v>0</v>
      </c>
    </row>
    <row r="190" spans="1:19" x14ac:dyDescent="0.3">
      <c r="A190" s="15" t="s">
        <v>220</v>
      </c>
      <c r="B190" t="str">
        <f>IFERROR(VLOOKUP(Tabla1[[#This Row],[SISMED]],TblDisponibilidad[],2,FALSE), "")</f>
        <v/>
      </c>
      <c r="C190">
        <f>IFERROR(VLOOKUP(Tabla1[[#This Row],[SISMED]],TblDisponibilidad[],7,FALSE), 0)</f>
        <v>0</v>
      </c>
      <c r="D190">
        <f>IFERROR(VLOOKUP(Tabla1[[#This Row],[SISMED]],TblDisponibilidad[],8,FALSE), 0)</f>
        <v>0</v>
      </c>
      <c r="E190">
        <f>IFERROR(VLOOKUP(Tabla1[[#This Row],[SISMED]],TblDisponibilidad[],9,FALSE), 0)</f>
        <v>0</v>
      </c>
      <c r="F190">
        <f>IFERROR(VLOOKUP(Tabla1[[#This Row],[SISMED]],TblDisponibilidad[],10,FALSE), 0)</f>
        <v>0</v>
      </c>
      <c r="G190">
        <f>IFERROR(VLOOKUP(Tabla1[[#This Row],[SISMED]],TblDisponibilidad[],11,FALSE), 0)</f>
        <v>0</v>
      </c>
      <c r="H190">
        <f>IFERROR(VLOOKUP(Tabla1[[#This Row],[SISMED]],TblDisponibilidad[],12,FALSE), 0)</f>
        <v>0</v>
      </c>
      <c r="I190">
        <f>IFERROR(VLOOKUP(Tabla1[[#This Row],[SISMED]],TblDisponibilidad[],13,FALSE), 0)</f>
        <v>0</v>
      </c>
      <c r="J190">
        <f>IFERROR(VLOOKUP(Tabla1[[#This Row],[SISMED]],TblDisponibilidad[],14,FALSE), 0)</f>
        <v>0</v>
      </c>
      <c r="K190">
        <f>IFERROR(VLOOKUP(Tabla1[[#This Row],[SISMED]],TblDisponibilidad[],15,FALSE), 0)</f>
        <v>0</v>
      </c>
      <c r="L190">
        <f>IFERROR(VLOOKUP(Tabla1[[#This Row],[SISMED]],TblDisponibilidad[],16,FALSE), 0)</f>
        <v>0</v>
      </c>
      <c r="M190">
        <f>IFERROR(VLOOKUP(Tabla1[[#This Row],[SISMED]],TblDisponibilidad[],17,FALSE), 0)</f>
        <v>0</v>
      </c>
      <c r="N190">
        <f>IFERROR(VLOOKUP(Tabla1[[#This Row],[SISMED]],TblDisponibilidad[],18,FALSE), 0)</f>
        <v>0</v>
      </c>
      <c r="O190">
        <f>IFERROR(VLOOKUP(Tabla1[[#This Row],[SISMED]],TblDisponibilidad[],19,FALSE), 0)</f>
        <v>0</v>
      </c>
      <c r="P190">
        <f>IFERROR(VLOOKUP(Tabla1[[#This Row],[SISMED]],TblDisponibilidad[],20,FALSE), 0)</f>
        <v>0</v>
      </c>
      <c r="Q190">
        <f>IFERROR(VLOOKUP(Tabla1[[#This Row],[SISMED]],TblDisponibilidad[],21,FALSE), 0)</f>
        <v>0</v>
      </c>
      <c r="R190">
        <f>IFERROR(VLOOKUP(Tabla1[[#This Row],[SISMED]],TblDisponibilidad[],22,FALSE), 0)</f>
        <v>0</v>
      </c>
      <c r="S190" s="15">
        <f>IFERROR(VLOOKUP(Tabla1[[#This Row],[SISMED]],TblDisponibilidad[],23,FALSE), 0)</f>
        <v>0</v>
      </c>
    </row>
    <row r="191" spans="1:19" x14ac:dyDescent="0.3">
      <c r="A191" s="15" t="s">
        <v>221</v>
      </c>
      <c r="B191" t="str">
        <f>IFERROR(VLOOKUP(Tabla1[[#This Row],[SISMED]],TblDisponibilidad[],2,FALSE), "")</f>
        <v/>
      </c>
      <c r="C191">
        <f>IFERROR(VLOOKUP(Tabla1[[#This Row],[SISMED]],TblDisponibilidad[],7,FALSE), 0)</f>
        <v>0</v>
      </c>
      <c r="D191">
        <f>IFERROR(VLOOKUP(Tabla1[[#This Row],[SISMED]],TblDisponibilidad[],8,FALSE), 0)</f>
        <v>0</v>
      </c>
      <c r="E191">
        <f>IFERROR(VLOOKUP(Tabla1[[#This Row],[SISMED]],TblDisponibilidad[],9,FALSE), 0)</f>
        <v>0</v>
      </c>
      <c r="F191">
        <f>IFERROR(VLOOKUP(Tabla1[[#This Row],[SISMED]],TblDisponibilidad[],10,FALSE), 0)</f>
        <v>0</v>
      </c>
      <c r="G191">
        <f>IFERROR(VLOOKUP(Tabla1[[#This Row],[SISMED]],TblDisponibilidad[],11,FALSE), 0)</f>
        <v>0</v>
      </c>
      <c r="H191">
        <f>IFERROR(VLOOKUP(Tabla1[[#This Row],[SISMED]],TblDisponibilidad[],12,FALSE), 0)</f>
        <v>0</v>
      </c>
      <c r="I191">
        <f>IFERROR(VLOOKUP(Tabla1[[#This Row],[SISMED]],TblDisponibilidad[],13,FALSE), 0)</f>
        <v>0</v>
      </c>
      <c r="J191">
        <f>IFERROR(VLOOKUP(Tabla1[[#This Row],[SISMED]],TblDisponibilidad[],14,FALSE), 0)</f>
        <v>0</v>
      </c>
      <c r="K191">
        <f>IFERROR(VLOOKUP(Tabla1[[#This Row],[SISMED]],TblDisponibilidad[],15,FALSE), 0)</f>
        <v>0</v>
      </c>
      <c r="L191">
        <f>IFERROR(VLOOKUP(Tabla1[[#This Row],[SISMED]],TblDisponibilidad[],16,FALSE), 0)</f>
        <v>0</v>
      </c>
      <c r="M191">
        <f>IFERROR(VLOOKUP(Tabla1[[#This Row],[SISMED]],TblDisponibilidad[],17,FALSE), 0)</f>
        <v>0</v>
      </c>
      <c r="N191">
        <f>IFERROR(VLOOKUP(Tabla1[[#This Row],[SISMED]],TblDisponibilidad[],18,FALSE), 0)</f>
        <v>0</v>
      </c>
      <c r="O191">
        <f>IFERROR(VLOOKUP(Tabla1[[#This Row],[SISMED]],TblDisponibilidad[],19,FALSE), 0)</f>
        <v>0</v>
      </c>
      <c r="P191">
        <f>IFERROR(VLOOKUP(Tabla1[[#This Row],[SISMED]],TblDisponibilidad[],20,FALSE), 0)</f>
        <v>0</v>
      </c>
      <c r="Q191">
        <f>IFERROR(VLOOKUP(Tabla1[[#This Row],[SISMED]],TblDisponibilidad[],21,FALSE), 0)</f>
        <v>0</v>
      </c>
      <c r="R191">
        <f>IFERROR(VLOOKUP(Tabla1[[#This Row],[SISMED]],TblDisponibilidad[],22,FALSE), 0)</f>
        <v>0</v>
      </c>
      <c r="S191" s="15">
        <f>IFERROR(VLOOKUP(Tabla1[[#This Row],[SISMED]],TblDisponibilidad[],23,FALSE), 0)</f>
        <v>0</v>
      </c>
    </row>
    <row r="192" spans="1:19" x14ac:dyDescent="0.3">
      <c r="A192" s="15" t="s">
        <v>222</v>
      </c>
      <c r="B192" t="str">
        <f>IFERROR(VLOOKUP(Tabla1[[#This Row],[SISMED]],TblDisponibilidad[],2,FALSE), "")</f>
        <v/>
      </c>
      <c r="C192">
        <f>IFERROR(VLOOKUP(Tabla1[[#This Row],[SISMED]],TblDisponibilidad[],7,FALSE), 0)</f>
        <v>0</v>
      </c>
      <c r="D192">
        <f>IFERROR(VLOOKUP(Tabla1[[#This Row],[SISMED]],TblDisponibilidad[],8,FALSE), 0)</f>
        <v>0</v>
      </c>
      <c r="E192">
        <f>IFERROR(VLOOKUP(Tabla1[[#This Row],[SISMED]],TblDisponibilidad[],9,FALSE), 0)</f>
        <v>0</v>
      </c>
      <c r="F192">
        <f>IFERROR(VLOOKUP(Tabla1[[#This Row],[SISMED]],TblDisponibilidad[],10,FALSE), 0)</f>
        <v>0</v>
      </c>
      <c r="G192">
        <f>IFERROR(VLOOKUP(Tabla1[[#This Row],[SISMED]],TblDisponibilidad[],11,FALSE), 0)</f>
        <v>0</v>
      </c>
      <c r="H192">
        <f>IFERROR(VLOOKUP(Tabla1[[#This Row],[SISMED]],TblDisponibilidad[],12,FALSE), 0)</f>
        <v>0</v>
      </c>
      <c r="I192">
        <f>IFERROR(VLOOKUP(Tabla1[[#This Row],[SISMED]],TblDisponibilidad[],13,FALSE), 0)</f>
        <v>0</v>
      </c>
      <c r="J192">
        <f>IFERROR(VLOOKUP(Tabla1[[#This Row],[SISMED]],TblDisponibilidad[],14,FALSE), 0)</f>
        <v>0</v>
      </c>
      <c r="K192">
        <f>IFERROR(VLOOKUP(Tabla1[[#This Row],[SISMED]],TblDisponibilidad[],15,FALSE), 0)</f>
        <v>0</v>
      </c>
      <c r="L192">
        <f>IFERROR(VLOOKUP(Tabla1[[#This Row],[SISMED]],TblDisponibilidad[],16,FALSE), 0)</f>
        <v>0</v>
      </c>
      <c r="M192">
        <f>IFERROR(VLOOKUP(Tabla1[[#This Row],[SISMED]],TblDisponibilidad[],17,FALSE), 0)</f>
        <v>0</v>
      </c>
      <c r="N192">
        <f>IFERROR(VLOOKUP(Tabla1[[#This Row],[SISMED]],TblDisponibilidad[],18,FALSE), 0)</f>
        <v>0</v>
      </c>
      <c r="O192">
        <f>IFERROR(VLOOKUP(Tabla1[[#This Row],[SISMED]],TblDisponibilidad[],19,FALSE), 0)</f>
        <v>0</v>
      </c>
      <c r="P192">
        <f>IFERROR(VLOOKUP(Tabla1[[#This Row],[SISMED]],TblDisponibilidad[],20,FALSE), 0)</f>
        <v>0</v>
      </c>
      <c r="Q192">
        <f>IFERROR(VLOOKUP(Tabla1[[#This Row],[SISMED]],TblDisponibilidad[],21,FALSE), 0)</f>
        <v>0</v>
      </c>
      <c r="R192">
        <f>IFERROR(VLOOKUP(Tabla1[[#This Row],[SISMED]],TblDisponibilidad[],22,FALSE), 0)</f>
        <v>0</v>
      </c>
      <c r="S192" s="15">
        <f>IFERROR(VLOOKUP(Tabla1[[#This Row],[SISMED]],TblDisponibilidad[],23,FALSE), 0)</f>
        <v>0</v>
      </c>
    </row>
    <row r="193" spans="1:19" x14ac:dyDescent="0.3">
      <c r="A193" s="15" t="s">
        <v>223</v>
      </c>
      <c r="B193" t="str">
        <f>IFERROR(VLOOKUP(Tabla1[[#This Row],[SISMED]],TblDisponibilidad[],2,FALSE), "")</f>
        <v/>
      </c>
      <c r="C193">
        <f>IFERROR(VLOOKUP(Tabla1[[#This Row],[SISMED]],TblDisponibilidad[],7,FALSE), 0)</f>
        <v>0</v>
      </c>
      <c r="D193">
        <f>IFERROR(VLOOKUP(Tabla1[[#This Row],[SISMED]],TblDisponibilidad[],8,FALSE), 0)</f>
        <v>0</v>
      </c>
      <c r="E193">
        <f>IFERROR(VLOOKUP(Tabla1[[#This Row],[SISMED]],TblDisponibilidad[],9,FALSE), 0)</f>
        <v>0</v>
      </c>
      <c r="F193">
        <f>IFERROR(VLOOKUP(Tabla1[[#This Row],[SISMED]],TblDisponibilidad[],10,FALSE), 0)</f>
        <v>0</v>
      </c>
      <c r="G193">
        <f>IFERROR(VLOOKUP(Tabla1[[#This Row],[SISMED]],TblDisponibilidad[],11,FALSE), 0)</f>
        <v>0</v>
      </c>
      <c r="H193">
        <f>IFERROR(VLOOKUP(Tabla1[[#This Row],[SISMED]],TblDisponibilidad[],12,FALSE), 0)</f>
        <v>0</v>
      </c>
      <c r="I193">
        <f>IFERROR(VLOOKUP(Tabla1[[#This Row],[SISMED]],TblDisponibilidad[],13,FALSE), 0)</f>
        <v>0</v>
      </c>
      <c r="J193">
        <f>IFERROR(VLOOKUP(Tabla1[[#This Row],[SISMED]],TblDisponibilidad[],14,FALSE), 0)</f>
        <v>0</v>
      </c>
      <c r="K193">
        <f>IFERROR(VLOOKUP(Tabla1[[#This Row],[SISMED]],TblDisponibilidad[],15,FALSE), 0)</f>
        <v>0</v>
      </c>
      <c r="L193">
        <f>IFERROR(VLOOKUP(Tabla1[[#This Row],[SISMED]],TblDisponibilidad[],16,FALSE), 0)</f>
        <v>0</v>
      </c>
      <c r="M193">
        <f>IFERROR(VLOOKUP(Tabla1[[#This Row],[SISMED]],TblDisponibilidad[],17,FALSE), 0)</f>
        <v>0</v>
      </c>
      <c r="N193">
        <f>IFERROR(VLOOKUP(Tabla1[[#This Row],[SISMED]],TblDisponibilidad[],18,FALSE), 0)</f>
        <v>0</v>
      </c>
      <c r="O193">
        <f>IFERROR(VLOOKUP(Tabla1[[#This Row],[SISMED]],TblDisponibilidad[],19,FALSE), 0)</f>
        <v>0</v>
      </c>
      <c r="P193">
        <f>IFERROR(VLOOKUP(Tabla1[[#This Row],[SISMED]],TblDisponibilidad[],20,FALSE), 0)</f>
        <v>0</v>
      </c>
      <c r="Q193">
        <f>IFERROR(VLOOKUP(Tabla1[[#This Row],[SISMED]],TblDisponibilidad[],21,FALSE), 0)</f>
        <v>0</v>
      </c>
      <c r="R193">
        <f>IFERROR(VLOOKUP(Tabla1[[#This Row],[SISMED]],TblDisponibilidad[],22,FALSE), 0)</f>
        <v>0</v>
      </c>
      <c r="S193" s="15">
        <f>IFERROR(VLOOKUP(Tabla1[[#This Row],[SISMED]],TblDisponibilidad[],23,FALSE), 0)</f>
        <v>0</v>
      </c>
    </row>
    <row r="194" spans="1:19" x14ac:dyDescent="0.3">
      <c r="A194" s="15" t="s">
        <v>224</v>
      </c>
      <c r="B194" t="str">
        <f>IFERROR(VLOOKUP(Tabla1[[#This Row],[SISMED]],TblDisponibilidad[],2,FALSE), "")</f>
        <v/>
      </c>
      <c r="C194">
        <f>IFERROR(VLOOKUP(Tabla1[[#This Row],[SISMED]],TblDisponibilidad[],7,FALSE), 0)</f>
        <v>0</v>
      </c>
      <c r="D194">
        <f>IFERROR(VLOOKUP(Tabla1[[#This Row],[SISMED]],TblDisponibilidad[],8,FALSE), 0)</f>
        <v>0</v>
      </c>
      <c r="E194">
        <f>IFERROR(VLOOKUP(Tabla1[[#This Row],[SISMED]],TblDisponibilidad[],9,FALSE), 0)</f>
        <v>0</v>
      </c>
      <c r="F194">
        <f>IFERROR(VLOOKUP(Tabla1[[#This Row],[SISMED]],TblDisponibilidad[],10,FALSE), 0)</f>
        <v>0</v>
      </c>
      <c r="G194">
        <f>IFERROR(VLOOKUP(Tabla1[[#This Row],[SISMED]],TblDisponibilidad[],11,FALSE), 0)</f>
        <v>0</v>
      </c>
      <c r="H194">
        <f>IFERROR(VLOOKUP(Tabla1[[#This Row],[SISMED]],TblDisponibilidad[],12,FALSE), 0)</f>
        <v>0</v>
      </c>
      <c r="I194">
        <f>IFERROR(VLOOKUP(Tabla1[[#This Row],[SISMED]],TblDisponibilidad[],13,FALSE), 0)</f>
        <v>0</v>
      </c>
      <c r="J194">
        <f>IFERROR(VLOOKUP(Tabla1[[#This Row],[SISMED]],TblDisponibilidad[],14,FALSE), 0)</f>
        <v>0</v>
      </c>
      <c r="K194">
        <f>IFERROR(VLOOKUP(Tabla1[[#This Row],[SISMED]],TblDisponibilidad[],15,FALSE), 0)</f>
        <v>0</v>
      </c>
      <c r="L194">
        <f>IFERROR(VLOOKUP(Tabla1[[#This Row],[SISMED]],TblDisponibilidad[],16,FALSE), 0)</f>
        <v>0</v>
      </c>
      <c r="M194">
        <f>IFERROR(VLOOKUP(Tabla1[[#This Row],[SISMED]],TblDisponibilidad[],17,FALSE), 0)</f>
        <v>0</v>
      </c>
      <c r="N194">
        <f>IFERROR(VLOOKUP(Tabla1[[#This Row],[SISMED]],TblDisponibilidad[],18,FALSE), 0)</f>
        <v>0</v>
      </c>
      <c r="O194">
        <f>IFERROR(VLOOKUP(Tabla1[[#This Row],[SISMED]],TblDisponibilidad[],19,FALSE), 0)</f>
        <v>0</v>
      </c>
      <c r="P194">
        <f>IFERROR(VLOOKUP(Tabla1[[#This Row],[SISMED]],TblDisponibilidad[],20,FALSE), 0)</f>
        <v>0</v>
      </c>
      <c r="Q194">
        <f>IFERROR(VLOOKUP(Tabla1[[#This Row],[SISMED]],TblDisponibilidad[],21,FALSE), 0)</f>
        <v>0</v>
      </c>
      <c r="R194">
        <f>IFERROR(VLOOKUP(Tabla1[[#This Row],[SISMED]],TblDisponibilidad[],22,FALSE), 0)</f>
        <v>0</v>
      </c>
      <c r="S194" s="15">
        <f>IFERROR(VLOOKUP(Tabla1[[#This Row],[SISMED]],TblDisponibilidad[],23,FALSE), 0)</f>
        <v>0</v>
      </c>
    </row>
    <row r="195" spans="1:19" x14ac:dyDescent="0.3">
      <c r="A195" s="15" t="s">
        <v>225</v>
      </c>
      <c r="B195" t="str">
        <f>IFERROR(VLOOKUP(Tabla1[[#This Row],[SISMED]],TblDisponibilidad[],2,FALSE), "")</f>
        <v/>
      </c>
      <c r="C195">
        <f>IFERROR(VLOOKUP(Tabla1[[#This Row],[SISMED]],TblDisponibilidad[],7,FALSE), 0)</f>
        <v>0</v>
      </c>
      <c r="D195">
        <f>IFERROR(VLOOKUP(Tabla1[[#This Row],[SISMED]],TblDisponibilidad[],8,FALSE), 0)</f>
        <v>0</v>
      </c>
      <c r="E195">
        <f>IFERROR(VLOOKUP(Tabla1[[#This Row],[SISMED]],TblDisponibilidad[],9,FALSE), 0)</f>
        <v>0</v>
      </c>
      <c r="F195">
        <f>IFERROR(VLOOKUP(Tabla1[[#This Row],[SISMED]],TblDisponibilidad[],10,FALSE), 0)</f>
        <v>0</v>
      </c>
      <c r="G195">
        <f>IFERROR(VLOOKUP(Tabla1[[#This Row],[SISMED]],TblDisponibilidad[],11,FALSE), 0)</f>
        <v>0</v>
      </c>
      <c r="H195">
        <f>IFERROR(VLOOKUP(Tabla1[[#This Row],[SISMED]],TblDisponibilidad[],12,FALSE), 0)</f>
        <v>0</v>
      </c>
      <c r="I195">
        <f>IFERROR(VLOOKUP(Tabla1[[#This Row],[SISMED]],TblDisponibilidad[],13,FALSE), 0)</f>
        <v>0</v>
      </c>
      <c r="J195">
        <f>IFERROR(VLOOKUP(Tabla1[[#This Row],[SISMED]],TblDisponibilidad[],14,FALSE), 0)</f>
        <v>0</v>
      </c>
      <c r="K195">
        <f>IFERROR(VLOOKUP(Tabla1[[#This Row],[SISMED]],TblDisponibilidad[],15,FALSE), 0)</f>
        <v>0</v>
      </c>
      <c r="L195">
        <f>IFERROR(VLOOKUP(Tabla1[[#This Row],[SISMED]],TblDisponibilidad[],16,FALSE), 0)</f>
        <v>0</v>
      </c>
      <c r="M195">
        <f>IFERROR(VLOOKUP(Tabla1[[#This Row],[SISMED]],TblDisponibilidad[],17,FALSE), 0)</f>
        <v>0</v>
      </c>
      <c r="N195">
        <f>IFERROR(VLOOKUP(Tabla1[[#This Row],[SISMED]],TblDisponibilidad[],18,FALSE), 0)</f>
        <v>0</v>
      </c>
      <c r="O195">
        <f>IFERROR(VLOOKUP(Tabla1[[#This Row],[SISMED]],TblDisponibilidad[],19,FALSE), 0)</f>
        <v>0</v>
      </c>
      <c r="P195">
        <f>IFERROR(VLOOKUP(Tabla1[[#This Row],[SISMED]],TblDisponibilidad[],20,FALSE), 0)</f>
        <v>0</v>
      </c>
      <c r="Q195">
        <f>IFERROR(VLOOKUP(Tabla1[[#This Row],[SISMED]],TblDisponibilidad[],21,FALSE), 0)</f>
        <v>0</v>
      </c>
      <c r="R195">
        <f>IFERROR(VLOOKUP(Tabla1[[#This Row],[SISMED]],TblDisponibilidad[],22,FALSE), 0)</f>
        <v>0</v>
      </c>
      <c r="S195" s="15">
        <f>IFERROR(VLOOKUP(Tabla1[[#This Row],[SISMED]],TblDisponibilidad[],23,FALSE), 0)</f>
        <v>0</v>
      </c>
    </row>
    <row r="196" spans="1:19" x14ac:dyDescent="0.3">
      <c r="A196" s="15" t="s">
        <v>226</v>
      </c>
      <c r="B196" t="str">
        <f>IFERROR(VLOOKUP(Tabla1[[#This Row],[SISMED]],TblDisponibilidad[],2,FALSE), "")</f>
        <v/>
      </c>
      <c r="C196">
        <f>IFERROR(VLOOKUP(Tabla1[[#This Row],[SISMED]],TblDisponibilidad[],7,FALSE), 0)</f>
        <v>0</v>
      </c>
      <c r="D196">
        <f>IFERROR(VLOOKUP(Tabla1[[#This Row],[SISMED]],TblDisponibilidad[],8,FALSE), 0)</f>
        <v>0</v>
      </c>
      <c r="E196">
        <f>IFERROR(VLOOKUP(Tabla1[[#This Row],[SISMED]],TblDisponibilidad[],9,FALSE), 0)</f>
        <v>0</v>
      </c>
      <c r="F196">
        <f>IFERROR(VLOOKUP(Tabla1[[#This Row],[SISMED]],TblDisponibilidad[],10,FALSE), 0)</f>
        <v>0</v>
      </c>
      <c r="G196">
        <f>IFERROR(VLOOKUP(Tabla1[[#This Row],[SISMED]],TblDisponibilidad[],11,FALSE), 0)</f>
        <v>0</v>
      </c>
      <c r="H196">
        <f>IFERROR(VLOOKUP(Tabla1[[#This Row],[SISMED]],TblDisponibilidad[],12,FALSE), 0)</f>
        <v>0</v>
      </c>
      <c r="I196">
        <f>IFERROR(VLOOKUP(Tabla1[[#This Row],[SISMED]],TblDisponibilidad[],13,FALSE), 0)</f>
        <v>0</v>
      </c>
      <c r="J196">
        <f>IFERROR(VLOOKUP(Tabla1[[#This Row],[SISMED]],TblDisponibilidad[],14,FALSE), 0)</f>
        <v>0</v>
      </c>
      <c r="K196">
        <f>IFERROR(VLOOKUP(Tabla1[[#This Row],[SISMED]],TblDisponibilidad[],15,FALSE), 0)</f>
        <v>0</v>
      </c>
      <c r="L196">
        <f>IFERROR(VLOOKUP(Tabla1[[#This Row],[SISMED]],TblDisponibilidad[],16,FALSE), 0)</f>
        <v>0</v>
      </c>
      <c r="M196">
        <f>IFERROR(VLOOKUP(Tabla1[[#This Row],[SISMED]],TblDisponibilidad[],17,FALSE), 0)</f>
        <v>0</v>
      </c>
      <c r="N196">
        <f>IFERROR(VLOOKUP(Tabla1[[#This Row],[SISMED]],TblDisponibilidad[],18,FALSE), 0)</f>
        <v>0</v>
      </c>
      <c r="O196">
        <f>IFERROR(VLOOKUP(Tabla1[[#This Row],[SISMED]],TblDisponibilidad[],19,FALSE), 0)</f>
        <v>0</v>
      </c>
      <c r="P196">
        <f>IFERROR(VLOOKUP(Tabla1[[#This Row],[SISMED]],TblDisponibilidad[],20,FALSE), 0)</f>
        <v>0</v>
      </c>
      <c r="Q196">
        <f>IFERROR(VLOOKUP(Tabla1[[#This Row],[SISMED]],TblDisponibilidad[],21,FALSE), 0)</f>
        <v>0</v>
      </c>
      <c r="R196">
        <f>IFERROR(VLOOKUP(Tabla1[[#This Row],[SISMED]],TblDisponibilidad[],22,FALSE), 0)</f>
        <v>0</v>
      </c>
      <c r="S196" s="15">
        <f>IFERROR(VLOOKUP(Tabla1[[#This Row],[SISMED]],TblDisponibilidad[],23,FALSE), 0)</f>
        <v>0</v>
      </c>
    </row>
    <row r="197" spans="1:19" x14ac:dyDescent="0.3">
      <c r="A197" s="15" t="s">
        <v>227</v>
      </c>
      <c r="B197" t="str">
        <f>IFERROR(VLOOKUP(Tabla1[[#This Row],[SISMED]],TblDisponibilidad[],2,FALSE), "")</f>
        <v/>
      </c>
      <c r="C197">
        <f>IFERROR(VLOOKUP(Tabla1[[#This Row],[SISMED]],TblDisponibilidad[],7,FALSE), 0)</f>
        <v>0</v>
      </c>
      <c r="D197">
        <f>IFERROR(VLOOKUP(Tabla1[[#This Row],[SISMED]],TblDisponibilidad[],8,FALSE), 0)</f>
        <v>0</v>
      </c>
      <c r="E197">
        <f>IFERROR(VLOOKUP(Tabla1[[#This Row],[SISMED]],TblDisponibilidad[],9,FALSE), 0)</f>
        <v>0</v>
      </c>
      <c r="F197">
        <f>IFERROR(VLOOKUP(Tabla1[[#This Row],[SISMED]],TblDisponibilidad[],10,FALSE), 0)</f>
        <v>0</v>
      </c>
      <c r="G197">
        <f>IFERROR(VLOOKUP(Tabla1[[#This Row],[SISMED]],TblDisponibilidad[],11,FALSE), 0)</f>
        <v>0</v>
      </c>
      <c r="H197">
        <f>IFERROR(VLOOKUP(Tabla1[[#This Row],[SISMED]],TblDisponibilidad[],12,FALSE), 0)</f>
        <v>0</v>
      </c>
      <c r="I197">
        <f>IFERROR(VLOOKUP(Tabla1[[#This Row],[SISMED]],TblDisponibilidad[],13,FALSE), 0)</f>
        <v>0</v>
      </c>
      <c r="J197">
        <f>IFERROR(VLOOKUP(Tabla1[[#This Row],[SISMED]],TblDisponibilidad[],14,FALSE), 0)</f>
        <v>0</v>
      </c>
      <c r="K197">
        <f>IFERROR(VLOOKUP(Tabla1[[#This Row],[SISMED]],TblDisponibilidad[],15,FALSE), 0)</f>
        <v>0</v>
      </c>
      <c r="L197">
        <f>IFERROR(VLOOKUP(Tabla1[[#This Row],[SISMED]],TblDisponibilidad[],16,FALSE), 0)</f>
        <v>0</v>
      </c>
      <c r="M197">
        <f>IFERROR(VLOOKUP(Tabla1[[#This Row],[SISMED]],TblDisponibilidad[],17,FALSE), 0)</f>
        <v>0</v>
      </c>
      <c r="N197">
        <f>IFERROR(VLOOKUP(Tabla1[[#This Row],[SISMED]],TblDisponibilidad[],18,FALSE), 0)</f>
        <v>0</v>
      </c>
      <c r="O197">
        <f>IFERROR(VLOOKUP(Tabla1[[#This Row],[SISMED]],TblDisponibilidad[],19,FALSE), 0)</f>
        <v>0</v>
      </c>
      <c r="P197">
        <f>IFERROR(VLOOKUP(Tabla1[[#This Row],[SISMED]],TblDisponibilidad[],20,FALSE), 0)</f>
        <v>0</v>
      </c>
      <c r="Q197">
        <f>IFERROR(VLOOKUP(Tabla1[[#This Row],[SISMED]],TblDisponibilidad[],21,FALSE), 0)</f>
        <v>0</v>
      </c>
      <c r="R197">
        <f>IFERROR(VLOOKUP(Tabla1[[#This Row],[SISMED]],TblDisponibilidad[],22,FALSE), 0)</f>
        <v>0</v>
      </c>
      <c r="S197" s="15">
        <f>IFERROR(VLOOKUP(Tabla1[[#This Row],[SISMED]],TblDisponibilidad[],23,FALSE), 0)</f>
        <v>0</v>
      </c>
    </row>
    <row r="198" spans="1:19" x14ac:dyDescent="0.3">
      <c r="A198" s="15" t="s">
        <v>228</v>
      </c>
      <c r="B198" t="str">
        <f>IFERROR(VLOOKUP(Tabla1[[#This Row],[SISMED]],TblDisponibilidad[],2,FALSE), "")</f>
        <v/>
      </c>
      <c r="C198">
        <f>IFERROR(VLOOKUP(Tabla1[[#This Row],[SISMED]],TblDisponibilidad[],7,FALSE), 0)</f>
        <v>0</v>
      </c>
      <c r="D198">
        <f>IFERROR(VLOOKUP(Tabla1[[#This Row],[SISMED]],TblDisponibilidad[],8,FALSE), 0)</f>
        <v>0</v>
      </c>
      <c r="E198">
        <f>IFERROR(VLOOKUP(Tabla1[[#This Row],[SISMED]],TblDisponibilidad[],9,FALSE), 0)</f>
        <v>0</v>
      </c>
      <c r="F198">
        <f>IFERROR(VLOOKUP(Tabla1[[#This Row],[SISMED]],TblDisponibilidad[],10,FALSE), 0)</f>
        <v>0</v>
      </c>
      <c r="G198">
        <f>IFERROR(VLOOKUP(Tabla1[[#This Row],[SISMED]],TblDisponibilidad[],11,FALSE), 0)</f>
        <v>0</v>
      </c>
      <c r="H198">
        <f>IFERROR(VLOOKUP(Tabla1[[#This Row],[SISMED]],TblDisponibilidad[],12,FALSE), 0)</f>
        <v>0</v>
      </c>
      <c r="I198">
        <f>IFERROR(VLOOKUP(Tabla1[[#This Row],[SISMED]],TblDisponibilidad[],13,FALSE), 0)</f>
        <v>0</v>
      </c>
      <c r="J198">
        <f>IFERROR(VLOOKUP(Tabla1[[#This Row],[SISMED]],TblDisponibilidad[],14,FALSE), 0)</f>
        <v>0</v>
      </c>
      <c r="K198">
        <f>IFERROR(VLOOKUP(Tabla1[[#This Row],[SISMED]],TblDisponibilidad[],15,FALSE), 0)</f>
        <v>0</v>
      </c>
      <c r="L198">
        <f>IFERROR(VLOOKUP(Tabla1[[#This Row],[SISMED]],TblDisponibilidad[],16,FALSE), 0)</f>
        <v>0</v>
      </c>
      <c r="M198">
        <f>IFERROR(VLOOKUP(Tabla1[[#This Row],[SISMED]],TblDisponibilidad[],17,FALSE), 0)</f>
        <v>0</v>
      </c>
      <c r="N198">
        <f>IFERROR(VLOOKUP(Tabla1[[#This Row],[SISMED]],TblDisponibilidad[],18,FALSE), 0)</f>
        <v>0</v>
      </c>
      <c r="O198">
        <f>IFERROR(VLOOKUP(Tabla1[[#This Row],[SISMED]],TblDisponibilidad[],19,FALSE), 0)</f>
        <v>0</v>
      </c>
      <c r="P198">
        <f>IFERROR(VLOOKUP(Tabla1[[#This Row],[SISMED]],TblDisponibilidad[],20,FALSE), 0)</f>
        <v>0</v>
      </c>
      <c r="Q198">
        <f>IFERROR(VLOOKUP(Tabla1[[#This Row],[SISMED]],TblDisponibilidad[],21,FALSE), 0)</f>
        <v>0</v>
      </c>
      <c r="R198">
        <f>IFERROR(VLOOKUP(Tabla1[[#This Row],[SISMED]],TblDisponibilidad[],22,FALSE), 0)</f>
        <v>0</v>
      </c>
      <c r="S198" s="15">
        <f>IFERROR(VLOOKUP(Tabla1[[#This Row],[SISMED]],TblDisponibilidad[],23,FALSE), 0)</f>
        <v>0</v>
      </c>
    </row>
    <row r="199" spans="1:19" x14ac:dyDescent="0.3">
      <c r="A199" s="15" t="s">
        <v>229</v>
      </c>
      <c r="B199" t="str">
        <f>IFERROR(VLOOKUP(Tabla1[[#This Row],[SISMED]],TblDisponibilidad[],2,FALSE), "")</f>
        <v/>
      </c>
      <c r="C199">
        <f>IFERROR(VLOOKUP(Tabla1[[#This Row],[SISMED]],TblDisponibilidad[],7,FALSE), 0)</f>
        <v>0</v>
      </c>
      <c r="D199">
        <f>IFERROR(VLOOKUP(Tabla1[[#This Row],[SISMED]],TblDisponibilidad[],8,FALSE), 0)</f>
        <v>0</v>
      </c>
      <c r="E199">
        <f>IFERROR(VLOOKUP(Tabla1[[#This Row],[SISMED]],TblDisponibilidad[],9,FALSE), 0)</f>
        <v>0</v>
      </c>
      <c r="F199">
        <f>IFERROR(VLOOKUP(Tabla1[[#This Row],[SISMED]],TblDisponibilidad[],10,FALSE), 0)</f>
        <v>0</v>
      </c>
      <c r="G199">
        <f>IFERROR(VLOOKUP(Tabla1[[#This Row],[SISMED]],TblDisponibilidad[],11,FALSE), 0)</f>
        <v>0</v>
      </c>
      <c r="H199">
        <f>IFERROR(VLOOKUP(Tabla1[[#This Row],[SISMED]],TblDisponibilidad[],12,FALSE), 0)</f>
        <v>0</v>
      </c>
      <c r="I199">
        <f>IFERROR(VLOOKUP(Tabla1[[#This Row],[SISMED]],TblDisponibilidad[],13,FALSE), 0)</f>
        <v>0</v>
      </c>
      <c r="J199">
        <f>IFERROR(VLOOKUP(Tabla1[[#This Row],[SISMED]],TblDisponibilidad[],14,FALSE), 0)</f>
        <v>0</v>
      </c>
      <c r="K199">
        <f>IFERROR(VLOOKUP(Tabla1[[#This Row],[SISMED]],TblDisponibilidad[],15,FALSE), 0)</f>
        <v>0</v>
      </c>
      <c r="L199">
        <f>IFERROR(VLOOKUP(Tabla1[[#This Row],[SISMED]],TblDisponibilidad[],16,FALSE), 0)</f>
        <v>0</v>
      </c>
      <c r="M199">
        <f>IFERROR(VLOOKUP(Tabla1[[#This Row],[SISMED]],TblDisponibilidad[],17,FALSE), 0)</f>
        <v>0</v>
      </c>
      <c r="N199">
        <f>IFERROR(VLOOKUP(Tabla1[[#This Row],[SISMED]],TblDisponibilidad[],18,FALSE), 0)</f>
        <v>0</v>
      </c>
      <c r="O199">
        <f>IFERROR(VLOOKUP(Tabla1[[#This Row],[SISMED]],TblDisponibilidad[],19,FALSE), 0)</f>
        <v>0</v>
      </c>
      <c r="P199">
        <f>IFERROR(VLOOKUP(Tabla1[[#This Row],[SISMED]],TblDisponibilidad[],20,FALSE), 0)</f>
        <v>0</v>
      </c>
      <c r="Q199">
        <f>IFERROR(VLOOKUP(Tabla1[[#This Row],[SISMED]],TblDisponibilidad[],21,FALSE), 0)</f>
        <v>0</v>
      </c>
      <c r="R199">
        <f>IFERROR(VLOOKUP(Tabla1[[#This Row],[SISMED]],TblDisponibilidad[],22,FALSE), 0)</f>
        <v>0</v>
      </c>
      <c r="S199" s="15">
        <f>IFERROR(VLOOKUP(Tabla1[[#This Row],[SISMED]],TblDisponibilidad[],23,FALSE), 0)</f>
        <v>0</v>
      </c>
    </row>
    <row r="200" spans="1:19" x14ac:dyDescent="0.3">
      <c r="A200" s="15" t="s">
        <v>230</v>
      </c>
      <c r="B200" t="str">
        <f>IFERROR(VLOOKUP(Tabla1[[#This Row],[SISMED]],TblDisponibilidad[],2,FALSE), "")</f>
        <v/>
      </c>
      <c r="C200">
        <f>IFERROR(VLOOKUP(Tabla1[[#This Row],[SISMED]],TblDisponibilidad[],7,FALSE), 0)</f>
        <v>0</v>
      </c>
      <c r="D200">
        <f>IFERROR(VLOOKUP(Tabla1[[#This Row],[SISMED]],TblDisponibilidad[],8,FALSE), 0)</f>
        <v>0</v>
      </c>
      <c r="E200">
        <f>IFERROR(VLOOKUP(Tabla1[[#This Row],[SISMED]],TblDisponibilidad[],9,FALSE), 0)</f>
        <v>0</v>
      </c>
      <c r="F200">
        <f>IFERROR(VLOOKUP(Tabla1[[#This Row],[SISMED]],TblDisponibilidad[],10,FALSE), 0)</f>
        <v>0</v>
      </c>
      <c r="G200">
        <f>IFERROR(VLOOKUP(Tabla1[[#This Row],[SISMED]],TblDisponibilidad[],11,FALSE), 0)</f>
        <v>0</v>
      </c>
      <c r="H200">
        <f>IFERROR(VLOOKUP(Tabla1[[#This Row],[SISMED]],TblDisponibilidad[],12,FALSE), 0)</f>
        <v>0</v>
      </c>
      <c r="I200">
        <f>IFERROR(VLOOKUP(Tabla1[[#This Row],[SISMED]],TblDisponibilidad[],13,FALSE), 0)</f>
        <v>0</v>
      </c>
      <c r="J200">
        <f>IFERROR(VLOOKUP(Tabla1[[#This Row],[SISMED]],TblDisponibilidad[],14,FALSE), 0)</f>
        <v>0</v>
      </c>
      <c r="K200">
        <f>IFERROR(VLOOKUP(Tabla1[[#This Row],[SISMED]],TblDisponibilidad[],15,FALSE), 0)</f>
        <v>0</v>
      </c>
      <c r="L200">
        <f>IFERROR(VLOOKUP(Tabla1[[#This Row],[SISMED]],TblDisponibilidad[],16,FALSE), 0)</f>
        <v>0</v>
      </c>
      <c r="M200">
        <f>IFERROR(VLOOKUP(Tabla1[[#This Row],[SISMED]],TblDisponibilidad[],17,FALSE), 0)</f>
        <v>0</v>
      </c>
      <c r="N200">
        <f>IFERROR(VLOOKUP(Tabla1[[#This Row],[SISMED]],TblDisponibilidad[],18,FALSE), 0)</f>
        <v>0</v>
      </c>
      <c r="O200">
        <f>IFERROR(VLOOKUP(Tabla1[[#This Row],[SISMED]],TblDisponibilidad[],19,FALSE), 0)</f>
        <v>0</v>
      </c>
      <c r="P200">
        <f>IFERROR(VLOOKUP(Tabla1[[#This Row],[SISMED]],TblDisponibilidad[],20,FALSE), 0)</f>
        <v>0</v>
      </c>
      <c r="Q200">
        <f>IFERROR(VLOOKUP(Tabla1[[#This Row],[SISMED]],TblDisponibilidad[],21,FALSE), 0)</f>
        <v>0</v>
      </c>
      <c r="R200">
        <f>IFERROR(VLOOKUP(Tabla1[[#This Row],[SISMED]],TblDisponibilidad[],22,FALSE), 0)</f>
        <v>0</v>
      </c>
      <c r="S200" s="15">
        <f>IFERROR(VLOOKUP(Tabla1[[#This Row],[SISMED]],TblDisponibilidad[],23,FALSE), 0)</f>
        <v>0</v>
      </c>
    </row>
    <row r="201" spans="1:19" x14ac:dyDescent="0.3">
      <c r="A201" s="15" t="s">
        <v>231</v>
      </c>
      <c r="B201" t="str">
        <f>IFERROR(VLOOKUP(Tabla1[[#This Row],[SISMED]],TblDisponibilidad[],2,FALSE), "")</f>
        <v/>
      </c>
      <c r="C201">
        <f>IFERROR(VLOOKUP(Tabla1[[#This Row],[SISMED]],TblDisponibilidad[],7,FALSE), 0)</f>
        <v>0</v>
      </c>
      <c r="D201">
        <f>IFERROR(VLOOKUP(Tabla1[[#This Row],[SISMED]],TblDisponibilidad[],8,FALSE), 0)</f>
        <v>0</v>
      </c>
      <c r="E201">
        <f>IFERROR(VLOOKUP(Tabla1[[#This Row],[SISMED]],TblDisponibilidad[],9,FALSE), 0)</f>
        <v>0</v>
      </c>
      <c r="F201">
        <f>IFERROR(VLOOKUP(Tabla1[[#This Row],[SISMED]],TblDisponibilidad[],10,FALSE), 0)</f>
        <v>0</v>
      </c>
      <c r="G201">
        <f>IFERROR(VLOOKUP(Tabla1[[#This Row],[SISMED]],TblDisponibilidad[],11,FALSE), 0)</f>
        <v>0</v>
      </c>
      <c r="H201">
        <f>IFERROR(VLOOKUP(Tabla1[[#This Row],[SISMED]],TblDisponibilidad[],12,FALSE), 0)</f>
        <v>0</v>
      </c>
      <c r="I201">
        <f>IFERROR(VLOOKUP(Tabla1[[#This Row],[SISMED]],TblDisponibilidad[],13,FALSE), 0)</f>
        <v>0</v>
      </c>
      <c r="J201">
        <f>IFERROR(VLOOKUP(Tabla1[[#This Row],[SISMED]],TblDisponibilidad[],14,FALSE), 0)</f>
        <v>0</v>
      </c>
      <c r="K201">
        <f>IFERROR(VLOOKUP(Tabla1[[#This Row],[SISMED]],TblDisponibilidad[],15,FALSE), 0)</f>
        <v>0</v>
      </c>
      <c r="L201">
        <f>IFERROR(VLOOKUP(Tabla1[[#This Row],[SISMED]],TblDisponibilidad[],16,FALSE), 0)</f>
        <v>0</v>
      </c>
      <c r="M201">
        <f>IFERROR(VLOOKUP(Tabla1[[#This Row],[SISMED]],TblDisponibilidad[],17,FALSE), 0)</f>
        <v>0</v>
      </c>
      <c r="N201">
        <f>IFERROR(VLOOKUP(Tabla1[[#This Row],[SISMED]],TblDisponibilidad[],18,FALSE), 0)</f>
        <v>0</v>
      </c>
      <c r="O201">
        <f>IFERROR(VLOOKUP(Tabla1[[#This Row],[SISMED]],TblDisponibilidad[],19,FALSE), 0)</f>
        <v>0</v>
      </c>
      <c r="P201">
        <f>IFERROR(VLOOKUP(Tabla1[[#This Row],[SISMED]],TblDisponibilidad[],20,FALSE), 0)</f>
        <v>0</v>
      </c>
      <c r="Q201">
        <f>IFERROR(VLOOKUP(Tabla1[[#This Row],[SISMED]],TblDisponibilidad[],21,FALSE), 0)</f>
        <v>0</v>
      </c>
      <c r="R201">
        <f>IFERROR(VLOOKUP(Tabla1[[#This Row],[SISMED]],TblDisponibilidad[],22,FALSE), 0)</f>
        <v>0</v>
      </c>
      <c r="S201" s="15">
        <f>IFERROR(VLOOKUP(Tabla1[[#This Row],[SISMED]],TblDisponibilidad[],23,FALSE), 0)</f>
        <v>0</v>
      </c>
    </row>
    <row r="202" spans="1:19" x14ac:dyDescent="0.3">
      <c r="A202" s="15" t="s">
        <v>232</v>
      </c>
      <c r="B202" t="str">
        <f>IFERROR(VLOOKUP(Tabla1[[#This Row],[SISMED]],TblDisponibilidad[],2,FALSE), "")</f>
        <v/>
      </c>
      <c r="C202">
        <f>IFERROR(VLOOKUP(Tabla1[[#This Row],[SISMED]],TblDisponibilidad[],7,FALSE), 0)</f>
        <v>0</v>
      </c>
      <c r="D202">
        <f>IFERROR(VLOOKUP(Tabla1[[#This Row],[SISMED]],TblDisponibilidad[],8,FALSE), 0)</f>
        <v>0</v>
      </c>
      <c r="E202">
        <f>IFERROR(VLOOKUP(Tabla1[[#This Row],[SISMED]],TblDisponibilidad[],9,FALSE), 0)</f>
        <v>0</v>
      </c>
      <c r="F202">
        <f>IFERROR(VLOOKUP(Tabla1[[#This Row],[SISMED]],TblDisponibilidad[],10,FALSE), 0)</f>
        <v>0</v>
      </c>
      <c r="G202">
        <f>IFERROR(VLOOKUP(Tabla1[[#This Row],[SISMED]],TblDisponibilidad[],11,FALSE), 0)</f>
        <v>0</v>
      </c>
      <c r="H202">
        <f>IFERROR(VLOOKUP(Tabla1[[#This Row],[SISMED]],TblDisponibilidad[],12,FALSE), 0)</f>
        <v>0</v>
      </c>
      <c r="I202">
        <f>IFERROR(VLOOKUP(Tabla1[[#This Row],[SISMED]],TblDisponibilidad[],13,FALSE), 0)</f>
        <v>0</v>
      </c>
      <c r="J202">
        <f>IFERROR(VLOOKUP(Tabla1[[#This Row],[SISMED]],TblDisponibilidad[],14,FALSE), 0)</f>
        <v>0</v>
      </c>
      <c r="K202">
        <f>IFERROR(VLOOKUP(Tabla1[[#This Row],[SISMED]],TblDisponibilidad[],15,FALSE), 0)</f>
        <v>0</v>
      </c>
      <c r="L202">
        <f>IFERROR(VLOOKUP(Tabla1[[#This Row],[SISMED]],TblDisponibilidad[],16,FALSE), 0)</f>
        <v>0</v>
      </c>
      <c r="M202">
        <f>IFERROR(VLOOKUP(Tabla1[[#This Row],[SISMED]],TblDisponibilidad[],17,FALSE), 0)</f>
        <v>0</v>
      </c>
      <c r="N202">
        <f>IFERROR(VLOOKUP(Tabla1[[#This Row],[SISMED]],TblDisponibilidad[],18,FALSE), 0)</f>
        <v>0</v>
      </c>
      <c r="O202">
        <f>IFERROR(VLOOKUP(Tabla1[[#This Row],[SISMED]],TblDisponibilidad[],19,FALSE), 0)</f>
        <v>0</v>
      </c>
      <c r="P202">
        <f>IFERROR(VLOOKUP(Tabla1[[#This Row],[SISMED]],TblDisponibilidad[],20,FALSE), 0)</f>
        <v>0</v>
      </c>
      <c r="Q202">
        <f>IFERROR(VLOOKUP(Tabla1[[#This Row],[SISMED]],TblDisponibilidad[],21,FALSE), 0)</f>
        <v>0</v>
      </c>
      <c r="R202">
        <f>IFERROR(VLOOKUP(Tabla1[[#This Row],[SISMED]],TblDisponibilidad[],22,FALSE), 0)</f>
        <v>0</v>
      </c>
      <c r="S202" s="15">
        <f>IFERROR(VLOOKUP(Tabla1[[#This Row],[SISMED]],TblDisponibilidad[],23,FALSE), 0)</f>
        <v>0</v>
      </c>
    </row>
    <row r="203" spans="1:19" x14ac:dyDescent="0.3">
      <c r="A203" s="15" t="s">
        <v>233</v>
      </c>
      <c r="B203" t="str">
        <f>IFERROR(VLOOKUP(Tabla1[[#This Row],[SISMED]],TblDisponibilidad[],2,FALSE), "")</f>
        <v/>
      </c>
      <c r="C203">
        <f>IFERROR(VLOOKUP(Tabla1[[#This Row],[SISMED]],TblDisponibilidad[],7,FALSE), 0)</f>
        <v>0</v>
      </c>
      <c r="D203">
        <f>IFERROR(VLOOKUP(Tabla1[[#This Row],[SISMED]],TblDisponibilidad[],8,FALSE), 0)</f>
        <v>0</v>
      </c>
      <c r="E203">
        <f>IFERROR(VLOOKUP(Tabla1[[#This Row],[SISMED]],TblDisponibilidad[],9,FALSE), 0)</f>
        <v>0</v>
      </c>
      <c r="F203">
        <f>IFERROR(VLOOKUP(Tabla1[[#This Row],[SISMED]],TblDisponibilidad[],10,FALSE), 0)</f>
        <v>0</v>
      </c>
      <c r="G203">
        <f>IFERROR(VLOOKUP(Tabla1[[#This Row],[SISMED]],TblDisponibilidad[],11,FALSE), 0)</f>
        <v>0</v>
      </c>
      <c r="H203">
        <f>IFERROR(VLOOKUP(Tabla1[[#This Row],[SISMED]],TblDisponibilidad[],12,FALSE), 0)</f>
        <v>0</v>
      </c>
      <c r="I203">
        <f>IFERROR(VLOOKUP(Tabla1[[#This Row],[SISMED]],TblDisponibilidad[],13,FALSE), 0)</f>
        <v>0</v>
      </c>
      <c r="J203">
        <f>IFERROR(VLOOKUP(Tabla1[[#This Row],[SISMED]],TblDisponibilidad[],14,FALSE), 0)</f>
        <v>0</v>
      </c>
      <c r="K203">
        <f>IFERROR(VLOOKUP(Tabla1[[#This Row],[SISMED]],TblDisponibilidad[],15,FALSE), 0)</f>
        <v>0</v>
      </c>
      <c r="L203">
        <f>IFERROR(VLOOKUP(Tabla1[[#This Row],[SISMED]],TblDisponibilidad[],16,FALSE), 0)</f>
        <v>0</v>
      </c>
      <c r="M203">
        <f>IFERROR(VLOOKUP(Tabla1[[#This Row],[SISMED]],TblDisponibilidad[],17,FALSE), 0)</f>
        <v>0</v>
      </c>
      <c r="N203">
        <f>IFERROR(VLOOKUP(Tabla1[[#This Row],[SISMED]],TblDisponibilidad[],18,FALSE), 0)</f>
        <v>0</v>
      </c>
      <c r="O203">
        <f>IFERROR(VLOOKUP(Tabla1[[#This Row],[SISMED]],TblDisponibilidad[],19,FALSE), 0)</f>
        <v>0</v>
      </c>
      <c r="P203">
        <f>IFERROR(VLOOKUP(Tabla1[[#This Row],[SISMED]],TblDisponibilidad[],20,FALSE), 0)</f>
        <v>0</v>
      </c>
      <c r="Q203">
        <f>IFERROR(VLOOKUP(Tabla1[[#This Row],[SISMED]],TblDisponibilidad[],21,FALSE), 0)</f>
        <v>0</v>
      </c>
      <c r="R203">
        <f>IFERROR(VLOOKUP(Tabla1[[#This Row],[SISMED]],TblDisponibilidad[],22,FALSE), 0)</f>
        <v>0</v>
      </c>
      <c r="S203" s="15">
        <f>IFERROR(VLOOKUP(Tabla1[[#This Row],[SISMED]],TblDisponibilidad[],23,FALSE), 0)</f>
        <v>0</v>
      </c>
    </row>
    <row r="204" spans="1:19" x14ac:dyDescent="0.3">
      <c r="A204" s="15" t="s">
        <v>234</v>
      </c>
      <c r="B204" t="str">
        <f>IFERROR(VLOOKUP(Tabla1[[#This Row],[SISMED]],TblDisponibilidad[],2,FALSE), "")</f>
        <v/>
      </c>
      <c r="C204">
        <f>IFERROR(VLOOKUP(Tabla1[[#This Row],[SISMED]],TblDisponibilidad[],7,FALSE), 0)</f>
        <v>0</v>
      </c>
      <c r="D204">
        <f>IFERROR(VLOOKUP(Tabla1[[#This Row],[SISMED]],TblDisponibilidad[],8,FALSE), 0)</f>
        <v>0</v>
      </c>
      <c r="E204">
        <f>IFERROR(VLOOKUP(Tabla1[[#This Row],[SISMED]],TblDisponibilidad[],9,FALSE), 0)</f>
        <v>0</v>
      </c>
      <c r="F204">
        <f>IFERROR(VLOOKUP(Tabla1[[#This Row],[SISMED]],TblDisponibilidad[],10,FALSE), 0)</f>
        <v>0</v>
      </c>
      <c r="G204">
        <f>IFERROR(VLOOKUP(Tabla1[[#This Row],[SISMED]],TblDisponibilidad[],11,FALSE), 0)</f>
        <v>0</v>
      </c>
      <c r="H204">
        <f>IFERROR(VLOOKUP(Tabla1[[#This Row],[SISMED]],TblDisponibilidad[],12,FALSE), 0)</f>
        <v>0</v>
      </c>
      <c r="I204">
        <f>IFERROR(VLOOKUP(Tabla1[[#This Row],[SISMED]],TblDisponibilidad[],13,FALSE), 0)</f>
        <v>0</v>
      </c>
      <c r="J204">
        <f>IFERROR(VLOOKUP(Tabla1[[#This Row],[SISMED]],TblDisponibilidad[],14,FALSE), 0)</f>
        <v>0</v>
      </c>
      <c r="K204">
        <f>IFERROR(VLOOKUP(Tabla1[[#This Row],[SISMED]],TblDisponibilidad[],15,FALSE), 0)</f>
        <v>0</v>
      </c>
      <c r="L204">
        <f>IFERROR(VLOOKUP(Tabla1[[#This Row],[SISMED]],TblDisponibilidad[],16,FALSE), 0)</f>
        <v>0</v>
      </c>
      <c r="M204">
        <f>IFERROR(VLOOKUP(Tabla1[[#This Row],[SISMED]],TblDisponibilidad[],17,FALSE), 0)</f>
        <v>0</v>
      </c>
      <c r="N204">
        <f>IFERROR(VLOOKUP(Tabla1[[#This Row],[SISMED]],TblDisponibilidad[],18,FALSE), 0)</f>
        <v>0</v>
      </c>
      <c r="O204">
        <f>IFERROR(VLOOKUP(Tabla1[[#This Row],[SISMED]],TblDisponibilidad[],19,FALSE), 0)</f>
        <v>0</v>
      </c>
      <c r="P204">
        <f>IFERROR(VLOOKUP(Tabla1[[#This Row],[SISMED]],TblDisponibilidad[],20,FALSE), 0)</f>
        <v>0</v>
      </c>
      <c r="Q204">
        <f>IFERROR(VLOOKUP(Tabla1[[#This Row],[SISMED]],TblDisponibilidad[],21,FALSE), 0)</f>
        <v>0</v>
      </c>
      <c r="R204">
        <f>IFERROR(VLOOKUP(Tabla1[[#This Row],[SISMED]],TblDisponibilidad[],22,FALSE), 0)</f>
        <v>0</v>
      </c>
      <c r="S204" s="15">
        <f>IFERROR(VLOOKUP(Tabla1[[#This Row],[SISMED]],TblDisponibilidad[],23,FALSE), 0)</f>
        <v>0</v>
      </c>
    </row>
    <row r="205" spans="1:19" x14ac:dyDescent="0.3">
      <c r="A205" s="15" t="s">
        <v>235</v>
      </c>
      <c r="B205" t="str">
        <f>IFERROR(VLOOKUP(Tabla1[[#This Row],[SISMED]],TblDisponibilidad[],2,FALSE), "")</f>
        <v/>
      </c>
      <c r="C205">
        <f>IFERROR(VLOOKUP(Tabla1[[#This Row],[SISMED]],TblDisponibilidad[],7,FALSE), 0)</f>
        <v>0</v>
      </c>
      <c r="D205">
        <f>IFERROR(VLOOKUP(Tabla1[[#This Row],[SISMED]],TblDisponibilidad[],8,FALSE), 0)</f>
        <v>0</v>
      </c>
      <c r="E205">
        <f>IFERROR(VLOOKUP(Tabla1[[#This Row],[SISMED]],TblDisponibilidad[],9,FALSE), 0)</f>
        <v>0</v>
      </c>
      <c r="F205">
        <f>IFERROR(VLOOKUP(Tabla1[[#This Row],[SISMED]],TblDisponibilidad[],10,FALSE), 0)</f>
        <v>0</v>
      </c>
      <c r="G205">
        <f>IFERROR(VLOOKUP(Tabla1[[#This Row],[SISMED]],TblDisponibilidad[],11,FALSE), 0)</f>
        <v>0</v>
      </c>
      <c r="H205">
        <f>IFERROR(VLOOKUP(Tabla1[[#This Row],[SISMED]],TblDisponibilidad[],12,FALSE), 0)</f>
        <v>0</v>
      </c>
      <c r="I205">
        <f>IFERROR(VLOOKUP(Tabla1[[#This Row],[SISMED]],TblDisponibilidad[],13,FALSE), 0)</f>
        <v>0</v>
      </c>
      <c r="J205">
        <f>IFERROR(VLOOKUP(Tabla1[[#This Row],[SISMED]],TblDisponibilidad[],14,FALSE), 0)</f>
        <v>0</v>
      </c>
      <c r="K205">
        <f>IFERROR(VLOOKUP(Tabla1[[#This Row],[SISMED]],TblDisponibilidad[],15,FALSE), 0)</f>
        <v>0</v>
      </c>
      <c r="L205">
        <f>IFERROR(VLOOKUP(Tabla1[[#This Row],[SISMED]],TblDisponibilidad[],16,FALSE), 0)</f>
        <v>0</v>
      </c>
      <c r="M205">
        <f>IFERROR(VLOOKUP(Tabla1[[#This Row],[SISMED]],TblDisponibilidad[],17,FALSE), 0)</f>
        <v>0</v>
      </c>
      <c r="N205">
        <f>IFERROR(VLOOKUP(Tabla1[[#This Row],[SISMED]],TblDisponibilidad[],18,FALSE), 0)</f>
        <v>0</v>
      </c>
      <c r="O205">
        <f>IFERROR(VLOOKUP(Tabla1[[#This Row],[SISMED]],TblDisponibilidad[],19,FALSE), 0)</f>
        <v>0</v>
      </c>
      <c r="P205">
        <f>IFERROR(VLOOKUP(Tabla1[[#This Row],[SISMED]],TblDisponibilidad[],20,FALSE), 0)</f>
        <v>0</v>
      </c>
      <c r="Q205">
        <f>IFERROR(VLOOKUP(Tabla1[[#This Row],[SISMED]],TblDisponibilidad[],21,FALSE), 0)</f>
        <v>0</v>
      </c>
      <c r="R205">
        <f>IFERROR(VLOOKUP(Tabla1[[#This Row],[SISMED]],TblDisponibilidad[],22,FALSE), 0)</f>
        <v>0</v>
      </c>
      <c r="S205" s="15">
        <f>IFERROR(VLOOKUP(Tabla1[[#This Row],[SISMED]],TblDisponibilidad[],23,FALSE), 0)</f>
        <v>0</v>
      </c>
    </row>
    <row r="206" spans="1:19" x14ac:dyDescent="0.3">
      <c r="A206" s="15" t="s">
        <v>236</v>
      </c>
      <c r="B206" t="str">
        <f>IFERROR(VLOOKUP(Tabla1[[#This Row],[SISMED]],TblDisponibilidad[],2,FALSE), "")</f>
        <v/>
      </c>
      <c r="C206">
        <f>IFERROR(VLOOKUP(Tabla1[[#This Row],[SISMED]],TblDisponibilidad[],7,FALSE), 0)</f>
        <v>0</v>
      </c>
      <c r="D206">
        <f>IFERROR(VLOOKUP(Tabla1[[#This Row],[SISMED]],TblDisponibilidad[],8,FALSE), 0)</f>
        <v>0</v>
      </c>
      <c r="E206">
        <f>IFERROR(VLOOKUP(Tabla1[[#This Row],[SISMED]],TblDisponibilidad[],9,FALSE), 0)</f>
        <v>0</v>
      </c>
      <c r="F206">
        <f>IFERROR(VLOOKUP(Tabla1[[#This Row],[SISMED]],TblDisponibilidad[],10,FALSE), 0)</f>
        <v>0</v>
      </c>
      <c r="G206">
        <f>IFERROR(VLOOKUP(Tabla1[[#This Row],[SISMED]],TblDisponibilidad[],11,FALSE), 0)</f>
        <v>0</v>
      </c>
      <c r="H206">
        <f>IFERROR(VLOOKUP(Tabla1[[#This Row],[SISMED]],TblDisponibilidad[],12,FALSE), 0)</f>
        <v>0</v>
      </c>
      <c r="I206">
        <f>IFERROR(VLOOKUP(Tabla1[[#This Row],[SISMED]],TblDisponibilidad[],13,FALSE), 0)</f>
        <v>0</v>
      </c>
      <c r="J206">
        <f>IFERROR(VLOOKUP(Tabla1[[#This Row],[SISMED]],TblDisponibilidad[],14,FALSE), 0)</f>
        <v>0</v>
      </c>
      <c r="K206">
        <f>IFERROR(VLOOKUP(Tabla1[[#This Row],[SISMED]],TblDisponibilidad[],15,FALSE), 0)</f>
        <v>0</v>
      </c>
      <c r="L206">
        <f>IFERROR(VLOOKUP(Tabla1[[#This Row],[SISMED]],TblDisponibilidad[],16,FALSE), 0)</f>
        <v>0</v>
      </c>
      <c r="M206">
        <f>IFERROR(VLOOKUP(Tabla1[[#This Row],[SISMED]],TblDisponibilidad[],17,FALSE), 0)</f>
        <v>0</v>
      </c>
      <c r="N206">
        <f>IFERROR(VLOOKUP(Tabla1[[#This Row],[SISMED]],TblDisponibilidad[],18,FALSE), 0)</f>
        <v>0</v>
      </c>
      <c r="O206">
        <f>IFERROR(VLOOKUP(Tabla1[[#This Row],[SISMED]],TblDisponibilidad[],19,FALSE), 0)</f>
        <v>0</v>
      </c>
      <c r="P206">
        <f>IFERROR(VLOOKUP(Tabla1[[#This Row],[SISMED]],TblDisponibilidad[],20,FALSE), 0)</f>
        <v>0</v>
      </c>
      <c r="Q206">
        <f>IFERROR(VLOOKUP(Tabla1[[#This Row],[SISMED]],TblDisponibilidad[],21,FALSE), 0)</f>
        <v>0</v>
      </c>
      <c r="R206">
        <f>IFERROR(VLOOKUP(Tabla1[[#This Row],[SISMED]],TblDisponibilidad[],22,FALSE), 0)</f>
        <v>0</v>
      </c>
      <c r="S206" s="15">
        <f>IFERROR(VLOOKUP(Tabla1[[#This Row],[SISMED]],TblDisponibilidad[],23,FALSE), 0)</f>
        <v>0</v>
      </c>
    </row>
    <row r="207" spans="1:19" x14ac:dyDescent="0.3">
      <c r="A207" s="15" t="s">
        <v>237</v>
      </c>
      <c r="B207" t="str">
        <f>IFERROR(VLOOKUP(Tabla1[[#This Row],[SISMED]],TblDisponibilidad[],2,FALSE), "")</f>
        <v/>
      </c>
      <c r="C207">
        <f>IFERROR(VLOOKUP(Tabla1[[#This Row],[SISMED]],TblDisponibilidad[],7,FALSE), 0)</f>
        <v>0</v>
      </c>
      <c r="D207">
        <f>IFERROR(VLOOKUP(Tabla1[[#This Row],[SISMED]],TblDisponibilidad[],8,FALSE), 0)</f>
        <v>0</v>
      </c>
      <c r="E207">
        <f>IFERROR(VLOOKUP(Tabla1[[#This Row],[SISMED]],TblDisponibilidad[],9,FALSE), 0)</f>
        <v>0</v>
      </c>
      <c r="F207">
        <f>IFERROR(VLOOKUP(Tabla1[[#This Row],[SISMED]],TblDisponibilidad[],10,FALSE), 0)</f>
        <v>0</v>
      </c>
      <c r="G207">
        <f>IFERROR(VLOOKUP(Tabla1[[#This Row],[SISMED]],TblDisponibilidad[],11,FALSE), 0)</f>
        <v>0</v>
      </c>
      <c r="H207">
        <f>IFERROR(VLOOKUP(Tabla1[[#This Row],[SISMED]],TblDisponibilidad[],12,FALSE), 0)</f>
        <v>0</v>
      </c>
      <c r="I207">
        <f>IFERROR(VLOOKUP(Tabla1[[#This Row],[SISMED]],TblDisponibilidad[],13,FALSE), 0)</f>
        <v>0</v>
      </c>
      <c r="J207">
        <f>IFERROR(VLOOKUP(Tabla1[[#This Row],[SISMED]],TblDisponibilidad[],14,FALSE), 0)</f>
        <v>0</v>
      </c>
      <c r="K207">
        <f>IFERROR(VLOOKUP(Tabla1[[#This Row],[SISMED]],TblDisponibilidad[],15,FALSE), 0)</f>
        <v>0</v>
      </c>
      <c r="L207">
        <f>IFERROR(VLOOKUP(Tabla1[[#This Row],[SISMED]],TblDisponibilidad[],16,FALSE), 0)</f>
        <v>0</v>
      </c>
      <c r="M207">
        <f>IFERROR(VLOOKUP(Tabla1[[#This Row],[SISMED]],TblDisponibilidad[],17,FALSE), 0)</f>
        <v>0</v>
      </c>
      <c r="N207">
        <f>IFERROR(VLOOKUP(Tabla1[[#This Row],[SISMED]],TblDisponibilidad[],18,FALSE), 0)</f>
        <v>0</v>
      </c>
      <c r="O207">
        <f>IFERROR(VLOOKUP(Tabla1[[#This Row],[SISMED]],TblDisponibilidad[],19,FALSE), 0)</f>
        <v>0</v>
      </c>
      <c r="P207">
        <f>IFERROR(VLOOKUP(Tabla1[[#This Row],[SISMED]],TblDisponibilidad[],20,FALSE), 0)</f>
        <v>0</v>
      </c>
      <c r="Q207">
        <f>IFERROR(VLOOKUP(Tabla1[[#This Row],[SISMED]],TblDisponibilidad[],21,FALSE), 0)</f>
        <v>0</v>
      </c>
      <c r="R207">
        <f>IFERROR(VLOOKUP(Tabla1[[#This Row],[SISMED]],TblDisponibilidad[],22,FALSE), 0)</f>
        <v>0</v>
      </c>
      <c r="S207" s="15">
        <f>IFERROR(VLOOKUP(Tabla1[[#This Row],[SISMED]],TblDisponibilidad[],23,FALSE), 0)</f>
        <v>0</v>
      </c>
    </row>
    <row r="208" spans="1:19" x14ac:dyDescent="0.3">
      <c r="A208" s="15" t="s">
        <v>238</v>
      </c>
      <c r="B208" t="str">
        <f>IFERROR(VLOOKUP(Tabla1[[#This Row],[SISMED]],TblDisponibilidad[],2,FALSE), "")</f>
        <v/>
      </c>
      <c r="C208">
        <f>IFERROR(VLOOKUP(Tabla1[[#This Row],[SISMED]],TblDisponibilidad[],7,FALSE), 0)</f>
        <v>0</v>
      </c>
      <c r="D208">
        <f>IFERROR(VLOOKUP(Tabla1[[#This Row],[SISMED]],TblDisponibilidad[],8,FALSE), 0)</f>
        <v>0</v>
      </c>
      <c r="E208">
        <f>IFERROR(VLOOKUP(Tabla1[[#This Row],[SISMED]],TblDisponibilidad[],9,FALSE), 0)</f>
        <v>0</v>
      </c>
      <c r="F208">
        <f>IFERROR(VLOOKUP(Tabla1[[#This Row],[SISMED]],TblDisponibilidad[],10,FALSE), 0)</f>
        <v>0</v>
      </c>
      <c r="G208">
        <f>IFERROR(VLOOKUP(Tabla1[[#This Row],[SISMED]],TblDisponibilidad[],11,FALSE), 0)</f>
        <v>0</v>
      </c>
      <c r="H208">
        <f>IFERROR(VLOOKUP(Tabla1[[#This Row],[SISMED]],TblDisponibilidad[],12,FALSE), 0)</f>
        <v>0</v>
      </c>
      <c r="I208">
        <f>IFERROR(VLOOKUP(Tabla1[[#This Row],[SISMED]],TblDisponibilidad[],13,FALSE), 0)</f>
        <v>0</v>
      </c>
      <c r="J208">
        <f>IFERROR(VLOOKUP(Tabla1[[#This Row],[SISMED]],TblDisponibilidad[],14,FALSE), 0)</f>
        <v>0</v>
      </c>
      <c r="K208">
        <f>IFERROR(VLOOKUP(Tabla1[[#This Row],[SISMED]],TblDisponibilidad[],15,FALSE), 0)</f>
        <v>0</v>
      </c>
      <c r="L208">
        <f>IFERROR(VLOOKUP(Tabla1[[#This Row],[SISMED]],TblDisponibilidad[],16,FALSE), 0)</f>
        <v>0</v>
      </c>
      <c r="M208">
        <f>IFERROR(VLOOKUP(Tabla1[[#This Row],[SISMED]],TblDisponibilidad[],17,FALSE), 0)</f>
        <v>0</v>
      </c>
      <c r="N208">
        <f>IFERROR(VLOOKUP(Tabla1[[#This Row],[SISMED]],TblDisponibilidad[],18,FALSE), 0)</f>
        <v>0</v>
      </c>
      <c r="O208">
        <f>IFERROR(VLOOKUP(Tabla1[[#This Row],[SISMED]],TblDisponibilidad[],19,FALSE), 0)</f>
        <v>0</v>
      </c>
      <c r="P208">
        <f>IFERROR(VLOOKUP(Tabla1[[#This Row],[SISMED]],TblDisponibilidad[],20,FALSE), 0)</f>
        <v>0</v>
      </c>
      <c r="Q208">
        <f>IFERROR(VLOOKUP(Tabla1[[#This Row],[SISMED]],TblDisponibilidad[],21,FALSE), 0)</f>
        <v>0</v>
      </c>
      <c r="R208">
        <f>IFERROR(VLOOKUP(Tabla1[[#This Row],[SISMED]],TblDisponibilidad[],22,FALSE), 0)</f>
        <v>0</v>
      </c>
      <c r="S208" s="15">
        <f>IFERROR(VLOOKUP(Tabla1[[#This Row],[SISMED]],TblDisponibilidad[],23,FALSE), 0)</f>
        <v>0</v>
      </c>
    </row>
    <row r="209" spans="1:19" x14ac:dyDescent="0.3">
      <c r="A209" s="15" t="s">
        <v>239</v>
      </c>
      <c r="B209" t="str">
        <f>IFERROR(VLOOKUP(Tabla1[[#This Row],[SISMED]],TblDisponibilidad[],2,FALSE), "")</f>
        <v/>
      </c>
      <c r="C209">
        <f>IFERROR(VLOOKUP(Tabla1[[#This Row],[SISMED]],TblDisponibilidad[],7,FALSE), 0)</f>
        <v>0</v>
      </c>
      <c r="D209">
        <f>IFERROR(VLOOKUP(Tabla1[[#This Row],[SISMED]],TblDisponibilidad[],8,FALSE), 0)</f>
        <v>0</v>
      </c>
      <c r="E209">
        <f>IFERROR(VLOOKUP(Tabla1[[#This Row],[SISMED]],TblDisponibilidad[],9,FALSE), 0)</f>
        <v>0</v>
      </c>
      <c r="F209">
        <f>IFERROR(VLOOKUP(Tabla1[[#This Row],[SISMED]],TblDisponibilidad[],10,FALSE), 0)</f>
        <v>0</v>
      </c>
      <c r="G209">
        <f>IFERROR(VLOOKUP(Tabla1[[#This Row],[SISMED]],TblDisponibilidad[],11,FALSE), 0)</f>
        <v>0</v>
      </c>
      <c r="H209">
        <f>IFERROR(VLOOKUP(Tabla1[[#This Row],[SISMED]],TblDisponibilidad[],12,FALSE), 0)</f>
        <v>0</v>
      </c>
      <c r="I209">
        <f>IFERROR(VLOOKUP(Tabla1[[#This Row],[SISMED]],TblDisponibilidad[],13,FALSE), 0)</f>
        <v>0</v>
      </c>
      <c r="J209">
        <f>IFERROR(VLOOKUP(Tabla1[[#This Row],[SISMED]],TblDisponibilidad[],14,FALSE), 0)</f>
        <v>0</v>
      </c>
      <c r="K209">
        <f>IFERROR(VLOOKUP(Tabla1[[#This Row],[SISMED]],TblDisponibilidad[],15,FALSE), 0)</f>
        <v>0</v>
      </c>
      <c r="L209">
        <f>IFERROR(VLOOKUP(Tabla1[[#This Row],[SISMED]],TblDisponibilidad[],16,FALSE), 0)</f>
        <v>0</v>
      </c>
      <c r="M209">
        <f>IFERROR(VLOOKUP(Tabla1[[#This Row],[SISMED]],TblDisponibilidad[],17,FALSE), 0)</f>
        <v>0</v>
      </c>
      <c r="N209">
        <f>IFERROR(VLOOKUP(Tabla1[[#This Row],[SISMED]],TblDisponibilidad[],18,FALSE), 0)</f>
        <v>0</v>
      </c>
      <c r="O209">
        <f>IFERROR(VLOOKUP(Tabla1[[#This Row],[SISMED]],TblDisponibilidad[],19,FALSE), 0)</f>
        <v>0</v>
      </c>
      <c r="P209">
        <f>IFERROR(VLOOKUP(Tabla1[[#This Row],[SISMED]],TblDisponibilidad[],20,FALSE), 0)</f>
        <v>0</v>
      </c>
      <c r="Q209">
        <f>IFERROR(VLOOKUP(Tabla1[[#This Row],[SISMED]],TblDisponibilidad[],21,FALSE), 0)</f>
        <v>0</v>
      </c>
      <c r="R209">
        <f>IFERROR(VLOOKUP(Tabla1[[#This Row],[SISMED]],TblDisponibilidad[],22,FALSE), 0)</f>
        <v>0</v>
      </c>
      <c r="S209" s="15">
        <f>IFERROR(VLOOKUP(Tabla1[[#This Row],[SISMED]],TblDisponibilidad[],23,FALSE), 0)</f>
        <v>0</v>
      </c>
    </row>
    <row r="210" spans="1:19" x14ac:dyDescent="0.3">
      <c r="A210" s="15" t="s">
        <v>240</v>
      </c>
      <c r="B210" t="str">
        <f>IFERROR(VLOOKUP(Tabla1[[#This Row],[SISMED]],TblDisponibilidad[],2,FALSE), "")</f>
        <v/>
      </c>
      <c r="C210">
        <f>IFERROR(VLOOKUP(Tabla1[[#This Row],[SISMED]],TblDisponibilidad[],7,FALSE), 0)</f>
        <v>0</v>
      </c>
      <c r="D210">
        <f>IFERROR(VLOOKUP(Tabla1[[#This Row],[SISMED]],TblDisponibilidad[],8,FALSE), 0)</f>
        <v>0</v>
      </c>
      <c r="E210">
        <f>IFERROR(VLOOKUP(Tabla1[[#This Row],[SISMED]],TblDisponibilidad[],9,FALSE), 0)</f>
        <v>0</v>
      </c>
      <c r="F210">
        <f>IFERROR(VLOOKUP(Tabla1[[#This Row],[SISMED]],TblDisponibilidad[],10,FALSE), 0)</f>
        <v>0</v>
      </c>
      <c r="G210">
        <f>IFERROR(VLOOKUP(Tabla1[[#This Row],[SISMED]],TblDisponibilidad[],11,FALSE), 0)</f>
        <v>0</v>
      </c>
      <c r="H210">
        <f>IFERROR(VLOOKUP(Tabla1[[#This Row],[SISMED]],TblDisponibilidad[],12,FALSE), 0)</f>
        <v>0</v>
      </c>
      <c r="I210">
        <f>IFERROR(VLOOKUP(Tabla1[[#This Row],[SISMED]],TblDisponibilidad[],13,FALSE), 0)</f>
        <v>0</v>
      </c>
      <c r="J210">
        <f>IFERROR(VLOOKUP(Tabla1[[#This Row],[SISMED]],TblDisponibilidad[],14,FALSE), 0)</f>
        <v>0</v>
      </c>
      <c r="K210">
        <f>IFERROR(VLOOKUP(Tabla1[[#This Row],[SISMED]],TblDisponibilidad[],15,FALSE), 0)</f>
        <v>0</v>
      </c>
      <c r="L210">
        <f>IFERROR(VLOOKUP(Tabla1[[#This Row],[SISMED]],TblDisponibilidad[],16,FALSE), 0)</f>
        <v>0</v>
      </c>
      <c r="M210">
        <f>IFERROR(VLOOKUP(Tabla1[[#This Row],[SISMED]],TblDisponibilidad[],17,FALSE), 0)</f>
        <v>0</v>
      </c>
      <c r="N210">
        <f>IFERROR(VLOOKUP(Tabla1[[#This Row],[SISMED]],TblDisponibilidad[],18,FALSE), 0)</f>
        <v>0</v>
      </c>
      <c r="O210">
        <f>IFERROR(VLOOKUP(Tabla1[[#This Row],[SISMED]],TblDisponibilidad[],19,FALSE), 0)</f>
        <v>0</v>
      </c>
      <c r="P210">
        <f>IFERROR(VLOOKUP(Tabla1[[#This Row],[SISMED]],TblDisponibilidad[],20,FALSE), 0)</f>
        <v>0</v>
      </c>
      <c r="Q210">
        <f>IFERROR(VLOOKUP(Tabla1[[#This Row],[SISMED]],TblDisponibilidad[],21,FALSE), 0)</f>
        <v>0</v>
      </c>
      <c r="R210">
        <f>IFERROR(VLOOKUP(Tabla1[[#This Row],[SISMED]],TblDisponibilidad[],22,FALSE), 0)</f>
        <v>0</v>
      </c>
      <c r="S210" s="15">
        <f>IFERROR(VLOOKUP(Tabla1[[#This Row],[SISMED]],TblDisponibilidad[],23,FALSE), 0)</f>
        <v>0</v>
      </c>
    </row>
    <row r="211" spans="1:19" x14ac:dyDescent="0.3">
      <c r="A211" s="15" t="s">
        <v>241</v>
      </c>
      <c r="B211" t="str">
        <f>IFERROR(VLOOKUP(Tabla1[[#This Row],[SISMED]],TblDisponibilidad[],2,FALSE), "")</f>
        <v/>
      </c>
      <c r="C211">
        <f>IFERROR(VLOOKUP(Tabla1[[#This Row],[SISMED]],TblDisponibilidad[],7,FALSE), 0)</f>
        <v>0</v>
      </c>
      <c r="D211">
        <f>IFERROR(VLOOKUP(Tabla1[[#This Row],[SISMED]],TblDisponibilidad[],8,FALSE), 0)</f>
        <v>0</v>
      </c>
      <c r="E211">
        <f>IFERROR(VLOOKUP(Tabla1[[#This Row],[SISMED]],TblDisponibilidad[],9,FALSE), 0)</f>
        <v>0</v>
      </c>
      <c r="F211">
        <f>IFERROR(VLOOKUP(Tabla1[[#This Row],[SISMED]],TblDisponibilidad[],10,FALSE), 0)</f>
        <v>0</v>
      </c>
      <c r="G211">
        <f>IFERROR(VLOOKUP(Tabla1[[#This Row],[SISMED]],TblDisponibilidad[],11,FALSE), 0)</f>
        <v>0</v>
      </c>
      <c r="H211">
        <f>IFERROR(VLOOKUP(Tabla1[[#This Row],[SISMED]],TblDisponibilidad[],12,FALSE), 0)</f>
        <v>0</v>
      </c>
      <c r="I211">
        <f>IFERROR(VLOOKUP(Tabla1[[#This Row],[SISMED]],TblDisponibilidad[],13,FALSE), 0)</f>
        <v>0</v>
      </c>
      <c r="J211">
        <f>IFERROR(VLOOKUP(Tabla1[[#This Row],[SISMED]],TblDisponibilidad[],14,FALSE), 0)</f>
        <v>0</v>
      </c>
      <c r="K211">
        <f>IFERROR(VLOOKUP(Tabla1[[#This Row],[SISMED]],TblDisponibilidad[],15,FALSE), 0)</f>
        <v>0</v>
      </c>
      <c r="L211">
        <f>IFERROR(VLOOKUP(Tabla1[[#This Row],[SISMED]],TblDisponibilidad[],16,FALSE), 0)</f>
        <v>0</v>
      </c>
      <c r="M211">
        <f>IFERROR(VLOOKUP(Tabla1[[#This Row],[SISMED]],TblDisponibilidad[],17,FALSE), 0)</f>
        <v>0</v>
      </c>
      <c r="N211">
        <f>IFERROR(VLOOKUP(Tabla1[[#This Row],[SISMED]],TblDisponibilidad[],18,FALSE), 0)</f>
        <v>0</v>
      </c>
      <c r="O211">
        <f>IFERROR(VLOOKUP(Tabla1[[#This Row],[SISMED]],TblDisponibilidad[],19,FALSE), 0)</f>
        <v>0</v>
      </c>
      <c r="P211">
        <f>IFERROR(VLOOKUP(Tabla1[[#This Row],[SISMED]],TblDisponibilidad[],20,FALSE), 0)</f>
        <v>0</v>
      </c>
      <c r="Q211">
        <f>IFERROR(VLOOKUP(Tabla1[[#This Row],[SISMED]],TblDisponibilidad[],21,FALSE), 0)</f>
        <v>0</v>
      </c>
      <c r="R211">
        <f>IFERROR(VLOOKUP(Tabla1[[#This Row],[SISMED]],TblDisponibilidad[],22,FALSE), 0)</f>
        <v>0</v>
      </c>
      <c r="S211" s="15">
        <f>IFERROR(VLOOKUP(Tabla1[[#This Row],[SISMED]],TblDisponibilidad[],23,FALSE), 0)</f>
        <v>0</v>
      </c>
    </row>
    <row r="212" spans="1:19" x14ac:dyDescent="0.3">
      <c r="A212" s="15" t="s">
        <v>242</v>
      </c>
      <c r="B212" t="str">
        <f>IFERROR(VLOOKUP(Tabla1[[#This Row],[SISMED]],TblDisponibilidad[],2,FALSE), "")</f>
        <v/>
      </c>
      <c r="C212">
        <f>IFERROR(VLOOKUP(Tabla1[[#This Row],[SISMED]],TblDisponibilidad[],7,FALSE), 0)</f>
        <v>0</v>
      </c>
      <c r="D212">
        <f>IFERROR(VLOOKUP(Tabla1[[#This Row],[SISMED]],TblDisponibilidad[],8,FALSE), 0)</f>
        <v>0</v>
      </c>
      <c r="E212">
        <f>IFERROR(VLOOKUP(Tabla1[[#This Row],[SISMED]],TblDisponibilidad[],9,FALSE), 0)</f>
        <v>0</v>
      </c>
      <c r="F212">
        <f>IFERROR(VLOOKUP(Tabla1[[#This Row],[SISMED]],TblDisponibilidad[],10,FALSE), 0)</f>
        <v>0</v>
      </c>
      <c r="G212">
        <f>IFERROR(VLOOKUP(Tabla1[[#This Row],[SISMED]],TblDisponibilidad[],11,FALSE), 0)</f>
        <v>0</v>
      </c>
      <c r="H212">
        <f>IFERROR(VLOOKUP(Tabla1[[#This Row],[SISMED]],TblDisponibilidad[],12,FALSE), 0)</f>
        <v>0</v>
      </c>
      <c r="I212">
        <f>IFERROR(VLOOKUP(Tabla1[[#This Row],[SISMED]],TblDisponibilidad[],13,FALSE), 0)</f>
        <v>0</v>
      </c>
      <c r="J212">
        <f>IFERROR(VLOOKUP(Tabla1[[#This Row],[SISMED]],TblDisponibilidad[],14,FALSE), 0)</f>
        <v>0</v>
      </c>
      <c r="K212">
        <f>IFERROR(VLOOKUP(Tabla1[[#This Row],[SISMED]],TblDisponibilidad[],15,FALSE), 0)</f>
        <v>0</v>
      </c>
      <c r="L212">
        <f>IFERROR(VLOOKUP(Tabla1[[#This Row],[SISMED]],TblDisponibilidad[],16,FALSE), 0)</f>
        <v>0</v>
      </c>
      <c r="M212">
        <f>IFERROR(VLOOKUP(Tabla1[[#This Row],[SISMED]],TblDisponibilidad[],17,FALSE), 0)</f>
        <v>0</v>
      </c>
      <c r="N212">
        <f>IFERROR(VLOOKUP(Tabla1[[#This Row],[SISMED]],TblDisponibilidad[],18,FALSE), 0)</f>
        <v>0</v>
      </c>
      <c r="O212">
        <f>IFERROR(VLOOKUP(Tabla1[[#This Row],[SISMED]],TblDisponibilidad[],19,FALSE), 0)</f>
        <v>0</v>
      </c>
      <c r="P212">
        <f>IFERROR(VLOOKUP(Tabla1[[#This Row],[SISMED]],TblDisponibilidad[],20,FALSE), 0)</f>
        <v>0</v>
      </c>
      <c r="Q212">
        <f>IFERROR(VLOOKUP(Tabla1[[#This Row],[SISMED]],TblDisponibilidad[],21,FALSE), 0)</f>
        <v>0</v>
      </c>
      <c r="R212">
        <f>IFERROR(VLOOKUP(Tabla1[[#This Row],[SISMED]],TblDisponibilidad[],22,FALSE), 0)</f>
        <v>0</v>
      </c>
      <c r="S212" s="15">
        <f>IFERROR(VLOOKUP(Tabla1[[#This Row],[SISMED]],TblDisponibilidad[],23,FALSE), 0)</f>
        <v>0</v>
      </c>
    </row>
    <row r="213" spans="1:19" x14ac:dyDescent="0.3">
      <c r="A213" s="15" t="s">
        <v>243</v>
      </c>
      <c r="B213" t="str">
        <f>IFERROR(VLOOKUP(Tabla1[[#This Row],[SISMED]],TblDisponibilidad[],2,FALSE), "")</f>
        <v/>
      </c>
      <c r="C213">
        <f>IFERROR(VLOOKUP(Tabla1[[#This Row],[SISMED]],TblDisponibilidad[],7,FALSE), 0)</f>
        <v>0</v>
      </c>
      <c r="D213">
        <f>IFERROR(VLOOKUP(Tabla1[[#This Row],[SISMED]],TblDisponibilidad[],8,FALSE), 0)</f>
        <v>0</v>
      </c>
      <c r="E213">
        <f>IFERROR(VLOOKUP(Tabla1[[#This Row],[SISMED]],TblDisponibilidad[],9,FALSE), 0)</f>
        <v>0</v>
      </c>
      <c r="F213">
        <f>IFERROR(VLOOKUP(Tabla1[[#This Row],[SISMED]],TblDisponibilidad[],10,FALSE), 0)</f>
        <v>0</v>
      </c>
      <c r="G213">
        <f>IFERROR(VLOOKUP(Tabla1[[#This Row],[SISMED]],TblDisponibilidad[],11,FALSE), 0)</f>
        <v>0</v>
      </c>
      <c r="H213">
        <f>IFERROR(VLOOKUP(Tabla1[[#This Row],[SISMED]],TblDisponibilidad[],12,FALSE), 0)</f>
        <v>0</v>
      </c>
      <c r="I213">
        <f>IFERROR(VLOOKUP(Tabla1[[#This Row],[SISMED]],TblDisponibilidad[],13,FALSE), 0)</f>
        <v>0</v>
      </c>
      <c r="J213">
        <f>IFERROR(VLOOKUP(Tabla1[[#This Row],[SISMED]],TblDisponibilidad[],14,FALSE), 0)</f>
        <v>0</v>
      </c>
      <c r="K213">
        <f>IFERROR(VLOOKUP(Tabla1[[#This Row],[SISMED]],TblDisponibilidad[],15,FALSE), 0)</f>
        <v>0</v>
      </c>
      <c r="L213">
        <f>IFERROR(VLOOKUP(Tabla1[[#This Row],[SISMED]],TblDisponibilidad[],16,FALSE), 0)</f>
        <v>0</v>
      </c>
      <c r="M213">
        <f>IFERROR(VLOOKUP(Tabla1[[#This Row],[SISMED]],TblDisponibilidad[],17,FALSE), 0)</f>
        <v>0</v>
      </c>
      <c r="N213">
        <f>IFERROR(VLOOKUP(Tabla1[[#This Row],[SISMED]],TblDisponibilidad[],18,FALSE), 0)</f>
        <v>0</v>
      </c>
      <c r="O213">
        <f>IFERROR(VLOOKUP(Tabla1[[#This Row],[SISMED]],TblDisponibilidad[],19,FALSE), 0)</f>
        <v>0</v>
      </c>
      <c r="P213">
        <f>IFERROR(VLOOKUP(Tabla1[[#This Row],[SISMED]],TblDisponibilidad[],20,FALSE), 0)</f>
        <v>0</v>
      </c>
      <c r="Q213">
        <f>IFERROR(VLOOKUP(Tabla1[[#This Row],[SISMED]],TblDisponibilidad[],21,FALSE), 0)</f>
        <v>0</v>
      </c>
      <c r="R213">
        <f>IFERROR(VLOOKUP(Tabla1[[#This Row],[SISMED]],TblDisponibilidad[],22,FALSE), 0)</f>
        <v>0</v>
      </c>
      <c r="S213" s="15">
        <f>IFERROR(VLOOKUP(Tabla1[[#This Row],[SISMED]],TblDisponibilidad[],23,FALSE), 0)</f>
        <v>0</v>
      </c>
    </row>
    <row r="214" spans="1:19" x14ac:dyDescent="0.3">
      <c r="A214" s="15" t="s">
        <v>244</v>
      </c>
      <c r="B214" t="str">
        <f>IFERROR(VLOOKUP(Tabla1[[#This Row],[SISMED]],TblDisponibilidad[],2,FALSE), "")</f>
        <v/>
      </c>
      <c r="C214">
        <f>IFERROR(VLOOKUP(Tabla1[[#This Row],[SISMED]],TblDisponibilidad[],7,FALSE), 0)</f>
        <v>0</v>
      </c>
      <c r="D214">
        <f>IFERROR(VLOOKUP(Tabla1[[#This Row],[SISMED]],TblDisponibilidad[],8,FALSE), 0)</f>
        <v>0</v>
      </c>
      <c r="E214">
        <f>IFERROR(VLOOKUP(Tabla1[[#This Row],[SISMED]],TblDisponibilidad[],9,FALSE), 0)</f>
        <v>0</v>
      </c>
      <c r="F214">
        <f>IFERROR(VLOOKUP(Tabla1[[#This Row],[SISMED]],TblDisponibilidad[],10,FALSE), 0)</f>
        <v>0</v>
      </c>
      <c r="G214">
        <f>IFERROR(VLOOKUP(Tabla1[[#This Row],[SISMED]],TblDisponibilidad[],11,FALSE), 0)</f>
        <v>0</v>
      </c>
      <c r="H214">
        <f>IFERROR(VLOOKUP(Tabla1[[#This Row],[SISMED]],TblDisponibilidad[],12,FALSE), 0)</f>
        <v>0</v>
      </c>
      <c r="I214">
        <f>IFERROR(VLOOKUP(Tabla1[[#This Row],[SISMED]],TblDisponibilidad[],13,FALSE), 0)</f>
        <v>0</v>
      </c>
      <c r="J214">
        <f>IFERROR(VLOOKUP(Tabla1[[#This Row],[SISMED]],TblDisponibilidad[],14,FALSE), 0)</f>
        <v>0</v>
      </c>
      <c r="K214">
        <f>IFERROR(VLOOKUP(Tabla1[[#This Row],[SISMED]],TblDisponibilidad[],15,FALSE), 0)</f>
        <v>0</v>
      </c>
      <c r="L214">
        <f>IFERROR(VLOOKUP(Tabla1[[#This Row],[SISMED]],TblDisponibilidad[],16,FALSE), 0)</f>
        <v>0</v>
      </c>
      <c r="M214">
        <f>IFERROR(VLOOKUP(Tabla1[[#This Row],[SISMED]],TblDisponibilidad[],17,FALSE), 0)</f>
        <v>0</v>
      </c>
      <c r="N214">
        <f>IFERROR(VLOOKUP(Tabla1[[#This Row],[SISMED]],TblDisponibilidad[],18,FALSE), 0)</f>
        <v>0</v>
      </c>
      <c r="O214">
        <f>IFERROR(VLOOKUP(Tabla1[[#This Row],[SISMED]],TblDisponibilidad[],19,FALSE), 0)</f>
        <v>0</v>
      </c>
      <c r="P214">
        <f>IFERROR(VLOOKUP(Tabla1[[#This Row],[SISMED]],TblDisponibilidad[],20,FALSE), 0)</f>
        <v>0</v>
      </c>
      <c r="Q214">
        <f>IFERROR(VLOOKUP(Tabla1[[#This Row],[SISMED]],TblDisponibilidad[],21,FALSE), 0)</f>
        <v>0</v>
      </c>
      <c r="R214">
        <f>IFERROR(VLOOKUP(Tabla1[[#This Row],[SISMED]],TblDisponibilidad[],22,FALSE), 0)</f>
        <v>0</v>
      </c>
      <c r="S214" s="15">
        <f>IFERROR(VLOOKUP(Tabla1[[#This Row],[SISMED]],TblDisponibilidad[],23,FALSE), 0)</f>
        <v>0</v>
      </c>
    </row>
    <row r="215" spans="1:19" x14ac:dyDescent="0.3">
      <c r="A215" s="15" t="s">
        <v>245</v>
      </c>
      <c r="B215" t="str">
        <f>IFERROR(VLOOKUP(Tabla1[[#This Row],[SISMED]],TblDisponibilidad[],2,FALSE), "")</f>
        <v/>
      </c>
      <c r="C215">
        <f>IFERROR(VLOOKUP(Tabla1[[#This Row],[SISMED]],TblDisponibilidad[],7,FALSE), 0)</f>
        <v>0</v>
      </c>
      <c r="D215">
        <f>IFERROR(VLOOKUP(Tabla1[[#This Row],[SISMED]],TblDisponibilidad[],8,FALSE), 0)</f>
        <v>0</v>
      </c>
      <c r="E215">
        <f>IFERROR(VLOOKUP(Tabla1[[#This Row],[SISMED]],TblDisponibilidad[],9,FALSE), 0)</f>
        <v>0</v>
      </c>
      <c r="F215">
        <f>IFERROR(VLOOKUP(Tabla1[[#This Row],[SISMED]],TblDisponibilidad[],10,FALSE), 0)</f>
        <v>0</v>
      </c>
      <c r="G215">
        <f>IFERROR(VLOOKUP(Tabla1[[#This Row],[SISMED]],TblDisponibilidad[],11,FALSE), 0)</f>
        <v>0</v>
      </c>
      <c r="H215">
        <f>IFERROR(VLOOKUP(Tabla1[[#This Row],[SISMED]],TblDisponibilidad[],12,FALSE), 0)</f>
        <v>0</v>
      </c>
      <c r="I215">
        <f>IFERROR(VLOOKUP(Tabla1[[#This Row],[SISMED]],TblDisponibilidad[],13,FALSE), 0)</f>
        <v>0</v>
      </c>
      <c r="J215">
        <f>IFERROR(VLOOKUP(Tabla1[[#This Row],[SISMED]],TblDisponibilidad[],14,FALSE), 0)</f>
        <v>0</v>
      </c>
      <c r="K215">
        <f>IFERROR(VLOOKUP(Tabla1[[#This Row],[SISMED]],TblDisponibilidad[],15,FALSE), 0)</f>
        <v>0</v>
      </c>
      <c r="L215">
        <f>IFERROR(VLOOKUP(Tabla1[[#This Row],[SISMED]],TblDisponibilidad[],16,FALSE), 0)</f>
        <v>0</v>
      </c>
      <c r="M215">
        <f>IFERROR(VLOOKUP(Tabla1[[#This Row],[SISMED]],TblDisponibilidad[],17,FALSE), 0)</f>
        <v>0</v>
      </c>
      <c r="N215">
        <f>IFERROR(VLOOKUP(Tabla1[[#This Row],[SISMED]],TblDisponibilidad[],18,FALSE), 0)</f>
        <v>0</v>
      </c>
      <c r="O215">
        <f>IFERROR(VLOOKUP(Tabla1[[#This Row],[SISMED]],TblDisponibilidad[],19,FALSE), 0)</f>
        <v>0</v>
      </c>
      <c r="P215">
        <f>IFERROR(VLOOKUP(Tabla1[[#This Row],[SISMED]],TblDisponibilidad[],20,FALSE), 0)</f>
        <v>0</v>
      </c>
      <c r="Q215">
        <f>IFERROR(VLOOKUP(Tabla1[[#This Row],[SISMED]],TblDisponibilidad[],21,FALSE), 0)</f>
        <v>0</v>
      </c>
      <c r="R215">
        <f>IFERROR(VLOOKUP(Tabla1[[#This Row],[SISMED]],TblDisponibilidad[],22,FALSE), 0)</f>
        <v>0</v>
      </c>
      <c r="S215" s="15">
        <f>IFERROR(VLOOKUP(Tabla1[[#This Row],[SISMED]],TblDisponibilidad[],23,FALSE), 0)</f>
        <v>0</v>
      </c>
    </row>
    <row r="216" spans="1:19" x14ac:dyDescent="0.3">
      <c r="A216" s="15" t="s">
        <v>246</v>
      </c>
      <c r="B216" t="str">
        <f>IFERROR(VLOOKUP(Tabla1[[#This Row],[SISMED]],TblDisponibilidad[],2,FALSE), "")</f>
        <v/>
      </c>
      <c r="C216">
        <f>IFERROR(VLOOKUP(Tabla1[[#This Row],[SISMED]],TblDisponibilidad[],7,FALSE), 0)</f>
        <v>0</v>
      </c>
      <c r="D216">
        <f>IFERROR(VLOOKUP(Tabla1[[#This Row],[SISMED]],TblDisponibilidad[],8,FALSE), 0)</f>
        <v>0</v>
      </c>
      <c r="E216">
        <f>IFERROR(VLOOKUP(Tabla1[[#This Row],[SISMED]],TblDisponibilidad[],9,FALSE), 0)</f>
        <v>0</v>
      </c>
      <c r="F216">
        <f>IFERROR(VLOOKUP(Tabla1[[#This Row],[SISMED]],TblDisponibilidad[],10,FALSE), 0)</f>
        <v>0</v>
      </c>
      <c r="G216">
        <f>IFERROR(VLOOKUP(Tabla1[[#This Row],[SISMED]],TblDisponibilidad[],11,FALSE), 0)</f>
        <v>0</v>
      </c>
      <c r="H216">
        <f>IFERROR(VLOOKUP(Tabla1[[#This Row],[SISMED]],TblDisponibilidad[],12,FALSE), 0)</f>
        <v>0</v>
      </c>
      <c r="I216">
        <f>IFERROR(VLOOKUP(Tabla1[[#This Row],[SISMED]],TblDisponibilidad[],13,FALSE), 0)</f>
        <v>0</v>
      </c>
      <c r="J216">
        <f>IFERROR(VLOOKUP(Tabla1[[#This Row],[SISMED]],TblDisponibilidad[],14,FALSE), 0)</f>
        <v>0</v>
      </c>
      <c r="K216">
        <f>IFERROR(VLOOKUP(Tabla1[[#This Row],[SISMED]],TblDisponibilidad[],15,FALSE), 0)</f>
        <v>0</v>
      </c>
      <c r="L216">
        <f>IFERROR(VLOOKUP(Tabla1[[#This Row],[SISMED]],TblDisponibilidad[],16,FALSE), 0)</f>
        <v>0</v>
      </c>
      <c r="M216">
        <f>IFERROR(VLOOKUP(Tabla1[[#This Row],[SISMED]],TblDisponibilidad[],17,FALSE), 0)</f>
        <v>0</v>
      </c>
      <c r="N216">
        <f>IFERROR(VLOOKUP(Tabla1[[#This Row],[SISMED]],TblDisponibilidad[],18,FALSE), 0)</f>
        <v>0</v>
      </c>
      <c r="O216">
        <f>IFERROR(VLOOKUP(Tabla1[[#This Row],[SISMED]],TblDisponibilidad[],19,FALSE), 0)</f>
        <v>0</v>
      </c>
      <c r="P216">
        <f>IFERROR(VLOOKUP(Tabla1[[#This Row],[SISMED]],TblDisponibilidad[],20,FALSE), 0)</f>
        <v>0</v>
      </c>
      <c r="Q216">
        <f>IFERROR(VLOOKUP(Tabla1[[#This Row],[SISMED]],TblDisponibilidad[],21,FALSE), 0)</f>
        <v>0</v>
      </c>
      <c r="R216">
        <f>IFERROR(VLOOKUP(Tabla1[[#This Row],[SISMED]],TblDisponibilidad[],22,FALSE), 0)</f>
        <v>0</v>
      </c>
      <c r="S216" s="15">
        <f>IFERROR(VLOOKUP(Tabla1[[#This Row],[SISMED]],TblDisponibilidad[],23,FALSE), 0)</f>
        <v>0</v>
      </c>
    </row>
    <row r="217" spans="1:19" x14ac:dyDescent="0.3">
      <c r="A217" s="15" t="s">
        <v>247</v>
      </c>
      <c r="B217" t="str">
        <f>IFERROR(VLOOKUP(Tabla1[[#This Row],[SISMED]],TblDisponibilidad[],2,FALSE), "")</f>
        <v/>
      </c>
      <c r="C217">
        <f>IFERROR(VLOOKUP(Tabla1[[#This Row],[SISMED]],TblDisponibilidad[],7,FALSE), 0)</f>
        <v>0</v>
      </c>
      <c r="D217">
        <f>IFERROR(VLOOKUP(Tabla1[[#This Row],[SISMED]],TblDisponibilidad[],8,FALSE), 0)</f>
        <v>0</v>
      </c>
      <c r="E217">
        <f>IFERROR(VLOOKUP(Tabla1[[#This Row],[SISMED]],TblDisponibilidad[],9,FALSE), 0)</f>
        <v>0</v>
      </c>
      <c r="F217">
        <f>IFERROR(VLOOKUP(Tabla1[[#This Row],[SISMED]],TblDisponibilidad[],10,FALSE), 0)</f>
        <v>0</v>
      </c>
      <c r="G217">
        <f>IFERROR(VLOOKUP(Tabla1[[#This Row],[SISMED]],TblDisponibilidad[],11,FALSE), 0)</f>
        <v>0</v>
      </c>
      <c r="H217">
        <f>IFERROR(VLOOKUP(Tabla1[[#This Row],[SISMED]],TblDisponibilidad[],12,FALSE), 0)</f>
        <v>0</v>
      </c>
      <c r="I217">
        <f>IFERROR(VLOOKUP(Tabla1[[#This Row],[SISMED]],TblDisponibilidad[],13,FALSE), 0)</f>
        <v>0</v>
      </c>
      <c r="J217">
        <f>IFERROR(VLOOKUP(Tabla1[[#This Row],[SISMED]],TblDisponibilidad[],14,FALSE), 0)</f>
        <v>0</v>
      </c>
      <c r="K217">
        <f>IFERROR(VLOOKUP(Tabla1[[#This Row],[SISMED]],TblDisponibilidad[],15,FALSE), 0)</f>
        <v>0</v>
      </c>
      <c r="L217">
        <f>IFERROR(VLOOKUP(Tabla1[[#This Row],[SISMED]],TblDisponibilidad[],16,FALSE), 0)</f>
        <v>0</v>
      </c>
      <c r="M217">
        <f>IFERROR(VLOOKUP(Tabla1[[#This Row],[SISMED]],TblDisponibilidad[],17,FALSE), 0)</f>
        <v>0</v>
      </c>
      <c r="N217">
        <f>IFERROR(VLOOKUP(Tabla1[[#This Row],[SISMED]],TblDisponibilidad[],18,FALSE), 0)</f>
        <v>0</v>
      </c>
      <c r="O217">
        <f>IFERROR(VLOOKUP(Tabla1[[#This Row],[SISMED]],TblDisponibilidad[],19,FALSE), 0)</f>
        <v>0</v>
      </c>
      <c r="P217">
        <f>IFERROR(VLOOKUP(Tabla1[[#This Row],[SISMED]],TblDisponibilidad[],20,FALSE), 0)</f>
        <v>0</v>
      </c>
      <c r="Q217">
        <f>IFERROR(VLOOKUP(Tabla1[[#This Row],[SISMED]],TblDisponibilidad[],21,FALSE), 0)</f>
        <v>0</v>
      </c>
      <c r="R217">
        <f>IFERROR(VLOOKUP(Tabla1[[#This Row],[SISMED]],TblDisponibilidad[],22,FALSE), 0)</f>
        <v>0</v>
      </c>
      <c r="S217" s="15">
        <f>IFERROR(VLOOKUP(Tabla1[[#This Row],[SISMED]],TblDisponibilidad[],23,FALSE), 0)</f>
        <v>0</v>
      </c>
    </row>
    <row r="218" spans="1:19" x14ac:dyDescent="0.3">
      <c r="A218" s="15" t="s">
        <v>248</v>
      </c>
      <c r="B218" t="str">
        <f>IFERROR(VLOOKUP(Tabla1[[#This Row],[SISMED]],TblDisponibilidad[],2,FALSE), "")</f>
        <v/>
      </c>
      <c r="C218">
        <f>IFERROR(VLOOKUP(Tabla1[[#This Row],[SISMED]],TblDisponibilidad[],7,FALSE), 0)</f>
        <v>0</v>
      </c>
      <c r="D218">
        <f>IFERROR(VLOOKUP(Tabla1[[#This Row],[SISMED]],TblDisponibilidad[],8,FALSE), 0)</f>
        <v>0</v>
      </c>
      <c r="E218">
        <f>IFERROR(VLOOKUP(Tabla1[[#This Row],[SISMED]],TblDisponibilidad[],9,FALSE), 0)</f>
        <v>0</v>
      </c>
      <c r="F218">
        <f>IFERROR(VLOOKUP(Tabla1[[#This Row],[SISMED]],TblDisponibilidad[],10,FALSE), 0)</f>
        <v>0</v>
      </c>
      <c r="G218">
        <f>IFERROR(VLOOKUP(Tabla1[[#This Row],[SISMED]],TblDisponibilidad[],11,FALSE), 0)</f>
        <v>0</v>
      </c>
      <c r="H218">
        <f>IFERROR(VLOOKUP(Tabla1[[#This Row],[SISMED]],TblDisponibilidad[],12,FALSE), 0)</f>
        <v>0</v>
      </c>
      <c r="I218">
        <f>IFERROR(VLOOKUP(Tabla1[[#This Row],[SISMED]],TblDisponibilidad[],13,FALSE), 0)</f>
        <v>0</v>
      </c>
      <c r="J218">
        <f>IFERROR(VLOOKUP(Tabla1[[#This Row],[SISMED]],TblDisponibilidad[],14,FALSE), 0)</f>
        <v>0</v>
      </c>
      <c r="K218">
        <f>IFERROR(VLOOKUP(Tabla1[[#This Row],[SISMED]],TblDisponibilidad[],15,FALSE), 0)</f>
        <v>0</v>
      </c>
      <c r="L218">
        <f>IFERROR(VLOOKUP(Tabla1[[#This Row],[SISMED]],TblDisponibilidad[],16,FALSE), 0)</f>
        <v>0</v>
      </c>
      <c r="M218">
        <f>IFERROR(VLOOKUP(Tabla1[[#This Row],[SISMED]],TblDisponibilidad[],17,FALSE), 0)</f>
        <v>0</v>
      </c>
      <c r="N218">
        <f>IFERROR(VLOOKUP(Tabla1[[#This Row],[SISMED]],TblDisponibilidad[],18,FALSE), 0)</f>
        <v>0</v>
      </c>
      <c r="O218">
        <f>IFERROR(VLOOKUP(Tabla1[[#This Row],[SISMED]],TblDisponibilidad[],19,FALSE), 0)</f>
        <v>0</v>
      </c>
      <c r="P218">
        <f>IFERROR(VLOOKUP(Tabla1[[#This Row],[SISMED]],TblDisponibilidad[],20,FALSE), 0)</f>
        <v>0</v>
      </c>
      <c r="Q218">
        <f>IFERROR(VLOOKUP(Tabla1[[#This Row],[SISMED]],TblDisponibilidad[],21,FALSE), 0)</f>
        <v>0</v>
      </c>
      <c r="R218">
        <f>IFERROR(VLOOKUP(Tabla1[[#This Row],[SISMED]],TblDisponibilidad[],22,FALSE), 0)</f>
        <v>0</v>
      </c>
      <c r="S218" s="15">
        <f>IFERROR(VLOOKUP(Tabla1[[#This Row],[SISMED]],TblDisponibilidad[],23,FALSE), 0)</f>
        <v>0</v>
      </c>
    </row>
    <row r="219" spans="1:19" x14ac:dyDescent="0.3">
      <c r="A219" s="15" t="s">
        <v>249</v>
      </c>
      <c r="B219" t="str">
        <f>IFERROR(VLOOKUP(Tabla1[[#This Row],[SISMED]],TblDisponibilidad[],2,FALSE), "")</f>
        <v/>
      </c>
      <c r="C219">
        <f>IFERROR(VLOOKUP(Tabla1[[#This Row],[SISMED]],TblDisponibilidad[],7,FALSE), 0)</f>
        <v>0</v>
      </c>
      <c r="D219">
        <f>IFERROR(VLOOKUP(Tabla1[[#This Row],[SISMED]],TblDisponibilidad[],8,FALSE), 0)</f>
        <v>0</v>
      </c>
      <c r="E219">
        <f>IFERROR(VLOOKUP(Tabla1[[#This Row],[SISMED]],TblDisponibilidad[],9,FALSE), 0)</f>
        <v>0</v>
      </c>
      <c r="F219">
        <f>IFERROR(VLOOKUP(Tabla1[[#This Row],[SISMED]],TblDisponibilidad[],10,FALSE), 0)</f>
        <v>0</v>
      </c>
      <c r="G219">
        <f>IFERROR(VLOOKUP(Tabla1[[#This Row],[SISMED]],TblDisponibilidad[],11,FALSE), 0)</f>
        <v>0</v>
      </c>
      <c r="H219">
        <f>IFERROR(VLOOKUP(Tabla1[[#This Row],[SISMED]],TblDisponibilidad[],12,FALSE), 0)</f>
        <v>0</v>
      </c>
      <c r="I219">
        <f>IFERROR(VLOOKUP(Tabla1[[#This Row],[SISMED]],TblDisponibilidad[],13,FALSE), 0)</f>
        <v>0</v>
      </c>
      <c r="J219">
        <f>IFERROR(VLOOKUP(Tabla1[[#This Row],[SISMED]],TblDisponibilidad[],14,FALSE), 0)</f>
        <v>0</v>
      </c>
      <c r="K219">
        <f>IFERROR(VLOOKUP(Tabla1[[#This Row],[SISMED]],TblDisponibilidad[],15,FALSE), 0)</f>
        <v>0</v>
      </c>
      <c r="L219">
        <f>IFERROR(VLOOKUP(Tabla1[[#This Row],[SISMED]],TblDisponibilidad[],16,FALSE), 0)</f>
        <v>0</v>
      </c>
      <c r="M219">
        <f>IFERROR(VLOOKUP(Tabla1[[#This Row],[SISMED]],TblDisponibilidad[],17,FALSE), 0)</f>
        <v>0</v>
      </c>
      <c r="N219">
        <f>IFERROR(VLOOKUP(Tabla1[[#This Row],[SISMED]],TblDisponibilidad[],18,FALSE), 0)</f>
        <v>0</v>
      </c>
      <c r="O219">
        <f>IFERROR(VLOOKUP(Tabla1[[#This Row],[SISMED]],TblDisponibilidad[],19,FALSE), 0)</f>
        <v>0</v>
      </c>
      <c r="P219">
        <f>IFERROR(VLOOKUP(Tabla1[[#This Row],[SISMED]],TblDisponibilidad[],20,FALSE), 0)</f>
        <v>0</v>
      </c>
      <c r="Q219">
        <f>IFERROR(VLOOKUP(Tabla1[[#This Row],[SISMED]],TblDisponibilidad[],21,FALSE), 0)</f>
        <v>0</v>
      </c>
      <c r="R219">
        <f>IFERROR(VLOOKUP(Tabla1[[#This Row],[SISMED]],TblDisponibilidad[],22,FALSE), 0)</f>
        <v>0</v>
      </c>
      <c r="S219" s="15">
        <f>IFERROR(VLOOKUP(Tabla1[[#This Row],[SISMED]],TblDisponibilidad[],23,FALSE), 0)</f>
        <v>0</v>
      </c>
    </row>
    <row r="220" spans="1:19" x14ac:dyDescent="0.3">
      <c r="A220" s="15" t="s">
        <v>250</v>
      </c>
      <c r="B220" t="str">
        <f>IFERROR(VLOOKUP(Tabla1[[#This Row],[SISMED]],TblDisponibilidad[],2,FALSE), "")</f>
        <v/>
      </c>
      <c r="C220">
        <f>IFERROR(VLOOKUP(Tabla1[[#This Row],[SISMED]],TblDisponibilidad[],7,FALSE), 0)</f>
        <v>0</v>
      </c>
      <c r="D220">
        <f>IFERROR(VLOOKUP(Tabla1[[#This Row],[SISMED]],TblDisponibilidad[],8,FALSE), 0)</f>
        <v>0</v>
      </c>
      <c r="E220">
        <f>IFERROR(VLOOKUP(Tabla1[[#This Row],[SISMED]],TblDisponibilidad[],9,FALSE), 0)</f>
        <v>0</v>
      </c>
      <c r="F220">
        <f>IFERROR(VLOOKUP(Tabla1[[#This Row],[SISMED]],TblDisponibilidad[],10,FALSE), 0)</f>
        <v>0</v>
      </c>
      <c r="G220">
        <f>IFERROR(VLOOKUP(Tabla1[[#This Row],[SISMED]],TblDisponibilidad[],11,FALSE), 0)</f>
        <v>0</v>
      </c>
      <c r="H220">
        <f>IFERROR(VLOOKUP(Tabla1[[#This Row],[SISMED]],TblDisponibilidad[],12,FALSE), 0)</f>
        <v>0</v>
      </c>
      <c r="I220">
        <f>IFERROR(VLOOKUP(Tabla1[[#This Row],[SISMED]],TblDisponibilidad[],13,FALSE), 0)</f>
        <v>0</v>
      </c>
      <c r="J220">
        <f>IFERROR(VLOOKUP(Tabla1[[#This Row],[SISMED]],TblDisponibilidad[],14,FALSE), 0)</f>
        <v>0</v>
      </c>
      <c r="K220">
        <f>IFERROR(VLOOKUP(Tabla1[[#This Row],[SISMED]],TblDisponibilidad[],15,FALSE), 0)</f>
        <v>0</v>
      </c>
      <c r="L220">
        <f>IFERROR(VLOOKUP(Tabla1[[#This Row],[SISMED]],TblDisponibilidad[],16,FALSE), 0)</f>
        <v>0</v>
      </c>
      <c r="M220">
        <f>IFERROR(VLOOKUP(Tabla1[[#This Row],[SISMED]],TblDisponibilidad[],17,FALSE), 0)</f>
        <v>0</v>
      </c>
      <c r="N220">
        <f>IFERROR(VLOOKUP(Tabla1[[#This Row],[SISMED]],TblDisponibilidad[],18,FALSE), 0)</f>
        <v>0</v>
      </c>
      <c r="O220">
        <f>IFERROR(VLOOKUP(Tabla1[[#This Row],[SISMED]],TblDisponibilidad[],19,FALSE), 0)</f>
        <v>0</v>
      </c>
      <c r="P220">
        <f>IFERROR(VLOOKUP(Tabla1[[#This Row],[SISMED]],TblDisponibilidad[],20,FALSE), 0)</f>
        <v>0</v>
      </c>
      <c r="Q220">
        <f>IFERROR(VLOOKUP(Tabla1[[#This Row],[SISMED]],TblDisponibilidad[],21,FALSE), 0)</f>
        <v>0</v>
      </c>
      <c r="R220">
        <f>IFERROR(VLOOKUP(Tabla1[[#This Row],[SISMED]],TblDisponibilidad[],22,FALSE), 0)</f>
        <v>0</v>
      </c>
      <c r="S220" s="15">
        <f>IFERROR(VLOOKUP(Tabla1[[#This Row],[SISMED]],TblDisponibilidad[],23,FALSE), 0)</f>
        <v>0</v>
      </c>
    </row>
    <row r="221" spans="1:19" x14ac:dyDescent="0.3">
      <c r="A221" s="15" t="s">
        <v>251</v>
      </c>
      <c r="B221" t="str">
        <f>IFERROR(VLOOKUP(Tabla1[[#This Row],[SISMED]],TblDisponibilidad[],2,FALSE), "")</f>
        <v/>
      </c>
      <c r="C221">
        <f>IFERROR(VLOOKUP(Tabla1[[#This Row],[SISMED]],TblDisponibilidad[],7,FALSE), 0)</f>
        <v>0</v>
      </c>
      <c r="D221">
        <f>IFERROR(VLOOKUP(Tabla1[[#This Row],[SISMED]],TblDisponibilidad[],8,FALSE), 0)</f>
        <v>0</v>
      </c>
      <c r="E221">
        <f>IFERROR(VLOOKUP(Tabla1[[#This Row],[SISMED]],TblDisponibilidad[],9,FALSE), 0)</f>
        <v>0</v>
      </c>
      <c r="F221">
        <f>IFERROR(VLOOKUP(Tabla1[[#This Row],[SISMED]],TblDisponibilidad[],10,FALSE), 0)</f>
        <v>0</v>
      </c>
      <c r="G221">
        <f>IFERROR(VLOOKUP(Tabla1[[#This Row],[SISMED]],TblDisponibilidad[],11,FALSE), 0)</f>
        <v>0</v>
      </c>
      <c r="H221">
        <f>IFERROR(VLOOKUP(Tabla1[[#This Row],[SISMED]],TblDisponibilidad[],12,FALSE), 0)</f>
        <v>0</v>
      </c>
      <c r="I221">
        <f>IFERROR(VLOOKUP(Tabla1[[#This Row],[SISMED]],TblDisponibilidad[],13,FALSE), 0)</f>
        <v>0</v>
      </c>
      <c r="J221">
        <f>IFERROR(VLOOKUP(Tabla1[[#This Row],[SISMED]],TblDisponibilidad[],14,FALSE), 0)</f>
        <v>0</v>
      </c>
      <c r="K221">
        <f>IFERROR(VLOOKUP(Tabla1[[#This Row],[SISMED]],TblDisponibilidad[],15,FALSE), 0)</f>
        <v>0</v>
      </c>
      <c r="L221">
        <f>IFERROR(VLOOKUP(Tabla1[[#This Row],[SISMED]],TblDisponibilidad[],16,FALSE), 0)</f>
        <v>0</v>
      </c>
      <c r="M221">
        <f>IFERROR(VLOOKUP(Tabla1[[#This Row],[SISMED]],TblDisponibilidad[],17,FALSE), 0)</f>
        <v>0</v>
      </c>
      <c r="N221">
        <f>IFERROR(VLOOKUP(Tabla1[[#This Row],[SISMED]],TblDisponibilidad[],18,FALSE), 0)</f>
        <v>0</v>
      </c>
      <c r="O221">
        <f>IFERROR(VLOOKUP(Tabla1[[#This Row],[SISMED]],TblDisponibilidad[],19,FALSE), 0)</f>
        <v>0</v>
      </c>
      <c r="P221">
        <f>IFERROR(VLOOKUP(Tabla1[[#This Row],[SISMED]],TblDisponibilidad[],20,FALSE), 0)</f>
        <v>0</v>
      </c>
      <c r="Q221">
        <f>IFERROR(VLOOKUP(Tabla1[[#This Row],[SISMED]],TblDisponibilidad[],21,FALSE), 0)</f>
        <v>0</v>
      </c>
      <c r="R221">
        <f>IFERROR(VLOOKUP(Tabla1[[#This Row],[SISMED]],TblDisponibilidad[],22,FALSE), 0)</f>
        <v>0</v>
      </c>
      <c r="S221" s="15">
        <f>IFERROR(VLOOKUP(Tabla1[[#This Row],[SISMED]],TblDisponibilidad[],23,FALSE), 0)</f>
        <v>0</v>
      </c>
    </row>
    <row r="222" spans="1:19" x14ac:dyDescent="0.3">
      <c r="A222" s="15" t="s">
        <v>252</v>
      </c>
      <c r="B222" t="str">
        <f>IFERROR(VLOOKUP(Tabla1[[#This Row],[SISMED]],TblDisponibilidad[],2,FALSE), "")</f>
        <v/>
      </c>
      <c r="C222">
        <f>IFERROR(VLOOKUP(Tabla1[[#This Row],[SISMED]],TblDisponibilidad[],7,FALSE), 0)</f>
        <v>0</v>
      </c>
      <c r="D222">
        <f>IFERROR(VLOOKUP(Tabla1[[#This Row],[SISMED]],TblDisponibilidad[],8,FALSE), 0)</f>
        <v>0</v>
      </c>
      <c r="E222">
        <f>IFERROR(VLOOKUP(Tabla1[[#This Row],[SISMED]],TblDisponibilidad[],9,FALSE), 0)</f>
        <v>0</v>
      </c>
      <c r="F222">
        <f>IFERROR(VLOOKUP(Tabla1[[#This Row],[SISMED]],TblDisponibilidad[],10,FALSE), 0)</f>
        <v>0</v>
      </c>
      <c r="G222">
        <f>IFERROR(VLOOKUP(Tabla1[[#This Row],[SISMED]],TblDisponibilidad[],11,FALSE), 0)</f>
        <v>0</v>
      </c>
      <c r="H222">
        <f>IFERROR(VLOOKUP(Tabla1[[#This Row],[SISMED]],TblDisponibilidad[],12,FALSE), 0)</f>
        <v>0</v>
      </c>
      <c r="I222">
        <f>IFERROR(VLOOKUP(Tabla1[[#This Row],[SISMED]],TblDisponibilidad[],13,FALSE), 0)</f>
        <v>0</v>
      </c>
      <c r="J222">
        <f>IFERROR(VLOOKUP(Tabla1[[#This Row],[SISMED]],TblDisponibilidad[],14,FALSE), 0)</f>
        <v>0</v>
      </c>
      <c r="K222">
        <f>IFERROR(VLOOKUP(Tabla1[[#This Row],[SISMED]],TblDisponibilidad[],15,FALSE), 0)</f>
        <v>0</v>
      </c>
      <c r="L222">
        <f>IFERROR(VLOOKUP(Tabla1[[#This Row],[SISMED]],TblDisponibilidad[],16,FALSE), 0)</f>
        <v>0</v>
      </c>
      <c r="M222">
        <f>IFERROR(VLOOKUP(Tabla1[[#This Row],[SISMED]],TblDisponibilidad[],17,FALSE), 0)</f>
        <v>0</v>
      </c>
      <c r="N222">
        <f>IFERROR(VLOOKUP(Tabla1[[#This Row],[SISMED]],TblDisponibilidad[],18,FALSE), 0)</f>
        <v>0</v>
      </c>
      <c r="O222">
        <f>IFERROR(VLOOKUP(Tabla1[[#This Row],[SISMED]],TblDisponibilidad[],19,FALSE), 0)</f>
        <v>0</v>
      </c>
      <c r="P222">
        <f>IFERROR(VLOOKUP(Tabla1[[#This Row],[SISMED]],TblDisponibilidad[],20,FALSE), 0)</f>
        <v>0</v>
      </c>
      <c r="Q222">
        <f>IFERROR(VLOOKUP(Tabla1[[#This Row],[SISMED]],TblDisponibilidad[],21,FALSE), 0)</f>
        <v>0</v>
      </c>
      <c r="R222">
        <f>IFERROR(VLOOKUP(Tabla1[[#This Row],[SISMED]],TblDisponibilidad[],22,FALSE), 0)</f>
        <v>0</v>
      </c>
      <c r="S222" s="15">
        <f>IFERROR(VLOOKUP(Tabla1[[#This Row],[SISMED]],TblDisponibilidad[],23,FALSE), 0)</f>
        <v>0</v>
      </c>
    </row>
    <row r="223" spans="1:19" x14ac:dyDescent="0.3">
      <c r="A223" s="15" t="s">
        <v>253</v>
      </c>
      <c r="B223" t="str">
        <f>IFERROR(VLOOKUP(Tabla1[[#This Row],[SISMED]],TblDisponibilidad[],2,FALSE), "")</f>
        <v/>
      </c>
      <c r="C223">
        <f>IFERROR(VLOOKUP(Tabla1[[#This Row],[SISMED]],TblDisponibilidad[],7,FALSE), 0)</f>
        <v>0</v>
      </c>
      <c r="D223">
        <f>IFERROR(VLOOKUP(Tabla1[[#This Row],[SISMED]],TblDisponibilidad[],8,FALSE), 0)</f>
        <v>0</v>
      </c>
      <c r="E223">
        <f>IFERROR(VLOOKUP(Tabla1[[#This Row],[SISMED]],TblDisponibilidad[],9,FALSE), 0)</f>
        <v>0</v>
      </c>
      <c r="F223">
        <f>IFERROR(VLOOKUP(Tabla1[[#This Row],[SISMED]],TblDisponibilidad[],10,FALSE), 0)</f>
        <v>0</v>
      </c>
      <c r="G223">
        <f>IFERROR(VLOOKUP(Tabla1[[#This Row],[SISMED]],TblDisponibilidad[],11,FALSE), 0)</f>
        <v>0</v>
      </c>
      <c r="H223">
        <f>IFERROR(VLOOKUP(Tabla1[[#This Row],[SISMED]],TblDisponibilidad[],12,FALSE), 0)</f>
        <v>0</v>
      </c>
      <c r="I223">
        <f>IFERROR(VLOOKUP(Tabla1[[#This Row],[SISMED]],TblDisponibilidad[],13,FALSE), 0)</f>
        <v>0</v>
      </c>
      <c r="J223">
        <f>IFERROR(VLOOKUP(Tabla1[[#This Row],[SISMED]],TblDisponibilidad[],14,FALSE), 0)</f>
        <v>0</v>
      </c>
      <c r="K223">
        <f>IFERROR(VLOOKUP(Tabla1[[#This Row],[SISMED]],TblDisponibilidad[],15,FALSE), 0)</f>
        <v>0</v>
      </c>
      <c r="L223">
        <f>IFERROR(VLOOKUP(Tabla1[[#This Row],[SISMED]],TblDisponibilidad[],16,FALSE), 0)</f>
        <v>0</v>
      </c>
      <c r="M223">
        <f>IFERROR(VLOOKUP(Tabla1[[#This Row],[SISMED]],TblDisponibilidad[],17,FALSE), 0)</f>
        <v>0</v>
      </c>
      <c r="N223">
        <f>IFERROR(VLOOKUP(Tabla1[[#This Row],[SISMED]],TblDisponibilidad[],18,FALSE), 0)</f>
        <v>0</v>
      </c>
      <c r="O223">
        <f>IFERROR(VLOOKUP(Tabla1[[#This Row],[SISMED]],TblDisponibilidad[],19,FALSE), 0)</f>
        <v>0</v>
      </c>
      <c r="P223">
        <f>IFERROR(VLOOKUP(Tabla1[[#This Row],[SISMED]],TblDisponibilidad[],20,FALSE), 0)</f>
        <v>0</v>
      </c>
      <c r="Q223">
        <f>IFERROR(VLOOKUP(Tabla1[[#This Row],[SISMED]],TblDisponibilidad[],21,FALSE), 0)</f>
        <v>0</v>
      </c>
      <c r="R223">
        <f>IFERROR(VLOOKUP(Tabla1[[#This Row],[SISMED]],TblDisponibilidad[],22,FALSE), 0)</f>
        <v>0</v>
      </c>
      <c r="S223" s="15">
        <f>IFERROR(VLOOKUP(Tabla1[[#This Row],[SISMED]],TblDisponibilidad[],23,FALSE), 0)</f>
        <v>0</v>
      </c>
    </row>
    <row r="224" spans="1:19" x14ac:dyDescent="0.3">
      <c r="A224" s="15" t="s">
        <v>254</v>
      </c>
      <c r="B224" t="str">
        <f>IFERROR(VLOOKUP(Tabla1[[#This Row],[SISMED]],TblDisponibilidad[],2,FALSE), "")</f>
        <v/>
      </c>
      <c r="C224">
        <f>IFERROR(VLOOKUP(Tabla1[[#This Row],[SISMED]],TblDisponibilidad[],7,FALSE), 0)</f>
        <v>0</v>
      </c>
      <c r="D224">
        <f>IFERROR(VLOOKUP(Tabla1[[#This Row],[SISMED]],TblDisponibilidad[],8,FALSE), 0)</f>
        <v>0</v>
      </c>
      <c r="E224">
        <f>IFERROR(VLOOKUP(Tabla1[[#This Row],[SISMED]],TblDisponibilidad[],9,FALSE), 0)</f>
        <v>0</v>
      </c>
      <c r="F224">
        <f>IFERROR(VLOOKUP(Tabla1[[#This Row],[SISMED]],TblDisponibilidad[],10,FALSE), 0)</f>
        <v>0</v>
      </c>
      <c r="G224">
        <f>IFERROR(VLOOKUP(Tabla1[[#This Row],[SISMED]],TblDisponibilidad[],11,FALSE), 0)</f>
        <v>0</v>
      </c>
      <c r="H224">
        <f>IFERROR(VLOOKUP(Tabla1[[#This Row],[SISMED]],TblDisponibilidad[],12,FALSE), 0)</f>
        <v>0</v>
      </c>
      <c r="I224">
        <f>IFERROR(VLOOKUP(Tabla1[[#This Row],[SISMED]],TblDisponibilidad[],13,FALSE), 0)</f>
        <v>0</v>
      </c>
      <c r="J224">
        <f>IFERROR(VLOOKUP(Tabla1[[#This Row],[SISMED]],TblDisponibilidad[],14,FALSE), 0)</f>
        <v>0</v>
      </c>
      <c r="K224">
        <f>IFERROR(VLOOKUP(Tabla1[[#This Row],[SISMED]],TblDisponibilidad[],15,FALSE), 0)</f>
        <v>0</v>
      </c>
      <c r="L224">
        <f>IFERROR(VLOOKUP(Tabla1[[#This Row],[SISMED]],TblDisponibilidad[],16,FALSE), 0)</f>
        <v>0</v>
      </c>
      <c r="M224">
        <f>IFERROR(VLOOKUP(Tabla1[[#This Row],[SISMED]],TblDisponibilidad[],17,FALSE), 0)</f>
        <v>0</v>
      </c>
      <c r="N224">
        <f>IFERROR(VLOOKUP(Tabla1[[#This Row],[SISMED]],TblDisponibilidad[],18,FALSE), 0)</f>
        <v>0</v>
      </c>
      <c r="O224">
        <f>IFERROR(VLOOKUP(Tabla1[[#This Row],[SISMED]],TblDisponibilidad[],19,FALSE), 0)</f>
        <v>0</v>
      </c>
      <c r="P224">
        <f>IFERROR(VLOOKUP(Tabla1[[#This Row],[SISMED]],TblDisponibilidad[],20,FALSE), 0)</f>
        <v>0</v>
      </c>
      <c r="Q224">
        <f>IFERROR(VLOOKUP(Tabla1[[#This Row],[SISMED]],TblDisponibilidad[],21,FALSE), 0)</f>
        <v>0</v>
      </c>
      <c r="R224">
        <f>IFERROR(VLOOKUP(Tabla1[[#This Row],[SISMED]],TblDisponibilidad[],22,FALSE), 0)</f>
        <v>0</v>
      </c>
      <c r="S224" s="15">
        <f>IFERROR(VLOOKUP(Tabla1[[#This Row],[SISMED]],TblDisponibilidad[],23,FALSE), 0)</f>
        <v>0</v>
      </c>
    </row>
    <row r="225" spans="1:19" x14ac:dyDescent="0.3">
      <c r="A225" s="15" t="s">
        <v>255</v>
      </c>
      <c r="B225" t="str">
        <f>IFERROR(VLOOKUP(Tabla1[[#This Row],[SISMED]],TblDisponibilidad[],2,FALSE), "")</f>
        <v/>
      </c>
      <c r="C225">
        <f>IFERROR(VLOOKUP(Tabla1[[#This Row],[SISMED]],TblDisponibilidad[],7,FALSE), 0)</f>
        <v>0</v>
      </c>
      <c r="D225">
        <f>IFERROR(VLOOKUP(Tabla1[[#This Row],[SISMED]],TblDisponibilidad[],8,FALSE), 0)</f>
        <v>0</v>
      </c>
      <c r="E225">
        <f>IFERROR(VLOOKUP(Tabla1[[#This Row],[SISMED]],TblDisponibilidad[],9,FALSE), 0)</f>
        <v>0</v>
      </c>
      <c r="F225">
        <f>IFERROR(VLOOKUP(Tabla1[[#This Row],[SISMED]],TblDisponibilidad[],10,FALSE), 0)</f>
        <v>0</v>
      </c>
      <c r="G225">
        <f>IFERROR(VLOOKUP(Tabla1[[#This Row],[SISMED]],TblDisponibilidad[],11,FALSE), 0)</f>
        <v>0</v>
      </c>
      <c r="H225">
        <f>IFERROR(VLOOKUP(Tabla1[[#This Row],[SISMED]],TblDisponibilidad[],12,FALSE), 0)</f>
        <v>0</v>
      </c>
      <c r="I225">
        <f>IFERROR(VLOOKUP(Tabla1[[#This Row],[SISMED]],TblDisponibilidad[],13,FALSE), 0)</f>
        <v>0</v>
      </c>
      <c r="J225">
        <f>IFERROR(VLOOKUP(Tabla1[[#This Row],[SISMED]],TblDisponibilidad[],14,FALSE), 0)</f>
        <v>0</v>
      </c>
      <c r="K225">
        <f>IFERROR(VLOOKUP(Tabla1[[#This Row],[SISMED]],TblDisponibilidad[],15,FALSE), 0)</f>
        <v>0</v>
      </c>
      <c r="L225">
        <f>IFERROR(VLOOKUP(Tabla1[[#This Row],[SISMED]],TblDisponibilidad[],16,FALSE), 0)</f>
        <v>0</v>
      </c>
      <c r="M225">
        <f>IFERROR(VLOOKUP(Tabla1[[#This Row],[SISMED]],TblDisponibilidad[],17,FALSE), 0)</f>
        <v>0</v>
      </c>
      <c r="N225">
        <f>IFERROR(VLOOKUP(Tabla1[[#This Row],[SISMED]],TblDisponibilidad[],18,FALSE), 0)</f>
        <v>0</v>
      </c>
      <c r="O225">
        <f>IFERROR(VLOOKUP(Tabla1[[#This Row],[SISMED]],TblDisponibilidad[],19,FALSE), 0)</f>
        <v>0</v>
      </c>
      <c r="P225">
        <f>IFERROR(VLOOKUP(Tabla1[[#This Row],[SISMED]],TblDisponibilidad[],20,FALSE), 0)</f>
        <v>0</v>
      </c>
      <c r="Q225">
        <f>IFERROR(VLOOKUP(Tabla1[[#This Row],[SISMED]],TblDisponibilidad[],21,FALSE), 0)</f>
        <v>0</v>
      </c>
      <c r="R225">
        <f>IFERROR(VLOOKUP(Tabla1[[#This Row],[SISMED]],TblDisponibilidad[],22,FALSE), 0)</f>
        <v>0</v>
      </c>
      <c r="S225" s="15">
        <f>IFERROR(VLOOKUP(Tabla1[[#This Row],[SISMED]],TblDisponibilidad[],23,FALSE), 0)</f>
        <v>0</v>
      </c>
    </row>
    <row r="226" spans="1:19" x14ac:dyDescent="0.3">
      <c r="A226" s="15" t="s">
        <v>256</v>
      </c>
      <c r="B226" t="str">
        <f>IFERROR(VLOOKUP(Tabla1[[#This Row],[SISMED]],TblDisponibilidad[],2,FALSE), "")</f>
        <v/>
      </c>
      <c r="C226">
        <f>IFERROR(VLOOKUP(Tabla1[[#This Row],[SISMED]],TblDisponibilidad[],7,FALSE), 0)</f>
        <v>0</v>
      </c>
      <c r="D226">
        <f>IFERROR(VLOOKUP(Tabla1[[#This Row],[SISMED]],TblDisponibilidad[],8,FALSE), 0)</f>
        <v>0</v>
      </c>
      <c r="E226">
        <f>IFERROR(VLOOKUP(Tabla1[[#This Row],[SISMED]],TblDisponibilidad[],9,FALSE), 0)</f>
        <v>0</v>
      </c>
      <c r="F226">
        <f>IFERROR(VLOOKUP(Tabla1[[#This Row],[SISMED]],TblDisponibilidad[],10,FALSE), 0)</f>
        <v>0</v>
      </c>
      <c r="G226">
        <f>IFERROR(VLOOKUP(Tabla1[[#This Row],[SISMED]],TblDisponibilidad[],11,FALSE), 0)</f>
        <v>0</v>
      </c>
      <c r="H226">
        <f>IFERROR(VLOOKUP(Tabla1[[#This Row],[SISMED]],TblDisponibilidad[],12,FALSE), 0)</f>
        <v>0</v>
      </c>
      <c r="I226">
        <f>IFERROR(VLOOKUP(Tabla1[[#This Row],[SISMED]],TblDisponibilidad[],13,FALSE), 0)</f>
        <v>0</v>
      </c>
      <c r="J226">
        <f>IFERROR(VLOOKUP(Tabla1[[#This Row],[SISMED]],TblDisponibilidad[],14,FALSE), 0)</f>
        <v>0</v>
      </c>
      <c r="K226">
        <f>IFERROR(VLOOKUP(Tabla1[[#This Row],[SISMED]],TblDisponibilidad[],15,FALSE), 0)</f>
        <v>0</v>
      </c>
      <c r="L226">
        <f>IFERROR(VLOOKUP(Tabla1[[#This Row],[SISMED]],TblDisponibilidad[],16,FALSE), 0)</f>
        <v>0</v>
      </c>
      <c r="M226">
        <f>IFERROR(VLOOKUP(Tabla1[[#This Row],[SISMED]],TblDisponibilidad[],17,FALSE), 0)</f>
        <v>0</v>
      </c>
      <c r="N226">
        <f>IFERROR(VLOOKUP(Tabla1[[#This Row],[SISMED]],TblDisponibilidad[],18,FALSE), 0)</f>
        <v>0</v>
      </c>
      <c r="O226">
        <f>IFERROR(VLOOKUP(Tabla1[[#This Row],[SISMED]],TblDisponibilidad[],19,FALSE), 0)</f>
        <v>0</v>
      </c>
      <c r="P226">
        <f>IFERROR(VLOOKUP(Tabla1[[#This Row],[SISMED]],TblDisponibilidad[],20,FALSE), 0)</f>
        <v>0</v>
      </c>
      <c r="Q226">
        <f>IFERROR(VLOOKUP(Tabla1[[#This Row],[SISMED]],TblDisponibilidad[],21,FALSE), 0)</f>
        <v>0</v>
      </c>
      <c r="R226">
        <f>IFERROR(VLOOKUP(Tabla1[[#This Row],[SISMED]],TblDisponibilidad[],22,FALSE), 0)</f>
        <v>0</v>
      </c>
      <c r="S226" s="15">
        <f>IFERROR(VLOOKUP(Tabla1[[#This Row],[SISMED]],TblDisponibilidad[],23,FALSE), 0)</f>
        <v>0</v>
      </c>
    </row>
    <row r="227" spans="1:19" x14ac:dyDescent="0.3">
      <c r="A227" s="15" t="s">
        <v>257</v>
      </c>
      <c r="B227" t="str">
        <f>IFERROR(VLOOKUP(Tabla1[[#This Row],[SISMED]],TblDisponibilidad[],2,FALSE), "")</f>
        <v/>
      </c>
      <c r="C227">
        <f>IFERROR(VLOOKUP(Tabla1[[#This Row],[SISMED]],TblDisponibilidad[],7,FALSE), 0)</f>
        <v>0</v>
      </c>
      <c r="D227">
        <f>IFERROR(VLOOKUP(Tabla1[[#This Row],[SISMED]],TblDisponibilidad[],8,FALSE), 0)</f>
        <v>0</v>
      </c>
      <c r="E227">
        <f>IFERROR(VLOOKUP(Tabla1[[#This Row],[SISMED]],TblDisponibilidad[],9,FALSE), 0)</f>
        <v>0</v>
      </c>
      <c r="F227">
        <f>IFERROR(VLOOKUP(Tabla1[[#This Row],[SISMED]],TblDisponibilidad[],10,FALSE), 0)</f>
        <v>0</v>
      </c>
      <c r="G227">
        <f>IFERROR(VLOOKUP(Tabla1[[#This Row],[SISMED]],TblDisponibilidad[],11,FALSE), 0)</f>
        <v>0</v>
      </c>
      <c r="H227">
        <f>IFERROR(VLOOKUP(Tabla1[[#This Row],[SISMED]],TblDisponibilidad[],12,FALSE), 0)</f>
        <v>0</v>
      </c>
      <c r="I227">
        <f>IFERROR(VLOOKUP(Tabla1[[#This Row],[SISMED]],TblDisponibilidad[],13,FALSE), 0)</f>
        <v>0</v>
      </c>
      <c r="J227">
        <f>IFERROR(VLOOKUP(Tabla1[[#This Row],[SISMED]],TblDisponibilidad[],14,FALSE), 0)</f>
        <v>0</v>
      </c>
      <c r="K227">
        <f>IFERROR(VLOOKUP(Tabla1[[#This Row],[SISMED]],TblDisponibilidad[],15,FALSE), 0)</f>
        <v>0</v>
      </c>
      <c r="L227">
        <f>IFERROR(VLOOKUP(Tabla1[[#This Row],[SISMED]],TblDisponibilidad[],16,FALSE), 0)</f>
        <v>0</v>
      </c>
      <c r="M227">
        <f>IFERROR(VLOOKUP(Tabla1[[#This Row],[SISMED]],TblDisponibilidad[],17,FALSE), 0)</f>
        <v>0</v>
      </c>
      <c r="N227">
        <f>IFERROR(VLOOKUP(Tabla1[[#This Row],[SISMED]],TblDisponibilidad[],18,FALSE), 0)</f>
        <v>0</v>
      </c>
      <c r="O227">
        <f>IFERROR(VLOOKUP(Tabla1[[#This Row],[SISMED]],TblDisponibilidad[],19,FALSE), 0)</f>
        <v>0</v>
      </c>
      <c r="P227">
        <f>IFERROR(VLOOKUP(Tabla1[[#This Row],[SISMED]],TblDisponibilidad[],20,FALSE), 0)</f>
        <v>0</v>
      </c>
      <c r="Q227">
        <f>IFERROR(VLOOKUP(Tabla1[[#This Row],[SISMED]],TblDisponibilidad[],21,FALSE), 0)</f>
        <v>0</v>
      </c>
      <c r="R227">
        <f>IFERROR(VLOOKUP(Tabla1[[#This Row],[SISMED]],TblDisponibilidad[],22,FALSE), 0)</f>
        <v>0</v>
      </c>
      <c r="S227" s="15">
        <f>IFERROR(VLOOKUP(Tabla1[[#This Row],[SISMED]],TblDisponibilidad[],23,FALSE), 0)</f>
        <v>0</v>
      </c>
    </row>
    <row r="228" spans="1:19" x14ac:dyDescent="0.3">
      <c r="A228" s="15" t="s">
        <v>258</v>
      </c>
      <c r="B228" t="str">
        <f>IFERROR(VLOOKUP(Tabla1[[#This Row],[SISMED]],TblDisponibilidad[],2,FALSE), "")</f>
        <v/>
      </c>
      <c r="C228">
        <f>IFERROR(VLOOKUP(Tabla1[[#This Row],[SISMED]],TblDisponibilidad[],7,FALSE), 0)</f>
        <v>0</v>
      </c>
      <c r="D228">
        <f>IFERROR(VLOOKUP(Tabla1[[#This Row],[SISMED]],TblDisponibilidad[],8,FALSE), 0)</f>
        <v>0</v>
      </c>
      <c r="E228">
        <f>IFERROR(VLOOKUP(Tabla1[[#This Row],[SISMED]],TblDisponibilidad[],9,FALSE), 0)</f>
        <v>0</v>
      </c>
      <c r="F228">
        <f>IFERROR(VLOOKUP(Tabla1[[#This Row],[SISMED]],TblDisponibilidad[],10,FALSE), 0)</f>
        <v>0</v>
      </c>
      <c r="G228">
        <f>IFERROR(VLOOKUP(Tabla1[[#This Row],[SISMED]],TblDisponibilidad[],11,FALSE), 0)</f>
        <v>0</v>
      </c>
      <c r="H228">
        <f>IFERROR(VLOOKUP(Tabla1[[#This Row],[SISMED]],TblDisponibilidad[],12,FALSE), 0)</f>
        <v>0</v>
      </c>
      <c r="I228">
        <f>IFERROR(VLOOKUP(Tabla1[[#This Row],[SISMED]],TblDisponibilidad[],13,FALSE), 0)</f>
        <v>0</v>
      </c>
      <c r="J228">
        <f>IFERROR(VLOOKUP(Tabla1[[#This Row],[SISMED]],TblDisponibilidad[],14,FALSE), 0)</f>
        <v>0</v>
      </c>
      <c r="K228">
        <f>IFERROR(VLOOKUP(Tabla1[[#This Row],[SISMED]],TblDisponibilidad[],15,FALSE), 0)</f>
        <v>0</v>
      </c>
      <c r="L228">
        <f>IFERROR(VLOOKUP(Tabla1[[#This Row],[SISMED]],TblDisponibilidad[],16,FALSE), 0)</f>
        <v>0</v>
      </c>
      <c r="M228">
        <f>IFERROR(VLOOKUP(Tabla1[[#This Row],[SISMED]],TblDisponibilidad[],17,FALSE), 0)</f>
        <v>0</v>
      </c>
      <c r="N228">
        <f>IFERROR(VLOOKUP(Tabla1[[#This Row],[SISMED]],TblDisponibilidad[],18,FALSE), 0)</f>
        <v>0</v>
      </c>
      <c r="O228">
        <f>IFERROR(VLOOKUP(Tabla1[[#This Row],[SISMED]],TblDisponibilidad[],19,FALSE), 0)</f>
        <v>0</v>
      </c>
      <c r="P228">
        <f>IFERROR(VLOOKUP(Tabla1[[#This Row],[SISMED]],TblDisponibilidad[],20,FALSE), 0)</f>
        <v>0</v>
      </c>
      <c r="Q228">
        <f>IFERROR(VLOOKUP(Tabla1[[#This Row],[SISMED]],TblDisponibilidad[],21,FALSE), 0)</f>
        <v>0</v>
      </c>
      <c r="R228">
        <f>IFERROR(VLOOKUP(Tabla1[[#This Row],[SISMED]],TblDisponibilidad[],22,FALSE), 0)</f>
        <v>0</v>
      </c>
      <c r="S228" s="15">
        <f>IFERROR(VLOOKUP(Tabla1[[#This Row],[SISMED]],TblDisponibilidad[],23,FALSE), 0)</f>
        <v>0</v>
      </c>
    </row>
    <row r="229" spans="1:19" x14ac:dyDescent="0.3">
      <c r="A229" s="15" t="s">
        <v>259</v>
      </c>
      <c r="B229" t="str">
        <f>IFERROR(VLOOKUP(Tabla1[[#This Row],[SISMED]],TblDisponibilidad[],2,FALSE), "")</f>
        <v/>
      </c>
      <c r="C229">
        <f>IFERROR(VLOOKUP(Tabla1[[#This Row],[SISMED]],TblDisponibilidad[],7,FALSE), 0)</f>
        <v>0</v>
      </c>
      <c r="D229">
        <f>IFERROR(VLOOKUP(Tabla1[[#This Row],[SISMED]],TblDisponibilidad[],8,FALSE), 0)</f>
        <v>0</v>
      </c>
      <c r="E229">
        <f>IFERROR(VLOOKUP(Tabla1[[#This Row],[SISMED]],TblDisponibilidad[],9,FALSE), 0)</f>
        <v>0</v>
      </c>
      <c r="F229">
        <f>IFERROR(VLOOKUP(Tabla1[[#This Row],[SISMED]],TblDisponibilidad[],10,FALSE), 0)</f>
        <v>0</v>
      </c>
      <c r="G229">
        <f>IFERROR(VLOOKUP(Tabla1[[#This Row],[SISMED]],TblDisponibilidad[],11,FALSE), 0)</f>
        <v>0</v>
      </c>
      <c r="H229">
        <f>IFERROR(VLOOKUP(Tabla1[[#This Row],[SISMED]],TblDisponibilidad[],12,FALSE), 0)</f>
        <v>0</v>
      </c>
      <c r="I229">
        <f>IFERROR(VLOOKUP(Tabla1[[#This Row],[SISMED]],TblDisponibilidad[],13,FALSE), 0)</f>
        <v>0</v>
      </c>
      <c r="J229">
        <f>IFERROR(VLOOKUP(Tabla1[[#This Row],[SISMED]],TblDisponibilidad[],14,FALSE), 0)</f>
        <v>0</v>
      </c>
      <c r="K229">
        <f>IFERROR(VLOOKUP(Tabla1[[#This Row],[SISMED]],TblDisponibilidad[],15,FALSE), 0)</f>
        <v>0</v>
      </c>
      <c r="L229">
        <f>IFERROR(VLOOKUP(Tabla1[[#This Row],[SISMED]],TblDisponibilidad[],16,FALSE), 0)</f>
        <v>0</v>
      </c>
      <c r="M229">
        <f>IFERROR(VLOOKUP(Tabla1[[#This Row],[SISMED]],TblDisponibilidad[],17,FALSE), 0)</f>
        <v>0</v>
      </c>
      <c r="N229">
        <f>IFERROR(VLOOKUP(Tabla1[[#This Row],[SISMED]],TblDisponibilidad[],18,FALSE), 0)</f>
        <v>0</v>
      </c>
      <c r="O229">
        <f>IFERROR(VLOOKUP(Tabla1[[#This Row],[SISMED]],TblDisponibilidad[],19,FALSE), 0)</f>
        <v>0</v>
      </c>
      <c r="P229">
        <f>IFERROR(VLOOKUP(Tabla1[[#This Row],[SISMED]],TblDisponibilidad[],20,FALSE), 0)</f>
        <v>0</v>
      </c>
      <c r="Q229">
        <f>IFERROR(VLOOKUP(Tabla1[[#This Row],[SISMED]],TblDisponibilidad[],21,FALSE), 0)</f>
        <v>0</v>
      </c>
      <c r="R229">
        <f>IFERROR(VLOOKUP(Tabla1[[#This Row],[SISMED]],TblDisponibilidad[],22,FALSE), 0)</f>
        <v>0</v>
      </c>
      <c r="S229" s="15">
        <f>IFERROR(VLOOKUP(Tabla1[[#This Row],[SISMED]],TblDisponibilidad[],23,FALSE), 0)</f>
        <v>0</v>
      </c>
    </row>
    <row r="230" spans="1:19" x14ac:dyDescent="0.3">
      <c r="A230" s="15" t="s">
        <v>260</v>
      </c>
      <c r="B230" t="str">
        <f>IFERROR(VLOOKUP(Tabla1[[#This Row],[SISMED]],TblDisponibilidad[],2,FALSE), "")</f>
        <v/>
      </c>
      <c r="C230">
        <f>IFERROR(VLOOKUP(Tabla1[[#This Row],[SISMED]],TblDisponibilidad[],7,FALSE), 0)</f>
        <v>0</v>
      </c>
      <c r="D230">
        <f>IFERROR(VLOOKUP(Tabla1[[#This Row],[SISMED]],TblDisponibilidad[],8,FALSE), 0)</f>
        <v>0</v>
      </c>
      <c r="E230">
        <f>IFERROR(VLOOKUP(Tabla1[[#This Row],[SISMED]],TblDisponibilidad[],9,FALSE), 0)</f>
        <v>0</v>
      </c>
      <c r="F230">
        <f>IFERROR(VLOOKUP(Tabla1[[#This Row],[SISMED]],TblDisponibilidad[],10,FALSE), 0)</f>
        <v>0</v>
      </c>
      <c r="G230">
        <f>IFERROR(VLOOKUP(Tabla1[[#This Row],[SISMED]],TblDisponibilidad[],11,FALSE), 0)</f>
        <v>0</v>
      </c>
      <c r="H230">
        <f>IFERROR(VLOOKUP(Tabla1[[#This Row],[SISMED]],TblDisponibilidad[],12,FALSE), 0)</f>
        <v>0</v>
      </c>
      <c r="I230">
        <f>IFERROR(VLOOKUP(Tabla1[[#This Row],[SISMED]],TblDisponibilidad[],13,FALSE), 0)</f>
        <v>0</v>
      </c>
      <c r="J230">
        <f>IFERROR(VLOOKUP(Tabla1[[#This Row],[SISMED]],TblDisponibilidad[],14,FALSE), 0)</f>
        <v>0</v>
      </c>
      <c r="K230">
        <f>IFERROR(VLOOKUP(Tabla1[[#This Row],[SISMED]],TblDisponibilidad[],15,FALSE), 0)</f>
        <v>0</v>
      </c>
      <c r="L230">
        <f>IFERROR(VLOOKUP(Tabla1[[#This Row],[SISMED]],TblDisponibilidad[],16,FALSE), 0)</f>
        <v>0</v>
      </c>
      <c r="M230">
        <f>IFERROR(VLOOKUP(Tabla1[[#This Row],[SISMED]],TblDisponibilidad[],17,FALSE), 0)</f>
        <v>0</v>
      </c>
      <c r="N230">
        <f>IFERROR(VLOOKUP(Tabla1[[#This Row],[SISMED]],TblDisponibilidad[],18,FALSE), 0)</f>
        <v>0</v>
      </c>
      <c r="O230">
        <f>IFERROR(VLOOKUP(Tabla1[[#This Row],[SISMED]],TblDisponibilidad[],19,FALSE), 0)</f>
        <v>0</v>
      </c>
      <c r="P230">
        <f>IFERROR(VLOOKUP(Tabla1[[#This Row],[SISMED]],TblDisponibilidad[],20,FALSE), 0)</f>
        <v>0</v>
      </c>
      <c r="Q230">
        <f>IFERROR(VLOOKUP(Tabla1[[#This Row],[SISMED]],TblDisponibilidad[],21,FALSE), 0)</f>
        <v>0</v>
      </c>
      <c r="R230">
        <f>IFERROR(VLOOKUP(Tabla1[[#This Row],[SISMED]],TblDisponibilidad[],22,FALSE), 0)</f>
        <v>0</v>
      </c>
      <c r="S230" s="15">
        <f>IFERROR(VLOOKUP(Tabla1[[#This Row],[SISMED]],TblDisponibilidad[],23,FALSE), 0)</f>
        <v>0</v>
      </c>
    </row>
    <row r="231" spans="1:19" x14ac:dyDescent="0.3">
      <c r="A231" s="15" t="s">
        <v>261</v>
      </c>
      <c r="B231" t="str">
        <f>IFERROR(VLOOKUP(Tabla1[[#This Row],[SISMED]],TblDisponibilidad[],2,FALSE), "")</f>
        <v/>
      </c>
      <c r="C231">
        <f>IFERROR(VLOOKUP(Tabla1[[#This Row],[SISMED]],TblDisponibilidad[],7,FALSE), 0)</f>
        <v>0</v>
      </c>
      <c r="D231">
        <f>IFERROR(VLOOKUP(Tabla1[[#This Row],[SISMED]],TblDisponibilidad[],8,FALSE), 0)</f>
        <v>0</v>
      </c>
      <c r="E231">
        <f>IFERROR(VLOOKUP(Tabla1[[#This Row],[SISMED]],TblDisponibilidad[],9,FALSE), 0)</f>
        <v>0</v>
      </c>
      <c r="F231">
        <f>IFERROR(VLOOKUP(Tabla1[[#This Row],[SISMED]],TblDisponibilidad[],10,FALSE), 0)</f>
        <v>0</v>
      </c>
      <c r="G231">
        <f>IFERROR(VLOOKUP(Tabla1[[#This Row],[SISMED]],TblDisponibilidad[],11,FALSE), 0)</f>
        <v>0</v>
      </c>
      <c r="H231">
        <f>IFERROR(VLOOKUP(Tabla1[[#This Row],[SISMED]],TblDisponibilidad[],12,FALSE), 0)</f>
        <v>0</v>
      </c>
      <c r="I231">
        <f>IFERROR(VLOOKUP(Tabla1[[#This Row],[SISMED]],TblDisponibilidad[],13,FALSE), 0)</f>
        <v>0</v>
      </c>
      <c r="J231">
        <f>IFERROR(VLOOKUP(Tabla1[[#This Row],[SISMED]],TblDisponibilidad[],14,FALSE), 0)</f>
        <v>0</v>
      </c>
      <c r="K231">
        <f>IFERROR(VLOOKUP(Tabla1[[#This Row],[SISMED]],TblDisponibilidad[],15,FALSE), 0)</f>
        <v>0</v>
      </c>
      <c r="L231">
        <f>IFERROR(VLOOKUP(Tabla1[[#This Row],[SISMED]],TblDisponibilidad[],16,FALSE), 0)</f>
        <v>0</v>
      </c>
      <c r="M231">
        <f>IFERROR(VLOOKUP(Tabla1[[#This Row],[SISMED]],TblDisponibilidad[],17,FALSE), 0)</f>
        <v>0</v>
      </c>
      <c r="N231">
        <f>IFERROR(VLOOKUP(Tabla1[[#This Row],[SISMED]],TblDisponibilidad[],18,FALSE), 0)</f>
        <v>0</v>
      </c>
      <c r="O231">
        <f>IFERROR(VLOOKUP(Tabla1[[#This Row],[SISMED]],TblDisponibilidad[],19,FALSE), 0)</f>
        <v>0</v>
      </c>
      <c r="P231">
        <f>IFERROR(VLOOKUP(Tabla1[[#This Row],[SISMED]],TblDisponibilidad[],20,FALSE), 0)</f>
        <v>0</v>
      </c>
      <c r="Q231">
        <f>IFERROR(VLOOKUP(Tabla1[[#This Row],[SISMED]],TblDisponibilidad[],21,FALSE), 0)</f>
        <v>0</v>
      </c>
      <c r="R231">
        <f>IFERROR(VLOOKUP(Tabla1[[#This Row],[SISMED]],TblDisponibilidad[],22,FALSE), 0)</f>
        <v>0</v>
      </c>
      <c r="S231" s="15">
        <f>IFERROR(VLOOKUP(Tabla1[[#This Row],[SISMED]],TblDisponibilidad[],23,FALSE), 0)</f>
        <v>0</v>
      </c>
    </row>
    <row r="232" spans="1:19" x14ac:dyDescent="0.3">
      <c r="A232" s="15" t="s">
        <v>262</v>
      </c>
      <c r="B232" t="str">
        <f>IFERROR(VLOOKUP(Tabla1[[#This Row],[SISMED]],TblDisponibilidad[],2,FALSE), "")</f>
        <v/>
      </c>
      <c r="C232">
        <f>IFERROR(VLOOKUP(Tabla1[[#This Row],[SISMED]],TblDisponibilidad[],7,FALSE), 0)</f>
        <v>0</v>
      </c>
      <c r="D232">
        <f>IFERROR(VLOOKUP(Tabla1[[#This Row],[SISMED]],TblDisponibilidad[],8,FALSE), 0)</f>
        <v>0</v>
      </c>
      <c r="E232">
        <f>IFERROR(VLOOKUP(Tabla1[[#This Row],[SISMED]],TblDisponibilidad[],9,FALSE), 0)</f>
        <v>0</v>
      </c>
      <c r="F232">
        <f>IFERROR(VLOOKUP(Tabla1[[#This Row],[SISMED]],TblDisponibilidad[],10,FALSE), 0)</f>
        <v>0</v>
      </c>
      <c r="G232">
        <f>IFERROR(VLOOKUP(Tabla1[[#This Row],[SISMED]],TblDisponibilidad[],11,FALSE), 0)</f>
        <v>0</v>
      </c>
      <c r="H232">
        <f>IFERROR(VLOOKUP(Tabla1[[#This Row],[SISMED]],TblDisponibilidad[],12,FALSE), 0)</f>
        <v>0</v>
      </c>
      <c r="I232">
        <f>IFERROR(VLOOKUP(Tabla1[[#This Row],[SISMED]],TblDisponibilidad[],13,FALSE), 0)</f>
        <v>0</v>
      </c>
      <c r="J232">
        <f>IFERROR(VLOOKUP(Tabla1[[#This Row],[SISMED]],TblDisponibilidad[],14,FALSE), 0)</f>
        <v>0</v>
      </c>
      <c r="K232">
        <f>IFERROR(VLOOKUP(Tabla1[[#This Row],[SISMED]],TblDisponibilidad[],15,FALSE), 0)</f>
        <v>0</v>
      </c>
      <c r="L232">
        <f>IFERROR(VLOOKUP(Tabla1[[#This Row],[SISMED]],TblDisponibilidad[],16,FALSE), 0)</f>
        <v>0</v>
      </c>
      <c r="M232">
        <f>IFERROR(VLOOKUP(Tabla1[[#This Row],[SISMED]],TblDisponibilidad[],17,FALSE), 0)</f>
        <v>0</v>
      </c>
      <c r="N232">
        <f>IFERROR(VLOOKUP(Tabla1[[#This Row],[SISMED]],TblDisponibilidad[],18,FALSE), 0)</f>
        <v>0</v>
      </c>
      <c r="O232">
        <f>IFERROR(VLOOKUP(Tabla1[[#This Row],[SISMED]],TblDisponibilidad[],19,FALSE), 0)</f>
        <v>0</v>
      </c>
      <c r="P232">
        <f>IFERROR(VLOOKUP(Tabla1[[#This Row],[SISMED]],TblDisponibilidad[],20,FALSE), 0)</f>
        <v>0</v>
      </c>
      <c r="Q232">
        <f>IFERROR(VLOOKUP(Tabla1[[#This Row],[SISMED]],TblDisponibilidad[],21,FALSE), 0)</f>
        <v>0</v>
      </c>
      <c r="R232">
        <f>IFERROR(VLOOKUP(Tabla1[[#This Row],[SISMED]],TblDisponibilidad[],22,FALSE), 0)</f>
        <v>0</v>
      </c>
      <c r="S232" s="15">
        <f>IFERROR(VLOOKUP(Tabla1[[#This Row],[SISMED]],TblDisponibilidad[],23,FALSE), 0)</f>
        <v>0</v>
      </c>
    </row>
    <row r="233" spans="1:19" x14ac:dyDescent="0.3">
      <c r="A233" s="15" t="s">
        <v>263</v>
      </c>
      <c r="B233" t="str">
        <f>IFERROR(VLOOKUP(Tabla1[[#This Row],[SISMED]],TblDisponibilidad[],2,FALSE), "")</f>
        <v/>
      </c>
      <c r="C233">
        <f>IFERROR(VLOOKUP(Tabla1[[#This Row],[SISMED]],TblDisponibilidad[],7,FALSE), 0)</f>
        <v>0</v>
      </c>
      <c r="D233">
        <f>IFERROR(VLOOKUP(Tabla1[[#This Row],[SISMED]],TblDisponibilidad[],8,FALSE), 0)</f>
        <v>0</v>
      </c>
      <c r="E233">
        <f>IFERROR(VLOOKUP(Tabla1[[#This Row],[SISMED]],TblDisponibilidad[],9,FALSE), 0)</f>
        <v>0</v>
      </c>
      <c r="F233">
        <f>IFERROR(VLOOKUP(Tabla1[[#This Row],[SISMED]],TblDisponibilidad[],10,FALSE), 0)</f>
        <v>0</v>
      </c>
      <c r="G233">
        <f>IFERROR(VLOOKUP(Tabla1[[#This Row],[SISMED]],TblDisponibilidad[],11,FALSE), 0)</f>
        <v>0</v>
      </c>
      <c r="H233">
        <f>IFERROR(VLOOKUP(Tabla1[[#This Row],[SISMED]],TblDisponibilidad[],12,FALSE), 0)</f>
        <v>0</v>
      </c>
      <c r="I233">
        <f>IFERROR(VLOOKUP(Tabla1[[#This Row],[SISMED]],TblDisponibilidad[],13,FALSE), 0)</f>
        <v>0</v>
      </c>
      <c r="J233">
        <f>IFERROR(VLOOKUP(Tabla1[[#This Row],[SISMED]],TblDisponibilidad[],14,FALSE), 0)</f>
        <v>0</v>
      </c>
      <c r="K233">
        <f>IFERROR(VLOOKUP(Tabla1[[#This Row],[SISMED]],TblDisponibilidad[],15,FALSE), 0)</f>
        <v>0</v>
      </c>
      <c r="L233">
        <f>IFERROR(VLOOKUP(Tabla1[[#This Row],[SISMED]],TblDisponibilidad[],16,FALSE), 0)</f>
        <v>0</v>
      </c>
      <c r="M233">
        <f>IFERROR(VLOOKUP(Tabla1[[#This Row],[SISMED]],TblDisponibilidad[],17,FALSE), 0)</f>
        <v>0</v>
      </c>
      <c r="N233">
        <f>IFERROR(VLOOKUP(Tabla1[[#This Row],[SISMED]],TblDisponibilidad[],18,FALSE), 0)</f>
        <v>0</v>
      </c>
      <c r="O233">
        <f>IFERROR(VLOOKUP(Tabla1[[#This Row],[SISMED]],TblDisponibilidad[],19,FALSE), 0)</f>
        <v>0</v>
      </c>
      <c r="P233">
        <f>IFERROR(VLOOKUP(Tabla1[[#This Row],[SISMED]],TblDisponibilidad[],20,FALSE), 0)</f>
        <v>0</v>
      </c>
      <c r="Q233">
        <f>IFERROR(VLOOKUP(Tabla1[[#This Row],[SISMED]],TblDisponibilidad[],21,FALSE), 0)</f>
        <v>0</v>
      </c>
      <c r="R233">
        <f>IFERROR(VLOOKUP(Tabla1[[#This Row],[SISMED]],TblDisponibilidad[],22,FALSE), 0)</f>
        <v>0</v>
      </c>
      <c r="S233" s="15">
        <f>IFERROR(VLOOKUP(Tabla1[[#This Row],[SISMED]],TblDisponibilidad[],23,FALSE), 0)</f>
        <v>0</v>
      </c>
    </row>
    <row r="234" spans="1:19" x14ac:dyDescent="0.3">
      <c r="A234" s="15" t="s">
        <v>264</v>
      </c>
      <c r="B234" t="str">
        <f>IFERROR(VLOOKUP(Tabla1[[#This Row],[SISMED]],TblDisponibilidad[],2,FALSE), "")</f>
        <v/>
      </c>
      <c r="C234">
        <f>IFERROR(VLOOKUP(Tabla1[[#This Row],[SISMED]],TblDisponibilidad[],7,FALSE), 0)</f>
        <v>0</v>
      </c>
      <c r="D234">
        <f>IFERROR(VLOOKUP(Tabla1[[#This Row],[SISMED]],TblDisponibilidad[],8,FALSE), 0)</f>
        <v>0</v>
      </c>
      <c r="E234">
        <f>IFERROR(VLOOKUP(Tabla1[[#This Row],[SISMED]],TblDisponibilidad[],9,FALSE), 0)</f>
        <v>0</v>
      </c>
      <c r="F234">
        <f>IFERROR(VLOOKUP(Tabla1[[#This Row],[SISMED]],TblDisponibilidad[],10,FALSE), 0)</f>
        <v>0</v>
      </c>
      <c r="G234">
        <f>IFERROR(VLOOKUP(Tabla1[[#This Row],[SISMED]],TblDisponibilidad[],11,FALSE), 0)</f>
        <v>0</v>
      </c>
      <c r="H234">
        <f>IFERROR(VLOOKUP(Tabla1[[#This Row],[SISMED]],TblDisponibilidad[],12,FALSE), 0)</f>
        <v>0</v>
      </c>
      <c r="I234">
        <f>IFERROR(VLOOKUP(Tabla1[[#This Row],[SISMED]],TblDisponibilidad[],13,FALSE), 0)</f>
        <v>0</v>
      </c>
      <c r="J234">
        <f>IFERROR(VLOOKUP(Tabla1[[#This Row],[SISMED]],TblDisponibilidad[],14,FALSE), 0)</f>
        <v>0</v>
      </c>
      <c r="K234">
        <f>IFERROR(VLOOKUP(Tabla1[[#This Row],[SISMED]],TblDisponibilidad[],15,FALSE), 0)</f>
        <v>0</v>
      </c>
      <c r="L234">
        <f>IFERROR(VLOOKUP(Tabla1[[#This Row],[SISMED]],TblDisponibilidad[],16,FALSE), 0)</f>
        <v>0</v>
      </c>
      <c r="M234">
        <f>IFERROR(VLOOKUP(Tabla1[[#This Row],[SISMED]],TblDisponibilidad[],17,FALSE), 0)</f>
        <v>0</v>
      </c>
      <c r="N234">
        <f>IFERROR(VLOOKUP(Tabla1[[#This Row],[SISMED]],TblDisponibilidad[],18,FALSE), 0)</f>
        <v>0</v>
      </c>
      <c r="O234">
        <f>IFERROR(VLOOKUP(Tabla1[[#This Row],[SISMED]],TblDisponibilidad[],19,FALSE), 0)</f>
        <v>0</v>
      </c>
      <c r="P234">
        <f>IFERROR(VLOOKUP(Tabla1[[#This Row],[SISMED]],TblDisponibilidad[],20,FALSE), 0)</f>
        <v>0</v>
      </c>
      <c r="Q234">
        <f>IFERROR(VLOOKUP(Tabla1[[#This Row],[SISMED]],TblDisponibilidad[],21,FALSE), 0)</f>
        <v>0</v>
      </c>
      <c r="R234">
        <f>IFERROR(VLOOKUP(Tabla1[[#This Row],[SISMED]],TblDisponibilidad[],22,FALSE), 0)</f>
        <v>0</v>
      </c>
      <c r="S234" s="15">
        <f>IFERROR(VLOOKUP(Tabla1[[#This Row],[SISMED]],TblDisponibilidad[],23,FALSE), 0)</f>
        <v>0</v>
      </c>
    </row>
    <row r="235" spans="1:19" x14ac:dyDescent="0.3">
      <c r="A235" s="15" t="s">
        <v>265</v>
      </c>
      <c r="B235" t="str">
        <f>IFERROR(VLOOKUP(Tabla1[[#This Row],[SISMED]],TblDisponibilidad[],2,FALSE), "")</f>
        <v/>
      </c>
      <c r="C235">
        <f>IFERROR(VLOOKUP(Tabla1[[#This Row],[SISMED]],TblDisponibilidad[],7,FALSE), 0)</f>
        <v>0</v>
      </c>
      <c r="D235">
        <f>IFERROR(VLOOKUP(Tabla1[[#This Row],[SISMED]],TblDisponibilidad[],8,FALSE), 0)</f>
        <v>0</v>
      </c>
      <c r="E235">
        <f>IFERROR(VLOOKUP(Tabla1[[#This Row],[SISMED]],TblDisponibilidad[],9,FALSE), 0)</f>
        <v>0</v>
      </c>
      <c r="F235">
        <f>IFERROR(VLOOKUP(Tabla1[[#This Row],[SISMED]],TblDisponibilidad[],10,FALSE), 0)</f>
        <v>0</v>
      </c>
      <c r="G235">
        <f>IFERROR(VLOOKUP(Tabla1[[#This Row],[SISMED]],TblDisponibilidad[],11,FALSE), 0)</f>
        <v>0</v>
      </c>
      <c r="H235">
        <f>IFERROR(VLOOKUP(Tabla1[[#This Row],[SISMED]],TblDisponibilidad[],12,FALSE), 0)</f>
        <v>0</v>
      </c>
      <c r="I235">
        <f>IFERROR(VLOOKUP(Tabla1[[#This Row],[SISMED]],TblDisponibilidad[],13,FALSE), 0)</f>
        <v>0</v>
      </c>
      <c r="J235">
        <f>IFERROR(VLOOKUP(Tabla1[[#This Row],[SISMED]],TblDisponibilidad[],14,FALSE), 0)</f>
        <v>0</v>
      </c>
      <c r="K235">
        <f>IFERROR(VLOOKUP(Tabla1[[#This Row],[SISMED]],TblDisponibilidad[],15,FALSE), 0)</f>
        <v>0</v>
      </c>
      <c r="L235">
        <f>IFERROR(VLOOKUP(Tabla1[[#This Row],[SISMED]],TblDisponibilidad[],16,FALSE), 0)</f>
        <v>0</v>
      </c>
      <c r="M235">
        <f>IFERROR(VLOOKUP(Tabla1[[#This Row],[SISMED]],TblDisponibilidad[],17,FALSE), 0)</f>
        <v>0</v>
      </c>
      <c r="N235">
        <f>IFERROR(VLOOKUP(Tabla1[[#This Row],[SISMED]],TblDisponibilidad[],18,FALSE), 0)</f>
        <v>0</v>
      </c>
      <c r="O235">
        <f>IFERROR(VLOOKUP(Tabla1[[#This Row],[SISMED]],TblDisponibilidad[],19,FALSE), 0)</f>
        <v>0</v>
      </c>
      <c r="P235">
        <f>IFERROR(VLOOKUP(Tabla1[[#This Row],[SISMED]],TblDisponibilidad[],20,FALSE), 0)</f>
        <v>0</v>
      </c>
      <c r="Q235">
        <f>IFERROR(VLOOKUP(Tabla1[[#This Row],[SISMED]],TblDisponibilidad[],21,FALSE), 0)</f>
        <v>0</v>
      </c>
      <c r="R235">
        <f>IFERROR(VLOOKUP(Tabla1[[#This Row],[SISMED]],TblDisponibilidad[],22,FALSE), 0)</f>
        <v>0</v>
      </c>
      <c r="S235" s="15">
        <f>IFERROR(VLOOKUP(Tabla1[[#This Row],[SISMED]],TblDisponibilidad[],23,FALSE), 0)</f>
        <v>0</v>
      </c>
    </row>
    <row r="236" spans="1:19" x14ac:dyDescent="0.3">
      <c r="A236" s="15" t="s">
        <v>266</v>
      </c>
      <c r="B236" t="str">
        <f>IFERROR(VLOOKUP(Tabla1[[#This Row],[SISMED]],TblDisponibilidad[],2,FALSE), "")</f>
        <v/>
      </c>
      <c r="C236">
        <f>IFERROR(VLOOKUP(Tabla1[[#This Row],[SISMED]],TblDisponibilidad[],7,FALSE), 0)</f>
        <v>0</v>
      </c>
      <c r="D236">
        <f>IFERROR(VLOOKUP(Tabla1[[#This Row],[SISMED]],TblDisponibilidad[],8,FALSE), 0)</f>
        <v>0</v>
      </c>
      <c r="E236">
        <f>IFERROR(VLOOKUP(Tabla1[[#This Row],[SISMED]],TblDisponibilidad[],9,FALSE), 0)</f>
        <v>0</v>
      </c>
      <c r="F236">
        <f>IFERROR(VLOOKUP(Tabla1[[#This Row],[SISMED]],TblDisponibilidad[],10,FALSE), 0)</f>
        <v>0</v>
      </c>
      <c r="G236">
        <f>IFERROR(VLOOKUP(Tabla1[[#This Row],[SISMED]],TblDisponibilidad[],11,FALSE), 0)</f>
        <v>0</v>
      </c>
      <c r="H236">
        <f>IFERROR(VLOOKUP(Tabla1[[#This Row],[SISMED]],TblDisponibilidad[],12,FALSE), 0)</f>
        <v>0</v>
      </c>
      <c r="I236">
        <f>IFERROR(VLOOKUP(Tabla1[[#This Row],[SISMED]],TblDisponibilidad[],13,FALSE), 0)</f>
        <v>0</v>
      </c>
      <c r="J236">
        <f>IFERROR(VLOOKUP(Tabla1[[#This Row],[SISMED]],TblDisponibilidad[],14,FALSE), 0)</f>
        <v>0</v>
      </c>
      <c r="K236">
        <f>IFERROR(VLOOKUP(Tabla1[[#This Row],[SISMED]],TblDisponibilidad[],15,FALSE), 0)</f>
        <v>0</v>
      </c>
      <c r="L236">
        <f>IFERROR(VLOOKUP(Tabla1[[#This Row],[SISMED]],TblDisponibilidad[],16,FALSE), 0)</f>
        <v>0</v>
      </c>
      <c r="M236">
        <f>IFERROR(VLOOKUP(Tabla1[[#This Row],[SISMED]],TblDisponibilidad[],17,FALSE), 0)</f>
        <v>0</v>
      </c>
      <c r="N236">
        <f>IFERROR(VLOOKUP(Tabla1[[#This Row],[SISMED]],TblDisponibilidad[],18,FALSE), 0)</f>
        <v>0</v>
      </c>
      <c r="O236">
        <f>IFERROR(VLOOKUP(Tabla1[[#This Row],[SISMED]],TblDisponibilidad[],19,FALSE), 0)</f>
        <v>0</v>
      </c>
      <c r="P236">
        <f>IFERROR(VLOOKUP(Tabla1[[#This Row],[SISMED]],TblDisponibilidad[],20,FALSE), 0)</f>
        <v>0</v>
      </c>
      <c r="Q236">
        <f>IFERROR(VLOOKUP(Tabla1[[#This Row],[SISMED]],TblDisponibilidad[],21,FALSE), 0)</f>
        <v>0</v>
      </c>
      <c r="R236">
        <f>IFERROR(VLOOKUP(Tabla1[[#This Row],[SISMED]],TblDisponibilidad[],22,FALSE), 0)</f>
        <v>0</v>
      </c>
      <c r="S236" s="15">
        <f>IFERROR(VLOOKUP(Tabla1[[#This Row],[SISMED]],TblDisponibilidad[],23,FALSE), 0)</f>
        <v>0</v>
      </c>
    </row>
    <row r="237" spans="1:19" x14ac:dyDescent="0.3">
      <c r="A237" s="15" t="s">
        <v>267</v>
      </c>
      <c r="B237" t="str">
        <f>IFERROR(VLOOKUP(Tabla1[[#This Row],[SISMED]],TblDisponibilidad[],2,FALSE), "")</f>
        <v/>
      </c>
      <c r="C237">
        <f>IFERROR(VLOOKUP(Tabla1[[#This Row],[SISMED]],TblDisponibilidad[],7,FALSE), 0)</f>
        <v>0</v>
      </c>
      <c r="D237">
        <f>IFERROR(VLOOKUP(Tabla1[[#This Row],[SISMED]],TblDisponibilidad[],8,FALSE), 0)</f>
        <v>0</v>
      </c>
      <c r="E237">
        <f>IFERROR(VLOOKUP(Tabla1[[#This Row],[SISMED]],TblDisponibilidad[],9,FALSE), 0)</f>
        <v>0</v>
      </c>
      <c r="F237">
        <f>IFERROR(VLOOKUP(Tabla1[[#This Row],[SISMED]],TblDisponibilidad[],10,FALSE), 0)</f>
        <v>0</v>
      </c>
      <c r="G237">
        <f>IFERROR(VLOOKUP(Tabla1[[#This Row],[SISMED]],TblDisponibilidad[],11,FALSE), 0)</f>
        <v>0</v>
      </c>
      <c r="H237">
        <f>IFERROR(VLOOKUP(Tabla1[[#This Row],[SISMED]],TblDisponibilidad[],12,FALSE), 0)</f>
        <v>0</v>
      </c>
      <c r="I237">
        <f>IFERROR(VLOOKUP(Tabla1[[#This Row],[SISMED]],TblDisponibilidad[],13,FALSE), 0)</f>
        <v>0</v>
      </c>
      <c r="J237">
        <f>IFERROR(VLOOKUP(Tabla1[[#This Row],[SISMED]],TblDisponibilidad[],14,FALSE), 0)</f>
        <v>0</v>
      </c>
      <c r="K237">
        <f>IFERROR(VLOOKUP(Tabla1[[#This Row],[SISMED]],TblDisponibilidad[],15,FALSE), 0)</f>
        <v>0</v>
      </c>
      <c r="L237">
        <f>IFERROR(VLOOKUP(Tabla1[[#This Row],[SISMED]],TblDisponibilidad[],16,FALSE), 0)</f>
        <v>0</v>
      </c>
      <c r="M237">
        <f>IFERROR(VLOOKUP(Tabla1[[#This Row],[SISMED]],TblDisponibilidad[],17,FALSE), 0)</f>
        <v>0</v>
      </c>
      <c r="N237">
        <f>IFERROR(VLOOKUP(Tabla1[[#This Row],[SISMED]],TblDisponibilidad[],18,FALSE), 0)</f>
        <v>0</v>
      </c>
      <c r="O237">
        <f>IFERROR(VLOOKUP(Tabla1[[#This Row],[SISMED]],TblDisponibilidad[],19,FALSE), 0)</f>
        <v>0</v>
      </c>
      <c r="P237">
        <f>IFERROR(VLOOKUP(Tabla1[[#This Row],[SISMED]],TblDisponibilidad[],20,FALSE), 0)</f>
        <v>0</v>
      </c>
      <c r="Q237">
        <f>IFERROR(VLOOKUP(Tabla1[[#This Row],[SISMED]],TblDisponibilidad[],21,FALSE), 0)</f>
        <v>0</v>
      </c>
      <c r="R237">
        <f>IFERROR(VLOOKUP(Tabla1[[#This Row],[SISMED]],TblDisponibilidad[],22,FALSE), 0)</f>
        <v>0</v>
      </c>
      <c r="S237" s="15">
        <f>IFERROR(VLOOKUP(Tabla1[[#This Row],[SISMED]],TblDisponibilidad[],23,FALSE), 0)</f>
        <v>0</v>
      </c>
    </row>
    <row r="238" spans="1:19" x14ac:dyDescent="0.3">
      <c r="A238" s="15" t="s">
        <v>268</v>
      </c>
      <c r="B238" t="str">
        <f>IFERROR(VLOOKUP(Tabla1[[#This Row],[SISMED]],TblDisponibilidad[],2,FALSE), "")</f>
        <v/>
      </c>
      <c r="C238">
        <f>IFERROR(VLOOKUP(Tabla1[[#This Row],[SISMED]],TblDisponibilidad[],7,FALSE), 0)</f>
        <v>0</v>
      </c>
      <c r="D238">
        <f>IFERROR(VLOOKUP(Tabla1[[#This Row],[SISMED]],TblDisponibilidad[],8,FALSE), 0)</f>
        <v>0</v>
      </c>
      <c r="E238">
        <f>IFERROR(VLOOKUP(Tabla1[[#This Row],[SISMED]],TblDisponibilidad[],9,FALSE), 0)</f>
        <v>0</v>
      </c>
      <c r="F238">
        <f>IFERROR(VLOOKUP(Tabla1[[#This Row],[SISMED]],TblDisponibilidad[],10,FALSE), 0)</f>
        <v>0</v>
      </c>
      <c r="G238">
        <f>IFERROR(VLOOKUP(Tabla1[[#This Row],[SISMED]],TblDisponibilidad[],11,FALSE), 0)</f>
        <v>0</v>
      </c>
      <c r="H238">
        <f>IFERROR(VLOOKUP(Tabla1[[#This Row],[SISMED]],TblDisponibilidad[],12,FALSE), 0)</f>
        <v>0</v>
      </c>
      <c r="I238">
        <f>IFERROR(VLOOKUP(Tabla1[[#This Row],[SISMED]],TblDisponibilidad[],13,FALSE), 0)</f>
        <v>0</v>
      </c>
      <c r="J238">
        <f>IFERROR(VLOOKUP(Tabla1[[#This Row],[SISMED]],TblDisponibilidad[],14,FALSE), 0)</f>
        <v>0</v>
      </c>
      <c r="K238">
        <f>IFERROR(VLOOKUP(Tabla1[[#This Row],[SISMED]],TblDisponibilidad[],15,FALSE), 0)</f>
        <v>0</v>
      </c>
      <c r="L238">
        <f>IFERROR(VLOOKUP(Tabla1[[#This Row],[SISMED]],TblDisponibilidad[],16,FALSE), 0)</f>
        <v>0</v>
      </c>
      <c r="M238">
        <f>IFERROR(VLOOKUP(Tabla1[[#This Row],[SISMED]],TblDisponibilidad[],17,FALSE), 0)</f>
        <v>0</v>
      </c>
      <c r="N238">
        <f>IFERROR(VLOOKUP(Tabla1[[#This Row],[SISMED]],TblDisponibilidad[],18,FALSE), 0)</f>
        <v>0</v>
      </c>
      <c r="O238">
        <f>IFERROR(VLOOKUP(Tabla1[[#This Row],[SISMED]],TblDisponibilidad[],19,FALSE), 0)</f>
        <v>0</v>
      </c>
      <c r="P238">
        <f>IFERROR(VLOOKUP(Tabla1[[#This Row],[SISMED]],TblDisponibilidad[],20,FALSE), 0)</f>
        <v>0</v>
      </c>
      <c r="Q238">
        <f>IFERROR(VLOOKUP(Tabla1[[#This Row],[SISMED]],TblDisponibilidad[],21,FALSE), 0)</f>
        <v>0</v>
      </c>
      <c r="R238">
        <f>IFERROR(VLOOKUP(Tabla1[[#This Row],[SISMED]],TblDisponibilidad[],22,FALSE), 0)</f>
        <v>0</v>
      </c>
      <c r="S238" s="15">
        <f>IFERROR(VLOOKUP(Tabla1[[#This Row],[SISMED]],TblDisponibilidad[],23,FALSE), 0)</f>
        <v>0</v>
      </c>
    </row>
    <row r="239" spans="1:19" x14ac:dyDescent="0.3">
      <c r="A239" s="15" t="s">
        <v>269</v>
      </c>
      <c r="B239" t="str">
        <f>IFERROR(VLOOKUP(Tabla1[[#This Row],[SISMED]],TblDisponibilidad[],2,FALSE), "")</f>
        <v/>
      </c>
      <c r="C239">
        <f>IFERROR(VLOOKUP(Tabla1[[#This Row],[SISMED]],TblDisponibilidad[],7,FALSE), 0)</f>
        <v>0</v>
      </c>
      <c r="D239">
        <f>IFERROR(VLOOKUP(Tabla1[[#This Row],[SISMED]],TblDisponibilidad[],8,FALSE), 0)</f>
        <v>0</v>
      </c>
      <c r="E239">
        <f>IFERROR(VLOOKUP(Tabla1[[#This Row],[SISMED]],TblDisponibilidad[],9,FALSE), 0)</f>
        <v>0</v>
      </c>
      <c r="F239">
        <f>IFERROR(VLOOKUP(Tabla1[[#This Row],[SISMED]],TblDisponibilidad[],10,FALSE), 0)</f>
        <v>0</v>
      </c>
      <c r="G239">
        <f>IFERROR(VLOOKUP(Tabla1[[#This Row],[SISMED]],TblDisponibilidad[],11,FALSE), 0)</f>
        <v>0</v>
      </c>
      <c r="H239">
        <f>IFERROR(VLOOKUP(Tabla1[[#This Row],[SISMED]],TblDisponibilidad[],12,FALSE), 0)</f>
        <v>0</v>
      </c>
      <c r="I239">
        <f>IFERROR(VLOOKUP(Tabla1[[#This Row],[SISMED]],TblDisponibilidad[],13,FALSE), 0)</f>
        <v>0</v>
      </c>
      <c r="J239">
        <f>IFERROR(VLOOKUP(Tabla1[[#This Row],[SISMED]],TblDisponibilidad[],14,FALSE), 0)</f>
        <v>0</v>
      </c>
      <c r="K239">
        <f>IFERROR(VLOOKUP(Tabla1[[#This Row],[SISMED]],TblDisponibilidad[],15,FALSE), 0)</f>
        <v>0</v>
      </c>
      <c r="L239">
        <f>IFERROR(VLOOKUP(Tabla1[[#This Row],[SISMED]],TblDisponibilidad[],16,FALSE), 0)</f>
        <v>0</v>
      </c>
      <c r="M239">
        <f>IFERROR(VLOOKUP(Tabla1[[#This Row],[SISMED]],TblDisponibilidad[],17,FALSE), 0)</f>
        <v>0</v>
      </c>
      <c r="N239">
        <f>IFERROR(VLOOKUP(Tabla1[[#This Row],[SISMED]],TblDisponibilidad[],18,FALSE), 0)</f>
        <v>0</v>
      </c>
      <c r="O239">
        <f>IFERROR(VLOOKUP(Tabla1[[#This Row],[SISMED]],TblDisponibilidad[],19,FALSE), 0)</f>
        <v>0</v>
      </c>
      <c r="P239">
        <f>IFERROR(VLOOKUP(Tabla1[[#This Row],[SISMED]],TblDisponibilidad[],20,FALSE), 0)</f>
        <v>0</v>
      </c>
      <c r="Q239">
        <f>IFERROR(VLOOKUP(Tabla1[[#This Row],[SISMED]],TblDisponibilidad[],21,FALSE), 0)</f>
        <v>0</v>
      </c>
      <c r="R239">
        <f>IFERROR(VLOOKUP(Tabla1[[#This Row],[SISMED]],TblDisponibilidad[],22,FALSE), 0)</f>
        <v>0</v>
      </c>
      <c r="S239" s="15">
        <f>IFERROR(VLOOKUP(Tabla1[[#This Row],[SISMED]],TblDisponibilidad[],23,FALSE), 0)</f>
        <v>0</v>
      </c>
    </row>
    <row r="240" spans="1:19" x14ac:dyDescent="0.3">
      <c r="A240" s="15" t="s">
        <v>270</v>
      </c>
      <c r="B240" t="str">
        <f>IFERROR(VLOOKUP(Tabla1[[#This Row],[SISMED]],TblDisponibilidad[],2,FALSE), "")</f>
        <v/>
      </c>
      <c r="C240">
        <f>IFERROR(VLOOKUP(Tabla1[[#This Row],[SISMED]],TblDisponibilidad[],7,FALSE), 0)</f>
        <v>0</v>
      </c>
      <c r="D240">
        <f>IFERROR(VLOOKUP(Tabla1[[#This Row],[SISMED]],TblDisponibilidad[],8,FALSE), 0)</f>
        <v>0</v>
      </c>
      <c r="E240">
        <f>IFERROR(VLOOKUP(Tabla1[[#This Row],[SISMED]],TblDisponibilidad[],9,FALSE), 0)</f>
        <v>0</v>
      </c>
      <c r="F240">
        <f>IFERROR(VLOOKUP(Tabla1[[#This Row],[SISMED]],TblDisponibilidad[],10,FALSE), 0)</f>
        <v>0</v>
      </c>
      <c r="G240">
        <f>IFERROR(VLOOKUP(Tabla1[[#This Row],[SISMED]],TblDisponibilidad[],11,FALSE), 0)</f>
        <v>0</v>
      </c>
      <c r="H240">
        <f>IFERROR(VLOOKUP(Tabla1[[#This Row],[SISMED]],TblDisponibilidad[],12,FALSE), 0)</f>
        <v>0</v>
      </c>
      <c r="I240">
        <f>IFERROR(VLOOKUP(Tabla1[[#This Row],[SISMED]],TblDisponibilidad[],13,FALSE), 0)</f>
        <v>0</v>
      </c>
      <c r="J240">
        <f>IFERROR(VLOOKUP(Tabla1[[#This Row],[SISMED]],TblDisponibilidad[],14,FALSE), 0)</f>
        <v>0</v>
      </c>
      <c r="K240">
        <f>IFERROR(VLOOKUP(Tabla1[[#This Row],[SISMED]],TblDisponibilidad[],15,FALSE), 0)</f>
        <v>0</v>
      </c>
      <c r="L240">
        <f>IFERROR(VLOOKUP(Tabla1[[#This Row],[SISMED]],TblDisponibilidad[],16,FALSE), 0)</f>
        <v>0</v>
      </c>
      <c r="M240">
        <f>IFERROR(VLOOKUP(Tabla1[[#This Row],[SISMED]],TblDisponibilidad[],17,FALSE), 0)</f>
        <v>0</v>
      </c>
      <c r="N240">
        <f>IFERROR(VLOOKUP(Tabla1[[#This Row],[SISMED]],TblDisponibilidad[],18,FALSE), 0)</f>
        <v>0</v>
      </c>
      <c r="O240">
        <f>IFERROR(VLOOKUP(Tabla1[[#This Row],[SISMED]],TblDisponibilidad[],19,FALSE), 0)</f>
        <v>0</v>
      </c>
      <c r="P240">
        <f>IFERROR(VLOOKUP(Tabla1[[#This Row],[SISMED]],TblDisponibilidad[],20,FALSE), 0)</f>
        <v>0</v>
      </c>
      <c r="Q240">
        <f>IFERROR(VLOOKUP(Tabla1[[#This Row],[SISMED]],TblDisponibilidad[],21,FALSE), 0)</f>
        <v>0</v>
      </c>
      <c r="R240">
        <f>IFERROR(VLOOKUP(Tabla1[[#This Row],[SISMED]],TblDisponibilidad[],22,FALSE), 0)</f>
        <v>0</v>
      </c>
      <c r="S240" s="15">
        <f>IFERROR(VLOOKUP(Tabla1[[#This Row],[SISMED]],TblDisponibilidad[],23,FALSE), 0)</f>
        <v>0</v>
      </c>
    </row>
    <row r="241" spans="1:19" x14ac:dyDescent="0.3">
      <c r="A241" s="15" t="s">
        <v>271</v>
      </c>
      <c r="B241" t="str">
        <f>IFERROR(VLOOKUP(Tabla1[[#This Row],[SISMED]],TblDisponibilidad[],2,FALSE), "")</f>
        <v/>
      </c>
      <c r="C241">
        <f>IFERROR(VLOOKUP(Tabla1[[#This Row],[SISMED]],TblDisponibilidad[],7,FALSE), 0)</f>
        <v>0</v>
      </c>
      <c r="D241">
        <f>IFERROR(VLOOKUP(Tabla1[[#This Row],[SISMED]],TblDisponibilidad[],8,FALSE), 0)</f>
        <v>0</v>
      </c>
      <c r="E241">
        <f>IFERROR(VLOOKUP(Tabla1[[#This Row],[SISMED]],TblDisponibilidad[],9,FALSE), 0)</f>
        <v>0</v>
      </c>
      <c r="F241">
        <f>IFERROR(VLOOKUP(Tabla1[[#This Row],[SISMED]],TblDisponibilidad[],10,FALSE), 0)</f>
        <v>0</v>
      </c>
      <c r="G241">
        <f>IFERROR(VLOOKUP(Tabla1[[#This Row],[SISMED]],TblDisponibilidad[],11,FALSE), 0)</f>
        <v>0</v>
      </c>
      <c r="H241">
        <f>IFERROR(VLOOKUP(Tabla1[[#This Row],[SISMED]],TblDisponibilidad[],12,FALSE), 0)</f>
        <v>0</v>
      </c>
      <c r="I241">
        <f>IFERROR(VLOOKUP(Tabla1[[#This Row],[SISMED]],TblDisponibilidad[],13,FALSE), 0)</f>
        <v>0</v>
      </c>
      <c r="J241">
        <f>IFERROR(VLOOKUP(Tabla1[[#This Row],[SISMED]],TblDisponibilidad[],14,FALSE), 0)</f>
        <v>0</v>
      </c>
      <c r="K241">
        <f>IFERROR(VLOOKUP(Tabla1[[#This Row],[SISMED]],TblDisponibilidad[],15,FALSE), 0)</f>
        <v>0</v>
      </c>
      <c r="L241">
        <f>IFERROR(VLOOKUP(Tabla1[[#This Row],[SISMED]],TblDisponibilidad[],16,FALSE), 0)</f>
        <v>0</v>
      </c>
      <c r="M241">
        <f>IFERROR(VLOOKUP(Tabla1[[#This Row],[SISMED]],TblDisponibilidad[],17,FALSE), 0)</f>
        <v>0</v>
      </c>
      <c r="N241">
        <f>IFERROR(VLOOKUP(Tabla1[[#This Row],[SISMED]],TblDisponibilidad[],18,FALSE), 0)</f>
        <v>0</v>
      </c>
      <c r="O241">
        <f>IFERROR(VLOOKUP(Tabla1[[#This Row],[SISMED]],TblDisponibilidad[],19,FALSE), 0)</f>
        <v>0</v>
      </c>
      <c r="P241">
        <f>IFERROR(VLOOKUP(Tabla1[[#This Row],[SISMED]],TblDisponibilidad[],20,FALSE), 0)</f>
        <v>0</v>
      </c>
      <c r="Q241">
        <f>IFERROR(VLOOKUP(Tabla1[[#This Row],[SISMED]],TblDisponibilidad[],21,FALSE), 0)</f>
        <v>0</v>
      </c>
      <c r="R241">
        <f>IFERROR(VLOOKUP(Tabla1[[#This Row],[SISMED]],TblDisponibilidad[],22,FALSE), 0)</f>
        <v>0</v>
      </c>
      <c r="S241" s="15">
        <f>IFERROR(VLOOKUP(Tabla1[[#This Row],[SISMED]],TblDisponibilidad[],23,FALSE), 0)</f>
        <v>0</v>
      </c>
    </row>
    <row r="242" spans="1:19" x14ac:dyDescent="0.3">
      <c r="A242" s="15" t="s">
        <v>272</v>
      </c>
      <c r="B242" t="str">
        <f>IFERROR(VLOOKUP(Tabla1[[#This Row],[SISMED]],TblDisponibilidad[],2,FALSE), "")</f>
        <v/>
      </c>
      <c r="C242">
        <f>IFERROR(VLOOKUP(Tabla1[[#This Row],[SISMED]],TblDisponibilidad[],7,FALSE), 0)</f>
        <v>0</v>
      </c>
      <c r="D242">
        <f>IFERROR(VLOOKUP(Tabla1[[#This Row],[SISMED]],TblDisponibilidad[],8,FALSE), 0)</f>
        <v>0</v>
      </c>
      <c r="E242">
        <f>IFERROR(VLOOKUP(Tabla1[[#This Row],[SISMED]],TblDisponibilidad[],9,FALSE), 0)</f>
        <v>0</v>
      </c>
      <c r="F242">
        <f>IFERROR(VLOOKUP(Tabla1[[#This Row],[SISMED]],TblDisponibilidad[],10,FALSE), 0)</f>
        <v>0</v>
      </c>
      <c r="G242">
        <f>IFERROR(VLOOKUP(Tabla1[[#This Row],[SISMED]],TblDisponibilidad[],11,FALSE), 0)</f>
        <v>0</v>
      </c>
      <c r="H242">
        <f>IFERROR(VLOOKUP(Tabla1[[#This Row],[SISMED]],TblDisponibilidad[],12,FALSE), 0)</f>
        <v>0</v>
      </c>
      <c r="I242">
        <f>IFERROR(VLOOKUP(Tabla1[[#This Row],[SISMED]],TblDisponibilidad[],13,FALSE), 0)</f>
        <v>0</v>
      </c>
      <c r="J242">
        <f>IFERROR(VLOOKUP(Tabla1[[#This Row],[SISMED]],TblDisponibilidad[],14,FALSE), 0)</f>
        <v>0</v>
      </c>
      <c r="K242">
        <f>IFERROR(VLOOKUP(Tabla1[[#This Row],[SISMED]],TblDisponibilidad[],15,FALSE), 0)</f>
        <v>0</v>
      </c>
      <c r="L242">
        <f>IFERROR(VLOOKUP(Tabla1[[#This Row],[SISMED]],TblDisponibilidad[],16,FALSE), 0)</f>
        <v>0</v>
      </c>
      <c r="M242">
        <f>IFERROR(VLOOKUP(Tabla1[[#This Row],[SISMED]],TblDisponibilidad[],17,FALSE), 0)</f>
        <v>0</v>
      </c>
      <c r="N242">
        <f>IFERROR(VLOOKUP(Tabla1[[#This Row],[SISMED]],TblDisponibilidad[],18,FALSE), 0)</f>
        <v>0</v>
      </c>
      <c r="O242">
        <f>IFERROR(VLOOKUP(Tabla1[[#This Row],[SISMED]],TblDisponibilidad[],19,FALSE), 0)</f>
        <v>0</v>
      </c>
      <c r="P242">
        <f>IFERROR(VLOOKUP(Tabla1[[#This Row],[SISMED]],TblDisponibilidad[],20,FALSE), 0)</f>
        <v>0</v>
      </c>
      <c r="Q242">
        <f>IFERROR(VLOOKUP(Tabla1[[#This Row],[SISMED]],TblDisponibilidad[],21,FALSE), 0)</f>
        <v>0</v>
      </c>
      <c r="R242">
        <f>IFERROR(VLOOKUP(Tabla1[[#This Row],[SISMED]],TblDisponibilidad[],22,FALSE), 0)</f>
        <v>0</v>
      </c>
      <c r="S242" s="15">
        <f>IFERROR(VLOOKUP(Tabla1[[#This Row],[SISMED]],TblDisponibilidad[],23,FALSE), 0)</f>
        <v>0</v>
      </c>
    </row>
    <row r="243" spans="1:19" x14ac:dyDescent="0.3">
      <c r="A243" s="15" t="s">
        <v>273</v>
      </c>
      <c r="B243" t="str">
        <f>IFERROR(VLOOKUP(Tabla1[[#This Row],[SISMED]],TblDisponibilidad[],2,FALSE), "")</f>
        <v/>
      </c>
      <c r="C243">
        <f>IFERROR(VLOOKUP(Tabla1[[#This Row],[SISMED]],TblDisponibilidad[],7,FALSE), 0)</f>
        <v>0</v>
      </c>
      <c r="D243">
        <f>IFERROR(VLOOKUP(Tabla1[[#This Row],[SISMED]],TblDisponibilidad[],8,FALSE), 0)</f>
        <v>0</v>
      </c>
      <c r="E243">
        <f>IFERROR(VLOOKUP(Tabla1[[#This Row],[SISMED]],TblDisponibilidad[],9,FALSE), 0)</f>
        <v>0</v>
      </c>
      <c r="F243">
        <f>IFERROR(VLOOKUP(Tabla1[[#This Row],[SISMED]],TblDisponibilidad[],10,FALSE), 0)</f>
        <v>0</v>
      </c>
      <c r="G243">
        <f>IFERROR(VLOOKUP(Tabla1[[#This Row],[SISMED]],TblDisponibilidad[],11,FALSE), 0)</f>
        <v>0</v>
      </c>
      <c r="H243">
        <f>IFERROR(VLOOKUP(Tabla1[[#This Row],[SISMED]],TblDisponibilidad[],12,FALSE), 0)</f>
        <v>0</v>
      </c>
      <c r="I243">
        <f>IFERROR(VLOOKUP(Tabla1[[#This Row],[SISMED]],TblDisponibilidad[],13,FALSE), 0)</f>
        <v>0</v>
      </c>
      <c r="J243">
        <f>IFERROR(VLOOKUP(Tabla1[[#This Row],[SISMED]],TblDisponibilidad[],14,FALSE), 0)</f>
        <v>0</v>
      </c>
      <c r="K243">
        <f>IFERROR(VLOOKUP(Tabla1[[#This Row],[SISMED]],TblDisponibilidad[],15,FALSE), 0)</f>
        <v>0</v>
      </c>
      <c r="L243">
        <f>IFERROR(VLOOKUP(Tabla1[[#This Row],[SISMED]],TblDisponibilidad[],16,FALSE), 0)</f>
        <v>0</v>
      </c>
      <c r="M243">
        <f>IFERROR(VLOOKUP(Tabla1[[#This Row],[SISMED]],TblDisponibilidad[],17,FALSE), 0)</f>
        <v>0</v>
      </c>
      <c r="N243">
        <f>IFERROR(VLOOKUP(Tabla1[[#This Row],[SISMED]],TblDisponibilidad[],18,FALSE), 0)</f>
        <v>0</v>
      </c>
      <c r="O243">
        <f>IFERROR(VLOOKUP(Tabla1[[#This Row],[SISMED]],TblDisponibilidad[],19,FALSE), 0)</f>
        <v>0</v>
      </c>
      <c r="P243">
        <f>IFERROR(VLOOKUP(Tabla1[[#This Row],[SISMED]],TblDisponibilidad[],20,FALSE), 0)</f>
        <v>0</v>
      </c>
      <c r="Q243">
        <f>IFERROR(VLOOKUP(Tabla1[[#This Row],[SISMED]],TblDisponibilidad[],21,FALSE), 0)</f>
        <v>0</v>
      </c>
      <c r="R243">
        <f>IFERROR(VLOOKUP(Tabla1[[#This Row],[SISMED]],TblDisponibilidad[],22,FALSE), 0)</f>
        <v>0</v>
      </c>
      <c r="S243" s="15">
        <f>IFERROR(VLOOKUP(Tabla1[[#This Row],[SISMED]],TblDisponibilidad[],23,FALSE), 0)</f>
        <v>0</v>
      </c>
    </row>
    <row r="244" spans="1:19" x14ac:dyDescent="0.3">
      <c r="A244" s="15" t="s">
        <v>274</v>
      </c>
      <c r="B244" t="str">
        <f>IFERROR(VLOOKUP(Tabla1[[#This Row],[SISMED]],TblDisponibilidad[],2,FALSE), "")</f>
        <v/>
      </c>
      <c r="C244">
        <f>IFERROR(VLOOKUP(Tabla1[[#This Row],[SISMED]],TblDisponibilidad[],7,FALSE), 0)</f>
        <v>0</v>
      </c>
      <c r="D244">
        <f>IFERROR(VLOOKUP(Tabla1[[#This Row],[SISMED]],TblDisponibilidad[],8,FALSE), 0)</f>
        <v>0</v>
      </c>
      <c r="E244">
        <f>IFERROR(VLOOKUP(Tabla1[[#This Row],[SISMED]],TblDisponibilidad[],9,FALSE), 0)</f>
        <v>0</v>
      </c>
      <c r="F244">
        <f>IFERROR(VLOOKUP(Tabla1[[#This Row],[SISMED]],TblDisponibilidad[],10,FALSE), 0)</f>
        <v>0</v>
      </c>
      <c r="G244">
        <f>IFERROR(VLOOKUP(Tabla1[[#This Row],[SISMED]],TblDisponibilidad[],11,FALSE), 0)</f>
        <v>0</v>
      </c>
      <c r="H244">
        <f>IFERROR(VLOOKUP(Tabla1[[#This Row],[SISMED]],TblDisponibilidad[],12,FALSE), 0)</f>
        <v>0</v>
      </c>
      <c r="I244">
        <f>IFERROR(VLOOKUP(Tabla1[[#This Row],[SISMED]],TblDisponibilidad[],13,FALSE), 0)</f>
        <v>0</v>
      </c>
      <c r="J244">
        <f>IFERROR(VLOOKUP(Tabla1[[#This Row],[SISMED]],TblDisponibilidad[],14,FALSE), 0)</f>
        <v>0</v>
      </c>
      <c r="K244">
        <f>IFERROR(VLOOKUP(Tabla1[[#This Row],[SISMED]],TblDisponibilidad[],15,FALSE), 0)</f>
        <v>0</v>
      </c>
      <c r="L244">
        <f>IFERROR(VLOOKUP(Tabla1[[#This Row],[SISMED]],TblDisponibilidad[],16,FALSE), 0)</f>
        <v>0</v>
      </c>
      <c r="M244">
        <f>IFERROR(VLOOKUP(Tabla1[[#This Row],[SISMED]],TblDisponibilidad[],17,FALSE), 0)</f>
        <v>0</v>
      </c>
      <c r="N244">
        <f>IFERROR(VLOOKUP(Tabla1[[#This Row],[SISMED]],TblDisponibilidad[],18,FALSE), 0)</f>
        <v>0</v>
      </c>
      <c r="O244">
        <f>IFERROR(VLOOKUP(Tabla1[[#This Row],[SISMED]],TblDisponibilidad[],19,FALSE), 0)</f>
        <v>0</v>
      </c>
      <c r="P244">
        <f>IFERROR(VLOOKUP(Tabla1[[#This Row],[SISMED]],TblDisponibilidad[],20,FALSE), 0)</f>
        <v>0</v>
      </c>
      <c r="Q244">
        <f>IFERROR(VLOOKUP(Tabla1[[#This Row],[SISMED]],TblDisponibilidad[],21,FALSE), 0)</f>
        <v>0</v>
      </c>
      <c r="R244">
        <f>IFERROR(VLOOKUP(Tabla1[[#This Row],[SISMED]],TblDisponibilidad[],22,FALSE), 0)</f>
        <v>0</v>
      </c>
      <c r="S244" s="15">
        <f>IFERROR(VLOOKUP(Tabla1[[#This Row],[SISMED]],TblDisponibilidad[],23,FALSE), 0)</f>
        <v>0</v>
      </c>
    </row>
    <row r="245" spans="1:19" x14ac:dyDescent="0.3">
      <c r="A245" s="15" t="s">
        <v>275</v>
      </c>
      <c r="B245" t="str">
        <f>IFERROR(VLOOKUP(Tabla1[[#This Row],[SISMED]],TblDisponibilidad[],2,FALSE), "")</f>
        <v/>
      </c>
      <c r="C245">
        <f>IFERROR(VLOOKUP(Tabla1[[#This Row],[SISMED]],TblDisponibilidad[],7,FALSE), 0)</f>
        <v>0</v>
      </c>
      <c r="D245">
        <f>IFERROR(VLOOKUP(Tabla1[[#This Row],[SISMED]],TblDisponibilidad[],8,FALSE), 0)</f>
        <v>0</v>
      </c>
      <c r="E245">
        <f>IFERROR(VLOOKUP(Tabla1[[#This Row],[SISMED]],TblDisponibilidad[],9,FALSE), 0)</f>
        <v>0</v>
      </c>
      <c r="F245">
        <f>IFERROR(VLOOKUP(Tabla1[[#This Row],[SISMED]],TblDisponibilidad[],10,FALSE), 0)</f>
        <v>0</v>
      </c>
      <c r="G245">
        <f>IFERROR(VLOOKUP(Tabla1[[#This Row],[SISMED]],TblDisponibilidad[],11,FALSE), 0)</f>
        <v>0</v>
      </c>
      <c r="H245">
        <f>IFERROR(VLOOKUP(Tabla1[[#This Row],[SISMED]],TblDisponibilidad[],12,FALSE), 0)</f>
        <v>0</v>
      </c>
      <c r="I245">
        <f>IFERROR(VLOOKUP(Tabla1[[#This Row],[SISMED]],TblDisponibilidad[],13,FALSE), 0)</f>
        <v>0</v>
      </c>
      <c r="J245">
        <f>IFERROR(VLOOKUP(Tabla1[[#This Row],[SISMED]],TblDisponibilidad[],14,FALSE), 0)</f>
        <v>0</v>
      </c>
      <c r="K245">
        <f>IFERROR(VLOOKUP(Tabla1[[#This Row],[SISMED]],TblDisponibilidad[],15,FALSE), 0)</f>
        <v>0</v>
      </c>
      <c r="L245">
        <f>IFERROR(VLOOKUP(Tabla1[[#This Row],[SISMED]],TblDisponibilidad[],16,FALSE), 0)</f>
        <v>0</v>
      </c>
      <c r="M245">
        <f>IFERROR(VLOOKUP(Tabla1[[#This Row],[SISMED]],TblDisponibilidad[],17,FALSE), 0)</f>
        <v>0</v>
      </c>
      <c r="N245">
        <f>IFERROR(VLOOKUP(Tabla1[[#This Row],[SISMED]],TblDisponibilidad[],18,FALSE), 0)</f>
        <v>0</v>
      </c>
      <c r="O245">
        <f>IFERROR(VLOOKUP(Tabla1[[#This Row],[SISMED]],TblDisponibilidad[],19,FALSE), 0)</f>
        <v>0</v>
      </c>
      <c r="P245">
        <f>IFERROR(VLOOKUP(Tabla1[[#This Row],[SISMED]],TblDisponibilidad[],20,FALSE), 0)</f>
        <v>0</v>
      </c>
      <c r="Q245">
        <f>IFERROR(VLOOKUP(Tabla1[[#This Row],[SISMED]],TblDisponibilidad[],21,FALSE), 0)</f>
        <v>0</v>
      </c>
      <c r="R245">
        <f>IFERROR(VLOOKUP(Tabla1[[#This Row],[SISMED]],TblDisponibilidad[],22,FALSE), 0)</f>
        <v>0</v>
      </c>
      <c r="S245" s="15">
        <f>IFERROR(VLOOKUP(Tabla1[[#This Row],[SISMED]],TblDisponibilidad[],23,FALSE), 0)</f>
        <v>0</v>
      </c>
    </row>
    <row r="246" spans="1:19" x14ac:dyDescent="0.3">
      <c r="A246" s="15" t="s">
        <v>276</v>
      </c>
      <c r="B246" t="str">
        <f>IFERROR(VLOOKUP(Tabla1[[#This Row],[SISMED]],TblDisponibilidad[],2,FALSE), "")</f>
        <v/>
      </c>
      <c r="C246">
        <f>IFERROR(VLOOKUP(Tabla1[[#This Row],[SISMED]],TblDisponibilidad[],7,FALSE), 0)</f>
        <v>0</v>
      </c>
      <c r="D246">
        <f>IFERROR(VLOOKUP(Tabla1[[#This Row],[SISMED]],TblDisponibilidad[],8,FALSE), 0)</f>
        <v>0</v>
      </c>
      <c r="E246">
        <f>IFERROR(VLOOKUP(Tabla1[[#This Row],[SISMED]],TblDisponibilidad[],9,FALSE), 0)</f>
        <v>0</v>
      </c>
      <c r="F246">
        <f>IFERROR(VLOOKUP(Tabla1[[#This Row],[SISMED]],TblDisponibilidad[],10,FALSE), 0)</f>
        <v>0</v>
      </c>
      <c r="G246">
        <f>IFERROR(VLOOKUP(Tabla1[[#This Row],[SISMED]],TblDisponibilidad[],11,FALSE), 0)</f>
        <v>0</v>
      </c>
      <c r="H246">
        <f>IFERROR(VLOOKUP(Tabla1[[#This Row],[SISMED]],TblDisponibilidad[],12,FALSE), 0)</f>
        <v>0</v>
      </c>
      <c r="I246">
        <f>IFERROR(VLOOKUP(Tabla1[[#This Row],[SISMED]],TblDisponibilidad[],13,FALSE), 0)</f>
        <v>0</v>
      </c>
      <c r="J246">
        <f>IFERROR(VLOOKUP(Tabla1[[#This Row],[SISMED]],TblDisponibilidad[],14,FALSE), 0)</f>
        <v>0</v>
      </c>
      <c r="K246">
        <f>IFERROR(VLOOKUP(Tabla1[[#This Row],[SISMED]],TblDisponibilidad[],15,FALSE), 0)</f>
        <v>0</v>
      </c>
      <c r="L246">
        <f>IFERROR(VLOOKUP(Tabla1[[#This Row],[SISMED]],TblDisponibilidad[],16,FALSE), 0)</f>
        <v>0</v>
      </c>
      <c r="M246">
        <f>IFERROR(VLOOKUP(Tabla1[[#This Row],[SISMED]],TblDisponibilidad[],17,FALSE), 0)</f>
        <v>0</v>
      </c>
      <c r="N246">
        <f>IFERROR(VLOOKUP(Tabla1[[#This Row],[SISMED]],TblDisponibilidad[],18,FALSE), 0)</f>
        <v>0</v>
      </c>
      <c r="O246">
        <f>IFERROR(VLOOKUP(Tabla1[[#This Row],[SISMED]],TblDisponibilidad[],19,FALSE), 0)</f>
        <v>0</v>
      </c>
      <c r="P246">
        <f>IFERROR(VLOOKUP(Tabla1[[#This Row],[SISMED]],TblDisponibilidad[],20,FALSE), 0)</f>
        <v>0</v>
      </c>
      <c r="Q246">
        <f>IFERROR(VLOOKUP(Tabla1[[#This Row],[SISMED]],TblDisponibilidad[],21,FALSE), 0)</f>
        <v>0</v>
      </c>
      <c r="R246">
        <f>IFERROR(VLOOKUP(Tabla1[[#This Row],[SISMED]],TblDisponibilidad[],22,FALSE), 0)</f>
        <v>0</v>
      </c>
      <c r="S246" s="15">
        <f>IFERROR(VLOOKUP(Tabla1[[#This Row],[SISMED]],TblDisponibilidad[],23,FALSE), 0)</f>
        <v>0</v>
      </c>
    </row>
    <row r="247" spans="1:19" x14ac:dyDescent="0.3">
      <c r="A247" s="15" t="s">
        <v>277</v>
      </c>
      <c r="B247" t="str">
        <f>IFERROR(VLOOKUP(Tabla1[[#This Row],[SISMED]],TblDisponibilidad[],2,FALSE), "")</f>
        <v/>
      </c>
      <c r="C247">
        <f>IFERROR(VLOOKUP(Tabla1[[#This Row],[SISMED]],TblDisponibilidad[],7,FALSE), 0)</f>
        <v>0</v>
      </c>
      <c r="D247">
        <f>IFERROR(VLOOKUP(Tabla1[[#This Row],[SISMED]],TblDisponibilidad[],8,FALSE), 0)</f>
        <v>0</v>
      </c>
      <c r="E247">
        <f>IFERROR(VLOOKUP(Tabla1[[#This Row],[SISMED]],TblDisponibilidad[],9,FALSE), 0)</f>
        <v>0</v>
      </c>
      <c r="F247">
        <f>IFERROR(VLOOKUP(Tabla1[[#This Row],[SISMED]],TblDisponibilidad[],10,FALSE), 0)</f>
        <v>0</v>
      </c>
      <c r="G247">
        <f>IFERROR(VLOOKUP(Tabla1[[#This Row],[SISMED]],TblDisponibilidad[],11,FALSE), 0)</f>
        <v>0</v>
      </c>
      <c r="H247">
        <f>IFERROR(VLOOKUP(Tabla1[[#This Row],[SISMED]],TblDisponibilidad[],12,FALSE), 0)</f>
        <v>0</v>
      </c>
      <c r="I247">
        <f>IFERROR(VLOOKUP(Tabla1[[#This Row],[SISMED]],TblDisponibilidad[],13,FALSE), 0)</f>
        <v>0</v>
      </c>
      <c r="J247">
        <f>IFERROR(VLOOKUP(Tabla1[[#This Row],[SISMED]],TblDisponibilidad[],14,FALSE), 0)</f>
        <v>0</v>
      </c>
      <c r="K247">
        <f>IFERROR(VLOOKUP(Tabla1[[#This Row],[SISMED]],TblDisponibilidad[],15,FALSE), 0)</f>
        <v>0</v>
      </c>
      <c r="L247">
        <f>IFERROR(VLOOKUP(Tabla1[[#This Row],[SISMED]],TblDisponibilidad[],16,FALSE), 0)</f>
        <v>0</v>
      </c>
      <c r="M247">
        <f>IFERROR(VLOOKUP(Tabla1[[#This Row],[SISMED]],TblDisponibilidad[],17,FALSE), 0)</f>
        <v>0</v>
      </c>
      <c r="N247">
        <f>IFERROR(VLOOKUP(Tabla1[[#This Row],[SISMED]],TblDisponibilidad[],18,FALSE), 0)</f>
        <v>0</v>
      </c>
      <c r="O247">
        <f>IFERROR(VLOOKUP(Tabla1[[#This Row],[SISMED]],TblDisponibilidad[],19,FALSE), 0)</f>
        <v>0</v>
      </c>
      <c r="P247">
        <f>IFERROR(VLOOKUP(Tabla1[[#This Row],[SISMED]],TblDisponibilidad[],20,FALSE), 0)</f>
        <v>0</v>
      </c>
      <c r="Q247">
        <f>IFERROR(VLOOKUP(Tabla1[[#This Row],[SISMED]],TblDisponibilidad[],21,FALSE), 0)</f>
        <v>0</v>
      </c>
      <c r="R247">
        <f>IFERROR(VLOOKUP(Tabla1[[#This Row],[SISMED]],TblDisponibilidad[],22,FALSE), 0)</f>
        <v>0</v>
      </c>
      <c r="S247" s="15">
        <f>IFERROR(VLOOKUP(Tabla1[[#This Row],[SISMED]],TblDisponibilidad[],23,FALSE), 0)</f>
        <v>0</v>
      </c>
    </row>
    <row r="248" spans="1:19" x14ac:dyDescent="0.3">
      <c r="A248" s="15" t="s">
        <v>278</v>
      </c>
      <c r="B248" t="str">
        <f>IFERROR(VLOOKUP(Tabla1[[#This Row],[SISMED]],TblDisponibilidad[],2,FALSE), "")</f>
        <v/>
      </c>
      <c r="C248">
        <f>IFERROR(VLOOKUP(Tabla1[[#This Row],[SISMED]],TblDisponibilidad[],7,FALSE), 0)</f>
        <v>0</v>
      </c>
      <c r="D248">
        <f>IFERROR(VLOOKUP(Tabla1[[#This Row],[SISMED]],TblDisponibilidad[],8,FALSE), 0)</f>
        <v>0</v>
      </c>
      <c r="E248">
        <f>IFERROR(VLOOKUP(Tabla1[[#This Row],[SISMED]],TblDisponibilidad[],9,FALSE), 0)</f>
        <v>0</v>
      </c>
      <c r="F248">
        <f>IFERROR(VLOOKUP(Tabla1[[#This Row],[SISMED]],TblDisponibilidad[],10,FALSE), 0)</f>
        <v>0</v>
      </c>
      <c r="G248">
        <f>IFERROR(VLOOKUP(Tabla1[[#This Row],[SISMED]],TblDisponibilidad[],11,FALSE), 0)</f>
        <v>0</v>
      </c>
      <c r="H248">
        <f>IFERROR(VLOOKUP(Tabla1[[#This Row],[SISMED]],TblDisponibilidad[],12,FALSE), 0)</f>
        <v>0</v>
      </c>
      <c r="I248">
        <f>IFERROR(VLOOKUP(Tabla1[[#This Row],[SISMED]],TblDisponibilidad[],13,FALSE), 0)</f>
        <v>0</v>
      </c>
      <c r="J248">
        <f>IFERROR(VLOOKUP(Tabla1[[#This Row],[SISMED]],TblDisponibilidad[],14,FALSE), 0)</f>
        <v>0</v>
      </c>
      <c r="K248">
        <f>IFERROR(VLOOKUP(Tabla1[[#This Row],[SISMED]],TblDisponibilidad[],15,FALSE), 0)</f>
        <v>0</v>
      </c>
      <c r="L248">
        <f>IFERROR(VLOOKUP(Tabla1[[#This Row],[SISMED]],TblDisponibilidad[],16,FALSE), 0)</f>
        <v>0</v>
      </c>
      <c r="M248">
        <f>IFERROR(VLOOKUP(Tabla1[[#This Row],[SISMED]],TblDisponibilidad[],17,FALSE), 0)</f>
        <v>0</v>
      </c>
      <c r="N248">
        <f>IFERROR(VLOOKUP(Tabla1[[#This Row],[SISMED]],TblDisponibilidad[],18,FALSE), 0)</f>
        <v>0</v>
      </c>
      <c r="O248">
        <f>IFERROR(VLOOKUP(Tabla1[[#This Row],[SISMED]],TblDisponibilidad[],19,FALSE), 0)</f>
        <v>0</v>
      </c>
      <c r="P248">
        <f>IFERROR(VLOOKUP(Tabla1[[#This Row],[SISMED]],TblDisponibilidad[],20,FALSE), 0)</f>
        <v>0</v>
      </c>
      <c r="Q248">
        <f>IFERROR(VLOOKUP(Tabla1[[#This Row],[SISMED]],TblDisponibilidad[],21,FALSE), 0)</f>
        <v>0</v>
      </c>
      <c r="R248">
        <f>IFERROR(VLOOKUP(Tabla1[[#This Row],[SISMED]],TblDisponibilidad[],22,FALSE), 0)</f>
        <v>0</v>
      </c>
      <c r="S248" s="15">
        <f>IFERROR(VLOOKUP(Tabla1[[#This Row],[SISMED]],TblDisponibilidad[],23,FALSE), 0)</f>
        <v>0</v>
      </c>
    </row>
    <row r="249" spans="1:19" x14ac:dyDescent="0.3">
      <c r="A249" s="15" t="s">
        <v>279</v>
      </c>
      <c r="B249" t="str">
        <f>IFERROR(VLOOKUP(Tabla1[[#This Row],[SISMED]],TblDisponibilidad[],2,FALSE), "")</f>
        <v/>
      </c>
      <c r="C249">
        <f>IFERROR(VLOOKUP(Tabla1[[#This Row],[SISMED]],TblDisponibilidad[],7,FALSE), 0)</f>
        <v>0</v>
      </c>
      <c r="D249">
        <f>IFERROR(VLOOKUP(Tabla1[[#This Row],[SISMED]],TblDisponibilidad[],8,FALSE), 0)</f>
        <v>0</v>
      </c>
      <c r="E249">
        <f>IFERROR(VLOOKUP(Tabla1[[#This Row],[SISMED]],TblDisponibilidad[],9,FALSE), 0)</f>
        <v>0</v>
      </c>
      <c r="F249">
        <f>IFERROR(VLOOKUP(Tabla1[[#This Row],[SISMED]],TblDisponibilidad[],10,FALSE), 0)</f>
        <v>0</v>
      </c>
      <c r="G249">
        <f>IFERROR(VLOOKUP(Tabla1[[#This Row],[SISMED]],TblDisponibilidad[],11,FALSE), 0)</f>
        <v>0</v>
      </c>
      <c r="H249">
        <f>IFERROR(VLOOKUP(Tabla1[[#This Row],[SISMED]],TblDisponibilidad[],12,FALSE), 0)</f>
        <v>0</v>
      </c>
      <c r="I249">
        <f>IFERROR(VLOOKUP(Tabla1[[#This Row],[SISMED]],TblDisponibilidad[],13,FALSE), 0)</f>
        <v>0</v>
      </c>
      <c r="J249">
        <f>IFERROR(VLOOKUP(Tabla1[[#This Row],[SISMED]],TblDisponibilidad[],14,FALSE), 0)</f>
        <v>0</v>
      </c>
      <c r="K249">
        <f>IFERROR(VLOOKUP(Tabla1[[#This Row],[SISMED]],TblDisponibilidad[],15,FALSE), 0)</f>
        <v>0</v>
      </c>
      <c r="L249">
        <f>IFERROR(VLOOKUP(Tabla1[[#This Row],[SISMED]],TblDisponibilidad[],16,FALSE), 0)</f>
        <v>0</v>
      </c>
      <c r="M249">
        <f>IFERROR(VLOOKUP(Tabla1[[#This Row],[SISMED]],TblDisponibilidad[],17,FALSE), 0)</f>
        <v>0</v>
      </c>
      <c r="N249">
        <f>IFERROR(VLOOKUP(Tabla1[[#This Row],[SISMED]],TblDisponibilidad[],18,FALSE), 0)</f>
        <v>0</v>
      </c>
      <c r="O249">
        <f>IFERROR(VLOOKUP(Tabla1[[#This Row],[SISMED]],TblDisponibilidad[],19,FALSE), 0)</f>
        <v>0</v>
      </c>
      <c r="P249">
        <f>IFERROR(VLOOKUP(Tabla1[[#This Row],[SISMED]],TblDisponibilidad[],20,FALSE), 0)</f>
        <v>0</v>
      </c>
      <c r="Q249">
        <f>IFERROR(VLOOKUP(Tabla1[[#This Row],[SISMED]],TblDisponibilidad[],21,FALSE), 0)</f>
        <v>0</v>
      </c>
      <c r="R249">
        <f>IFERROR(VLOOKUP(Tabla1[[#This Row],[SISMED]],TblDisponibilidad[],22,FALSE), 0)</f>
        <v>0</v>
      </c>
      <c r="S249" s="15">
        <f>IFERROR(VLOOKUP(Tabla1[[#This Row],[SISMED]],TblDisponibilidad[],23,FALSE), 0)</f>
        <v>0</v>
      </c>
    </row>
    <row r="250" spans="1:19" x14ac:dyDescent="0.3">
      <c r="A250" s="15" t="s">
        <v>280</v>
      </c>
      <c r="B250" t="str">
        <f>IFERROR(VLOOKUP(Tabla1[[#This Row],[SISMED]],TblDisponibilidad[],2,FALSE), "")</f>
        <v/>
      </c>
      <c r="C250">
        <f>IFERROR(VLOOKUP(Tabla1[[#This Row],[SISMED]],TblDisponibilidad[],7,FALSE), 0)</f>
        <v>0</v>
      </c>
      <c r="D250">
        <f>IFERROR(VLOOKUP(Tabla1[[#This Row],[SISMED]],TblDisponibilidad[],8,FALSE), 0)</f>
        <v>0</v>
      </c>
      <c r="E250">
        <f>IFERROR(VLOOKUP(Tabla1[[#This Row],[SISMED]],TblDisponibilidad[],9,FALSE), 0)</f>
        <v>0</v>
      </c>
      <c r="F250">
        <f>IFERROR(VLOOKUP(Tabla1[[#This Row],[SISMED]],TblDisponibilidad[],10,FALSE), 0)</f>
        <v>0</v>
      </c>
      <c r="G250">
        <f>IFERROR(VLOOKUP(Tabla1[[#This Row],[SISMED]],TblDisponibilidad[],11,FALSE), 0)</f>
        <v>0</v>
      </c>
      <c r="H250">
        <f>IFERROR(VLOOKUP(Tabla1[[#This Row],[SISMED]],TblDisponibilidad[],12,FALSE), 0)</f>
        <v>0</v>
      </c>
      <c r="I250">
        <f>IFERROR(VLOOKUP(Tabla1[[#This Row],[SISMED]],TblDisponibilidad[],13,FALSE), 0)</f>
        <v>0</v>
      </c>
      <c r="J250">
        <f>IFERROR(VLOOKUP(Tabla1[[#This Row],[SISMED]],TblDisponibilidad[],14,FALSE), 0)</f>
        <v>0</v>
      </c>
      <c r="K250">
        <f>IFERROR(VLOOKUP(Tabla1[[#This Row],[SISMED]],TblDisponibilidad[],15,FALSE), 0)</f>
        <v>0</v>
      </c>
      <c r="L250">
        <f>IFERROR(VLOOKUP(Tabla1[[#This Row],[SISMED]],TblDisponibilidad[],16,FALSE), 0)</f>
        <v>0</v>
      </c>
      <c r="M250">
        <f>IFERROR(VLOOKUP(Tabla1[[#This Row],[SISMED]],TblDisponibilidad[],17,FALSE), 0)</f>
        <v>0</v>
      </c>
      <c r="N250">
        <f>IFERROR(VLOOKUP(Tabla1[[#This Row],[SISMED]],TblDisponibilidad[],18,FALSE), 0)</f>
        <v>0</v>
      </c>
      <c r="O250">
        <f>IFERROR(VLOOKUP(Tabla1[[#This Row],[SISMED]],TblDisponibilidad[],19,FALSE), 0)</f>
        <v>0</v>
      </c>
      <c r="P250">
        <f>IFERROR(VLOOKUP(Tabla1[[#This Row],[SISMED]],TblDisponibilidad[],20,FALSE), 0)</f>
        <v>0</v>
      </c>
      <c r="Q250">
        <f>IFERROR(VLOOKUP(Tabla1[[#This Row],[SISMED]],TblDisponibilidad[],21,FALSE), 0)</f>
        <v>0</v>
      </c>
      <c r="R250">
        <f>IFERROR(VLOOKUP(Tabla1[[#This Row],[SISMED]],TblDisponibilidad[],22,FALSE), 0)</f>
        <v>0</v>
      </c>
      <c r="S250" s="15">
        <f>IFERROR(VLOOKUP(Tabla1[[#This Row],[SISMED]],TblDisponibilidad[],23,FALSE), 0)</f>
        <v>0</v>
      </c>
    </row>
    <row r="251" spans="1:19" x14ac:dyDescent="0.3">
      <c r="A251" s="15" t="s">
        <v>281</v>
      </c>
      <c r="B251" t="str">
        <f>IFERROR(VLOOKUP(Tabla1[[#This Row],[SISMED]],TblDisponibilidad[],2,FALSE), "")</f>
        <v/>
      </c>
      <c r="C251">
        <f>IFERROR(VLOOKUP(Tabla1[[#This Row],[SISMED]],TblDisponibilidad[],7,FALSE), 0)</f>
        <v>0</v>
      </c>
      <c r="D251">
        <f>IFERROR(VLOOKUP(Tabla1[[#This Row],[SISMED]],TblDisponibilidad[],8,FALSE), 0)</f>
        <v>0</v>
      </c>
      <c r="E251">
        <f>IFERROR(VLOOKUP(Tabla1[[#This Row],[SISMED]],TblDisponibilidad[],9,FALSE), 0)</f>
        <v>0</v>
      </c>
      <c r="F251">
        <f>IFERROR(VLOOKUP(Tabla1[[#This Row],[SISMED]],TblDisponibilidad[],10,FALSE), 0)</f>
        <v>0</v>
      </c>
      <c r="G251">
        <f>IFERROR(VLOOKUP(Tabla1[[#This Row],[SISMED]],TblDisponibilidad[],11,FALSE), 0)</f>
        <v>0</v>
      </c>
      <c r="H251">
        <f>IFERROR(VLOOKUP(Tabla1[[#This Row],[SISMED]],TblDisponibilidad[],12,FALSE), 0)</f>
        <v>0</v>
      </c>
      <c r="I251">
        <f>IFERROR(VLOOKUP(Tabla1[[#This Row],[SISMED]],TblDisponibilidad[],13,FALSE), 0)</f>
        <v>0</v>
      </c>
      <c r="J251">
        <f>IFERROR(VLOOKUP(Tabla1[[#This Row],[SISMED]],TblDisponibilidad[],14,FALSE), 0)</f>
        <v>0</v>
      </c>
      <c r="K251">
        <f>IFERROR(VLOOKUP(Tabla1[[#This Row],[SISMED]],TblDisponibilidad[],15,FALSE), 0)</f>
        <v>0</v>
      </c>
      <c r="L251">
        <f>IFERROR(VLOOKUP(Tabla1[[#This Row],[SISMED]],TblDisponibilidad[],16,FALSE), 0)</f>
        <v>0</v>
      </c>
      <c r="M251">
        <f>IFERROR(VLOOKUP(Tabla1[[#This Row],[SISMED]],TblDisponibilidad[],17,FALSE), 0)</f>
        <v>0</v>
      </c>
      <c r="N251">
        <f>IFERROR(VLOOKUP(Tabla1[[#This Row],[SISMED]],TblDisponibilidad[],18,FALSE), 0)</f>
        <v>0</v>
      </c>
      <c r="O251">
        <f>IFERROR(VLOOKUP(Tabla1[[#This Row],[SISMED]],TblDisponibilidad[],19,FALSE), 0)</f>
        <v>0</v>
      </c>
      <c r="P251">
        <f>IFERROR(VLOOKUP(Tabla1[[#This Row],[SISMED]],TblDisponibilidad[],20,FALSE), 0)</f>
        <v>0</v>
      </c>
      <c r="Q251">
        <f>IFERROR(VLOOKUP(Tabla1[[#This Row],[SISMED]],TblDisponibilidad[],21,FALSE), 0)</f>
        <v>0</v>
      </c>
      <c r="R251">
        <f>IFERROR(VLOOKUP(Tabla1[[#This Row],[SISMED]],TblDisponibilidad[],22,FALSE), 0)</f>
        <v>0</v>
      </c>
      <c r="S251" s="15">
        <f>IFERROR(VLOOKUP(Tabla1[[#This Row],[SISMED]],TblDisponibilidad[],23,FALSE), 0)</f>
        <v>0</v>
      </c>
    </row>
    <row r="252" spans="1:19" x14ac:dyDescent="0.3">
      <c r="A252" s="15" t="s">
        <v>282</v>
      </c>
      <c r="B252" t="str">
        <f>IFERROR(VLOOKUP(Tabla1[[#This Row],[SISMED]],TblDisponibilidad[],2,FALSE), "")</f>
        <v/>
      </c>
      <c r="C252">
        <f>IFERROR(VLOOKUP(Tabla1[[#This Row],[SISMED]],TblDisponibilidad[],7,FALSE), 0)</f>
        <v>0</v>
      </c>
      <c r="D252">
        <f>IFERROR(VLOOKUP(Tabla1[[#This Row],[SISMED]],TblDisponibilidad[],8,FALSE), 0)</f>
        <v>0</v>
      </c>
      <c r="E252">
        <f>IFERROR(VLOOKUP(Tabla1[[#This Row],[SISMED]],TblDisponibilidad[],9,FALSE), 0)</f>
        <v>0</v>
      </c>
      <c r="F252">
        <f>IFERROR(VLOOKUP(Tabla1[[#This Row],[SISMED]],TblDisponibilidad[],10,FALSE), 0)</f>
        <v>0</v>
      </c>
      <c r="G252">
        <f>IFERROR(VLOOKUP(Tabla1[[#This Row],[SISMED]],TblDisponibilidad[],11,FALSE), 0)</f>
        <v>0</v>
      </c>
      <c r="H252">
        <f>IFERROR(VLOOKUP(Tabla1[[#This Row],[SISMED]],TblDisponibilidad[],12,FALSE), 0)</f>
        <v>0</v>
      </c>
      <c r="I252">
        <f>IFERROR(VLOOKUP(Tabla1[[#This Row],[SISMED]],TblDisponibilidad[],13,FALSE), 0)</f>
        <v>0</v>
      </c>
      <c r="J252">
        <f>IFERROR(VLOOKUP(Tabla1[[#This Row],[SISMED]],TblDisponibilidad[],14,FALSE), 0)</f>
        <v>0</v>
      </c>
      <c r="K252">
        <f>IFERROR(VLOOKUP(Tabla1[[#This Row],[SISMED]],TblDisponibilidad[],15,FALSE), 0)</f>
        <v>0</v>
      </c>
      <c r="L252">
        <f>IFERROR(VLOOKUP(Tabla1[[#This Row],[SISMED]],TblDisponibilidad[],16,FALSE), 0)</f>
        <v>0</v>
      </c>
      <c r="M252">
        <f>IFERROR(VLOOKUP(Tabla1[[#This Row],[SISMED]],TblDisponibilidad[],17,FALSE), 0)</f>
        <v>0</v>
      </c>
      <c r="N252">
        <f>IFERROR(VLOOKUP(Tabla1[[#This Row],[SISMED]],TblDisponibilidad[],18,FALSE), 0)</f>
        <v>0</v>
      </c>
      <c r="O252">
        <f>IFERROR(VLOOKUP(Tabla1[[#This Row],[SISMED]],TblDisponibilidad[],19,FALSE), 0)</f>
        <v>0</v>
      </c>
      <c r="P252">
        <f>IFERROR(VLOOKUP(Tabla1[[#This Row],[SISMED]],TblDisponibilidad[],20,FALSE), 0)</f>
        <v>0</v>
      </c>
      <c r="Q252">
        <f>IFERROR(VLOOKUP(Tabla1[[#This Row],[SISMED]],TblDisponibilidad[],21,FALSE), 0)</f>
        <v>0</v>
      </c>
      <c r="R252">
        <f>IFERROR(VLOOKUP(Tabla1[[#This Row],[SISMED]],TblDisponibilidad[],22,FALSE), 0)</f>
        <v>0</v>
      </c>
      <c r="S252" s="15">
        <f>IFERROR(VLOOKUP(Tabla1[[#This Row],[SISMED]],TblDisponibilidad[],23,FALSE), 0)</f>
        <v>0</v>
      </c>
    </row>
    <row r="253" spans="1:19" x14ac:dyDescent="0.3">
      <c r="A253" s="15" t="s">
        <v>283</v>
      </c>
      <c r="B253" t="str">
        <f>IFERROR(VLOOKUP(Tabla1[[#This Row],[SISMED]],TblDisponibilidad[],2,FALSE), "")</f>
        <v/>
      </c>
      <c r="C253">
        <f>IFERROR(VLOOKUP(Tabla1[[#This Row],[SISMED]],TblDisponibilidad[],7,FALSE), 0)</f>
        <v>0</v>
      </c>
      <c r="D253">
        <f>IFERROR(VLOOKUP(Tabla1[[#This Row],[SISMED]],TblDisponibilidad[],8,FALSE), 0)</f>
        <v>0</v>
      </c>
      <c r="E253">
        <f>IFERROR(VLOOKUP(Tabla1[[#This Row],[SISMED]],TblDisponibilidad[],9,FALSE), 0)</f>
        <v>0</v>
      </c>
      <c r="F253">
        <f>IFERROR(VLOOKUP(Tabla1[[#This Row],[SISMED]],TblDisponibilidad[],10,FALSE), 0)</f>
        <v>0</v>
      </c>
      <c r="G253">
        <f>IFERROR(VLOOKUP(Tabla1[[#This Row],[SISMED]],TblDisponibilidad[],11,FALSE), 0)</f>
        <v>0</v>
      </c>
      <c r="H253">
        <f>IFERROR(VLOOKUP(Tabla1[[#This Row],[SISMED]],TblDisponibilidad[],12,FALSE), 0)</f>
        <v>0</v>
      </c>
      <c r="I253">
        <f>IFERROR(VLOOKUP(Tabla1[[#This Row],[SISMED]],TblDisponibilidad[],13,FALSE), 0)</f>
        <v>0</v>
      </c>
      <c r="J253">
        <f>IFERROR(VLOOKUP(Tabla1[[#This Row],[SISMED]],TblDisponibilidad[],14,FALSE), 0)</f>
        <v>0</v>
      </c>
      <c r="K253">
        <f>IFERROR(VLOOKUP(Tabla1[[#This Row],[SISMED]],TblDisponibilidad[],15,FALSE), 0)</f>
        <v>0</v>
      </c>
      <c r="L253">
        <f>IFERROR(VLOOKUP(Tabla1[[#This Row],[SISMED]],TblDisponibilidad[],16,FALSE), 0)</f>
        <v>0</v>
      </c>
      <c r="M253">
        <f>IFERROR(VLOOKUP(Tabla1[[#This Row],[SISMED]],TblDisponibilidad[],17,FALSE), 0)</f>
        <v>0</v>
      </c>
      <c r="N253">
        <f>IFERROR(VLOOKUP(Tabla1[[#This Row],[SISMED]],TblDisponibilidad[],18,FALSE), 0)</f>
        <v>0</v>
      </c>
      <c r="O253">
        <f>IFERROR(VLOOKUP(Tabla1[[#This Row],[SISMED]],TblDisponibilidad[],19,FALSE), 0)</f>
        <v>0</v>
      </c>
      <c r="P253">
        <f>IFERROR(VLOOKUP(Tabla1[[#This Row],[SISMED]],TblDisponibilidad[],20,FALSE), 0)</f>
        <v>0</v>
      </c>
      <c r="Q253">
        <f>IFERROR(VLOOKUP(Tabla1[[#This Row],[SISMED]],TblDisponibilidad[],21,FALSE), 0)</f>
        <v>0</v>
      </c>
      <c r="R253">
        <f>IFERROR(VLOOKUP(Tabla1[[#This Row],[SISMED]],TblDisponibilidad[],22,FALSE), 0)</f>
        <v>0</v>
      </c>
      <c r="S253" s="15">
        <f>IFERROR(VLOOKUP(Tabla1[[#This Row],[SISMED]],TblDisponibilidad[],23,FALSE), 0)</f>
        <v>0</v>
      </c>
    </row>
    <row r="254" spans="1:19" x14ac:dyDescent="0.3">
      <c r="A254" s="15" t="s">
        <v>284</v>
      </c>
      <c r="B254" t="str">
        <f>IFERROR(VLOOKUP(Tabla1[[#This Row],[SISMED]],TblDisponibilidad[],2,FALSE), "")</f>
        <v/>
      </c>
      <c r="C254">
        <f>IFERROR(VLOOKUP(Tabla1[[#This Row],[SISMED]],TblDisponibilidad[],7,FALSE), 0)</f>
        <v>0</v>
      </c>
      <c r="D254">
        <f>IFERROR(VLOOKUP(Tabla1[[#This Row],[SISMED]],TblDisponibilidad[],8,FALSE), 0)</f>
        <v>0</v>
      </c>
      <c r="E254">
        <f>IFERROR(VLOOKUP(Tabla1[[#This Row],[SISMED]],TblDisponibilidad[],9,FALSE), 0)</f>
        <v>0</v>
      </c>
      <c r="F254">
        <f>IFERROR(VLOOKUP(Tabla1[[#This Row],[SISMED]],TblDisponibilidad[],10,FALSE), 0)</f>
        <v>0</v>
      </c>
      <c r="G254">
        <f>IFERROR(VLOOKUP(Tabla1[[#This Row],[SISMED]],TblDisponibilidad[],11,FALSE), 0)</f>
        <v>0</v>
      </c>
      <c r="H254">
        <f>IFERROR(VLOOKUP(Tabla1[[#This Row],[SISMED]],TblDisponibilidad[],12,FALSE), 0)</f>
        <v>0</v>
      </c>
      <c r="I254">
        <f>IFERROR(VLOOKUP(Tabla1[[#This Row],[SISMED]],TblDisponibilidad[],13,FALSE), 0)</f>
        <v>0</v>
      </c>
      <c r="J254">
        <f>IFERROR(VLOOKUP(Tabla1[[#This Row],[SISMED]],TblDisponibilidad[],14,FALSE), 0)</f>
        <v>0</v>
      </c>
      <c r="K254">
        <f>IFERROR(VLOOKUP(Tabla1[[#This Row],[SISMED]],TblDisponibilidad[],15,FALSE), 0)</f>
        <v>0</v>
      </c>
      <c r="L254">
        <f>IFERROR(VLOOKUP(Tabla1[[#This Row],[SISMED]],TblDisponibilidad[],16,FALSE), 0)</f>
        <v>0</v>
      </c>
      <c r="M254">
        <f>IFERROR(VLOOKUP(Tabla1[[#This Row],[SISMED]],TblDisponibilidad[],17,FALSE), 0)</f>
        <v>0</v>
      </c>
      <c r="N254">
        <f>IFERROR(VLOOKUP(Tabla1[[#This Row],[SISMED]],TblDisponibilidad[],18,FALSE), 0)</f>
        <v>0</v>
      </c>
      <c r="O254">
        <f>IFERROR(VLOOKUP(Tabla1[[#This Row],[SISMED]],TblDisponibilidad[],19,FALSE), 0)</f>
        <v>0</v>
      </c>
      <c r="P254">
        <f>IFERROR(VLOOKUP(Tabla1[[#This Row],[SISMED]],TblDisponibilidad[],20,FALSE), 0)</f>
        <v>0</v>
      </c>
      <c r="Q254">
        <f>IFERROR(VLOOKUP(Tabla1[[#This Row],[SISMED]],TblDisponibilidad[],21,FALSE), 0)</f>
        <v>0</v>
      </c>
      <c r="R254">
        <f>IFERROR(VLOOKUP(Tabla1[[#This Row],[SISMED]],TblDisponibilidad[],22,FALSE), 0)</f>
        <v>0</v>
      </c>
      <c r="S254" s="15">
        <f>IFERROR(VLOOKUP(Tabla1[[#This Row],[SISMED]],TblDisponibilidad[],23,FALSE), 0)</f>
        <v>0</v>
      </c>
    </row>
    <row r="255" spans="1:19" x14ac:dyDescent="0.3">
      <c r="A255" s="15" t="s">
        <v>285</v>
      </c>
      <c r="B255" t="str">
        <f>IFERROR(VLOOKUP(Tabla1[[#This Row],[SISMED]],TblDisponibilidad[],2,FALSE), "")</f>
        <v/>
      </c>
      <c r="C255">
        <f>IFERROR(VLOOKUP(Tabla1[[#This Row],[SISMED]],TblDisponibilidad[],7,FALSE), 0)</f>
        <v>0</v>
      </c>
      <c r="D255">
        <f>IFERROR(VLOOKUP(Tabla1[[#This Row],[SISMED]],TblDisponibilidad[],8,FALSE), 0)</f>
        <v>0</v>
      </c>
      <c r="E255">
        <f>IFERROR(VLOOKUP(Tabla1[[#This Row],[SISMED]],TblDisponibilidad[],9,FALSE), 0)</f>
        <v>0</v>
      </c>
      <c r="F255">
        <f>IFERROR(VLOOKUP(Tabla1[[#This Row],[SISMED]],TblDisponibilidad[],10,FALSE), 0)</f>
        <v>0</v>
      </c>
      <c r="G255">
        <f>IFERROR(VLOOKUP(Tabla1[[#This Row],[SISMED]],TblDisponibilidad[],11,FALSE), 0)</f>
        <v>0</v>
      </c>
      <c r="H255">
        <f>IFERROR(VLOOKUP(Tabla1[[#This Row],[SISMED]],TblDisponibilidad[],12,FALSE), 0)</f>
        <v>0</v>
      </c>
      <c r="I255">
        <f>IFERROR(VLOOKUP(Tabla1[[#This Row],[SISMED]],TblDisponibilidad[],13,FALSE), 0)</f>
        <v>0</v>
      </c>
      <c r="J255">
        <f>IFERROR(VLOOKUP(Tabla1[[#This Row],[SISMED]],TblDisponibilidad[],14,FALSE), 0)</f>
        <v>0</v>
      </c>
      <c r="K255">
        <f>IFERROR(VLOOKUP(Tabla1[[#This Row],[SISMED]],TblDisponibilidad[],15,FALSE), 0)</f>
        <v>0</v>
      </c>
      <c r="L255">
        <f>IFERROR(VLOOKUP(Tabla1[[#This Row],[SISMED]],TblDisponibilidad[],16,FALSE), 0)</f>
        <v>0</v>
      </c>
      <c r="M255">
        <f>IFERROR(VLOOKUP(Tabla1[[#This Row],[SISMED]],TblDisponibilidad[],17,FALSE), 0)</f>
        <v>0</v>
      </c>
      <c r="N255">
        <f>IFERROR(VLOOKUP(Tabla1[[#This Row],[SISMED]],TblDisponibilidad[],18,FALSE), 0)</f>
        <v>0</v>
      </c>
      <c r="O255">
        <f>IFERROR(VLOOKUP(Tabla1[[#This Row],[SISMED]],TblDisponibilidad[],19,FALSE), 0)</f>
        <v>0</v>
      </c>
      <c r="P255">
        <f>IFERROR(VLOOKUP(Tabla1[[#This Row],[SISMED]],TblDisponibilidad[],20,FALSE), 0)</f>
        <v>0</v>
      </c>
      <c r="Q255">
        <f>IFERROR(VLOOKUP(Tabla1[[#This Row],[SISMED]],TblDisponibilidad[],21,FALSE), 0)</f>
        <v>0</v>
      </c>
      <c r="R255">
        <f>IFERROR(VLOOKUP(Tabla1[[#This Row],[SISMED]],TblDisponibilidad[],22,FALSE), 0)</f>
        <v>0</v>
      </c>
      <c r="S255" s="15">
        <f>IFERROR(VLOOKUP(Tabla1[[#This Row],[SISMED]],TblDisponibilidad[],23,FALSE), 0)</f>
        <v>0</v>
      </c>
    </row>
    <row r="256" spans="1:19" x14ac:dyDescent="0.3">
      <c r="A256" s="15" t="s">
        <v>286</v>
      </c>
      <c r="B256" t="str">
        <f>IFERROR(VLOOKUP(Tabla1[[#This Row],[SISMED]],TblDisponibilidad[],2,FALSE), "")</f>
        <v/>
      </c>
      <c r="C256">
        <f>IFERROR(VLOOKUP(Tabla1[[#This Row],[SISMED]],TblDisponibilidad[],7,FALSE), 0)</f>
        <v>0</v>
      </c>
      <c r="D256">
        <f>IFERROR(VLOOKUP(Tabla1[[#This Row],[SISMED]],TblDisponibilidad[],8,FALSE), 0)</f>
        <v>0</v>
      </c>
      <c r="E256">
        <f>IFERROR(VLOOKUP(Tabla1[[#This Row],[SISMED]],TblDisponibilidad[],9,FALSE), 0)</f>
        <v>0</v>
      </c>
      <c r="F256">
        <f>IFERROR(VLOOKUP(Tabla1[[#This Row],[SISMED]],TblDisponibilidad[],10,FALSE), 0)</f>
        <v>0</v>
      </c>
      <c r="G256">
        <f>IFERROR(VLOOKUP(Tabla1[[#This Row],[SISMED]],TblDisponibilidad[],11,FALSE), 0)</f>
        <v>0</v>
      </c>
      <c r="H256">
        <f>IFERROR(VLOOKUP(Tabla1[[#This Row],[SISMED]],TblDisponibilidad[],12,FALSE), 0)</f>
        <v>0</v>
      </c>
      <c r="I256">
        <f>IFERROR(VLOOKUP(Tabla1[[#This Row],[SISMED]],TblDisponibilidad[],13,FALSE), 0)</f>
        <v>0</v>
      </c>
      <c r="J256">
        <f>IFERROR(VLOOKUP(Tabla1[[#This Row],[SISMED]],TblDisponibilidad[],14,FALSE), 0)</f>
        <v>0</v>
      </c>
      <c r="K256">
        <f>IFERROR(VLOOKUP(Tabla1[[#This Row],[SISMED]],TblDisponibilidad[],15,FALSE), 0)</f>
        <v>0</v>
      </c>
      <c r="L256">
        <f>IFERROR(VLOOKUP(Tabla1[[#This Row],[SISMED]],TblDisponibilidad[],16,FALSE), 0)</f>
        <v>0</v>
      </c>
      <c r="M256">
        <f>IFERROR(VLOOKUP(Tabla1[[#This Row],[SISMED]],TblDisponibilidad[],17,FALSE), 0)</f>
        <v>0</v>
      </c>
      <c r="N256">
        <f>IFERROR(VLOOKUP(Tabla1[[#This Row],[SISMED]],TblDisponibilidad[],18,FALSE), 0)</f>
        <v>0</v>
      </c>
      <c r="O256">
        <f>IFERROR(VLOOKUP(Tabla1[[#This Row],[SISMED]],TblDisponibilidad[],19,FALSE), 0)</f>
        <v>0</v>
      </c>
      <c r="P256">
        <f>IFERROR(VLOOKUP(Tabla1[[#This Row],[SISMED]],TblDisponibilidad[],20,FALSE), 0)</f>
        <v>0</v>
      </c>
      <c r="Q256">
        <f>IFERROR(VLOOKUP(Tabla1[[#This Row],[SISMED]],TblDisponibilidad[],21,FALSE), 0)</f>
        <v>0</v>
      </c>
      <c r="R256">
        <f>IFERROR(VLOOKUP(Tabla1[[#This Row],[SISMED]],TblDisponibilidad[],22,FALSE), 0)</f>
        <v>0</v>
      </c>
      <c r="S256" s="15">
        <f>IFERROR(VLOOKUP(Tabla1[[#This Row],[SISMED]],TblDisponibilidad[],23,FALSE), 0)</f>
        <v>0</v>
      </c>
    </row>
    <row r="257" spans="1:19" x14ac:dyDescent="0.3">
      <c r="A257" s="15" t="s">
        <v>287</v>
      </c>
      <c r="B257" t="str">
        <f>IFERROR(VLOOKUP(Tabla1[[#This Row],[SISMED]],TblDisponibilidad[],2,FALSE), "")</f>
        <v/>
      </c>
      <c r="C257">
        <f>IFERROR(VLOOKUP(Tabla1[[#This Row],[SISMED]],TblDisponibilidad[],7,FALSE), 0)</f>
        <v>0</v>
      </c>
      <c r="D257">
        <f>IFERROR(VLOOKUP(Tabla1[[#This Row],[SISMED]],TblDisponibilidad[],8,FALSE), 0)</f>
        <v>0</v>
      </c>
      <c r="E257">
        <f>IFERROR(VLOOKUP(Tabla1[[#This Row],[SISMED]],TblDisponibilidad[],9,FALSE), 0)</f>
        <v>0</v>
      </c>
      <c r="F257">
        <f>IFERROR(VLOOKUP(Tabla1[[#This Row],[SISMED]],TblDisponibilidad[],10,FALSE), 0)</f>
        <v>0</v>
      </c>
      <c r="G257">
        <f>IFERROR(VLOOKUP(Tabla1[[#This Row],[SISMED]],TblDisponibilidad[],11,FALSE), 0)</f>
        <v>0</v>
      </c>
      <c r="H257">
        <f>IFERROR(VLOOKUP(Tabla1[[#This Row],[SISMED]],TblDisponibilidad[],12,FALSE), 0)</f>
        <v>0</v>
      </c>
      <c r="I257">
        <f>IFERROR(VLOOKUP(Tabla1[[#This Row],[SISMED]],TblDisponibilidad[],13,FALSE), 0)</f>
        <v>0</v>
      </c>
      <c r="J257">
        <f>IFERROR(VLOOKUP(Tabla1[[#This Row],[SISMED]],TblDisponibilidad[],14,FALSE), 0)</f>
        <v>0</v>
      </c>
      <c r="K257">
        <f>IFERROR(VLOOKUP(Tabla1[[#This Row],[SISMED]],TblDisponibilidad[],15,FALSE), 0)</f>
        <v>0</v>
      </c>
      <c r="L257">
        <f>IFERROR(VLOOKUP(Tabla1[[#This Row],[SISMED]],TblDisponibilidad[],16,FALSE), 0)</f>
        <v>0</v>
      </c>
      <c r="M257">
        <f>IFERROR(VLOOKUP(Tabla1[[#This Row],[SISMED]],TblDisponibilidad[],17,FALSE), 0)</f>
        <v>0</v>
      </c>
      <c r="N257">
        <f>IFERROR(VLOOKUP(Tabla1[[#This Row],[SISMED]],TblDisponibilidad[],18,FALSE), 0)</f>
        <v>0</v>
      </c>
      <c r="O257">
        <f>IFERROR(VLOOKUP(Tabla1[[#This Row],[SISMED]],TblDisponibilidad[],19,FALSE), 0)</f>
        <v>0</v>
      </c>
      <c r="P257">
        <f>IFERROR(VLOOKUP(Tabla1[[#This Row],[SISMED]],TblDisponibilidad[],20,FALSE), 0)</f>
        <v>0</v>
      </c>
      <c r="Q257">
        <f>IFERROR(VLOOKUP(Tabla1[[#This Row],[SISMED]],TblDisponibilidad[],21,FALSE), 0)</f>
        <v>0</v>
      </c>
      <c r="R257">
        <f>IFERROR(VLOOKUP(Tabla1[[#This Row],[SISMED]],TblDisponibilidad[],22,FALSE), 0)</f>
        <v>0</v>
      </c>
      <c r="S257" s="15">
        <f>IFERROR(VLOOKUP(Tabla1[[#This Row],[SISMED]],TblDisponibilidad[],23,FALSE), 0)</f>
        <v>0</v>
      </c>
    </row>
    <row r="258" spans="1:19" x14ac:dyDescent="0.3">
      <c r="A258" s="15" t="s">
        <v>288</v>
      </c>
      <c r="B258" t="str">
        <f>IFERROR(VLOOKUP(Tabla1[[#This Row],[SISMED]],TblDisponibilidad[],2,FALSE), "")</f>
        <v/>
      </c>
      <c r="C258">
        <f>IFERROR(VLOOKUP(Tabla1[[#This Row],[SISMED]],TblDisponibilidad[],7,FALSE), 0)</f>
        <v>0</v>
      </c>
      <c r="D258">
        <f>IFERROR(VLOOKUP(Tabla1[[#This Row],[SISMED]],TblDisponibilidad[],8,FALSE), 0)</f>
        <v>0</v>
      </c>
      <c r="E258">
        <f>IFERROR(VLOOKUP(Tabla1[[#This Row],[SISMED]],TblDisponibilidad[],9,FALSE), 0)</f>
        <v>0</v>
      </c>
      <c r="F258">
        <f>IFERROR(VLOOKUP(Tabla1[[#This Row],[SISMED]],TblDisponibilidad[],10,FALSE), 0)</f>
        <v>0</v>
      </c>
      <c r="G258">
        <f>IFERROR(VLOOKUP(Tabla1[[#This Row],[SISMED]],TblDisponibilidad[],11,FALSE), 0)</f>
        <v>0</v>
      </c>
      <c r="H258">
        <f>IFERROR(VLOOKUP(Tabla1[[#This Row],[SISMED]],TblDisponibilidad[],12,FALSE), 0)</f>
        <v>0</v>
      </c>
      <c r="I258">
        <f>IFERROR(VLOOKUP(Tabla1[[#This Row],[SISMED]],TblDisponibilidad[],13,FALSE), 0)</f>
        <v>0</v>
      </c>
      <c r="J258">
        <f>IFERROR(VLOOKUP(Tabla1[[#This Row],[SISMED]],TblDisponibilidad[],14,FALSE), 0)</f>
        <v>0</v>
      </c>
      <c r="K258">
        <f>IFERROR(VLOOKUP(Tabla1[[#This Row],[SISMED]],TblDisponibilidad[],15,FALSE), 0)</f>
        <v>0</v>
      </c>
      <c r="L258">
        <f>IFERROR(VLOOKUP(Tabla1[[#This Row],[SISMED]],TblDisponibilidad[],16,FALSE), 0)</f>
        <v>0</v>
      </c>
      <c r="M258">
        <f>IFERROR(VLOOKUP(Tabla1[[#This Row],[SISMED]],TblDisponibilidad[],17,FALSE), 0)</f>
        <v>0</v>
      </c>
      <c r="N258">
        <f>IFERROR(VLOOKUP(Tabla1[[#This Row],[SISMED]],TblDisponibilidad[],18,FALSE), 0)</f>
        <v>0</v>
      </c>
      <c r="O258">
        <f>IFERROR(VLOOKUP(Tabla1[[#This Row],[SISMED]],TblDisponibilidad[],19,FALSE), 0)</f>
        <v>0</v>
      </c>
      <c r="P258">
        <f>IFERROR(VLOOKUP(Tabla1[[#This Row],[SISMED]],TblDisponibilidad[],20,FALSE), 0)</f>
        <v>0</v>
      </c>
      <c r="Q258">
        <f>IFERROR(VLOOKUP(Tabla1[[#This Row],[SISMED]],TblDisponibilidad[],21,FALSE), 0)</f>
        <v>0</v>
      </c>
      <c r="R258">
        <f>IFERROR(VLOOKUP(Tabla1[[#This Row],[SISMED]],TblDisponibilidad[],22,FALSE), 0)</f>
        <v>0</v>
      </c>
      <c r="S258" s="15">
        <f>IFERROR(VLOOKUP(Tabla1[[#This Row],[SISMED]],TblDisponibilidad[],23,FALSE), 0)</f>
        <v>0</v>
      </c>
    </row>
    <row r="259" spans="1:19" x14ac:dyDescent="0.3">
      <c r="A259" s="15" t="s">
        <v>289</v>
      </c>
      <c r="B259" t="str">
        <f>IFERROR(VLOOKUP(Tabla1[[#This Row],[SISMED]],TblDisponibilidad[],2,FALSE), "")</f>
        <v/>
      </c>
      <c r="C259">
        <f>IFERROR(VLOOKUP(Tabla1[[#This Row],[SISMED]],TblDisponibilidad[],7,FALSE), 0)</f>
        <v>0</v>
      </c>
      <c r="D259">
        <f>IFERROR(VLOOKUP(Tabla1[[#This Row],[SISMED]],TblDisponibilidad[],8,FALSE), 0)</f>
        <v>0</v>
      </c>
      <c r="E259">
        <f>IFERROR(VLOOKUP(Tabla1[[#This Row],[SISMED]],TblDisponibilidad[],9,FALSE), 0)</f>
        <v>0</v>
      </c>
      <c r="F259">
        <f>IFERROR(VLOOKUP(Tabla1[[#This Row],[SISMED]],TblDisponibilidad[],10,FALSE), 0)</f>
        <v>0</v>
      </c>
      <c r="G259">
        <f>IFERROR(VLOOKUP(Tabla1[[#This Row],[SISMED]],TblDisponibilidad[],11,FALSE), 0)</f>
        <v>0</v>
      </c>
      <c r="H259">
        <f>IFERROR(VLOOKUP(Tabla1[[#This Row],[SISMED]],TblDisponibilidad[],12,FALSE), 0)</f>
        <v>0</v>
      </c>
      <c r="I259">
        <f>IFERROR(VLOOKUP(Tabla1[[#This Row],[SISMED]],TblDisponibilidad[],13,FALSE), 0)</f>
        <v>0</v>
      </c>
      <c r="J259">
        <f>IFERROR(VLOOKUP(Tabla1[[#This Row],[SISMED]],TblDisponibilidad[],14,FALSE), 0)</f>
        <v>0</v>
      </c>
      <c r="K259">
        <f>IFERROR(VLOOKUP(Tabla1[[#This Row],[SISMED]],TblDisponibilidad[],15,FALSE), 0)</f>
        <v>0</v>
      </c>
      <c r="L259">
        <f>IFERROR(VLOOKUP(Tabla1[[#This Row],[SISMED]],TblDisponibilidad[],16,FALSE), 0)</f>
        <v>0</v>
      </c>
      <c r="M259">
        <f>IFERROR(VLOOKUP(Tabla1[[#This Row],[SISMED]],TblDisponibilidad[],17,FALSE), 0)</f>
        <v>0</v>
      </c>
      <c r="N259">
        <f>IFERROR(VLOOKUP(Tabla1[[#This Row],[SISMED]],TblDisponibilidad[],18,FALSE), 0)</f>
        <v>0</v>
      </c>
      <c r="O259">
        <f>IFERROR(VLOOKUP(Tabla1[[#This Row],[SISMED]],TblDisponibilidad[],19,FALSE), 0)</f>
        <v>0</v>
      </c>
      <c r="P259">
        <f>IFERROR(VLOOKUP(Tabla1[[#This Row],[SISMED]],TblDisponibilidad[],20,FALSE), 0)</f>
        <v>0</v>
      </c>
      <c r="Q259">
        <f>IFERROR(VLOOKUP(Tabla1[[#This Row],[SISMED]],TblDisponibilidad[],21,FALSE), 0)</f>
        <v>0</v>
      </c>
      <c r="R259">
        <f>IFERROR(VLOOKUP(Tabla1[[#This Row],[SISMED]],TblDisponibilidad[],22,FALSE), 0)</f>
        <v>0</v>
      </c>
      <c r="S259" s="15">
        <f>IFERROR(VLOOKUP(Tabla1[[#This Row],[SISMED]],TblDisponibilidad[],23,FALSE), 0)</f>
        <v>0</v>
      </c>
    </row>
    <row r="260" spans="1:19" x14ac:dyDescent="0.3">
      <c r="A260" s="15" t="s">
        <v>290</v>
      </c>
      <c r="B260" t="str">
        <f>IFERROR(VLOOKUP(Tabla1[[#This Row],[SISMED]],TblDisponibilidad[],2,FALSE), "")</f>
        <v/>
      </c>
      <c r="C260">
        <f>IFERROR(VLOOKUP(Tabla1[[#This Row],[SISMED]],TblDisponibilidad[],7,FALSE), 0)</f>
        <v>0</v>
      </c>
      <c r="D260">
        <f>IFERROR(VLOOKUP(Tabla1[[#This Row],[SISMED]],TblDisponibilidad[],8,FALSE), 0)</f>
        <v>0</v>
      </c>
      <c r="E260">
        <f>IFERROR(VLOOKUP(Tabla1[[#This Row],[SISMED]],TblDisponibilidad[],9,FALSE), 0)</f>
        <v>0</v>
      </c>
      <c r="F260">
        <f>IFERROR(VLOOKUP(Tabla1[[#This Row],[SISMED]],TblDisponibilidad[],10,FALSE), 0)</f>
        <v>0</v>
      </c>
      <c r="G260">
        <f>IFERROR(VLOOKUP(Tabla1[[#This Row],[SISMED]],TblDisponibilidad[],11,FALSE), 0)</f>
        <v>0</v>
      </c>
      <c r="H260">
        <f>IFERROR(VLOOKUP(Tabla1[[#This Row],[SISMED]],TblDisponibilidad[],12,FALSE), 0)</f>
        <v>0</v>
      </c>
      <c r="I260">
        <f>IFERROR(VLOOKUP(Tabla1[[#This Row],[SISMED]],TblDisponibilidad[],13,FALSE), 0)</f>
        <v>0</v>
      </c>
      <c r="J260">
        <f>IFERROR(VLOOKUP(Tabla1[[#This Row],[SISMED]],TblDisponibilidad[],14,FALSE), 0)</f>
        <v>0</v>
      </c>
      <c r="K260">
        <f>IFERROR(VLOOKUP(Tabla1[[#This Row],[SISMED]],TblDisponibilidad[],15,FALSE), 0)</f>
        <v>0</v>
      </c>
      <c r="L260">
        <f>IFERROR(VLOOKUP(Tabla1[[#This Row],[SISMED]],TblDisponibilidad[],16,FALSE), 0)</f>
        <v>0</v>
      </c>
      <c r="M260">
        <f>IFERROR(VLOOKUP(Tabla1[[#This Row],[SISMED]],TblDisponibilidad[],17,FALSE), 0)</f>
        <v>0</v>
      </c>
      <c r="N260">
        <f>IFERROR(VLOOKUP(Tabla1[[#This Row],[SISMED]],TblDisponibilidad[],18,FALSE), 0)</f>
        <v>0</v>
      </c>
      <c r="O260">
        <f>IFERROR(VLOOKUP(Tabla1[[#This Row],[SISMED]],TblDisponibilidad[],19,FALSE), 0)</f>
        <v>0</v>
      </c>
      <c r="P260">
        <f>IFERROR(VLOOKUP(Tabla1[[#This Row],[SISMED]],TblDisponibilidad[],20,FALSE), 0)</f>
        <v>0</v>
      </c>
      <c r="Q260">
        <f>IFERROR(VLOOKUP(Tabla1[[#This Row],[SISMED]],TblDisponibilidad[],21,FALSE), 0)</f>
        <v>0</v>
      </c>
      <c r="R260">
        <f>IFERROR(VLOOKUP(Tabla1[[#This Row],[SISMED]],TblDisponibilidad[],22,FALSE), 0)</f>
        <v>0</v>
      </c>
      <c r="S260" s="15">
        <f>IFERROR(VLOOKUP(Tabla1[[#This Row],[SISMED]],TblDisponibilidad[],23,FALSE), 0)</f>
        <v>0</v>
      </c>
    </row>
    <row r="261" spans="1:19" x14ac:dyDescent="0.3">
      <c r="A261" s="15" t="s">
        <v>291</v>
      </c>
      <c r="B261" t="str">
        <f>IFERROR(VLOOKUP(Tabla1[[#This Row],[SISMED]],TblDisponibilidad[],2,FALSE), "")</f>
        <v/>
      </c>
      <c r="C261">
        <f>IFERROR(VLOOKUP(Tabla1[[#This Row],[SISMED]],TblDisponibilidad[],7,FALSE), 0)</f>
        <v>0</v>
      </c>
      <c r="D261">
        <f>IFERROR(VLOOKUP(Tabla1[[#This Row],[SISMED]],TblDisponibilidad[],8,FALSE), 0)</f>
        <v>0</v>
      </c>
      <c r="E261">
        <f>IFERROR(VLOOKUP(Tabla1[[#This Row],[SISMED]],TblDisponibilidad[],9,FALSE), 0)</f>
        <v>0</v>
      </c>
      <c r="F261">
        <f>IFERROR(VLOOKUP(Tabla1[[#This Row],[SISMED]],TblDisponibilidad[],10,FALSE), 0)</f>
        <v>0</v>
      </c>
      <c r="G261">
        <f>IFERROR(VLOOKUP(Tabla1[[#This Row],[SISMED]],TblDisponibilidad[],11,FALSE), 0)</f>
        <v>0</v>
      </c>
      <c r="H261">
        <f>IFERROR(VLOOKUP(Tabla1[[#This Row],[SISMED]],TblDisponibilidad[],12,FALSE), 0)</f>
        <v>0</v>
      </c>
      <c r="I261">
        <f>IFERROR(VLOOKUP(Tabla1[[#This Row],[SISMED]],TblDisponibilidad[],13,FALSE), 0)</f>
        <v>0</v>
      </c>
      <c r="J261">
        <f>IFERROR(VLOOKUP(Tabla1[[#This Row],[SISMED]],TblDisponibilidad[],14,FALSE), 0)</f>
        <v>0</v>
      </c>
      <c r="K261">
        <f>IFERROR(VLOOKUP(Tabla1[[#This Row],[SISMED]],TblDisponibilidad[],15,FALSE), 0)</f>
        <v>0</v>
      </c>
      <c r="L261">
        <f>IFERROR(VLOOKUP(Tabla1[[#This Row],[SISMED]],TblDisponibilidad[],16,FALSE), 0)</f>
        <v>0</v>
      </c>
      <c r="M261">
        <f>IFERROR(VLOOKUP(Tabla1[[#This Row],[SISMED]],TblDisponibilidad[],17,FALSE), 0)</f>
        <v>0</v>
      </c>
      <c r="N261">
        <f>IFERROR(VLOOKUP(Tabla1[[#This Row],[SISMED]],TblDisponibilidad[],18,FALSE), 0)</f>
        <v>0</v>
      </c>
      <c r="O261">
        <f>IFERROR(VLOOKUP(Tabla1[[#This Row],[SISMED]],TblDisponibilidad[],19,FALSE), 0)</f>
        <v>0</v>
      </c>
      <c r="P261">
        <f>IFERROR(VLOOKUP(Tabla1[[#This Row],[SISMED]],TblDisponibilidad[],20,FALSE), 0)</f>
        <v>0</v>
      </c>
      <c r="Q261">
        <f>IFERROR(VLOOKUP(Tabla1[[#This Row],[SISMED]],TblDisponibilidad[],21,FALSE), 0)</f>
        <v>0</v>
      </c>
      <c r="R261">
        <f>IFERROR(VLOOKUP(Tabla1[[#This Row],[SISMED]],TblDisponibilidad[],22,FALSE), 0)</f>
        <v>0</v>
      </c>
      <c r="S261" s="15">
        <f>IFERROR(VLOOKUP(Tabla1[[#This Row],[SISMED]],TblDisponibilidad[],23,FALSE), 0)</f>
        <v>0</v>
      </c>
    </row>
    <row r="262" spans="1:19" x14ac:dyDescent="0.3">
      <c r="A262" s="15" t="s">
        <v>292</v>
      </c>
      <c r="B262" t="str">
        <f>IFERROR(VLOOKUP(Tabla1[[#This Row],[SISMED]],TblDisponibilidad[],2,FALSE), "")</f>
        <v/>
      </c>
      <c r="C262">
        <f>IFERROR(VLOOKUP(Tabla1[[#This Row],[SISMED]],TblDisponibilidad[],7,FALSE), 0)</f>
        <v>0</v>
      </c>
      <c r="D262">
        <f>IFERROR(VLOOKUP(Tabla1[[#This Row],[SISMED]],TblDisponibilidad[],8,FALSE), 0)</f>
        <v>0</v>
      </c>
      <c r="E262">
        <f>IFERROR(VLOOKUP(Tabla1[[#This Row],[SISMED]],TblDisponibilidad[],9,FALSE), 0)</f>
        <v>0</v>
      </c>
      <c r="F262">
        <f>IFERROR(VLOOKUP(Tabla1[[#This Row],[SISMED]],TblDisponibilidad[],10,FALSE), 0)</f>
        <v>0</v>
      </c>
      <c r="G262">
        <f>IFERROR(VLOOKUP(Tabla1[[#This Row],[SISMED]],TblDisponibilidad[],11,FALSE), 0)</f>
        <v>0</v>
      </c>
      <c r="H262">
        <f>IFERROR(VLOOKUP(Tabla1[[#This Row],[SISMED]],TblDisponibilidad[],12,FALSE), 0)</f>
        <v>0</v>
      </c>
      <c r="I262">
        <f>IFERROR(VLOOKUP(Tabla1[[#This Row],[SISMED]],TblDisponibilidad[],13,FALSE), 0)</f>
        <v>0</v>
      </c>
      <c r="J262">
        <f>IFERROR(VLOOKUP(Tabla1[[#This Row],[SISMED]],TblDisponibilidad[],14,FALSE), 0)</f>
        <v>0</v>
      </c>
      <c r="K262">
        <f>IFERROR(VLOOKUP(Tabla1[[#This Row],[SISMED]],TblDisponibilidad[],15,FALSE), 0)</f>
        <v>0</v>
      </c>
      <c r="L262">
        <f>IFERROR(VLOOKUP(Tabla1[[#This Row],[SISMED]],TblDisponibilidad[],16,FALSE), 0)</f>
        <v>0</v>
      </c>
      <c r="M262">
        <f>IFERROR(VLOOKUP(Tabla1[[#This Row],[SISMED]],TblDisponibilidad[],17,FALSE), 0)</f>
        <v>0</v>
      </c>
      <c r="N262">
        <f>IFERROR(VLOOKUP(Tabla1[[#This Row],[SISMED]],TblDisponibilidad[],18,FALSE), 0)</f>
        <v>0</v>
      </c>
      <c r="O262">
        <f>IFERROR(VLOOKUP(Tabla1[[#This Row],[SISMED]],TblDisponibilidad[],19,FALSE), 0)</f>
        <v>0</v>
      </c>
      <c r="P262">
        <f>IFERROR(VLOOKUP(Tabla1[[#This Row],[SISMED]],TblDisponibilidad[],20,FALSE), 0)</f>
        <v>0</v>
      </c>
      <c r="Q262">
        <f>IFERROR(VLOOKUP(Tabla1[[#This Row],[SISMED]],TblDisponibilidad[],21,FALSE), 0)</f>
        <v>0</v>
      </c>
      <c r="R262">
        <f>IFERROR(VLOOKUP(Tabla1[[#This Row],[SISMED]],TblDisponibilidad[],22,FALSE), 0)</f>
        <v>0</v>
      </c>
      <c r="S262" s="15">
        <f>IFERROR(VLOOKUP(Tabla1[[#This Row],[SISMED]],TblDisponibilidad[],23,FALSE), 0)</f>
        <v>0</v>
      </c>
    </row>
    <row r="263" spans="1:19" x14ac:dyDescent="0.3">
      <c r="A263" s="15" t="s">
        <v>293</v>
      </c>
      <c r="B263" t="str">
        <f>IFERROR(VLOOKUP(Tabla1[[#This Row],[SISMED]],TblDisponibilidad[],2,FALSE), "")</f>
        <v/>
      </c>
      <c r="C263">
        <f>IFERROR(VLOOKUP(Tabla1[[#This Row],[SISMED]],TblDisponibilidad[],7,FALSE), 0)</f>
        <v>0</v>
      </c>
      <c r="D263">
        <f>IFERROR(VLOOKUP(Tabla1[[#This Row],[SISMED]],TblDisponibilidad[],8,FALSE), 0)</f>
        <v>0</v>
      </c>
      <c r="E263">
        <f>IFERROR(VLOOKUP(Tabla1[[#This Row],[SISMED]],TblDisponibilidad[],9,FALSE), 0)</f>
        <v>0</v>
      </c>
      <c r="F263">
        <f>IFERROR(VLOOKUP(Tabla1[[#This Row],[SISMED]],TblDisponibilidad[],10,FALSE), 0)</f>
        <v>0</v>
      </c>
      <c r="G263">
        <f>IFERROR(VLOOKUP(Tabla1[[#This Row],[SISMED]],TblDisponibilidad[],11,FALSE), 0)</f>
        <v>0</v>
      </c>
      <c r="H263">
        <f>IFERROR(VLOOKUP(Tabla1[[#This Row],[SISMED]],TblDisponibilidad[],12,FALSE), 0)</f>
        <v>0</v>
      </c>
      <c r="I263">
        <f>IFERROR(VLOOKUP(Tabla1[[#This Row],[SISMED]],TblDisponibilidad[],13,FALSE), 0)</f>
        <v>0</v>
      </c>
      <c r="J263">
        <f>IFERROR(VLOOKUP(Tabla1[[#This Row],[SISMED]],TblDisponibilidad[],14,FALSE), 0)</f>
        <v>0</v>
      </c>
      <c r="K263">
        <f>IFERROR(VLOOKUP(Tabla1[[#This Row],[SISMED]],TblDisponibilidad[],15,FALSE), 0)</f>
        <v>0</v>
      </c>
      <c r="L263">
        <f>IFERROR(VLOOKUP(Tabla1[[#This Row],[SISMED]],TblDisponibilidad[],16,FALSE), 0)</f>
        <v>0</v>
      </c>
      <c r="M263">
        <f>IFERROR(VLOOKUP(Tabla1[[#This Row],[SISMED]],TblDisponibilidad[],17,FALSE), 0)</f>
        <v>0</v>
      </c>
      <c r="N263">
        <f>IFERROR(VLOOKUP(Tabla1[[#This Row],[SISMED]],TblDisponibilidad[],18,FALSE), 0)</f>
        <v>0</v>
      </c>
      <c r="O263">
        <f>IFERROR(VLOOKUP(Tabla1[[#This Row],[SISMED]],TblDisponibilidad[],19,FALSE), 0)</f>
        <v>0</v>
      </c>
      <c r="P263">
        <f>IFERROR(VLOOKUP(Tabla1[[#This Row],[SISMED]],TblDisponibilidad[],20,FALSE), 0)</f>
        <v>0</v>
      </c>
      <c r="Q263">
        <f>IFERROR(VLOOKUP(Tabla1[[#This Row],[SISMED]],TblDisponibilidad[],21,FALSE), 0)</f>
        <v>0</v>
      </c>
      <c r="R263">
        <f>IFERROR(VLOOKUP(Tabla1[[#This Row],[SISMED]],TblDisponibilidad[],22,FALSE), 0)</f>
        <v>0</v>
      </c>
      <c r="S263" s="15">
        <f>IFERROR(VLOOKUP(Tabla1[[#This Row],[SISMED]],TblDisponibilidad[],23,FALSE), 0)</f>
        <v>0</v>
      </c>
    </row>
    <row r="264" spans="1:19" x14ac:dyDescent="0.3">
      <c r="A264" s="15" t="s">
        <v>294</v>
      </c>
      <c r="B264" t="str">
        <f>IFERROR(VLOOKUP(Tabla1[[#This Row],[SISMED]],TblDisponibilidad[],2,FALSE), "")</f>
        <v/>
      </c>
      <c r="C264">
        <f>IFERROR(VLOOKUP(Tabla1[[#This Row],[SISMED]],TblDisponibilidad[],7,FALSE), 0)</f>
        <v>0</v>
      </c>
      <c r="D264">
        <f>IFERROR(VLOOKUP(Tabla1[[#This Row],[SISMED]],TblDisponibilidad[],8,FALSE), 0)</f>
        <v>0</v>
      </c>
      <c r="E264">
        <f>IFERROR(VLOOKUP(Tabla1[[#This Row],[SISMED]],TblDisponibilidad[],9,FALSE), 0)</f>
        <v>0</v>
      </c>
      <c r="F264">
        <f>IFERROR(VLOOKUP(Tabla1[[#This Row],[SISMED]],TblDisponibilidad[],10,FALSE), 0)</f>
        <v>0</v>
      </c>
      <c r="G264">
        <f>IFERROR(VLOOKUP(Tabla1[[#This Row],[SISMED]],TblDisponibilidad[],11,FALSE), 0)</f>
        <v>0</v>
      </c>
      <c r="H264">
        <f>IFERROR(VLOOKUP(Tabla1[[#This Row],[SISMED]],TblDisponibilidad[],12,FALSE), 0)</f>
        <v>0</v>
      </c>
      <c r="I264">
        <f>IFERROR(VLOOKUP(Tabla1[[#This Row],[SISMED]],TblDisponibilidad[],13,FALSE), 0)</f>
        <v>0</v>
      </c>
      <c r="J264">
        <f>IFERROR(VLOOKUP(Tabla1[[#This Row],[SISMED]],TblDisponibilidad[],14,FALSE), 0)</f>
        <v>0</v>
      </c>
      <c r="K264">
        <f>IFERROR(VLOOKUP(Tabla1[[#This Row],[SISMED]],TblDisponibilidad[],15,FALSE), 0)</f>
        <v>0</v>
      </c>
      <c r="L264">
        <f>IFERROR(VLOOKUP(Tabla1[[#This Row],[SISMED]],TblDisponibilidad[],16,FALSE), 0)</f>
        <v>0</v>
      </c>
      <c r="M264">
        <f>IFERROR(VLOOKUP(Tabla1[[#This Row],[SISMED]],TblDisponibilidad[],17,FALSE), 0)</f>
        <v>0</v>
      </c>
      <c r="N264">
        <f>IFERROR(VLOOKUP(Tabla1[[#This Row],[SISMED]],TblDisponibilidad[],18,FALSE), 0)</f>
        <v>0</v>
      </c>
      <c r="O264">
        <f>IFERROR(VLOOKUP(Tabla1[[#This Row],[SISMED]],TblDisponibilidad[],19,FALSE), 0)</f>
        <v>0</v>
      </c>
      <c r="P264">
        <f>IFERROR(VLOOKUP(Tabla1[[#This Row],[SISMED]],TblDisponibilidad[],20,FALSE), 0)</f>
        <v>0</v>
      </c>
      <c r="Q264">
        <f>IFERROR(VLOOKUP(Tabla1[[#This Row],[SISMED]],TblDisponibilidad[],21,FALSE), 0)</f>
        <v>0</v>
      </c>
      <c r="R264">
        <f>IFERROR(VLOOKUP(Tabla1[[#This Row],[SISMED]],TblDisponibilidad[],22,FALSE), 0)</f>
        <v>0</v>
      </c>
      <c r="S264" s="15">
        <f>IFERROR(VLOOKUP(Tabla1[[#This Row],[SISMED]],TblDisponibilidad[],23,FALSE), 0)</f>
        <v>0</v>
      </c>
    </row>
    <row r="265" spans="1:19" x14ac:dyDescent="0.3">
      <c r="A265" s="15" t="s">
        <v>295</v>
      </c>
      <c r="B265" t="str">
        <f>IFERROR(VLOOKUP(Tabla1[[#This Row],[SISMED]],TblDisponibilidad[],2,FALSE), "")</f>
        <v/>
      </c>
      <c r="C265">
        <f>IFERROR(VLOOKUP(Tabla1[[#This Row],[SISMED]],TblDisponibilidad[],7,FALSE), 0)</f>
        <v>0</v>
      </c>
      <c r="D265">
        <f>IFERROR(VLOOKUP(Tabla1[[#This Row],[SISMED]],TblDisponibilidad[],8,FALSE), 0)</f>
        <v>0</v>
      </c>
      <c r="E265">
        <f>IFERROR(VLOOKUP(Tabla1[[#This Row],[SISMED]],TblDisponibilidad[],9,FALSE), 0)</f>
        <v>0</v>
      </c>
      <c r="F265">
        <f>IFERROR(VLOOKUP(Tabla1[[#This Row],[SISMED]],TblDisponibilidad[],10,FALSE), 0)</f>
        <v>0</v>
      </c>
      <c r="G265">
        <f>IFERROR(VLOOKUP(Tabla1[[#This Row],[SISMED]],TblDisponibilidad[],11,FALSE), 0)</f>
        <v>0</v>
      </c>
      <c r="H265">
        <f>IFERROR(VLOOKUP(Tabla1[[#This Row],[SISMED]],TblDisponibilidad[],12,FALSE), 0)</f>
        <v>0</v>
      </c>
      <c r="I265">
        <f>IFERROR(VLOOKUP(Tabla1[[#This Row],[SISMED]],TblDisponibilidad[],13,FALSE), 0)</f>
        <v>0</v>
      </c>
      <c r="J265">
        <f>IFERROR(VLOOKUP(Tabla1[[#This Row],[SISMED]],TblDisponibilidad[],14,FALSE), 0)</f>
        <v>0</v>
      </c>
      <c r="K265">
        <f>IFERROR(VLOOKUP(Tabla1[[#This Row],[SISMED]],TblDisponibilidad[],15,FALSE), 0)</f>
        <v>0</v>
      </c>
      <c r="L265">
        <f>IFERROR(VLOOKUP(Tabla1[[#This Row],[SISMED]],TblDisponibilidad[],16,FALSE), 0)</f>
        <v>0</v>
      </c>
      <c r="M265">
        <f>IFERROR(VLOOKUP(Tabla1[[#This Row],[SISMED]],TblDisponibilidad[],17,FALSE), 0)</f>
        <v>0</v>
      </c>
      <c r="N265">
        <f>IFERROR(VLOOKUP(Tabla1[[#This Row],[SISMED]],TblDisponibilidad[],18,FALSE), 0)</f>
        <v>0</v>
      </c>
      <c r="O265">
        <f>IFERROR(VLOOKUP(Tabla1[[#This Row],[SISMED]],TblDisponibilidad[],19,FALSE), 0)</f>
        <v>0</v>
      </c>
      <c r="P265">
        <f>IFERROR(VLOOKUP(Tabla1[[#This Row],[SISMED]],TblDisponibilidad[],20,FALSE), 0)</f>
        <v>0</v>
      </c>
      <c r="Q265">
        <f>IFERROR(VLOOKUP(Tabla1[[#This Row],[SISMED]],TblDisponibilidad[],21,FALSE), 0)</f>
        <v>0</v>
      </c>
      <c r="R265">
        <f>IFERROR(VLOOKUP(Tabla1[[#This Row],[SISMED]],TblDisponibilidad[],22,FALSE), 0)</f>
        <v>0</v>
      </c>
      <c r="S265" s="15">
        <f>IFERROR(VLOOKUP(Tabla1[[#This Row],[SISMED]],TblDisponibilidad[],23,FALSE), 0)</f>
        <v>0</v>
      </c>
    </row>
    <row r="266" spans="1:19" x14ac:dyDescent="0.3">
      <c r="A266" s="15" t="s">
        <v>296</v>
      </c>
      <c r="B266" t="str">
        <f>IFERROR(VLOOKUP(Tabla1[[#This Row],[SISMED]],TblDisponibilidad[],2,FALSE), "")</f>
        <v/>
      </c>
      <c r="C266">
        <f>IFERROR(VLOOKUP(Tabla1[[#This Row],[SISMED]],TblDisponibilidad[],7,FALSE), 0)</f>
        <v>0</v>
      </c>
      <c r="D266">
        <f>IFERROR(VLOOKUP(Tabla1[[#This Row],[SISMED]],TblDisponibilidad[],8,FALSE), 0)</f>
        <v>0</v>
      </c>
      <c r="E266">
        <f>IFERROR(VLOOKUP(Tabla1[[#This Row],[SISMED]],TblDisponibilidad[],9,FALSE), 0)</f>
        <v>0</v>
      </c>
      <c r="F266">
        <f>IFERROR(VLOOKUP(Tabla1[[#This Row],[SISMED]],TblDisponibilidad[],10,FALSE), 0)</f>
        <v>0</v>
      </c>
      <c r="G266">
        <f>IFERROR(VLOOKUP(Tabla1[[#This Row],[SISMED]],TblDisponibilidad[],11,FALSE), 0)</f>
        <v>0</v>
      </c>
      <c r="H266">
        <f>IFERROR(VLOOKUP(Tabla1[[#This Row],[SISMED]],TblDisponibilidad[],12,FALSE), 0)</f>
        <v>0</v>
      </c>
      <c r="I266">
        <f>IFERROR(VLOOKUP(Tabla1[[#This Row],[SISMED]],TblDisponibilidad[],13,FALSE), 0)</f>
        <v>0</v>
      </c>
      <c r="J266">
        <f>IFERROR(VLOOKUP(Tabla1[[#This Row],[SISMED]],TblDisponibilidad[],14,FALSE), 0)</f>
        <v>0</v>
      </c>
      <c r="K266">
        <f>IFERROR(VLOOKUP(Tabla1[[#This Row],[SISMED]],TblDisponibilidad[],15,FALSE), 0)</f>
        <v>0</v>
      </c>
      <c r="L266">
        <f>IFERROR(VLOOKUP(Tabla1[[#This Row],[SISMED]],TblDisponibilidad[],16,FALSE), 0)</f>
        <v>0</v>
      </c>
      <c r="M266">
        <f>IFERROR(VLOOKUP(Tabla1[[#This Row],[SISMED]],TblDisponibilidad[],17,FALSE), 0)</f>
        <v>0</v>
      </c>
      <c r="N266">
        <f>IFERROR(VLOOKUP(Tabla1[[#This Row],[SISMED]],TblDisponibilidad[],18,FALSE), 0)</f>
        <v>0</v>
      </c>
      <c r="O266">
        <f>IFERROR(VLOOKUP(Tabla1[[#This Row],[SISMED]],TblDisponibilidad[],19,FALSE), 0)</f>
        <v>0</v>
      </c>
      <c r="P266">
        <f>IFERROR(VLOOKUP(Tabla1[[#This Row],[SISMED]],TblDisponibilidad[],20,FALSE), 0)</f>
        <v>0</v>
      </c>
      <c r="Q266">
        <f>IFERROR(VLOOKUP(Tabla1[[#This Row],[SISMED]],TblDisponibilidad[],21,FALSE), 0)</f>
        <v>0</v>
      </c>
      <c r="R266">
        <f>IFERROR(VLOOKUP(Tabla1[[#This Row],[SISMED]],TblDisponibilidad[],22,FALSE), 0)</f>
        <v>0</v>
      </c>
      <c r="S266" s="15">
        <f>IFERROR(VLOOKUP(Tabla1[[#This Row],[SISMED]],TblDisponibilidad[],23,FALSE), 0)</f>
        <v>0</v>
      </c>
    </row>
    <row r="267" spans="1:19" x14ac:dyDescent="0.3">
      <c r="A267" s="15" t="s">
        <v>297</v>
      </c>
      <c r="B267" t="str">
        <f>IFERROR(VLOOKUP(Tabla1[[#This Row],[SISMED]],TblDisponibilidad[],2,FALSE), "")</f>
        <v/>
      </c>
      <c r="C267">
        <f>IFERROR(VLOOKUP(Tabla1[[#This Row],[SISMED]],TblDisponibilidad[],7,FALSE), 0)</f>
        <v>0</v>
      </c>
      <c r="D267">
        <f>IFERROR(VLOOKUP(Tabla1[[#This Row],[SISMED]],TblDisponibilidad[],8,FALSE), 0)</f>
        <v>0</v>
      </c>
      <c r="E267">
        <f>IFERROR(VLOOKUP(Tabla1[[#This Row],[SISMED]],TblDisponibilidad[],9,FALSE), 0)</f>
        <v>0</v>
      </c>
      <c r="F267">
        <f>IFERROR(VLOOKUP(Tabla1[[#This Row],[SISMED]],TblDisponibilidad[],10,FALSE), 0)</f>
        <v>0</v>
      </c>
      <c r="G267">
        <f>IFERROR(VLOOKUP(Tabla1[[#This Row],[SISMED]],TblDisponibilidad[],11,FALSE), 0)</f>
        <v>0</v>
      </c>
      <c r="H267">
        <f>IFERROR(VLOOKUP(Tabla1[[#This Row],[SISMED]],TblDisponibilidad[],12,FALSE), 0)</f>
        <v>0</v>
      </c>
      <c r="I267">
        <f>IFERROR(VLOOKUP(Tabla1[[#This Row],[SISMED]],TblDisponibilidad[],13,FALSE), 0)</f>
        <v>0</v>
      </c>
      <c r="J267">
        <f>IFERROR(VLOOKUP(Tabla1[[#This Row],[SISMED]],TblDisponibilidad[],14,FALSE), 0)</f>
        <v>0</v>
      </c>
      <c r="K267">
        <f>IFERROR(VLOOKUP(Tabla1[[#This Row],[SISMED]],TblDisponibilidad[],15,FALSE), 0)</f>
        <v>0</v>
      </c>
      <c r="L267">
        <f>IFERROR(VLOOKUP(Tabla1[[#This Row],[SISMED]],TblDisponibilidad[],16,FALSE), 0)</f>
        <v>0</v>
      </c>
      <c r="M267">
        <f>IFERROR(VLOOKUP(Tabla1[[#This Row],[SISMED]],TblDisponibilidad[],17,FALSE), 0)</f>
        <v>0</v>
      </c>
      <c r="N267">
        <f>IFERROR(VLOOKUP(Tabla1[[#This Row],[SISMED]],TblDisponibilidad[],18,FALSE), 0)</f>
        <v>0</v>
      </c>
      <c r="O267">
        <f>IFERROR(VLOOKUP(Tabla1[[#This Row],[SISMED]],TblDisponibilidad[],19,FALSE), 0)</f>
        <v>0</v>
      </c>
      <c r="P267">
        <f>IFERROR(VLOOKUP(Tabla1[[#This Row],[SISMED]],TblDisponibilidad[],20,FALSE), 0)</f>
        <v>0</v>
      </c>
      <c r="Q267">
        <f>IFERROR(VLOOKUP(Tabla1[[#This Row],[SISMED]],TblDisponibilidad[],21,FALSE), 0)</f>
        <v>0</v>
      </c>
      <c r="R267">
        <f>IFERROR(VLOOKUP(Tabla1[[#This Row],[SISMED]],TblDisponibilidad[],22,FALSE), 0)</f>
        <v>0</v>
      </c>
      <c r="S267" s="15">
        <f>IFERROR(VLOOKUP(Tabla1[[#This Row],[SISMED]],TblDisponibilidad[],23,FALSE), 0)</f>
        <v>0</v>
      </c>
    </row>
    <row r="268" spans="1:19" x14ac:dyDescent="0.3">
      <c r="A268" s="15" t="s">
        <v>298</v>
      </c>
      <c r="B268" t="str">
        <f>IFERROR(VLOOKUP(Tabla1[[#This Row],[SISMED]],TblDisponibilidad[],2,FALSE), "")</f>
        <v/>
      </c>
      <c r="C268">
        <f>IFERROR(VLOOKUP(Tabla1[[#This Row],[SISMED]],TblDisponibilidad[],7,FALSE), 0)</f>
        <v>0</v>
      </c>
      <c r="D268">
        <f>IFERROR(VLOOKUP(Tabla1[[#This Row],[SISMED]],TblDisponibilidad[],8,FALSE), 0)</f>
        <v>0</v>
      </c>
      <c r="E268">
        <f>IFERROR(VLOOKUP(Tabla1[[#This Row],[SISMED]],TblDisponibilidad[],9,FALSE), 0)</f>
        <v>0</v>
      </c>
      <c r="F268">
        <f>IFERROR(VLOOKUP(Tabla1[[#This Row],[SISMED]],TblDisponibilidad[],10,FALSE), 0)</f>
        <v>0</v>
      </c>
      <c r="G268">
        <f>IFERROR(VLOOKUP(Tabla1[[#This Row],[SISMED]],TblDisponibilidad[],11,FALSE), 0)</f>
        <v>0</v>
      </c>
      <c r="H268">
        <f>IFERROR(VLOOKUP(Tabla1[[#This Row],[SISMED]],TblDisponibilidad[],12,FALSE), 0)</f>
        <v>0</v>
      </c>
      <c r="I268">
        <f>IFERROR(VLOOKUP(Tabla1[[#This Row],[SISMED]],TblDisponibilidad[],13,FALSE), 0)</f>
        <v>0</v>
      </c>
      <c r="J268">
        <f>IFERROR(VLOOKUP(Tabla1[[#This Row],[SISMED]],TblDisponibilidad[],14,FALSE), 0)</f>
        <v>0</v>
      </c>
      <c r="K268">
        <f>IFERROR(VLOOKUP(Tabla1[[#This Row],[SISMED]],TblDisponibilidad[],15,FALSE), 0)</f>
        <v>0</v>
      </c>
      <c r="L268">
        <f>IFERROR(VLOOKUP(Tabla1[[#This Row],[SISMED]],TblDisponibilidad[],16,FALSE), 0)</f>
        <v>0</v>
      </c>
      <c r="M268">
        <f>IFERROR(VLOOKUP(Tabla1[[#This Row],[SISMED]],TblDisponibilidad[],17,FALSE), 0)</f>
        <v>0</v>
      </c>
      <c r="N268">
        <f>IFERROR(VLOOKUP(Tabla1[[#This Row],[SISMED]],TblDisponibilidad[],18,FALSE), 0)</f>
        <v>0</v>
      </c>
      <c r="O268">
        <f>IFERROR(VLOOKUP(Tabla1[[#This Row],[SISMED]],TblDisponibilidad[],19,FALSE), 0)</f>
        <v>0</v>
      </c>
      <c r="P268">
        <f>IFERROR(VLOOKUP(Tabla1[[#This Row],[SISMED]],TblDisponibilidad[],20,FALSE), 0)</f>
        <v>0</v>
      </c>
      <c r="Q268">
        <f>IFERROR(VLOOKUP(Tabla1[[#This Row],[SISMED]],TblDisponibilidad[],21,FALSE), 0)</f>
        <v>0</v>
      </c>
      <c r="R268">
        <f>IFERROR(VLOOKUP(Tabla1[[#This Row],[SISMED]],TblDisponibilidad[],22,FALSE), 0)</f>
        <v>0</v>
      </c>
      <c r="S268" s="15">
        <f>IFERROR(VLOOKUP(Tabla1[[#This Row],[SISMED]],TblDisponibilidad[],23,FALSE), 0)</f>
        <v>0</v>
      </c>
    </row>
    <row r="269" spans="1:19" x14ac:dyDescent="0.3">
      <c r="A269" s="15" t="s">
        <v>299</v>
      </c>
      <c r="B269" t="str">
        <f>IFERROR(VLOOKUP(Tabla1[[#This Row],[SISMED]],TblDisponibilidad[],2,FALSE), "")</f>
        <v/>
      </c>
      <c r="C269">
        <f>IFERROR(VLOOKUP(Tabla1[[#This Row],[SISMED]],TblDisponibilidad[],7,FALSE), 0)</f>
        <v>0</v>
      </c>
      <c r="D269">
        <f>IFERROR(VLOOKUP(Tabla1[[#This Row],[SISMED]],TblDisponibilidad[],8,FALSE), 0)</f>
        <v>0</v>
      </c>
      <c r="E269">
        <f>IFERROR(VLOOKUP(Tabla1[[#This Row],[SISMED]],TblDisponibilidad[],9,FALSE), 0)</f>
        <v>0</v>
      </c>
      <c r="F269">
        <f>IFERROR(VLOOKUP(Tabla1[[#This Row],[SISMED]],TblDisponibilidad[],10,FALSE), 0)</f>
        <v>0</v>
      </c>
      <c r="G269">
        <f>IFERROR(VLOOKUP(Tabla1[[#This Row],[SISMED]],TblDisponibilidad[],11,FALSE), 0)</f>
        <v>0</v>
      </c>
      <c r="H269">
        <f>IFERROR(VLOOKUP(Tabla1[[#This Row],[SISMED]],TblDisponibilidad[],12,FALSE), 0)</f>
        <v>0</v>
      </c>
      <c r="I269">
        <f>IFERROR(VLOOKUP(Tabla1[[#This Row],[SISMED]],TblDisponibilidad[],13,FALSE), 0)</f>
        <v>0</v>
      </c>
      <c r="J269">
        <f>IFERROR(VLOOKUP(Tabla1[[#This Row],[SISMED]],TblDisponibilidad[],14,FALSE), 0)</f>
        <v>0</v>
      </c>
      <c r="K269">
        <f>IFERROR(VLOOKUP(Tabla1[[#This Row],[SISMED]],TblDisponibilidad[],15,FALSE), 0)</f>
        <v>0</v>
      </c>
      <c r="L269">
        <f>IFERROR(VLOOKUP(Tabla1[[#This Row],[SISMED]],TblDisponibilidad[],16,FALSE), 0)</f>
        <v>0</v>
      </c>
      <c r="M269">
        <f>IFERROR(VLOOKUP(Tabla1[[#This Row],[SISMED]],TblDisponibilidad[],17,FALSE), 0)</f>
        <v>0</v>
      </c>
      <c r="N269">
        <f>IFERROR(VLOOKUP(Tabla1[[#This Row],[SISMED]],TblDisponibilidad[],18,FALSE), 0)</f>
        <v>0</v>
      </c>
      <c r="O269">
        <f>IFERROR(VLOOKUP(Tabla1[[#This Row],[SISMED]],TblDisponibilidad[],19,FALSE), 0)</f>
        <v>0</v>
      </c>
      <c r="P269">
        <f>IFERROR(VLOOKUP(Tabla1[[#This Row],[SISMED]],TblDisponibilidad[],20,FALSE), 0)</f>
        <v>0</v>
      </c>
      <c r="Q269">
        <f>IFERROR(VLOOKUP(Tabla1[[#This Row],[SISMED]],TblDisponibilidad[],21,FALSE), 0)</f>
        <v>0</v>
      </c>
      <c r="R269">
        <f>IFERROR(VLOOKUP(Tabla1[[#This Row],[SISMED]],TblDisponibilidad[],22,FALSE), 0)</f>
        <v>0</v>
      </c>
      <c r="S269" s="15">
        <f>IFERROR(VLOOKUP(Tabla1[[#This Row],[SISMED]],TblDisponibilidad[],23,FALSE), 0)</f>
        <v>0</v>
      </c>
    </row>
    <row r="270" spans="1:19" x14ac:dyDescent="0.3">
      <c r="A270" s="15" t="s">
        <v>300</v>
      </c>
      <c r="B270" t="str">
        <f>IFERROR(VLOOKUP(Tabla1[[#This Row],[SISMED]],TblDisponibilidad[],2,FALSE), "")</f>
        <v/>
      </c>
      <c r="C270">
        <f>IFERROR(VLOOKUP(Tabla1[[#This Row],[SISMED]],TblDisponibilidad[],7,FALSE), 0)</f>
        <v>0</v>
      </c>
      <c r="D270">
        <f>IFERROR(VLOOKUP(Tabla1[[#This Row],[SISMED]],TblDisponibilidad[],8,FALSE), 0)</f>
        <v>0</v>
      </c>
      <c r="E270">
        <f>IFERROR(VLOOKUP(Tabla1[[#This Row],[SISMED]],TblDisponibilidad[],9,FALSE), 0)</f>
        <v>0</v>
      </c>
      <c r="F270">
        <f>IFERROR(VLOOKUP(Tabla1[[#This Row],[SISMED]],TblDisponibilidad[],10,FALSE), 0)</f>
        <v>0</v>
      </c>
      <c r="G270">
        <f>IFERROR(VLOOKUP(Tabla1[[#This Row],[SISMED]],TblDisponibilidad[],11,FALSE), 0)</f>
        <v>0</v>
      </c>
      <c r="H270">
        <f>IFERROR(VLOOKUP(Tabla1[[#This Row],[SISMED]],TblDisponibilidad[],12,FALSE), 0)</f>
        <v>0</v>
      </c>
      <c r="I270">
        <f>IFERROR(VLOOKUP(Tabla1[[#This Row],[SISMED]],TblDisponibilidad[],13,FALSE), 0)</f>
        <v>0</v>
      </c>
      <c r="J270">
        <f>IFERROR(VLOOKUP(Tabla1[[#This Row],[SISMED]],TblDisponibilidad[],14,FALSE), 0)</f>
        <v>0</v>
      </c>
      <c r="K270">
        <f>IFERROR(VLOOKUP(Tabla1[[#This Row],[SISMED]],TblDisponibilidad[],15,FALSE), 0)</f>
        <v>0</v>
      </c>
      <c r="L270">
        <f>IFERROR(VLOOKUP(Tabla1[[#This Row],[SISMED]],TblDisponibilidad[],16,FALSE), 0)</f>
        <v>0</v>
      </c>
      <c r="M270">
        <f>IFERROR(VLOOKUP(Tabla1[[#This Row],[SISMED]],TblDisponibilidad[],17,FALSE), 0)</f>
        <v>0</v>
      </c>
      <c r="N270">
        <f>IFERROR(VLOOKUP(Tabla1[[#This Row],[SISMED]],TblDisponibilidad[],18,FALSE), 0)</f>
        <v>0</v>
      </c>
      <c r="O270">
        <f>IFERROR(VLOOKUP(Tabla1[[#This Row],[SISMED]],TblDisponibilidad[],19,FALSE), 0)</f>
        <v>0</v>
      </c>
      <c r="P270">
        <f>IFERROR(VLOOKUP(Tabla1[[#This Row],[SISMED]],TblDisponibilidad[],20,FALSE), 0)</f>
        <v>0</v>
      </c>
      <c r="Q270">
        <f>IFERROR(VLOOKUP(Tabla1[[#This Row],[SISMED]],TblDisponibilidad[],21,FALSE), 0)</f>
        <v>0</v>
      </c>
      <c r="R270">
        <f>IFERROR(VLOOKUP(Tabla1[[#This Row],[SISMED]],TblDisponibilidad[],22,FALSE), 0)</f>
        <v>0</v>
      </c>
      <c r="S270" s="15">
        <f>IFERROR(VLOOKUP(Tabla1[[#This Row],[SISMED]],TblDisponibilidad[],23,FALSE), 0)</f>
        <v>0</v>
      </c>
    </row>
    <row r="271" spans="1:19" x14ac:dyDescent="0.3">
      <c r="A271" s="15" t="s">
        <v>301</v>
      </c>
      <c r="B271" t="str">
        <f>IFERROR(VLOOKUP(Tabla1[[#This Row],[SISMED]],TblDisponibilidad[],2,FALSE), "")</f>
        <v/>
      </c>
      <c r="C271">
        <f>IFERROR(VLOOKUP(Tabla1[[#This Row],[SISMED]],TblDisponibilidad[],7,FALSE), 0)</f>
        <v>0</v>
      </c>
      <c r="D271">
        <f>IFERROR(VLOOKUP(Tabla1[[#This Row],[SISMED]],TblDisponibilidad[],8,FALSE), 0)</f>
        <v>0</v>
      </c>
      <c r="E271">
        <f>IFERROR(VLOOKUP(Tabla1[[#This Row],[SISMED]],TblDisponibilidad[],9,FALSE), 0)</f>
        <v>0</v>
      </c>
      <c r="F271">
        <f>IFERROR(VLOOKUP(Tabla1[[#This Row],[SISMED]],TblDisponibilidad[],10,FALSE), 0)</f>
        <v>0</v>
      </c>
      <c r="G271">
        <f>IFERROR(VLOOKUP(Tabla1[[#This Row],[SISMED]],TblDisponibilidad[],11,FALSE), 0)</f>
        <v>0</v>
      </c>
      <c r="H271">
        <f>IFERROR(VLOOKUP(Tabla1[[#This Row],[SISMED]],TblDisponibilidad[],12,FALSE), 0)</f>
        <v>0</v>
      </c>
      <c r="I271">
        <f>IFERROR(VLOOKUP(Tabla1[[#This Row],[SISMED]],TblDisponibilidad[],13,FALSE), 0)</f>
        <v>0</v>
      </c>
      <c r="J271">
        <f>IFERROR(VLOOKUP(Tabla1[[#This Row],[SISMED]],TblDisponibilidad[],14,FALSE), 0)</f>
        <v>0</v>
      </c>
      <c r="K271">
        <f>IFERROR(VLOOKUP(Tabla1[[#This Row],[SISMED]],TblDisponibilidad[],15,FALSE), 0)</f>
        <v>0</v>
      </c>
      <c r="L271">
        <f>IFERROR(VLOOKUP(Tabla1[[#This Row],[SISMED]],TblDisponibilidad[],16,FALSE), 0)</f>
        <v>0</v>
      </c>
      <c r="M271">
        <f>IFERROR(VLOOKUP(Tabla1[[#This Row],[SISMED]],TblDisponibilidad[],17,FALSE), 0)</f>
        <v>0</v>
      </c>
      <c r="N271">
        <f>IFERROR(VLOOKUP(Tabla1[[#This Row],[SISMED]],TblDisponibilidad[],18,FALSE), 0)</f>
        <v>0</v>
      </c>
      <c r="O271">
        <f>IFERROR(VLOOKUP(Tabla1[[#This Row],[SISMED]],TblDisponibilidad[],19,FALSE), 0)</f>
        <v>0</v>
      </c>
      <c r="P271">
        <f>IFERROR(VLOOKUP(Tabla1[[#This Row],[SISMED]],TblDisponibilidad[],20,FALSE), 0)</f>
        <v>0</v>
      </c>
      <c r="Q271">
        <f>IFERROR(VLOOKUP(Tabla1[[#This Row],[SISMED]],TblDisponibilidad[],21,FALSE), 0)</f>
        <v>0</v>
      </c>
      <c r="R271">
        <f>IFERROR(VLOOKUP(Tabla1[[#This Row],[SISMED]],TblDisponibilidad[],22,FALSE), 0)</f>
        <v>0</v>
      </c>
      <c r="S271" s="15">
        <f>IFERROR(VLOOKUP(Tabla1[[#This Row],[SISMED]],TblDisponibilidad[],23,FALSE), 0)</f>
        <v>0</v>
      </c>
    </row>
    <row r="272" spans="1:19" x14ac:dyDescent="0.3">
      <c r="A272" s="15" t="s">
        <v>302</v>
      </c>
      <c r="B272" t="str">
        <f>IFERROR(VLOOKUP(Tabla1[[#This Row],[SISMED]],TblDisponibilidad[],2,FALSE), "")</f>
        <v/>
      </c>
      <c r="C272">
        <f>IFERROR(VLOOKUP(Tabla1[[#This Row],[SISMED]],TblDisponibilidad[],7,FALSE), 0)</f>
        <v>0</v>
      </c>
      <c r="D272">
        <f>IFERROR(VLOOKUP(Tabla1[[#This Row],[SISMED]],TblDisponibilidad[],8,FALSE), 0)</f>
        <v>0</v>
      </c>
      <c r="E272">
        <f>IFERROR(VLOOKUP(Tabla1[[#This Row],[SISMED]],TblDisponibilidad[],9,FALSE), 0)</f>
        <v>0</v>
      </c>
      <c r="F272">
        <f>IFERROR(VLOOKUP(Tabla1[[#This Row],[SISMED]],TblDisponibilidad[],10,FALSE), 0)</f>
        <v>0</v>
      </c>
      <c r="G272">
        <f>IFERROR(VLOOKUP(Tabla1[[#This Row],[SISMED]],TblDisponibilidad[],11,FALSE), 0)</f>
        <v>0</v>
      </c>
      <c r="H272">
        <f>IFERROR(VLOOKUP(Tabla1[[#This Row],[SISMED]],TblDisponibilidad[],12,FALSE), 0)</f>
        <v>0</v>
      </c>
      <c r="I272">
        <f>IFERROR(VLOOKUP(Tabla1[[#This Row],[SISMED]],TblDisponibilidad[],13,FALSE), 0)</f>
        <v>0</v>
      </c>
      <c r="J272">
        <f>IFERROR(VLOOKUP(Tabla1[[#This Row],[SISMED]],TblDisponibilidad[],14,FALSE), 0)</f>
        <v>0</v>
      </c>
      <c r="K272">
        <f>IFERROR(VLOOKUP(Tabla1[[#This Row],[SISMED]],TblDisponibilidad[],15,FALSE), 0)</f>
        <v>0</v>
      </c>
      <c r="L272">
        <f>IFERROR(VLOOKUP(Tabla1[[#This Row],[SISMED]],TblDisponibilidad[],16,FALSE), 0)</f>
        <v>0</v>
      </c>
      <c r="M272">
        <f>IFERROR(VLOOKUP(Tabla1[[#This Row],[SISMED]],TblDisponibilidad[],17,FALSE), 0)</f>
        <v>0</v>
      </c>
      <c r="N272">
        <f>IFERROR(VLOOKUP(Tabla1[[#This Row],[SISMED]],TblDisponibilidad[],18,FALSE), 0)</f>
        <v>0</v>
      </c>
      <c r="O272">
        <f>IFERROR(VLOOKUP(Tabla1[[#This Row],[SISMED]],TblDisponibilidad[],19,FALSE), 0)</f>
        <v>0</v>
      </c>
      <c r="P272">
        <f>IFERROR(VLOOKUP(Tabla1[[#This Row],[SISMED]],TblDisponibilidad[],20,FALSE), 0)</f>
        <v>0</v>
      </c>
      <c r="Q272">
        <f>IFERROR(VLOOKUP(Tabla1[[#This Row],[SISMED]],TblDisponibilidad[],21,FALSE), 0)</f>
        <v>0</v>
      </c>
      <c r="R272">
        <f>IFERROR(VLOOKUP(Tabla1[[#This Row],[SISMED]],TblDisponibilidad[],22,FALSE), 0)</f>
        <v>0</v>
      </c>
      <c r="S272" s="15">
        <f>IFERROR(VLOOKUP(Tabla1[[#This Row],[SISMED]],TblDisponibilidad[],23,FALSE), 0)</f>
        <v>0</v>
      </c>
    </row>
    <row r="273" spans="1:19" x14ac:dyDescent="0.3">
      <c r="A273" s="15" t="s">
        <v>303</v>
      </c>
      <c r="B273" t="str">
        <f>IFERROR(VLOOKUP(Tabla1[[#This Row],[SISMED]],TblDisponibilidad[],2,FALSE), "")</f>
        <v/>
      </c>
      <c r="C273">
        <f>IFERROR(VLOOKUP(Tabla1[[#This Row],[SISMED]],TblDisponibilidad[],7,FALSE), 0)</f>
        <v>0</v>
      </c>
      <c r="D273">
        <f>IFERROR(VLOOKUP(Tabla1[[#This Row],[SISMED]],TblDisponibilidad[],8,FALSE), 0)</f>
        <v>0</v>
      </c>
      <c r="E273">
        <f>IFERROR(VLOOKUP(Tabla1[[#This Row],[SISMED]],TblDisponibilidad[],9,FALSE), 0)</f>
        <v>0</v>
      </c>
      <c r="F273">
        <f>IFERROR(VLOOKUP(Tabla1[[#This Row],[SISMED]],TblDisponibilidad[],10,FALSE), 0)</f>
        <v>0</v>
      </c>
      <c r="G273">
        <f>IFERROR(VLOOKUP(Tabla1[[#This Row],[SISMED]],TblDisponibilidad[],11,FALSE), 0)</f>
        <v>0</v>
      </c>
      <c r="H273">
        <f>IFERROR(VLOOKUP(Tabla1[[#This Row],[SISMED]],TblDisponibilidad[],12,FALSE), 0)</f>
        <v>0</v>
      </c>
      <c r="I273">
        <f>IFERROR(VLOOKUP(Tabla1[[#This Row],[SISMED]],TblDisponibilidad[],13,FALSE), 0)</f>
        <v>0</v>
      </c>
      <c r="J273">
        <f>IFERROR(VLOOKUP(Tabla1[[#This Row],[SISMED]],TblDisponibilidad[],14,FALSE), 0)</f>
        <v>0</v>
      </c>
      <c r="K273">
        <f>IFERROR(VLOOKUP(Tabla1[[#This Row],[SISMED]],TblDisponibilidad[],15,FALSE), 0)</f>
        <v>0</v>
      </c>
      <c r="L273">
        <f>IFERROR(VLOOKUP(Tabla1[[#This Row],[SISMED]],TblDisponibilidad[],16,FALSE), 0)</f>
        <v>0</v>
      </c>
      <c r="M273">
        <f>IFERROR(VLOOKUP(Tabla1[[#This Row],[SISMED]],TblDisponibilidad[],17,FALSE), 0)</f>
        <v>0</v>
      </c>
      <c r="N273">
        <f>IFERROR(VLOOKUP(Tabla1[[#This Row],[SISMED]],TblDisponibilidad[],18,FALSE), 0)</f>
        <v>0</v>
      </c>
      <c r="O273">
        <f>IFERROR(VLOOKUP(Tabla1[[#This Row],[SISMED]],TblDisponibilidad[],19,FALSE), 0)</f>
        <v>0</v>
      </c>
      <c r="P273">
        <f>IFERROR(VLOOKUP(Tabla1[[#This Row],[SISMED]],TblDisponibilidad[],20,FALSE), 0)</f>
        <v>0</v>
      </c>
      <c r="Q273">
        <f>IFERROR(VLOOKUP(Tabla1[[#This Row],[SISMED]],TblDisponibilidad[],21,FALSE), 0)</f>
        <v>0</v>
      </c>
      <c r="R273">
        <f>IFERROR(VLOOKUP(Tabla1[[#This Row],[SISMED]],TblDisponibilidad[],22,FALSE), 0)</f>
        <v>0</v>
      </c>
      <c r="S273" s="15">
        <f>IFERROR(VLOOKUP(Tabla1[[#This Row],[SISMED]],TblDisponibilidad[],23,FALSE), 0)</f>
        <v>0</v>
      </c>
    </row>
    <row r="274" spans="1:19" x14ac:dyDescent="0.3">
      <c r="A274" s="15" t="s">
        <v>304</v>
      </c>
      <c r="B274" t="str">
        <f>IFERROR(VLOOKUP(Tabla1[[#This Row],[SISMED]],TblDisponibilidad[],2,FALSE), "")</f>
        <v/>
      </c>
      <c r="C274">
        <f>IFERROR(VLOOKUP(Tabla1[[#This Row],[SISMED]],TblDisponibilidad[],7,FALSE), 0)</f>
        <v>0</v>
      </c>
      <c r="D274">
        <f>IFERROR(VLOOKUP(Tabla1[[#This Row],[SISMED]],TblDisponibilidad[],8,FALSE), 0)</f>
        <v>0</v>
      </c>
      <c r="E274">
        <f>IFERROR(VLOOKUP(Tabla1[[#This Row],[SISMED]],TblDisponibilidad[],9,FALSE), 0)</f>
        <v>0</v>
      </c>
      <c r="F274">
        <f>IFERROR(VLOOKUP(Tabla1[[#This Row],[SISMED]],TblDisponibilidad[],10,FALSE), 0)</f>
        <v>0</v>
      </c>
      <c r="G274">
        <f>IFERROR(VLOOKUP(Tabla1[[#This Row],[SISMED]],TblDisponibilidad[],11,FALSE), 0)</f>
        <v>0</v>
      </c>
      <c r="H274">
        <f>IFERROR(VLOOKUP(Tabla1[[#This Row],[SISMED]],TblDisponibilidad[],12,FALSE), 0)</f>
        <v>0</v>
      </c>
      <c r="I274">
        <f>IFERROR(VLOOKUP(Tabla1[[#This Row],[SISMED]],TblDisponibilidad[],13,FALSE), 0)</f>
        <v>0</v>
      </c>
      <c r="J274">
        <f>IFERROR(VLOOKUP(Tabla1[[#This Row],[SISMED]],TblDisponibilidad[],14,FALSE), 0)</f>
        <v>0</v>
      </c>
      <c r="K274">
        <f>IFERROR(VLOOKUP(Tabla1[[#This Row],[SISMED]],TblDisponibilidad[],15,FALSE), 0)</f>
        <v>0</v>
      </c>
      <c r="L274">
        <f>IFERROR(VLOOKUP(Tabla1[[#This Row],[SISMED]],TblDisponibilidad[],16,FALSE), 0)</f>
        <v>0</v>
      </c>
      <c r="M274">
        <f>IFERROR(VLOOKUP(Tabla1[[#This Row],[SISMED]],TblDisponibilidad[],17,FALSE), 0)</f>
        <v>0</v>
      </c>
      <c r="N274">
        <f>IFERROR(VLOOKUP(Tabla1[[#This Row],[SISMED]],TblDisponibilidad[],18,FALSE), 0)</f>
        <v>0</v>
      </c>
      <c r="O274">
        <f>IFERROR(VLOOKUP(Tabla1[[#This Row],[SISMED]],TblDisponibilidad[],19,FALSE), 0)</f>
        <v>0</v>
      </c>
      <c r="P274">
        <f>IFERROR(VLOOKUP(Tabla1[[#This Row],[SISMED]],TblDisponibilidad[],20,FALSE), 0)</f>
        <v>0</v>
      </c>
      <c r="Q274">
        <f>IFERROR(VLOOKUP(Tabla1[[#This Row],[SISMED]],TblDisponibilidad[],21,FALSE), 0)</f>
        <v>0</v>
      </c>
      <c r="R274">
        <f>IFERROR(VLOOKUP(Tabla1[[#This Row],[SISMED]],TblDisponibilidad[],22,FALSE), 0)</f>
        <v>0</v>
      </c>
      <c r="S274" s="15">
        <f>IFERROR(VLOOKUP(Tabla1[[#This Row],[SISMED]],TblDisponibilidad[],23,FALSE), 0)</f>
        <v>0</v>
      </c>
    </row>
    <row r="275" spans="1:19" x14ac:dyDescent="0.3">
      <c r="A275" s="15" t="s">
        <v>305</v>
      </c>
      <c r="B275" t="str">
        <f>IFERROR(VLOOKUP(Tabla1[[#This Row],[SISMED]],TblDisponibilidad[],2,FALSE), "")</f>
        <v/>
      </c>
      <c r="C275">
        <f>IFERROR(VLOOKUP(Tabla1[[#This Row],[SISMED]],TblDisponibilidad[],7,FALSE), 0)</f>
        <v>0</v>
      </c>
      <c r="D275">
        <f>IFERROR(VLOOKUP(Tabla1[[#This Row],[SISMED]],TblDisponibilidad[],8,FALSE), 0)</f>
        <v>0</v>
      </c>
      <c r="E275">
        <f>IFERROR(VLOOKUP(Tabla1[[#This Row],[SISMED]],TblDisponibilidad[],9,FALSE), 0)</f>
        <v>0</v>
      </c>
      <c r="F275">
        <f>IFERROR(VLOOKUP(Tabla1[[#This Row],[SISMED]],TblDisponibilidad[],10,FALSE), 0)</f>
        <v>0</v>
      </c>
      <c r="G275">
        <f>IFERROR(VLOOKUP(Tabla1[[#This Row],[SISMED]],TblDisponibilidad[],11,FALSE), 0)</f>
        <v>0</v>
      </c>
      <c r="H275">
        <f>IFERROR(VLOOKUP(Tabla1[[#This Row],[SISMED]],TblDisponibilidad[],12,FALSE), 0)</f>
        <v>0</v>
      </c>
      <c r="I275">
        <f>IFERROR(VLOOKUP(Tabla1[[#This Row],[SISMED]],TblDisponibilidad[],13,FALSE), 0)</f>
        <v>0</v>
      </c>
      <c r="J275">
        <f>IFERROR(VLOOKUP(Tabla1[[#This Row],[SISMED]],TblDisponibilidad[],14,FALSE), 0)</f>
        <v>0</v>
      </c>
      <c r="K275">
        <f>IFERROR(VLOOKUP(Tabla1[[#This Row],[SISMED]],TblDisponibilidad[],15,FALSE), 0)</f>
        <v>0</v>
      </c>
      <c r="L275">
        <f>IFERROR(VLOOKUP(Tabla1[[#This Row],[SISMED]],TblDisponibilidad[],16,FALSE), 0)</f>
        <v>0</v>
      </c>
      <c r="M275">
        <f>IFERROR(VLOOKUP(Tabla1[[#This Row],[SISMED]],TblDisponibilidad[],17,FALSE), 0)</f>
        <v>0</v>
      </c>
      <c r="N275">
        <f>IFERROR(VLOOKUP(Tabla1[[#This Row],[SISMED]],TblDisponibilidad[],18,FALSE), 0)</f>
        <v>0</v>
      </c>
      <c r="O275">
        <f>IFERROR(VLOOKUP(Tabla1[[#This Row],[SISMED]],TblDisponibilidad[],19,FALSE), 0)</f>
        <v>0</v>
      </c>
      <c r="P275">
        <f>IFERROR(VLOOKUP(Tabla1[[#This Row],[SISMED]],TblDisponibilidad[],20,FALSE), 0)</f>
        <v>0</v>
      </c>
      <c r="Q275">
        <f>IFERROR(VLOOKUP(Tabla1[[#This Row],[SISMED]],TblDisponibilidad[],21,FALSE), 0)</f>
        <v>0</v>
      </c>
      <c r="R275">
        <f>IFERROR(VLOOKUP(Tabla1[[#This Row],[SISMED]],TblDisponibilidad[],22,FALSE), 0)</f>
        <v>0</v>
      </c>
      <c r="S275" s="15">
        <f>IFERROR(VLOOKUP(Tabla1[[#This Row],[SISMED]],TblDisponibilidad[],23,FALSE), 0)</f>
        <v>0</v>
      </c>
    </row>
    <row r="276" spans="1:19" x14ac:dyDescent="0.3">
      <c r="A276" s="15" t="s">
        <v>306</v>
      </c>
      <c r="B276" t="str">
        <f>IFERROR(VLOOKUP(Tabla1[[#This Row],[SISMED]],TblDisponibilidad[],2,FALSE), "")</f>
        <v/>
      </c>
      <c r="C276">
        <f>IFERROR(VLOOKUP(Tabla1[[#This Row],[SISMED]],TblDisponibilidad[],7,FALSE), 0)</f>
        <v>0</v>
      </c>
      <c r="D276">
        <f>IFERROR(VLOOKUP(Tabla1[[#This Row],[SISMED]],TblDisponibilidad[],8,FALSE), 0)</f>
        <v>0</v>
      </c>
      <c r="E276">
        <f>IFERROR(VLOOKUP(Tabla1[[#This Row],[SISMED]],TblDisponibilidad[],9,FALSE), 0)</f>
        <v>0</v>
      </c>
      <c r="F276">
        <f>IFERROR(VLOOKUP(Tabla1[[#This Row],[SISMED]],TblDisponibilidad[],10,FALSE), 0)</f>
        <v>0</v>
      </c>
      <c r="G276">
        <f>IFERROR(VLOOKUP(Tabla1[[#This Row],[SISMED]],TblDisponibilidad[],11,FALSE), 0)</f>
        <v>0</v>
      </c>
      <c r="H276">
        <f>IFERROR(VLOOKUP(Tabla1[[#This Row],[SISMED]],TblDisponibilidad[],12,FALSE), 0)</f>
        <v>0</v>
      </c>
      <c r="I276">
        <f>IFERROR(VLOOKUP(Tabla1[[#This Row],[SISMED]],TblDisponibilidad[],13,FALSE), 0)</f>
        <v>0</v>
      </c>
      <c r="J276">
        <f>IFERROR(VLOOKUP(Tabla1[[#This Row],[SISMED]],TblDisponibilidad[],14,FALSE), 0)</f>
        <v>0</v>
      </c>
      <c r="K276">
        <f>IFERROR(VLOOKUP(Tabla1[[#This Row],[SISMED]],TblDisponibilidad[],15,FALSE), 0)</f>
        <v>0</v>
      </c>
      <c r="L276">
        <f>IFERROR(VLOOKUP(Tabla1[[#This Row],[SISMED]],TblDisponibilidad[],16,FALSE), 0)</f>
        <v>0</v>
      </c>
      <c r="M276">
        <f>IFERROR(VLOOKUP(Tabla1[[#This Row],[SISMED]],TblDisponibilidad[],17,FALSE), 0)</f>
        <v>0</v>
      </c>
      <c r="N276">
        <f>IFERROR(VLOOKUP(Tabla1[[#This Row],[SISMED]],TblDisponibilidad[],18,FALSE), 0)</f>
        <v>0</v>
      </c>
      <c r="O276">
        <f>IFERROR(VLOOKUP(Tabla1[[#This Row],[SISMED]],TblDisponibilidad[],19,FALSE), 0)</f>
        <v>0</v>
      </c>
      <c r="P276">
        <f>IFERROR(VLOOKUP(Tabla1[[#This Row],[SISMED]],TblDisponibilidad[],20,FALSE), 0)</f>
        <v>0</v>
      </c>
      <c r="Q276">
        <f>IFERROR(VLOOKUP(Tabla1[[#This Row],[SISMED]],TblDisponibilidad[],21,FALSE), 0)</f>
        <v>0</v>
      </c>
      <c r="R276">
        <f>IFERROR(VLOOKUP(Tabla1[[#This Row],[SISMED]],TblDisponibilidad[],22,FALSE), 0)</f>
        <v>0</v>
      </c>
      <c r="S276" s="15">
        <f>IFERROR(VLOOKUP(Tabla1[[#This Row],[SISMED]],TblDisponibilidad[],23,FALSE), 0)</f>
        <v>0</v>
      </c>
    </row>
    <row r="277" spans="1:19" x14ac:dyDescent="0.3">
      <c r="A277" s="15" t="s">
        <v>307</v>
      </c>
      <c r="B277" t="str">
        <f>IFERROR(VLOOKUP(Tabla1[[#This Row],[SISMED]],TblDisponibilidad[],2,FALSE), "")</f>
        <v/>
      </c>
      <c r="C277">
        <f>IFERROR(VLOOKUP(Tabla1[[#This Row],[SISMED]],TblDisponibilidad[],7,FALSE), 0)</f>
        <v>0</v>
      </c>
      <c r="D277">
        <f>IFERROR(VLOOKUP(Tabla1[[#This Row],[SISMED]],TblDisponibilidad[],8,FALSE), 0)</f>
        <v>0</v>
      </c>
      <c r="E277">
        <f>IFERROR(VLOOKUP(Tabla1[[#This Row],[SISMED]],TblDisponibilidad[],9,FALSE), 0)</f>
        <v>0</v>
      </c>
      <c r="F277">
        <f>IFERROR(VLOOKUP(Tabla1[[#This Row],[SISMED]],TblDisponibilidad[],10,FALSE), 0)</f>
        <v>0</v>
      </c>
      <c r="G277">
        <f>IFERROR(VLOOKUP(Tabla1[[#This Row],[SISMED]],TblDisponibilidad[],11,FALSE), 0)</f>
        <v>0</v>
      </c>
      <c r="H277">
        <f>IFERROR(VLOOKUP(Tabla1[[#This Row],[SISMED]],TblDisponibilidad[],12,FALSE), 0)</f>
        <v>0</v>
      </c>
      <c r="I277">
        <f>IFERROR(VLOOKUP(Tabla1[[#This Row],[SISMED]],TblDisponibilidad[],13,FALSE), 0)</f>
        <v>0</v>
      </c>
      <c r="J277">
        <f>IFERROR(VLOOKUP(Tabla1[[#This Row],[SISMED]],TblDisponibilidad[],14,FALSE), 0)</f>
        <v>0</v>
      </c>
      <c r="K277">
        <f>IFERROR(VLOOKUP(Tabla1[[#This Row],[SISMED]],TblDisponibilidad[],15,FALSE), 0)</f>
        <v>0</v>
      </c>
      <c r="L277">
        <f>IFERROR(VLOOKUP(Tabla1[[#This Row],[SISMED]],TblDisponibilidad[],16,FALSE), 0)</f>
        <v>0</v>
      </c>
      <c r="M277">
        <f>IFERROR(VLOOKUP(Tabla1[[#This Row],[SISMED]],TblDisponibilidad[],17,FALSE), 0)</f>
        <v>0</v>
      </c>
      <c r="N277">
        <f>IFERROR(VLOOKUP(Tabla1[[#This Row],[SISMED]],TblDisponibilidad[],18,FALSE), 0)</f>
        <v>0</v>
      </c>
      <c r="O277">
        <f>IFERROR(VLOOKUP(Tabla1[[#This Row],[SISMED]],TblDisponibilidad[],19,FALSE), 0)</f>
        <v>0</v>
      </c>
      <c r="P277">
        <f>IFERROR(VLOOKUP(Tabla1[[#This Row],[SISMED]],TblDisponibilidad[],20,FALSE), 0)</f>
        <v>0</v>
      </c>
      <c r="Q277">
        <f>IFERROR(VLOOKUP(Tabla1[[#This Row],[SISMED]],TblDisponibilidad[],21,FALSE), 0)</f>
        <v>0</v>
      </c>
      <c r="R277">
        <f>IFERROR(VLOOKUP(Tabla1[[#This Row],[SISMED]],TblDisponibilidad[],22,FALSE), 0)</f>
        <v>0</v>
      </c>
      <c r="S277" s="15">
        <f>IFERROR(VLOOKUP(Tabla1[[#This Row],[SISMED]],TblDisponibilidad[],23,FALSE), 0)</f>
        <v>0</v>
      </c>
    </row>
    <row r="278" spans="1:19" x14ac:dyDescent="0.3">
      <c r="A278" s="15" t="s">
        <v>308</v>
      </c>
      <c r="B278" t="str">
        <f>IFERROR(VLOOKUP(Tabla1[[#This Row],[SISMED]],TblDisponibilidad[],2,FALSE), "")</f>
        <v/>
      </c>
      <c r="C278">
        <f>IFERROR(VLOOKUP(Tabla1[[#This Row],[SISMED]],TblDisponibilidad[],7,FALSE), 0)</f>
        <v>0</v>
      </c>
      <c r="D278">
        <f>IFERROR(VLOOKUP(Tabla1[[#This Row],[SISMED]],TblDisponibilidad[],8,FALSE), 0)</f>
        <v>0</v>
      </c>
      <c r="E278">
        <f>IFERROR(VLOOKUP(Tabla1[[#This Row],[SISMED]],TblDisponibilidad[],9,FALSE), 0)</f>
        <v>0</v>
      </c>
      <c r="F278">
        <f>IFERROR(VLOOKUP(Tabla1[[#This Row],[SISMED]],TblDisponibilidad[],10,FALSE), 0)</f>
        <v>0</v>
      </c>
      <c r="G278">
        <f>IFERROR(VLOOKUP(Tabla1[[#This Row],[SISMED]],TblDisponibilidad[],11,FALSE), 0)</f>
        <v>0</v>
      </c>
      <c r="H278">
        <f>IFERROR(VLOOKUP(Tabla1[[#This Row],[SISMED]],TblDisponibilidad[],12,FALSE), 0)</f>
        <v>0</v>
      </c>
      <c r="I278">
        <f>IFERROR(VLOOKUP(Tabla1[[#This Row],[SISMED]],TblDisponibilidad[],13,FALSE), 0)</f>
        <v>0</v>
      </c>
      <c r="J278">
        <f>IFERROR(VLOOKUP(Tabla1[[#This Row],[SISMED]],TblDisponibilidad[],14,FALSE), 0)</f>
        <v>0</v>
      </c>
      <c r="K278">
        <f>IFERROR(VLOOKUP(Tabla1[[#This Row],[SISMED]],TblDisponibilidad[],15,FALSE), 0)</f>
        <v>0</v>
      </c>
      <c r="L278">
        <f>IFERROR(VLOOKUP(Tabla1[[#This Row],[SISMED]],TblDisponibilidad[],16,FALSE), 0)</f>
        <v>0</v>
      </c>
      <c r="M278">
        <f>IFERROR(VLOOKUP(Tabla1[[#This Row],[SISMED]],TblDisponibilidad[],17,FALSE), 0)</f>
        <v>0</v>
      </c>
      <c r="N278">
        <f>IFERROR(VLOOKUP(Tabla1[[#This Row],[SISMED]],TblDisponibilidad[],18,FALSE), 0)</f>
        <v>0</v>
      </c>
      <c r="O278">
        <f>IFERROR(VLOOKUP(Tabla1[[#This Row],[SISMED]],TblDisponibilidad[],19,FALSE), 0)</f>
        <v>0</v>
      </c>
      <c r="P278">
        <f>IFERROR(VLOOKUP(Tabla1[[#This Row],[SISMED]],TblDisponibilidad[],20,FALSE), 0)</f>
        <v>0</v>
      </c>
      <c r="Q278">
        <f>IFERROR(VLOOKUP(Tabla1[[#This Row],[SISMED]],TblDisponibilidad[],21,FALSE), 0)</f>
        <v>0</v>
      </c>
      <c r="R278">
        <f>IFERROR(VLOOKUP(Tabla1[[#This Row],[SISMED]],TblDisponibilidad[],22,FALSE), 0)</f>
        <v>0</v>
      </c>
      <c r="S278" s="15">
        <f>IFERROR(VLOOKUP(Tabla1[[#This Row],[SISMED]],TblDisponibilidad[],23,FALSE), 0)</f>
        <v>0</v>
      </c>
    </row>
    <row r="279" spans="1:19" x14ac:dyDescent="0.3">
      <c r="A279" s="15" t="s">
        <v>309</v>
      </c>
      <c r="B279" t="str">
        <f>IFERROR(VLOOKUP(Tabla1[[#This Row],[SISMED]],TblDisponibilidad[],2,FALSE), "")</f>
        <v/>
      </c>
      <c r="C279">
        <f>IFERROR(VLOOKUP(Tabla1[[#This Row],[SISMED]],TblDisponibilidad[],7,FALSE), 0)</f>
        <v>0</v>
      </c>
      <c r="D279">
        <f>IFERROR(VLOOKUP(Tabla1[[#This Row],[SISMED]],TblDisponibilidad[],8,FALSE), 0)</f>
        <v>0</v>
      </c>
      <c r="E279">
        <f>IFERROR(VLOOKUP(Tabla1[[#This Row],[SISMED]],TblDisponibilidad[],9,FALSE), 0)</f>
        <v>0</v>
      </c>
      <c r="F279">
        <f>IFERROR(VLOOKUP(Tabla1[[#This Row],[SISMED]],TblDisponibilidad[],10,FALSE), 0)</f>
        <v>0</v>
      </c>
      <c r="G279">
        <f>IFERROR(VLOOKUP(Tabla1[[#This Row],[SISMED]],TblDisponibilidad[],11,FALSE), 0)</f>
        <v>0</v>
      </c>
      <c r="H279">
        <f>IFERROR(VLOOKUP(Tabla1[[#This Row],[SISMED]],TblDisponibilidad[],12,FALSE), 0)</f>
        <v>0</v>
      </c>
      <c r="I279">
        <f>IFERROR(VLOOKUP(Tabla1[[#This Row],[SISMED]],TblDisponibilidad[],13,FALSE), 0)</f>
        <v>0</v>
      </c>
      <c r="J279">
        <f>IFERROR(VLOOKUP(Tabla1[[#This Row],[SISMED]],TblDisponibilidad[],14,FALSE), 0)</f>
        <v>0</v>
      </c>
      <c r="K279">
        <f>IFERROR(VLOOKUP(Tabla1[[#This Row],[SISMED]],TblDisponibilidad[],15,FALSE), 0)</f>
        <v>0</v>
      </c>
      <c r="L279">
        <f>IFERROR(VLOOKUP(Tabla1[[#This Row],[SISMED]],TblDisponibilidad[],16,FALSE), 0)</f>
        <v>0</v>
      </c>
      <c r="M279">
        <f>IFERROR(VLOOKUP(Tabla1[[#This Row],[SISMED]],TblDisponibilidad[],17,FALSE), 0)</f>
        <v>0</v>
      </c>
      <c r="N279">
        <f>IFERROR(VLOOKUP(Tabla1[[#This Row],[SISMED]],TblDisponibilidad[],18,FALSE), 0)</f>
        <v>0</v>
      </c>
      <c r="O279">
        <f>IFERROR(VLOOKUP(Tabla1[[#This Row],[SISMED]],TblDisponibilidad[],19,FALSE), 0)</f>
        <v>0</v>
      </c>
      <c r="P279">
        <f>IFERROR(VLOOKUP(Tabla1[[#This Row],[SISMED]],TblDisponibilidad[],20,FALSE), 0)</f>
        <v>0</v>
      </c>
      <c r="Q279">
        <f>IFERROR(VLOOKUP(Tabla1[[#This Row],[SISMED]],TblDisponibilidad[],21,FALSE), 0)</f>
        <v>0</v>
      </c>
      <c r="R279">
        <f>IFERROR(VLOOKUP(Tabla1[[#This Row],[SISMED]],TblDisponibilidad[],22,FALSE), 0)</f>
        <v>0</v>
      </c>
      <c r="S279" s="15">
        <f>IFERROR(VLOOKUP(Tabla1[[#This Row],[SISMED]],TblDisponibilidad[],23,FALSE), 0)</f>
        <v>0</v>
      </c>
    </row>
    <row r="280" spans="1:19" x14ac:dyDescent="0.3">
      <c r="A280" s="15" t="s">
        <v>310</v>
      </c>
      <c r="B280" t="str">
        <f>IFERROR(VLOOKUP(Tabla1[[#This Row],[SISMED]],TblDisponibilidad[],2,FALSE), "")</f>
        <v/>
      </c>
      <c r="C280">
        <f>IFERROR(VLOOKUP(Tabla1[[#This Row],[SISMED]],TblDisponibilidad[],7,FALSE), 0)</f>
        <v>0</v>
      </c>
      <c r="D280">
        <f>IFERROR(VLOOKUP(Tabla1[[#This Row],[SISMED]],TblDisponibilidad[],8,FALSE), 0)</f>
        <v>0</v>
      </c>
      <c r="E280">
        <f>IFERROR(VLOOKUP(Tabla1[[#This Row],[SISMED]],TblDisponibilidad[],9,FALSE), 0)</f>
        <v>0</v>
      </c>
      <c r="F280">
        <f>IFERROR(VLOOKUP(Tabla1[[#This Row],[SISMED]],TblDisponibilidad[],10,FALSE), 0)</f>
        <v>0</v>
      </c>
      <c r="G280">
        <f>IFERROR(VLOOKUP(Tabla1[[#This Row],[SISMED]],TblDisponibilidad[],11,FALSE), 0)</f>
        <v>0</v>
      </c>
      <c r="H280">
        <f>IFERROR(VLOOKUP(Tabla1[[#This Row],[SISMED]],TblDisponibilidad[],12,FALSE), 0)</f>
        <v>0</v>
      </c>
      <c r="I280">
        <f>IFERROR(VLOOKUP(Tabla1[[#This Row],[SISMED]],TblDisponibilidad[],13,FALSE), 0)</f>
        <v>0</v>
      </c>
      <c r="J280">
        <f>IFERROR(VLOOKUP(Tabla1[[#This Row],[SISMED]],TblDisponibilidad[],14,FALSE), 0)</f>
        <v>0</v>
      </c>
      <c r="K280">
        <f>IFERROR(VLOOKUP(Tabla1[[#This Row],[SISMED]],TblDisponibilidad[],15,FALSE), 0)</f>
        <v>0</v>
      </c>
      <c r="L280">
        <f>IFERROR(VLOOKUP(Tabla1[[#This Row],[SISMED]],TblDisponibilidad[],16,FALSE), 0)</f>
        <v>0</v>
      </c>
      <c r="M280">
        <f>IFERROR(VLOOKUP(Tabla1[[#This Row],[SISMED]],TblDisponibilidad[],17,FALSE), 0)</f>
        <v>0</v>
      </c>
      <c r="N280">
        <f>IFERROR(VLOOKUP(Tabla1[[#This Row],[SISMED]],TblDisponibilidad[],18,FALSE), 0)</f>
        <v>0</v>
      </c>
      <c r="O280">
        <f>IFERROR(VLOOKUP(Tabla1[[#This Row],[SISMED]],TblDisponibilidad[],19,FALSE), 0)</f>
        <v>0</v>
      </c>
      <c r="P280">
        <f>IFERROR(VLOOKUP(Tabla1[[#This Row],[SISMED]],TblDisponibilidad[],20,FALSE), 0)</f>
        <v>0</v>
      </c>
      <c r="Q280">
        <f>IFERROR(VLOOKUP(Tabla1[[#This Row],[SISMED]],TblDisponibilidad[],21,FALSE), 0)</f>
        <v>0</v>
      </c>
      <c r="R280">
        <f>IFERROR(VLOOKUP(Tabla1[[#This Row],[SISMED]],TblDisponibilidad[],22,FALSE), 0)</f>
        <v>0</v>
      </c>
      <c r="S280" s="15">
        <f>IFERROR(VLOOKUP(Tabla1[[#This Row],[SISMED]],TblDisponibilidad[],23,FALSE), 0)</f>
        <v>0</v>
      </c>
    </row>
    <row r="281" spans="1:19" x14ac:dyDescent="0.3">
      <c r="A281" s="15" t="s">
        <v>311</v>
      </c>
      <c r="B281" t="str">
        <f>IFERROR(VLOOKUP(Tabla1[[#This Row],[SISMED]],TblDisponibilidad[],2,FALSE), "")</f>
        <v/>
      </c>
      <c r="C281">
        <f>IFERROR(VLOOKUP(Tabla1[[#This Row],[SISMED]],TblDisponibilidad[],7,FALSE), 0)</f>
        <v>0</v>
      </c>
      <c r="D281">
        <f>IFERROR(VLOOKUP(Tabla1[[#This Row],[SISMED]],TblDisponibilidad[],8,FALSE), 0)</f>
        <v>0</v>
      </c>
      <c r="E281">
        <f>IFERROR(VLOOKUP(Tabla1[[#This Row],[SISMED]],TblDisponibilidad[],9,FALSE), 0)</f>
        <v>0</v>
      </c>
      <c r="F281">
        <f>IFERROR(VLOOKUP(Tabla1[[#This Row],[SISMED]],TblDisponibilidad[],10,FALSE), 0)</f>
        <v>0</v>
      </c>
      <c r="G281">
        <f>IFERROR(VLOOKUP(Tabla1[[#This Row],[SISMED]],TblDisponibilidad[],11,FALSE), 0)</f>
        <v>0</v>
      </c>
      <c r="H281">
        <f>IFERROR(VLOOKUP(Tabla1[[#This Row],[SISMED]],TblDisponibilidad[],12,FALSE), 0)</f>
        <v>0</v>
      </c>
      <c r="I281">
        <f>IFERROR(VLOOKUP(Tabla1[[#This Row],[SISMED]],TblDisponibilidad[],13,FALSE), 0)</f>
        <v>0</v>
      </c>
      <c r="J281">
        <f>IFERROR(VLOOKUP(Tabla1[[#This Row],[SISMED]],TblDisponibilidad[],14,FALSE), 0)</f>
        <v>0</v>
      </c>
      <c r="K281">
        <f>IFERROR(VLOOKUP(Tabla1[[#This Row],[SISMED]],TblDisponibilidad[],15,FALSE), 0)</f>
        <v>0</v>
      </c>
      <c r="L281">
        <f>IFERROR(VLOOKUP(Tabla1[[#This Row],[SISMED]],TblDisponibilidad[],16,FALSE), 0)</f>
        <v>0</v>
      </c>
      <c r="M281">
        <f>IFERROR(VLOOKUP(Tabla1[[#This Row],[SISMED]],TblDisponibilidad[],17,FALSE), 0)</f>
        <v>0</v>
      </c>
      <c r="N281">
        <f>IFERROR(VLOOKUP(Tabla1[[#This Row],[SISMED]],TblDisponibilidad[],18,FALSE), 0)</f>
        <v>0</v>
      </c>
      <c r="O281">
        <f>IFERROR(VLOOKUP(Tabla1[[#This Row],[SISMED]],TblDisponibilidad[],19,FALSE), 0)</f>
        <v>0</v>
      </c>
      <c r="P281">
        <f>IFERROR(VLOOKUP(Tabla1[[#This Row],[SISMED]],TblDisponibilidad[],20,FALSE), 0)</f>
        <v>0</v>
      </c>
      <c r="Q281">
        <f>IFERROR(VLOOKUP(Tabla1[[#This Row],[SISMED]],TblDisponibilidad[],21,FALSE), 0)</f>
        <v>0</v>
      </c>
      <c r="R281">
        <f>IFERROR(VLOOKUP(Tabla1[[#This Row],[SISMED]],TblDisponibilidad[],22,FALSE), 0)</f>
        <v>0</v>
      </c>
      <c r="S281" s="15">
        <f>IFERROR(VLOOKUP(Tabla1[[#This Row],[SISMED]],TblDisponibilidad[],23,FALSE), 0)</f>
        <v>0</v>
      </c>
    </row>
    <row r="282" spans="1:19" x14ac:dyDescent="0.3">
      <c r="A282" s="15" t="s">
        <v>312</v>
      </c>
      <c r="B282" t="str">
        <f>IFERROR(VLOOKUP(Tabla1[[#This Row],[SISMED]],TblDisponibilidad[],2,FALSE), "")</f>
        <v/>
      </c>
      <c r="C282">
        <f>IFERROR(VLOOKUP(Tabla1[[#This Row],[SISMED]],TblDisponibilidad[],7,FALSE), 0)</f>
        <v>0</v>
      </c>
      <c r="D282">
        <f>IFERROR(VLOOKUP(Tabla1[[#This Row],[SISMED]],TblDisponibilidad[],8,FALSE), 0)</f>
        <v>0</v>
      </c>
      <c r="E282">
        <f>IFERROR(VLOOKUP(Tabla1[[#This Row],[SISMED]],TblDisponibilidad[],9,FALSE), 0)</f>
        <v>0</v>
      </c>
      <c r="F282">
        <f>IFERROR(VLOOKUP(Tabla1[[#This Row],[SISMED]],TblDisponibilidad[],10,FALSE), 0)</f>
        <v>0</v>
      </c>
      <c r="G282">
        <f>IFERROR(VLOOKUP(Tabla1[[#This Row],[SISMED]],TblDisponibilidad[],11,FALSE), 0)</f>
        <v>0</v>
      </c>
      <c r="H282">
        <f>IFERROR(VLOOKUP(Tabla1[[#This Row],[SISMED]],TblDisponibilidad[],12,FALSE), 0)</f>
        <v>0</v>
      </c>
      <c r="I282">
        <f>IFERROR(VLOOKUP(Tabla1[[#This Row],[SISMED]],TblDisponibilidad[],13,FALSE), 0)</f>
        <v>0</v>
      </c>
      <c r="J282">
        <f>IFERROR(VLOOKUP(Tabla1[[#This Row],[SISMED]],TblDisponibilidad[],14,FALSE), 0)</f>
        <v>0</v>
      </c>
      <c r="K282">
        <f>IFERROR(VLOOKUP(Tabla1[[#This Row],[SISMED]],TblDisponibilidad[],15,FALSE), 0)</f>
        <v>0</v>
      </c>
      <c r="L282">
        <f>IFERROR(VLOOKUP(Tabla1[[#This Row],[SISMED]],TblDisponibilidad[],16,FALSE), 0)</f>
        <v>0</v>
      </c>
      <c r="M282">
        <f>IFERROR(VLOOKUP(Tabla1[[#This Row],[SISMED]],TblDisponibilidad[],17,FALSE), 0)</f>
        <v>0</v>
      </c>
      <c r="N282">
        <f>IFERROR(VLOOKUP(Tabla1[[#This Row],[SISMED]],TblDisponibilidad[],18,FALSE), 0)</f>
        <v>0</v>
      </c>
      <c r="O282">
        <f>IFERROR(VLOOKUP(Tabla1[[#This Row],[SISMED]],TblDisponibilidad[],19,FALSE), 0)</f>
        <v>0</v>
      </c>
      <c r="P282">
        <f>IFERROR(VLOOKUP(Tabla1[[#This Row],[SISMED]],TblDisponibilidad[],20,FALSE), 0)</f>
        <v>0</v>
      </c>
      <c r="Q282">
        <f>IFERROR(VLOOKUP(Tabla1[[#This Row],[SISMED]],TblDisponibilidad[],21,FALSE), 0)</f>
        <v>0</v>
      </c>
      <c r="R282">
        <f>IFERROR(VLOOKUP(Tabla1[[#This Row],[SISMED]],TblDisponibilidad[],22,FALSE), 0)</f>
        <v>0</v>
      </c>
      <c r="S282" s="15">
        <f>IFERROR(VLOOKUP(Tabla1[[#This Row],[SISMED]],TblDisponibilidad[],23,FALSE), 0)</f>
        <v>0</v>
      </c>
    </row>
    <row r="283" spans="1:19" x14ac:dyDescent="0.3">
      <c r="A283" s="15" t="s">
        <v>313</v>
      </c>
      <c r="B283" t="str">
        <f>IFERROR(VLOOKUP(Tabla1[[#This Row],[SISMED]],TblDisponibilidad[],2,FALSE), "")</f>
        <v/>
      </c>
      <c r="C283">
        <f>IFERROR(VLOOKUP(Tabla1[[#This Row],[SISMED]],TblDisponibilidad[],7,FALSE), 0)</f>
        <v>0</v>
      </c>
      <c r="D283">
        <f>IFERROR(VLOOKUP(Tabla1[[#This Row],[SISMED]],TblDisponibilidad[],8,FALSE), 0)</f>
        <v>0</v>
      </c>
      <c r="E283">
        <f>IFERROR(VLOOKUP(Tabla1[[#This Row],[SISMED]],TblDisponibilidad[],9,FALSE), 0)</f>
        <v>0</v>
      </c>
      <c r="F283">
        <f>IFERROR(VLOOKUP(Tabla1[[#This Row],[SISMED]],TblDisponibilidad[],10,FALSE), 0)</f>
        <v>0</v>
      </c>
      <c r="G283">
        <f>IFERROR(VLOOKUP(Tabla1[[#This Row],[SISMED]],TblDisponibilidad[],11,FALSE), 0)</f>
        <v>0</v>
      </c>
      <c r="H283">
        <f>IFERROR(VLOOKUP(Tabla1[[#This Row],[SISMED]],TblDisponibilidad[],12,FALSE), 0)</f>
        <v>0</v>
      </c>
      <c r="I283">
        <f>IFERROR(VLOOKUP(Tabla1[[#This Row],[SISMED]],TblDisponibilidad[],13,FALSE), 0)</f>
        <v>0</v>
      </c>
      <c r="J283">
        <f>IFERROR(VLOOKUP(Tabla1[[#This Row],[SISMED]],TblDisponibilidad[],14,FALSE), 0)</f>
        <v>0</v>
      </c>
      <c r="K283">
        <f>IFERROR(VLOOKUP(Tabla1[[#This Row],[SISMED]],TblDisponibilidad[],15,FALSE), 0)</f>
        <v>0</v>
      </c>
      <c r="L283">
        <f>IFERROR(VLOOKUP(Tabla1[[#This Row],[SISMED]],TblDisponibilidad[],16,FALSE), 0)</f>
        <v>0</v>
      </c>
      <c r="M283">
        <f>IFERROR(VLOOKUP(Tabla1[[#This Row],[SISMED]],TblDisponibilidad[],17,FALSE), 0)</f>
        <v>0</v>
      </c>
      <c r="N283">
        <f>IFERROR(VLOOKUP(Tabla1[[#This Row],[SISMED]],TblDisponibilidad[],18,FALSE), 0)</f>
        <v>0</v>
      </c>
      <c r="O283">
        <f>IFERROR(VLOOKUP(Tabla1[[#This Row],[SISMED]],TblDisponibilidad[],19,FALSE), 0)</f>
        <v>0</v>
      </c>
      <c r="P283">
        <f>IFERROR(VLOOKUP(Tabla1[[#This Row],[SISMED]],TblDisponibilidad[],20,FALSE), 0)</f>
        <v>0</v>
      </c>
      <c r="Q283">
        <f>IFERROR(VLOOKUP(Tabla1[[#This Row],[SISMED]],TblDisponibilidad[],21,FALSE), 0)</f>
        <v>0</v>
      </c>
      <c r="R283">
        <f>IFERROR(VLOOKUP(Tabla1[[#This Row],[SISMED]],TblDisponibilidad[],22,FALSE), 0)</f>
        <v>0</v>
      </c>
      <c r="S283" s="15">
        <f>IFERROR(VLOOKUP(Tabla1[[#This Row],[SISMED]],TblDisponibilidad[],23,FALSE), 0)</f>
        <v>0</v>
      </c>
    </row>
    <row r="284" spans="1:19" x14ac:dyDescent="0.3">
      <c r="A284" s="15" t="s">
        <v>314</v>
      </c>
      <c r="B284" t="str">
        <f>IFERROR(VLOOKUP(Tabla1[[#This Row],[SISMED]],TblDisponibilidad[],2,FALSE), "")</f>
        <v/>
      </c>
      <c r="C284">
        <f>IFERROR(VLOOKUP(Tabla1[[#This Row],[SISMED]],TblDisponibilidad[],7,FALSE), 0)</f>
        <v>0</v>
      </c>
      <c r="D284">
        <f>IFERROR(VLOOKUP(Tabla1[[#This Row],[SISMED]],TblDisponibilidad[],8,FALSE), 0)</f>
        <v>0</v>
      </c>
      <c r="E284">
        <f>IFERROR(VLOOKUP(Tabla1[[#This Row],[SISMED]],TblDisponibilidad[],9,FALSE), 0)</f>
        <v>0</v>
      </c>
      <c r="F284">
        <f>IFERROR(VLOOKUP(Tabla1[[#This Row],[SISMED]],TblDisponibilidad[],10,FALSE), 0)</f>
        <v>0</v>
      </c>
      <c r="G284">
        <f>IFERROR(VLOOKUP(Tabla1[[#This Row],[SISMED]],TblDisponibilidad[],11,FALSE), 0)</f>
        <v>0</v>
      </c>
      <c r="H284">
        <f>IFERROR(VLOOKUP(Tabla1[[#This Row],[SISMED]],TblDisponibilidad[],12,FALSE), 0)</f>
        <v>0</v>
      </c>
      <c r="I284">
        <f>IFERROR(VLOOKUP(Tabla1[[#This Row],[SISMED]],TblDisponibilidad[],13,FALSE), 0)</f>
        <v>0</v>
      </c>
      <c r="J284">
        <f>IFERROR(VLOOKUP(Tabla1[[#This Row],[SISMED]],TblDisponibilidad[],14,FALSE), 0)</f>
        <v>0</v>
      </c>
      <c r="K284">
        <f>IFERROR(VLOOKUP(Tabla1[[#This Row],[SISMED]],TblDisponibilidad[],15,FALSE), 0)</f>
        <v>0</v>
      </c>
      <c r="L284">
        <f>IFERROR(VLOOKUP(Tabla1[[#This Row],[SISMED]],TblDisponibilidad[],16,FALSE), 0)</f>
        <v>0</v>
      </c>
      <c r="M284">
        <f>IFERROR(VLOOKUP(Tabla1[[#This Row],[SISMED]],TblDisponibilidad[],17,FALSE), 0)</f>
        <v>0</v>
      </c>
      <c r="N284">
        <f>IFERROR(VLOOKUP(Tabla1[[#This Row],[SISMED]],TblDisponibilidad[],18,FALSE), 0)</f>
        <v>0</v>
      </c>
      <c r="O284">
        <f>IFERROR(VLOOKUP(Tabla1[[#This Row],[SISMED]],TblDisponibilidad[],19,FALSE), 0)</f>
        <v>0</v>
      </c>
      <c r="P284">
        <f>IFERROR(VLOOKUP(Tabla1[[#This Row],[SISMED]],TblDisponibilidad[],20,FALSE), 0)</f>
        <v>0</v>
      </c>
      <c r="Q284">
        <f>IFERROR(VLOOKUP(Tabla1[[#This Row],[SISMED]],TblDisponibilidad[],21,FALSE), 0)</f>
        <v>0</v>
      </c>
      <c r="R284">
        <f>IFERROR(VLOOKUP(Tabla1[[#This Row],[SISMED]],TblDisponibilidad[],22,FALSE), 0)</f>
        <v>0</v>
      </c>
      <c r="S284" s="15">
        <f>IFERROR(VLOOKUP(Tabla1[[#This Row],[SISMED]],TblDisponibilidad[],23,FALSE), 0)</f>
        <v>0</v>
      </c>
    </row>
    <row r="285" spans="1:19" x14ac:dyDescent="0.3">
      <c r="A285" s="15" t="s">
        <v>315</v>
      </c>
      <c r="B285" t="str">
        <f>IFERROR(VLOOKUP(Tabla1[[#This Row],[SISMED]],TblDisponibilidad[],2,FALSE), "")</f>
        <v/>
      </c>
      <c r="C285">
        <f>IFERROR(VLOOKUP(Tabla1[[#This Row],[SISMED]],TblDisponibilidad[],7,FALSE), 0)</f>
        <v>0</v>
      </c>
      <c r="D285">
        <f>IFERROR(VLOOKUP(Tabla1[[#This Row],[SISMED]],TblDisponibilidad[],8,FALSE), 0)</f>
        <v>0</v>
      </c>
      <c r="E285">
        <f>IFERROR(VLOOKUP(Tabla1[[#This Row],[SISMED]],TblDisponibilidad[],9,FALSE), 0)</f>
        <v>0</v>
      </c>
      <c r="F285">
        <f>IFERROR(VLOOKUP(Tabla1[[#This Row],[SISMED]],TblDisponibilidad[],10,FALSE), 0)</f>
        <v>0</v>
      </c>
      <c r="G285">
        <f>IFERROR(VLOOKUP(Tabla1[[#This Row],[SISMED]],TblDisponibilidad[],11,FALSE), 0)</f>
        <v>0</v>
      </c>
      <c r="H285">
        <f>IFERROR(VLOOKUP(Tabla1[[#This Row],[SISMED]],TblDisponibilidad[],12,FALSE), 0)</f>
        <v>0</v>
      </c>
      <c r="I285">
        <f>IFERROR(VLOOKUP(Tabla1[[#This Row],[SISMED]],TblDisponibilidad[],13,FALSE), 0)</f>
        <v>0</v>
      </c>
      <c r="J285">
        <f>IFERROR(VLOOKUP(Tabla1[[#This Row],[SISMED]],TblDisponibilidad[],14,FALSE), 0)</f>
        <v>0</v>
      </c>
      <c r="K285">
        <f>IFERROR(VLOOKUP(Tabla1[[#This Row],[SISMED]],TblDisponibilidad[],15,FALSE), 0)</f>
        <v>0</v>
      </c>
      <c r="L285">
        <f>IFERROR(VLOOKUP(Tabla1[[#This Row],[SISMED]],TblDisponibilidad[],16,FALSE), 0)</f>
        <v>0</v>
      </c>
      <c r="M285">
        <f>IFERROR(VLOOKUP(Tabla1[[#This Row],[SISMED]],TblDisponibilidad[],17,FALSE), 0)</f>
        <v>0</v>
      </c>
      <c r="N285">
        <f>IFERROR(VLOOKUP(Tabla1[[#This Row],[SISMED]],TblDisponibilidad[],18,FALSE), 0)</f>
        <v>0</v>
      </c>
      <c r="O285">
        <f>IFERROR(VLOOKUP(Tabla1[[#This Row],[SISMED]],TblDisponibilidad[],19,FALSE), 0)</f>
        <v>0</v>
      </c>
      <c r="P285">
        <f>IFERROR(VLOOKUP(Tabla1[[#This Row],[SISMED]],TblDisponibilidad[],20,FALSE), 0)</f>
        <v>0</v>
      </c>
      <c r="Q285">
        <f>IFERROR(VLOOKUP(Tabla1[[#This Row],[SISMED]],TblDisponibilidad[],21,FALSE), 0)</f>
        <v>0</v>
      </c>
      <c r="R285">
        <f>IFERROR(VLOOKUP(Tabla1[[#This Row],[SISMED]],TblDisponibilidad[],22,FALSE), 0)</f>
        <v>0</v>
      </c>
      <c r="S285" s="15">
        <f>IFERROR(VLOOKUP(Tabla1[[#This Row],[SISMED]],TblDisponibilidad[],23,FALSE), 0)</f>
        <v>0</v>
      </c>
    </row>
    <row r="286" spans="1:19" x14ac:dyDescent="0.3">
      <c r="A286" s="15" t="s">
        <v>316</v>
      </c>
      <c r="B286" t="str">
        <f>IFERROR(VLOOKUP(Tabla1[[#This Row],[SISMED]],TblDisponibilidad[],2,FALSE), "")</f>
        <v/>
      </c>
      <c r="C286">
        <f>IFERROR(VLOOKUP(Tabla1[[#This Row],[SISMED]],TblDisponibilidad[],7,FALSE), 0)</f>
        <v>0</v>
      </c>
      <c r="D286">
        <f>IFERROR(VLOOKUP(Tabla1[[#This Row],[SISMED]],TblDisponibilidad[],8,FALSE), 0)</f>
        <v>0</v>
      </c>
      <c r="E286">
        <f>IFERROR(VLOOKUP(Tabla1[[#This Row],[SISMED]],TblDisponibilidad[],9,FALSE), 0)</f>
        <v>0</v>
      </c>
      <c r="F286">
        <f>IFERROR(VLOOKUP(Tabla1[[#This Row],[SISMED]],TblDisponibilidad[],10,FALSE), 0)</f>
        <v>0</v>
      </c>
      <c r="G286">
        <f>IFERROR(VLOOKUP(Tabla1[[#This Row],[SISMED]],TblDisponibilidad[],11,FALSE), 0)</f>
        <v>0</v>
      </c>
      <c r="H286">
        <f>IFERROR(VLOOKUP(Tabla1[[#This Row],[SISMED]],TblDisponibilidad[],12,FALSE), 0)</f>
        <v>0</v>
      </c>
      <c r="I286">
        <f>IFERROR(VLOOKUP(Tabla1[[#This Row],[SISMED]],TblDisponibilidad[],13,FALSE), 0)</f>
        <v>0</v>
      </c>
      <c r="J286">
        <f>IFERROR(VLOOKUP(Tabla1[[#This Row],[SISMED]],TblDisponibilidad[],14,FALSE), 0)</f>
        <v>0</v>
      </c>
      <c r="K286">
        <f>IFERROR(VLOOKUP(Tabla1[[#This Row],[SISMED]],TblDisponibilidad[],15,FALSE), 0)</f>
        <v>0</v>
      </c>
      <c r="L286">
        <f>IFERROR(VLOOKUP(Tabla1[[#This Row],[SISMED]],TblDisponibilidad[],16,FALSE), 0)</f>
        <v>0</v>
      </c>
      <c r="M286">
        <f>IFERROR(VLOOKUP(Tabla1[[#This Row],[SISMED]],TblDisponibilidad[],17,FALSE), 0)</f>
        <v>0</v>
      </c>
      <c r="N286">
        <f>IFERROR(VLOOKUP(Tabla1[[#This Row],[SISMED]],TblDisponibilidad[],18,FALSE), 0)</f>
        <v>0</v>
      </c>
      <c r="O286">
        <f>IFERROR(VLOOKUP(Tabla1[[#This Row],[SISMED]],TblDisponibilidad[],19,FALSE), 0)</f>
        <v>0</v>
      </c>
      <c r="P286">
        <f>IFERROR(VLOOKUP(Tabla1[[#This Row],[SISMED]],TblDisponibilidad[],20,FALSE), 0)</f>
        <v>0</v>
      </c>
      <c r="Q286">
        <f>IFERROR(VLOOKUP(Tabla1[[#This Row],[SISMED]],TblDisponibilidad[],21,FALSE), 0)</f>
        <v>0</v>
      </c>
      <c r="R286">
        <f>IFERROR(VLOOKUP(Tabla1[[#This Row],[SISMED]],TblDisponibilidad[],22,FALSE), 0)</f>
        <v>0</v>
      </c>
      <c r="S286" s="15">
        <f>IFERROR(VLOOKUP(Tabla1[[#This Row],[SISMED]],TblDisponibilidad[],23,FALSE), 0)</f>
        <v>0</v>
      </c>
    </row>
    <row r="287" spans="1:19" x14ac:dyDescent="0.3">
      <c r="A287" s="15" t="s">
        <v>317</v>
      </c>
      <c r="B287" t="str">
        <f>IFERROR(VLOOKUP(Tabla1[[#This Row],[SISMED]],TblDisponibilidad[],2,FALSE), "")</f>
        <v/>
      </c>
      <c r="C287">
        <f>IFERROR(VLOOKUP(Tabla1[[#This Row],[SISMED]],TblDisponibilidad[],7,FALSE), 0)</f>
        <v>0</v>
      </c>
      <c r="D287">
        <f>IFERROR(VLOOKUP(Tabla1[[#This Row],[SISMED]],TblDisponibilidad[],8,FALSE), 0)</f>
        <v>0</v>
      </c>
      <c r="E287">
        <f>IFERROR(VLOOKUP(Tabla1[[#This Row],[SISMED]],TblDisponibilidad[],9,FALSE), 0)</f>
        <v>0</v>
      </c>
      <c r="F287">
        <f>IFERROR(VLOOKUP(Tabla1[[#This Row],[SISMED]],TblDisponibilidad[],10,FALSE), 0)</f>
        <v>0</v>
      </c>
      <c r="G287">
        <f>IFERROR(VLOOKUP(Tabla1[[#This Row],[SISMED]],TblDisponibilidad[],11,FALSE), 0)</f>
        <v>0</v>
      </c>
      <c r="H287">
        <f>IFERROR(VLOOKUP(Tabla1[[#This Row],[SISMED]],TblDisponibilidad[],12,FALSE), 0)</f>
        <v>0</v>
      </c>
      <c r="I287">
        <f>IFERROR(VLOOKUP(Tabla1[[#This Row],[SISMED]],TblDisponibilidad[],13,FALSE), 0)</f>
        <v>0</v>
      </c>
      <c r="J287">
        <f>IFERROR(VLOOKUP(Tabla1[[#This Row],[SISMED]],TblDisponibilidad[],14,FALSE), 0)</f>
        <v>0</v>
      </c>
      <c r="K287">
        <f>IFERROR(VLOOKUP(Tabla1[[#This Row],[SISMED]],TblDisponibilidad[],15,FALSE), 0)</f>
        <v>0</v>
      </c>
      <c r="L287">
        <f>IFERROR(VLOOKUP(Tabla1[[#This Row],[SISMED]],TblDisponibilidad[],16,FALSE), 0)</f>
        <v>0</v>
      </c>
      <c r="M287">
        <f>IFERROR(VLOOKUP(Tabla1[[#This Row],[SISMED]],TblDisponibilidad[],17,FALSE), 0)</f>
        <v>0</v>
      </c>
      <c r="N287">
        <f>IFERROR(VLOOKUP(Tabla1[[#This Row],[SISMED]],TblDisponibilidad[],18,FALSE), 0)</f>
        <v>0</v>
      </c>
      <c r="O287">
        <f>IFERROR(VLOOKUP(Tabla1[[#This Row],[SISMED]],TblDisponibilidad[],19,FALSE), 0)</f>
        <v>0</v>
      </c>
      <c r="P287">
        <f>IFERROR(VLOOKUP(Tabla1[[#This Row],[SISMED]],TblDisponibilidad[],20,FALSE), 0)</f>
        <v>0</v>
      </c>
      <c r="Q287">
        <f>IFERROR(VLOOKUP(Tabla1[[#This Row],[SISMED]],TblDisponibilidad[],21,FALSE), 0)</f>
        <v>0</v>
      </c>
      <c r="R287">
        <f>IFERROR(VLOOKUP(Tabla1[[#This Row],[SISMED]],TblDisponibilidad[],22,FALSE), 0)</f>
        <v>0</v>
      </c>
      <c r="S287" s="15">
        <f>IFERROR(VLOOKUP(Tabla1[[#This Row],[SISMED]],TblDisponibilidad[],23,FALSE), 0)</f>
        <v>0</v>
      </c>
    </row>
    <row r="288" spans="1:19" x14ac:dyDescent="0.3">
      <c r="A288" s="15" t="s">
        <v>318</v>
      </c>
      <c r="B288" t="str">
        <f>IFERROR(VLOOKUP(Tabla1[[#This Row],[SISMED]],TblDisponibilidad[],2,FALSE), "")</f>
        <v/>
      </c>
      <c r="C288">
        <f>IFERROR(VLOOKUP(Tabla1[[#This Row],[SISMED]],TblDisponibilidad[],7,FALSE), 0)</f>
        <v>0</v>
      </c>
      <c r="D288">
        <f>IFERROR(VLOOKUP(Tabla1[[#This Row],[SISMED]],TblDisponibilidad[],8,FALSE), 0)</f>
        <v>0</v>
      </c>
      <c r="E288">
        <f>IFERROR(VLOOKUP(Tabla1[[#This Row],[SISMED]],TblDisponibilidad[],9,FALSE), 0)</f>
        <v>0</v>
      </c>
      <c r="F288">
        <f>IFERROR(VLOOKUP(Tabla1[[#This Row],[SISMED]],TblDisponibilidad[],10,FALSE), 0)</f>
        <v>0</v>
      </c>
      <c r="G288">
        <f>IFERROR(VLOOKUP(Tabla1[[#This Row],[SISMED]],TblDisponibilidad[],11,FALSE), 0)</f>
        <v>0</v>
      </c>
      <c r="H288">
        <f>IFERROR(VLOOKUP(Tabla1[[#This Row],[SISMED]],TblDisponibilidad[],12,FALSE), 0)</f>
        <v>0</v>
      </c>
      <c r="I288">
        <f>IFERROR(VLOOKUP(Tabla1[[#This Row],[SISMED]],TblDisponibilidad[],13,FALSE), 0)</f>
        <v>0</v>
      </c>
      <c r="J288">
        <f>IFERROR(VLOOKUP(Tabla1[[#This Row],[SISMED]],TblDisponibilidad[],14,FALSE), 0)</f>
        <v>0</v>
      </c>
      <c r="K288">
        <f>IFERROR(VLOOKUP(Tabla1[[#This Row],[SISMED]],TblDisponibilidad[],15,FALSE), 0)</f>
        <v>0</v>
      </c>
      <c r="L288">
        <f>IFERROR(VLOOKUP(Tabla1[[#This Row],[SISMED]],TblDisponibilidad[],16,FALSE), 0)</f>
        <v>0</v>
      </c>
      <c r="M288">
        <f>IFERROR(VLOOKUP(Tabla1[[#This Row],[SISMED]],TblDisponibilidad[],17,FALSE), 0)</f>
        <v>0</v>
      </c>
      <c r="N288">
        <f>IFERROR(VLOOKUP(Tabla1[[#This Row],[SISMED]],TblDisponibilidad[],18,FALSE), 0)</f>
        <v>0</v>
      </c>
      <c r="O288">
        <f>IFERROR(VLOOKUP(Tabla1[[#This Row],[SISMED]],TblDisponibilidad[],19,FALSE), 0)</f>
        <v>0</v>
      </c>
      <c r="P288">
        <f>IFERROR(VLOOKUP(Tabla1[[#This Row],[SISMED]],TblDisponibilidad[],20,FALSE), 0)</f>
        <v>0</v>
      </c>
      <c r="Q288">
        <f>IFERROR(VLOOKUP(Tabla1[[#This Row],[SISMED]],TblDisponibilidad[],21,FALSE), 0)</f>
        <v>0</v>
      </c>
      <c r="R288">
        <f>IFERROR(VLOOKUP(Tabla1[[#This Row],[SISMED]],TblDisponibilidad[],22,FALSE), 0)</f>
        <v>0</v>
      </c>
      <c r="S288" s="15">
        <f>IFERROR(VLOOKUP(Tabla1[[#This Row],[SISMED]],TblDisponibilidad[],23,FALSE), 0)</f>
        <v>0</v>
      </c>
    </row>
    <row r="289" spans="1:19" x14ac:dyDescent="0.3">
      <c r="A289" s="15" t="s">
        <v>319</v>
      </c>
      <c r="B289" t="str">
        <f>IFERROR(VLOOKUP(Tabla1[[#This Row],[SISMED]],TblDisponibilidad[],2,FALSE), "")</f>
        <v/>
      </c>
      <c r="C289">
        <f>IFERROR(VLOOKUP(Tabla1[[#This Row],[SISMED]],TblDisponibilidad[],7,FALSE), 0)</f>
        <v>0</v>
      </c>
      <c r="D289">
        <f>IFERROR(VLOOKUP(Tabla1[[#This Row],[SISMED]],TblDisponibilidad[],8,FALSE), 0)</f>
        <v>0</v>
      </c>
      <c r="E289">
        <f>IFERROR(VLOOKUP(Tabla1[[#This Row],[SISMED]],TblDisponibilidad[],9,FALSE), 0)</f>
        <v>0</v>
      </c>
      <c r="F289">
        <f>IFERROR(VLOOKUP(Tabla1[[#This Row],[SISMED]],TblDisponibilidad[],10,FALSE), 0)</f>
        <v>0</v>
      </c>
      <c r="G289">
        <f>IFERROR(VLOOKUP(Tabla1[[#This Row],[SISMED]],TblDisponibilidad[],11,FALSE), 0)</f>
        <v>0</v>
      </c>
      <c r="H289">
        <f>IFERROR(VLOOKUP(Tabla1[[#This Row],[SISMED]],TblDisponibilidad[],12,FALSE), 0)</f>
        <v>0</v>
      </c>
      <c r="I289">
        <f>IFERROR(VLOOKUP(Tabla1[[#This Row],[SISMED]],TblDisponibilidad[],13,FALSE), 0)</f>
        <v>0</v>
      </c>
      <c r="J289">
        <f>IFERROR(VLOOKUP(Tabla1[[#This Row],[SISMED]],TblDisponibilidad[],14,FALSE), 0)</f>
        <v>0</v>
      </c>
      <c r="K289">
        <f>IFERROR(VLOOKUP(Tabla1[[#This Row],[SISMED]],TblDisponibilidad[],15,FALSE), 0)</f>
        <v>0</v>
      </c>
      <c r="L289">
        <f>IFERROR(VLOOKUP(Tabla1[[#This Row],[SISMED]],TblDisponibilidad[],16,FALSE), 0)</f>
        <v>0</v>
      </c>
      <c r="M289">
        <f>IFERROR(VLOOKUP(Tabla1[[#This Row],[SISMED]],TblDisponibilidad[],17,FALSE), 0)</f>
        <v>0</v>
      </c>
      <c r="N289">
        <f>IFERROR(VLOOKUP(Tabla1[[#This Row],[SISMED]],TblDisponibilidad[],18,FALSE), 0)</f>
        <v>0</v>
      </c>
      <c r="O289">
        <f>IFERROR(VLOOKUP(Tabla1[[#This Row],[SISMED]],TblDisponibilidad[],19,FALSE), 0)</f>
        <v>0</v>
      </c>
      <c r="P289">
        <f>IFERROR(VLOOKUP(Tabla1[[#This Row],[SISMED]],TblDisponibilidad[],20,FALSE), 0)</f>
        <v>0</v>
      </c>
      <c r="Q289">
        <f>IFERROR(VLOOKUP(Tabla1[[#This Row],[SISMED]],TblDisponibilidad[],21,FALSE), 0)</f>
        <v>0</v>
      </c>
      <c r="R289">
        <f>IFERROR(VLOOKUP(Tabla1[[#This Row],[SISMED]],TblDisponibilidad[],22,FALSE), 0)</f>
        <v>0</v>
      </c>
      <c r="S289" s="15">
        <f>IFERROR(VLOOKUP(Tabla1[[#This Row],[SISMED]],TblDisponibilidad[],23,FALSE), 0)</f>
        <v>0</v>
      </c>
    </row>
    <row r="290" spans="1:19" x14ac:dyDescent="0.3">
      <c r="A290" s="15" t="s">
        <v>320</v>
      </c>
      <c r="B290" t="str">
        <f>IFERROR(VLOOKUP(Tabla1[[#This Row],[SISMED]],TblDisponibilidad[],2,FALSE), "")</f>
        <v/>
      </c>
      <c r="C290">
        <f>IFERROR(VLOOKUP(Tabla1[[#This Row],[SISMED]],TblDisponibilidad[],7,FALSE), 0)</f>
        <v>0</v>
      </c>
      <c r="D290">
        <f>IFERROR(VLOOKUP(Tabla1[[#This Row],[SISMED]],TblDisponibilidad[],8,FALSE), 0)</f>
        <v>0</v>
      </c>
      <c r="E290">
        <f>IFERROR(VLOOKUP(Tabla1[[#This Row],[SISMED]],TblDisponibilidad[],9,FALSE), 0)</f>
        <v>0</v>
      </c>
      <c r="F290">
        <f>IFERROR(VLOOKUP(Tabla1[[#This Row],[SISMED]],TblDisponibilidad[],10,FALSE), 0)</f>
        <v>0</v>
      </c>
      <c r="G290">
        <f>IFERROR(VLOOKUP(Tabla1[[#This Row],[SISMED]],TblDisponibilidad[],11,FALSE), 0)</f>
        <v>0</v>
      </c>
      <c r="H290">
        <f>IFERROR(VLOOKUP(Tabla1[[#This Row],[SISMED]],TblDisponibilidad[],12,FALSE), 0)</f>
        <v>0</v>
      </c>
      <c r="I290">
        <f>IFERROR(VLOOKUP(Tabla1[[#This Row],[SISMED]],TblDisponibilidad[],13,FALSE), 0)</f>
        <v>0</v>
      </c>
      <c r="J290">
        <f>IFERROR(VLOOKUP(Tabla1[[#This Row],[SISMED]],TblDisponibilidad[],14,FALSE), 0)</f>
        <v>0</v>
      </c>
      <c r="K290">
        <f>IFERROR(VLOOKUP(Tabla1[[#This Row],[SISMED]],TblDisponibilidad[],15,FALSE), 0)</f>
        <v>0</v>
      </c>
      <c r="L290">
        <f>IFERROR(VLOOKUP(Tabla1[[#This Row],[SISMED]],TblDisponibilidad[],16,FALSE), 0)</f>
        <v>0</v>
      </c>
      <c r="M290">
        <f>IFERROR(VLOOKUP(Tabla1[[#This Row],[SISMED]],TblDisponibilidad[],17,FALSE), 0)</f>
        <v>0</v>
      </c>
      <c r="N290">
        <f>IFERROR(VLOOKUP(Tabla1[[#This Row],[SISMED]],TblDisponibilidad[],18,FALSE), 0)</f>
        <v>0</v>
      </c>
      <c r="O290">
        <f>IFERROR(VLOOKUP(Tabla1[[#This Row],[SISMED]],TblDisponibilidad[],19,FALSE), 0)</f>
        <v>0</v>
      </c>
      <c r="P290">
        <f>IFERROR(VLOOKUP(Tabla1[[#This Row],[SISMED]],TblDisponibilidad[],20,FALSE), 0)</f>
        <v>0</v>
      </c>
      <c r="Q290">
        <f>IFERROR(VLOOKUP(Tabla1[[#This Row],[SISMED]],TblDisponibilidad[],21,FALSE), 0)</f>
        <v>0</v>
      </c>
      <c r="R290">
        <f>IFERROR(VLOOKUP(Tabla1[[#This Row],[SISMED]],TblDisponibilidad[],22,FALSE), 0)</f>
        <v>0</v>
      </c>
      <c r="S290" s="15">
        <f>IFERROR(VLOOKUP(Tabla1[[#This Row],[SISMED]],TblDisponibilidad[],23,FALSE), 0)</f>
        <v>0</v>
      </c>
    </row>
    <row r="291" spans="1:19" x14ac:dyDescent="0.3">
      <c r="A291" s="15" t="s">
        <v>321</v>
      </c>
      <c r="B291" t="str">
        <f>IFERROR(VLOOKUP(Tabla1[[#This Row],[SISMED]],TblDisponibilidad[],2,FALSE), "")</f>
        <v/>
      </c>
      <c r="C291">
        <f>IFERROR(VLOOKUP(Tabla1[[#This Row],[SISMED]],TblDisponibilidad[],7,FALSE), 0)</f>
        <v>0</v>
      </c>
      <c r="D291">
        <f>IFERROR(VLOOKUP(Tabla1[[#This Row],[SISMED]],TblDisponibilidad[],8,FALSE), 0)</f>
        <v>0</v>
      </c>
      <c r="E291">
        <f>IFERROR(VLOOKUP(Tabla1[[#This Row],[SISMED]],TblDisponibilidad[],9,FALSE), 0)</f>
        <v>0</v>
      </c>
      <c r="F291">
        <f>IFERROR(VLOOKUP(Tabla1[[#This Row],[SISMED]],TblDisponibilidad[],10,FALSE), 0)</f>
        <v>0</v>
      </c>
      <c r="G291">
        <f>IFERROR(VLOOKUP(Tabla1[[#This Row],[SISMED]],TblDisponibilidad[],11,FALSE), 0)</f>
        <v>0</v>
      </c>
      <c r="H291">
        <f>IFERROR(VLOOKUP(Tabla1[[#This Row],[SISMED]],TblDisponibilidad[],12,FALSE), 0)</f>
        <v>0</v>
      </c>
      <c r="I291">
        <f>IFERROR(VLOOKUP(Tabla1[[#This Row],[SISMED]],TblDisponibilidad[],13,FALSE), 0)</f>
        <v>0</v>
      </c>
      <c r="J291">
        <f>IFERROR(VLOOKUP(Tabla1[[#This Row],[SISMED]],TblDisponibilidad[],14,FALSE), 0)</f>
        <v>0</v>
      </c>
      <c r="K291">
        <f>IFERROR(VLOOKUP(Tabla1[[#This Row],[SISMED]],TblDisponibilidad[],15,FALSE), 0)</f>
        <v>0</v>
      </c>
      <c r="L291">
        <f>IFERROR(VLOOKUP(Tabla1[[#This Row],[SISMED]],TblDisponibilidad[],16,FALSE), 0)</f>
        <v>0</v>
      </c>
      <c r="M291">
        <f>IFERROR(VLOOKUP(Tabla1[[#This Row],[SISMED]],TblDisponibilidad[],17,FALSE), 0)</f>
        <v>0</v>
      </c>
      <c r="N291">
        <f>IFERROR(VLOOKUP(Tabla1[[#This Row],[SISMED]],TblDisponibilidad[],18,FALSE), 0)</f>
        <v>0</v>
      </c>
      <c r="O291">
        <f>IFERROR(VLOOKUP(Tabla1[[#This Row],[SISMED]],TblDisponibilidad[],19,FALSE), 0)</f>
        <v>0</v>
      </c>
      <c r="P291">
        <f>IFERROR(VLOOKUP(Tabla1[[#This Row],[SISMED]],TblDisponibilidad[],20,FALSE), 0)</f>
        <v>0</v>
      </c>
      <c r="Q291">
        <f>IFERROR(VLOOKUP(Tabla1[[#This Row],[SISMED]],TblDisponibilidad[],21,FALSE), 0)</f>
        <v>0</v>
      </c>
      <c r="R291">
        <f>IFERROR(VLOOKUP(Tabla1[[#This Row],[SISMED]],TblDisponibilidad[],22,FALSE), 0)</f>
        <v>0</v>
      </c>
      <c r="S291" s="15">
        <f>IFERROR(VLOOKUP(Tabla1[[#This Row],[SISMED]],TblDisponibilidad[],23,FALSE), 0)</f>
        <v>0</v>
      </c>
    </row>
    <row r="292" spans="1:19" x14ac:dyDescent="0.3">
      <c r="A292" s="15" t="s">
        <v>322</v>
      </c>
      <c r="B292" t="str">
        <f>IFERROR(VLOOKUP(Tabla1[[#This Row],[SISMED]],TblDisponibilidad[],2,FALSE), "")</f>
        <v/>
      </c>
      <c r="C292">
        <f>IFERROR(VLOOKUP(Tabla1[[#This Row],[SISMED]],TblDisponibilidad[],7,FALSE), 0)</f>
        <v>0</v>
      </c>
      <c r="D292">
        <f>IFERROR(VLOOKUP(Tabla1[[#This Row],[SISMED]],TblDisponibilidad[],8,FALSE), 0)</f>
        <v>0</v>
      </c>
      <c r="E292">
        <f>IFERROR(VLOOKUP(Tabla1[[#This Row],[SISMED]],TblDisponibilidad[],9,FALSE), 0)</f>
        <v>0</v>
      </c>
      <c r="F292">
        <f>IFERROR(VLOOKUP(Tabla1[[#This Row],[SISMED]],TblDisponibilidad[],10,FALSE), 0)</f>
        <v>0</v>
      </c>
      <c r="G292">
        <f>IFERROR(VLOOKUP(Tabla1[[#This Row],[SISMED]],TblDisponibilidad[],11,FALSE), 0)</f>
        <v>0</v>
      </c>
      <c r="H292">
        <f>IFERROR(VLOOKUP(Tabla1[[#This Row],[SISMED]],TblDisponibilidad[],12,FALSE), 0)</f>
        <v>0</v>
      </c>
      <c r="I292">
        <f>IFERROR(VLOOKUP(Tabla1[[#This Row],[SISMED]],TblDisponibilidad[],13,FALSE), 0)</f>
        <v>0</v>
      </c>
      <c r="J292">
        <f>IFERROR(VLOOKUP(Tabla1[[#This Row],[SISMED]],TblDisponibilidad[],14,FALSE), 0)</f>
        <v>0</v>
      </c>
      <c r="K292">
        <f>IFERROR(VLOOKUP(Tabla1[[#This Row],[SISMED]],TblDisponibilidad[],15,FALSE), 0)</f>
        <v>0</v>
      </c>
      <c r="L292">
        <f>IFERROR(VLOOKUP(Tabla1[[#This Row],[SISMED]],TblDisponibilidad[],16,FALSE), 0)</f>
        <v>0</v>
      </c>
      <c r="M292">
        <f>IFERROR(VLOOKUP(Tabla1[[#This Row],[SISMED]],TblDisponibilidad[],17,FALSE), 0)</f>
        <v>0</v>
      </c>
      <c r="N292">
        <f>IFERROR(VLOOKUP(Tabla1[[#This Row],[SISMED]],TblDisponibilidad[],18,FALSE), 0)</f>
        <v>0</v>
      </c>
      <c r="O292">
        <f>IFERROR(VLOOKUP(Tabla1[[#This Row],[SISMED]],TblDisponibilidad[],19,FALSE), 0)</f>
        <v>0</v>
      </c>
      <c r="P292">
        <f>IFERROR(VLOOKUP(Tabla1[[#This Row],[SISMED]],TblDisponibilidad[],20,FALSE), 0)</f>
        <v>0</v>
      </c>
      <c r="Q292">
        <f>IFERROR(VLOOKUP(Tabla1[[#This Row],[SISMED]],TblDisponibilidad[],21,FALSE), 0)</f>
        <v>0</v>
      </c>
      <c r="R292">
        <f>IFERROR(VLOOKUP(Tabla1[[#This Row],[SISMED]],TblDisponibilidad[],22,FALSE), 0)</f>
        <v>0</v>
      </c>
      <c r="S292" s="15">
        <f>IFERROR(VLOOKUP(Tabla1[[#This Row],[SISMED]],TblDisponibilidad[],23,FALSE), 0)</f>
        <v>0</v>
      </c>
    </row>
    <row r="293" spans="1:19" x14ac:dyDescent="0.3">
      <c r="A293" s="15" t="s">
        <v>323</v>
      </c>
      <c r="B293" t="str">
        <f>IFERROR(VLOOKUP(Tabla1[[#This Row],[SISMED]],TblDisponibilidad[],2,FALSE), "")</f>
        <v/>
      </c>
      <c r="C293">
        <f>IFERROR(VLOOKUP(Tabla1[[#This Row],[SISMED]],TblDisponibilidad[],7,FALSE), 0)</f>
        <v>0</v>
      </c>
      <c r="D293">
        <f>IFERROR(VLOOKUP(Tabla1[[#This Row],[SISMED]],TblDisponibilidad[],8,FALSE), 0)</f>
        <v>0</v>
      </c>
      <c r="E293">
        <f>IFERROR(VLOOKUP(Tabla1[[#This Row],[SISMED]],TblDisponibilidad[],9,FALSE), 0)</f>
        <v>0</v>
      </c>
      <c r="F293">
        <f>IFERROR(VLOOKUP(Tabla1[[#This Row],[SISMED]],TblDisponibilidad[],10,FALSE), 0)</f>
        <v>0</v>
      </c>
      <c r="G293">
        <f>IFERROR(VLOOKUP(Tabla1[[#This Row],[SISMED]],TblDisponibilidad[],11,FALSE), 0)</f>
        <v>0</v>
      </c>
      <c r="H293">
        <f>IFERROR(VLOOKUP(Tabla1[[#This Row],[SISMED]],TblDisponibilidad[],12,FALSE), 0)</f>
        <v>0</v>
      </c>
      <c r="I293">
        <f>IFERROR(VLOOKUP(Tabla1[[#This Row],[SISMED]],TblDisponibilidad[],13,FALSE), 0)</f>
        <v>0</v>
      </c>
      <c r="J293">
        <f>IFERROR(VLOOKUP(Tabla1[[#This Row],[SISMED]],TblDisponibilidad[],14,FALSE), 0)</f>
        <v>0</v>
      </c>
      <c r="K293">
        <f>IFERROR(VLOOKUP(Tabla1[[#This Row],[SISMED]],TblDisponibilidad[],15,FALSE), 0)</f>
        <v>0</v>
      </c>
      <c r="L293">
        <f>IFERROR(VLOOKUP(Tabla1[[#This Row],[SISMED]],TblDisponibilidad[],16,FALSE), 0)</f>
        <v>0</v>
      </c>
      <c r="M293">
        <f>IFERROR(VLOOKUP(Tabla1[[#This Row],[SISMED]],TblDisponibilidad[],17,FALSE), 0)</f>
        <v>0</v>
      </c>
      <c r="N293">
        <f>IFERROR(VLOOKUP(Tabla1[[#This Row],[SISMED]],TblDisponibilidad[],18,FALSE), 0)</f>
        <v>0</v>
      </c>
      <c r="O293">
        <f>IFERROR(VLOOKUP(Tabla1[[#This Row],[SISMED]],TblDisponibilidad[],19,FALSE), 0)</f>
        <v>0</v>
      </c>
      <c r="P293">
        <f>IFERROR(VLOOKUP(Tabla1[[#This Row],[SISMED]],TblDisponibilidad[],20,FALSE), 0)</f>
        <v>0</v>
      </c>
      <c r="Q293">
        <f>IFERROR(VLOOKUP(Tabla1[[#This Row],[SISMED]],TblDisponibilidad[],21,FALSE), 0)</f>
        <v>0</v>
      </c>
      <c r="R293">
        <f>IFERROR(VLOOKUP(Tabla1[[#This Row],[SISMED]],TblDisponibilidad[],22,FALSE), 0)</f>
        <v>0</v>
      </c>
      <c r="S293" s="15">
        <f>IFERROR(VLOOKUP(Tabla1[[#This Row],[SISMED]],TblDisponibilidad[],23,FALSE), 0)</f>
        <v>0</v>
      </c>
    </row>
    <row r="294" spans="1:19" x14ac:dyDescent="0.3">
      <c r="A294" s="15" t="s">
        <v>324</v>
      </c>
      <c r="B294" t="str">
        <f>IFERROR(VLOOKUP(Tabla1[[#This Row],[SISMED]],TblDisponibilidad[],2,FALSE), "")</f>
        <v/>
      </c>
      <c r="C294">
        <f>IFERROR(VLOOKUP(Tabla1[[#This Row],[SISMED]],TblDisponibilidad[],7,FALSE), 0)</f>
        <v>0</v>
      </c>
      <c r="D294">
        <f>IFERROR(VLOOKUP(Tabla1[[#This Row],[SISMED]],TblDisponibilidad[],8,FALSE), 0)</f>
        <v>0</v>
      </c>
      <c r="E294">
        <f>IFERROR(VLOOKUP(Tabla1[[#This Row],[SISMED]],TblDisponibilidad[],9,FALSE), 0)</f>
        <v>0</v>
      </c>
      <c r="F294">
        <f>IFERROR(VLOOKUP(Tabla1[[#This Row],[SISMED]],TblDisponibilidad[],10,FALSE), 0)</f>
        <v>0</v>
      </c>
      <c r="G294">
        <f>IFERROR(VLOOKUP(Tabla1[[#This Row],[SISMED]],TblDisponibilidad[],11,FALSE), 0)</f>
        <v>0</v>
      </c>
      <c r="H294">
        <f>IFERROR(VLOOKUP(Tabla1[[#This Row],[SISMED]],TblDisponibilidad[],12,FALSE), 0)</f>
        <v>0</v>
      </c>
      <c r="I294">
        <f>IFERROR(VLOOKUP(Tabla1[[#This Row],[SISMED]],TblDisponibilidad[],13,FALSE), 0)</f>
        <v>0</v>
      </c>
      <c r="J294">
        <f>IFERROR(VLOOKUP(Tabla1[[#This Row],[SISMED]],TblDisponibilidad[],14,FALSE), 0)</f>
        <v>0</v>
      </c>
      <c r="K294">
        <f>IFERROR(VLOOKUP(Tabla1[[#This Row],[SISMED]],TblDisponibilidad[],15,FALSE), 0)</f>
        <v>0</v>
      </c>
      <c r="L294">
        <f>IFERROR(VLOOKUP(Tabla1[[#This Row],[SISMED]],TblDisponibilidad[],16,FALSE), 0)</f>
        <v>0</v>
      </c>
      <c r="M294">
        <f>IFERROR(VLOOKUP(Tabla1[[#This Row],[SISMED]],TblDisponibilidad[],17,FALSE), 0)</f>
        <v>0</v>
      </c>
      <c r="N294">
        <f>IFERROR(VLOOKUP(Tabla1[[#This Row],[SISMED]],TblDisponibilidad[],18,FALSE), 0)</f>
        <v>0</v>
      </c>
      <c r="O294">
        <f>IFERROR(VLOOKUP(Tabla1[[#This Row],[SISMED]],TblDisponibilidad[],19,FALSE), 0)</f>
        <v>0</v>
      </c>
      <c r="P294">
        <f>IFERROR(VLOOKUP(Tabla1[[#This Row],[SISMED]],TblDisponibilidad[],20,FALSE), 0)</f>
        <v>0</v>
      </c>
      <c r="Q294">
        <f>IFERROR(VLOOKUP(Tabla1[[#This Row],[SISMED]],TblDisponibilidad[],21,FALSE), 0)</f>
        <v>0</v>
      </c>
      <c r="R294">
        <f>IFERROR(VLOOKUP(Tabla1[[#This Row],[SISMED]],TblDisponibilidad[],22,FALSE), 0)</f>
        <v>0</v>
      </c>
      <c r="S294" s="15">
        <f>IFERROR(VLOOKUP(Tabla1[[#This Row],[SISMED]],TblDisponibilidad[],23,FALSE), 0)</f>
        <v>0</v>
      </c>
    </row>
    <row r="295" spans="1:19" x14ac:dyDescent="0.3">
      <c r="A295" s="15" t="s">
        <v>325</v>
      </c>
      <c r="B295" t="str">
        <f>IFERROR(VLOOKUP(Tabla1[[#This Row],[SISMED]],TblDisponibilidad[],2,FALSE), "")</f>
        <v/>
      </c>
      <c r="C295">
        <f>IFERROR(VLOOKUP(Tabla1[[#This Row],[SISMED]],TblDisponibilidad[],7,FALSE), 0)</f>
        <v>0</v>
      </c>
      <c r="D295">
        <f>IFERROR(VLOOKUP(Tabla1[[#This Row],[SISMED]],TblDisponibilidad[],8,FALSE), 0)</f>
        <v>0</v>
      </c>
      <c r="E295">
        <f>IFERROR(VLOOKUP(Tabla1[[#This Row],[SISMED]],TblDisponibilidad[],9,FALSE), 0)</f>
        <v>0</v>
      </c>
      <c r="F295">
        <f>IFERROR(VLOOKUP(Tabla1[[#This Row],[SISMED]],TblDisponibilidad[],10,FALSE), 0)</f>
        <v>0</v>
      </c>
      <c r="G295">
        <f>IFERROR(VLOOKUP(Tabla1[[#This Row],[SISMED]],TblDisponibilidad[],11,FALSE), 0)</f>
        <v>0</v>
      </c>
      <c r="H295">
        <f>IFERROR(VLOOKUP(Tabla1[[#This Row],[SISMED]],TblDisponibilidad[],12,FALSE), 0)</f>
        <v>0</v>
      </c>
      <c r="I295">
        <f>IFERROR(VLOOKUP(Tabla1[[#This Row],[SISMED]],TblDisponibilidad[],13,FALSE), 0)</f>
        <v>0</v>
      </c>
      <c r="J295">
        <f>IFERROR(VLOOKUP(Tabla1[[#This Row],[SISMED]],TblDisponibilidad[],14,FALSE), 0)</f>
        <v>0</v>
      </c>
      <c r="K295">
        <f>IFERROR(VLOOKUP(Tabla1[[#This Row],[SISMED]],TblDisponibilidad[],15,FALSE), 0)</f>
        <v>0</v>
      </c>
      <c r="L295">
        <f>IFERROR(VLOOKUP(Tabla1[[#This Row],[SISMED]],TblDisponibilidad[],16,FALSE), 0)</f>
        <v>0</v>
      </c>
      <c r="M295">
        <f>IFERROR(VLOOKUP(Tabla1[[#This Row],[SISMED]],TblDisponibilidad[],17,FALSE), 0)</f>
        <v>0</v>
      </c>
      <c r="N295">
        <f>IFERROR(VLOOKUP(Tabla1[[#This Row],[SISMED]],TblDisponibilidad[],18,FALSE), 0)</f>
        <v>0</v>
      </c>
      <c r="O295">
        <f>IFERROR(VLOOKUP(Tabla1[[#This Row],[SISMED]],TblDisponibilidad[],19,FALSE), 0)</f>
        <v>0</v>
      </c>
      <c r="P295">
        <f>IFERROR(VLOOKUP(Tabla1[[#This Row],[SISMED]],TblDisponibilidad[],20,FALSE), 0)</f>
        <v>0</v>
      </c>
      <c r="Q295">
        <f>IFERROR(VLOOKUP(Tabla1[[#This Row],[SISMED]],TblDisponibilidad[],21,FALSE), 0)</f>
        <v>0</v>
      </c>
      <c r="R295">
        <f>IFERROR(VLOOKUP(Tabla1[[#This Row],[SISMED]],TblDisponibilidad[],22,FALSE), 0)</f>
        <v>0</v>
      </c>
      <c r="S295" s="15">
        <f>IFERROR(VLOOKUP(Tabla1[[#This Row],[SISMED]],TblDisponibilidad[],23,FALSE), 0)</f>
        <v>0</v>
      </c>
    </row>
    <row r="296" spans="1:19" x14ac:dyDescent="0.3">
      <c r="A296" s="15" t="s">
        <v>326</v>
      </c>
      <c r="B296" t="str">
        <f>IFERROR(VLOOKUP(Tabla1[[#This Row],[SISMED]],TblDisponibilidad[],2,FALSE), "")</f>
        <v/>
      </c>
      <c r="C296">
        <f>IFERROR(VLOOKUP(Tabla1[[#This Row],[SISMED]],TblDisponibilidad[],7,FALSE), 0)</f>
        <v>0</v>
      </c>
      <c r="D296">
        <f>IFERROR(VLOOKUP(Tabla1[[#This Row],[SISMED]],TblDisponibilidad[],8,FALSE), 0)</f>
        <v>0</v>
      </c>
      <c r="E296">
        <f>IFERROR(VLOOKUP(Tabla1[[#This Row],[SISMED]],TblDisponibilidad[],9,FALSE), 0)</f>
        <v>0</v>
      </c>
      <c r="F296">
        <f>IFERROR(VLOOKUP(Tabla1[[#This Row],[SISMED]],TblDisponibilidad[],10,FALSE), 0)</f>
        <v>0</v>
      </c>
      <c r="G296">
        <f>IFERROR(VLOOKUP(Tabla1[[#This Row],[SISMED]],TblDisponibilidad[],11,FALSE), 0)</f>
        <v>0</v>
      </c>
      <c r="H296">
        <f>IFERROR(VLOOKUP(Tabla1[[#This Row],[SISMED]],TblDisponibilidad[],12,FALSE), 0)</f>
        <v>0</v>
      </c>
      <c r="I296">
        <f>IFERROR(VLOOKUP(Tabla1[[#This Row],[SISMED]],TblDisponibilidad[],13,FALSE), 0)</f>
        <v>0</v>
      </c>
      <c r="J296">
        <f>IFERROR(VLOOKUP(Tabla1[[#This Row],[SISMED]],TblDisponibilidad[],14,FALSE), 0)</f>
        <v>0</v>
      </c>
      <c r="K296">
        <f>IFERROR(VLOOKUP(Tabla1[[#This Row],[SISMED]],TblDisponibilidad[],15,FALSE), 0)</f>
        <v>0</v>
      </c>
      <c r="L296">
        <f>IFERROR(VLOOKUP(Tabla1[[#This Row],[SISMED]],TblDisponibilidad[],16,FALSE), 0)</f>
        <v>0</v>
      </c>
      <c r="M296">
        <f>IFERROR(VLOOKUP(Tabla1[[#This Row],[SISMED]],TblDisponibilidad[],17,FALSE), 0)</f>
        <v>0</v>
      </c>
      <c r="N296">
        <f>IFERROR(VLOOKUP(Tabla1[[#This Row],[SISMED]],TblDisponibilidad[],18,FALSE), 0)</f>
        <v>0</v>
      </c>
      <c r="O296">
        <f>IFERROR(VLOOKUP(Tabla1[[#This Row],[SISMED]],TblDisponibilidad[],19,FALSE), 0)</f>
        <v>0</v>
      </c>
      <c r="P296">
        <f>IFERROR(VLOOKUP(Tabla1[[#This Row],[SISMED]],TblDisponibilidad[],20,FALSE), 0)</f>
        <v>0</v>
      </c>
      <c r="Q296">
        <f>IFERROR(VLOOKUP(Tabla1[[#This Row],[SISMED]],TblDisponibilidad[],21,FALSE), 0)</f>
        <v>0</v>
      </c>
      <c r="R296">
        <f>IFERROR(VLOOKUP(Tabla1[[#This Row],[SISMED]],TblDisponibilidad[],22,FALSE), 0)</f>
        <v>0</v>
      </c>
      <c r="S296" s="15">
        <f>IFERROR(VLOOKUP(Tabla1[[#This Row],[SISMED]],TblDisponibilidad[],23,FALSE), 0)</f>
        <v>0</v>
      </c>
    </row>
    <row r="297" spans="1:19" x14ac:dyDescent="0.3">
      <c r="A297" s="15" t="s">
        <v>327</v>
      </c>
      <c r="B297" t="str">
        <f>IFERROR(VLOOKUP(Tabla1[[#This Row],[SISMED]],TblDisponibilidad[],2,FALSE), "")</f>
        <v/>
      </c>
      <c r="C297">
        <f>IFERROR(VLOOKUP(Tabla1[[#This Row],[SISMED]],TblDisponibilidad[],7,FALSE), 0)</f>
        <v>0</v>
      </c>
      <c r="D297">
        <f>IFERROR(VLOOKUP(Tabla1[[#This Row],[SISMED]],TblDisponibilidad[],8,FALSE), 0)</f>
        <v>0</v>
      </c>
      <c r="E297">
        <f>IFERROR(VLOOKUP(Tabla1[[#This Row],[SISMED]],TblDisponibilidad[],9,FALSE), 0)</f>
        <v>0</v>
      </c>
      <c r="F297">
        <f>IFERROR(VLOOKUP(Tabla1[[#This Row],[SISMED]],TblDisponibilidad[],10,FALSE), 0)</f>
        <v>0</v>
      </c>
      <c r="G297">
        <f>IFERROR(VLOOKUP(Tabla1[[#This Row],[SISMED]],TblDisponibilidad[],11,FALSE), 0)</f>
        <v>0</v>
      </c>
      <c r="H297">
        <f>IFERROR(VLOOKUP(Tabla1[[#This Row],[SISMED]],TblDisponibilidad[],12,FALSE), 0)</f>
        <v>0</v>
      </c>
      <c r="I297">
        <f>IFERROR(VLOOKUP(Tabla1[[#This Row],[SISMED]],TblDisponibilidad[],13,FALSE), 0)</f>
        <v>0</v>
      </c>
      <c r="J297">
        <f>IFERROR(VLOOKUP(Tabla1[[#This Row],[SISMED]],TblDisponibilidad[],14,FALSE), 0)</f>
        <v>0</v>
      </c>
      <c r="K297">
        <f>IFERROR(VLOOKUP(Tabla1[[#This Row],[SISMED]],TblDisponibilidad[],15,FALSE), 0)</f>
        <v>0</v>
      </c>
      <c r="L297">
        <f>IFERROR(VLOOKUP(Tabla1[[#This Row],[SISMED]],TblDisponibilidad[],16,FALSE), 0)</f>
        <v>0</v>
      </c>
      <c r="M297">
        <f>IFERROR(VLOOKUP(Tabla1[[#This Row],[SISMED]],TblDisponibilidad[],17,FALSE), 0)</f>
        <v>0</v>
      </c>
      <c r="N297">
        <f>IFERROR(VLOOKUP(Tabla1[[#This Row],[SISMED]],TblDisponibilidad[],18,FALSE), 0)</f>
        <v>0</v>
      </c>
      <c r="O297">
        <f>IFERROR(VLOOKUP(Tabla1[[#This Row],[SISMED]],TblDisponibilidad[],19,FALSE), 0)</f>
        <v>0</v>
      </c>
      <c r="P297">
        <f>IFERROR(VLOOKUP(Tabla1[[#This Row],[SISMED]],TblDisponibilidad[],20,FALSE), 0)</f>
        <v>0</v>
      </c>
      <c r="Q297">
        <f>IFERROR(VLOOKUP(Tabla1[[#This Row],[SISMED]],TblDisponibilidad[],21,FALSE), 0)</f>
        <v>0</v>
      </c>
      <c r="R297">
        <f>IFERROR(VLOOKUP(Tabla1[[#This Row],[SISMED]],TblDisponibilidad[],22,FALSE), 0)</f>
        <v>0</v>
      </c>
      <c r="S297" s="15">
        <f>IFERROR(VLOOKUP(Tabla1[[#This Row],[SISMED]],TblDisponibilidad[],23,FALSE), 0)</f>
        <v>0</v>
      </c>
    </row>
    <row r="298" spans="1:19" x14ac:dyDescent="0.3">
      <c r="A298" s="15" t="s">
        <v>328</v>
      </c>
      <c r="B298" t="str">
        <f>IFERROR(VLOOKUP(Tabla1[[#This Row],[SISMED]],TblDisponibilidad[],2,FALSE), "")</f>
        <v/>
      </c>
      <c r="C298">
        <f>IFERROR(VLOOKUP(Tabla1[[#This Row],[SISMED]],TblDisponibilidad[],7,FALSE), 0)</f>
        <v>0</v>
      </c>
      <c r="D298">
        <f>IFERROR(VLOOKUP(Tabla1[[#This Row],[SISMED]],TblDisponibilidad[],8,FALSE), 0)</f>
        <v>0</v>
      </c>
      <c r="E298">
        <f>IFERROR(VLOOKUP(Tabla1[[#This Row],[SISMED]],TblDisponibilidad[],9,FALSE), 0)</f>
        <v>0</v>
      </c>
      <c r="F298">
        <f>IFERROR(VLOOKUP(Tabla1[[#This Row],[SISMED]],TblDisponibilidad[],10,FALSE), 0)</f>
        <v>0</v>
      </c>
      <c r="G298">
        <f>IFERROR(VLOOKUP(Tabla1[[#This Row],[SISMED]],TblDisponibilidad[],11,FALSE), 0)</f>
        <v>0</v>
      </c>
      <c r="H298">
        <f>IFERROR(VLOOKUP(Tabla1[[#This Row],[SISMED]],TblDisponibilidad[],12,FALSE), 0)</f>
        <v>0</v>
      </c>
      <c r="I298">
        <f>IFERROR(VLOOKUP(Tabla1[[#This Row],[SISMED]],TblDisponibilidad[],13,FALSE), 0)</f>
        <v>0</v>
      </c>
      <c r="J298">
        <f>IFERROR(VLOOKUP(Tabla1[[#This Row],[SISMED]],TblDisponibilidad[],14,FALSE), 0)</f>
        <v>0</v>
      </c>
      <c r="K298">
        <f>IFERROR(VLOOKUP(Tabla1[[#This Row],[SISMED]],TblDisponibilidad[],15,FALSE), 0)</f>
        <v>0</v>
      </c>
      <c r="L298">
        <f>IFERROR(VLOOKUP(Tabla1[[#This Row],[SISMED]],TblDisponibilidad[],16,FALSE), 0)</f>
        <v>0</v>
      </c>
      <c r="M298">
        <f>IFERROR(VLOOKUP(Tabla1[[#This Row],[SISMED]],TblDisponibilidad[],17,FALSE), 0)</f>
        <v>0</v>
      </c>
      <c r="N298">
        <f>IFERROR(VLOOKUP(Tabla1[[#This Row],[SISMED]],TblDisponibilidad[],18,FALSE), 0)</f>
        <v>0</v>
      </c>
      <c r="O298">
        <f>IFERROR(VLOOKUP(Tabla1[[#This Row],[SISMED]],TblDisponibilidad[],19,FALSE), 0)</f>
        <v>0</v>
      </c>
      <c r="P298">
        <f>IFERROR(VLOOKUP(Tabla1[[#This Row],[SISMED]],TblDisponibilidad[],20,FALSE), 0)</f>
        <v>0</v>
      </c>
      <c r="Q298">
        <f>IFERROR(VLOOKUP(Tabla1[[#This Row],[SISMED]],TblDisponibilidad[],21,FALSE), 0)</f>
        <v>0</v>
      </c>
      <c r="R298">
        <f>IFERROR(VLOOKUP(Tabla1[[#This Row],[SISMED]],TblDisponibilidad[],22,FALSE), 0)</f>
        <v>0</v>
      </c>
      <c r="S298" s="15">
        <f>IFERROR(VLOOKUP(Tabla1[[#This Row],[SISMED]],TblDisponibilidad[],23,FALSE), 0)</f>
        <v>0</v>
      </c>
    </row>
    <row r="299" spans="1:19" x14ac:dyDescent="0.3">
      <c r="A299" s="15" t="s">
        <v>329</v>
      </c>
      <c r="B299" t="str">
        <f>IFERROR(VLOOKUP(Tabla1[[#This Row],[SISMED]],TblDisponibilidad[],2,FALSE), "")</f>
        <v/>
      </c>
      <c r="C299">
        <f>IFERROR(VLOOKUP(Tabla1[[#This Row],[SISMED]],TblDisponibilidad[],7,FALSE), 0)</f>
        <v>0</v>
      </c>
      <c r="D299">
        <f>IFERROR(VLOOKUP(Tabla1[[#This Row],[SISMED]],TblDisponibilidad[],8,FALSE), 0)</f>
        <v>0</v>
      </c>
      <c r="E299">
        <f>IFERROR(VLOOKUP(Tabla1[[#This Row],[SISMED]],TblDisponibilidad[],9,FALSE), 0)</f>
        <v>0</v>
      </c>
      <c r="F299">
        <f>IFERROR(VLOOKUP(Tabla1[[#This Row],[SISMED]],TblDisponibilidad[],10,FALSE), 0)</f>
        <v>0</v>
      </c>
      <c r="G299">
        <f>IFERROR(VLOOKUP(Tabla1[[#This Row],[SISMED]],TblDisponibilidad[],11,FALSE), 0)</f>
        <v>0</v>
      </c>
      <c r="H299">
        <f>IFERROR(VLOOKUP(Tabla1[[#This Row],[SISMED]],TblDisponibilidad[],12,FALSE), 0)</f>
        <v>0</v>
      </c>
      <c r="I299">
        <f>IFERROR(VLOOKUP(Tabla1[[#This Row],[SISMED]],TblDisponibilidad[],13,FALSE), 0)</f>
        <v>0</v>
      </c>
      <c r="J299">
        <f>IFERROR(VLOOKUP(Tabla1[[#This Row],[SISMED]],TblDisponibilidad[],14,FALSE), 0)</f>
        <v>0</v>
      </c>
      <c r="K299">
        <f>IFERROR(VLOOKUP(Tabla1[[#This Row],[SISMED]],TblDisponibilidad[],15,FALSE), 0)</f>
        <v>0</v>
      </c>
      <c r="L299">
        <f>IFERROR(VLOOKUP(Tabla1[[#This Row],[SISMED]],TblDisponibilidad[],16,FALSE), 0)</f>
        <v>0</v>
      </c>
      <c r="M299">
        <f>IFERROR(VLOOKUP(Tabla1[[#This Row],[SISMED]],TblDisponibilidad[],17,FALSE), 0)</f>
        <v>0</v>
      </c>
      <c r="N299">
        <f>IFERROR(VLOOKUP(Tabla1[[#This Row],[SISMED]],TblDisponibilidad[],18,FALSE), 0)</f>
        <v>0</v>
      </c>
      <c r="O299">
        <f>IFERROR(VLOOKUP(Tabla1[[#This Row],[SISMED]],TblDisponibilidad[],19,FALSE), 0)</f>
        <v>0</v>
      </c>
      <c r="P299">
        <f>IFERROR(VLOOKUP(Tabla1[[#This Row],[SISMED]],TblDisponibilidad[],20,FALSE), 0)</f>
        <v>0</v>
      </c>
      <c r="Q299">
        <f>IFERROR(VLOOKUP(Tabla1[[#This Row],[SISMED]],TblDisponibilidad[],21,FALSE), 0)</f>
        <v>0</v>
      </c>
      <c r="R299">
        <f>IFERROR(VLOOKUP(Tabla1[[#This Row],[SISMED]],TblDisponibilidad[],22,FALSE), 0)</f>
        <v>0</v>
      </c>
      <c r="S299" s="15">
        <f>IFERROR(VLOOKUP(Tabla1[[#This Row],[SISMED]],TblDisponibilidad[],23,FALSE), 0)</f>
        <v>0</v>
      </c>
    </row>
    <row r="300" spans="1:19" x14ac:dyDescent="0.3">
      <c r="A300" s="15" t="s">
        <v>330</v>
      </c>
      <c r="B300" t="str">
        <f>IFERROR(VLOOKUP(Tabla1[[#This Row],[SISMED]],TblDisponibilidad[],2,FALSE), "")</f>
        <v/>
      </c>
      <c r="C300">
        <f>IFERROR(VLOOKUP(Tabla1[[#This Row],[SISMED]],TblDisponibilidad[],7,FALSE), 0)</f>
        <v>0</v>
      </c>
      <c r="D300">
        <f>IFERROR(VLOOKUP(Tabla1[[#This Row],[SISMED]],TblDisponibilidad[],8,FALSE), 0)</f>
        <v>0</v>
      </c>
      <c r="E300">
        <f>IFERROR(VLOOKUP(Tabla1[[#This Row],[SISMED]],TblDisponibilidad[],9,FALSE), 0)</f>
        <v>0</v>
      </c>
      <c r="F300">
        <f>IFERROR(VLOOKUP(Tabla1[[#This Row],[SISMED]],TblDisponibilidad[],10,FALSE), 0)</f>
        <v>0</v>
      </c>
      <c r="G300">
        <f>IFERROR(VLOOKUP(Tabla1[[#This Row],[SISMED]],TblDisponibilidad[],11,FALSE), 0)</f>
        <v>0</v>
      </c>
      <c r="H300">
        <f>IFERROR(VLOOKUP(Tabla1[[#This Row],[SISMED]],TblDisponibilidad[],12,FALSE), 0)</f>
        <v>0</v>
      </c>
      <c r="I300">
        <f>IFERROR(VLOOKUP(Tabla1[[#This Row],[SISMED]],TblDisponibilidad[],13,FALSE), 0)</f>
        <v>0</v>
      </c>
      <c r="J300">
        <f>IFERROR(VLOOKUP(Tabla1[[#This Row],[SISMED]],TblDisponibilidad[],14,FALSE), 0)</f>
        <v>0</v>
      </c>
      <c r="K300">
        <f>IFERROR(VLOOKUP(Tabla1[[#This Row],[SISMED]],TblDisponibilidad[],15,FALSE), 0)</f>
        <v>0</v>
      </c>
      <c r="L300">
        <f>IFERROR(VLOOKUP(Tabla1[[#This Row],[SISMED]],TblDisponibilidad[],16,FALSE), 0)</f>
        <v>0</v>
      </c>
      <c r="M300">
        <f>IFERROR(VLOOKUP(Tabla1[[#This Row],[SISMED]],TblDisponibilidad[],17,FALSE), 0)</f>
        <v>0</v>
      </c>
      <c r="N300">
        <f>IFERROR(VLOOKUP(Tabla1[[#This Row],[SISMED]],TblDisponibilidad[],18,FALSE), 0)</f>
        <v>0</v>
      </c>
      <c r="O300">
        <f>IFERROR(VLOOKUP(Tabla1[[#This Row],[SISMED]],TblDisponibilidad[],19,FALSE), 0)</f>
        <v>0</v>
      </c>
      <c r="P300">
        <f>IFERROR(VLOOKUP(Tabla1[[#This Row],[SISMED]],TblDisponibilidad[],20,FALSE), 0)</f>
        <v>0</v>
      </c>
      <c r="Q300">
        <f>IFERROR(VLOOKUP(Tabla1[[#This Row],[SISMED]],TblDisponibilidad[],21,FALSE), 0)</f>
        <v>0</v>
      </c>
      <c r="R300">
        <f>IFERROR(VLOOKUP(Tabla1[[#This Row],[SISMED]],TblDisponibilidad[],22,FALSE), 0)</f>
        <v>0</v>
      </c>
      <c r="S300" s="15">
        <f>IFERROR(VLOOKUP(Tabla1[[#This Row],[SISMED]],TblDisponibilidad[],23,FALSE), 0)</f>
        <v>0</v>
      </c>
    </row>
    <row r="301" spans="1:19" x14ac:dyDescent="0.3">
      <c r="A301" s="15" t="s">
        <v>331</v>
      </c>
      <c r="B301" t="str">
        <f>IFERROR(VLOOKUP(Tabla1[[#This Row],[SISMED]],TblDisponibilidad[],2,FALSE), "")</f>
        <v/>
      </c>
      <c r="C301">
        <f>IFERROR(VLOOKUP(Tabla1[[#This Row],[SISMED]],TblDisponibilidad[],7,FALSE), 0)</f>
        <v>0</v>
      </c>
      <c r="D301">
        <f>IFERROR(VLOOKUP(Tabla1[[#This Row],[SISMED]],TblDisponibilidad[],8,FALSE), 0)</f>
        <v>0</v>
      </c>
      <c r="E301">
        <f>IFERROR(VLOOKUP(Tabla1[[#This Row],[SISMED]],TblDisponibilidad[],9,FALSE), 0)</f>
        <v>0</v>
      </c>
      <c r="F301">
        <f>IFERROR(VLOOKUP(Tabla1[[#This Row],[SISMED]],TblDisponibilidad[],10,FALSE), 0)</f>
        <v>0</v>
      </c>
      <c r="G301">
        <f>IFERROR(VLOOKUP(Tabla1[[#This Row],[SISMED]],TblDisponibilidad[],11,FALSE), 0)</f>
        <v>0</v>
      </c>
      <c r="H301">
        <f>IFERROR(VLOOKUP(Tabla1[[#This Row],[SISMED]],TblDisponibilidad[],12,FALSE), 0)</f>
        <v>0</v>
      </c>
      <c r="I301">
        <f>IFERROR(VLOOKUP(Tabla1[[#This Row],[SISMED]],TblDisponibilidad[],13,FALSE), 0)</f>
        <v>0</v>
      </c>
      <c r="J301">
        <f>IFERROR(VLOOKUP(Tabla1[[#This Row],[SISMED]],TblDisponibilidad[],14,FALSE), 0)</f>
        <v>0</v>
      </c>
      <c r="K301">
        <f>IFERROR(VLOOKUP(Tabla1[[#This Row],[SISMED]],TblDisponibilidad[],15,FALSE), 0)</f>
        <v>0</v>
      </c>
      <c r="L301">
        <f>IFERROR(VLOOKUP(Tabla1[[#This Row],[SISMED]],TblDisponibilidad[],16,FALSE), 0)</f>
        <v>0</v>
      </c>
      <c r="M301">
        <f>IFERROR(VLOOKUP(Tabla1[[#This Row],[SISMED]],TblDisponibilidad[],17,FALSE), 0)</f>
        <v>0</v>
      </c>
      <c r="N301">
        <f>IFERROR(VLOOKUP(Tabla1[[#This Row],[SISMED]],TblDisponibilidad[],18,FALSE), 0)</f>
        <v>0</v>
      </c>
      <c r="O301">
        <f>IFERROR(VLOOKUP(Tabla1[[#This Row],[SISMED]],TblDisponibilidad[],19,FALSE), 0)</f>
        <v>0</v>
      </c>
      <c r="P301">
        <f>IFERROR(VLOOKUP(Tabla1[[#This Row],[SISMED]],TblDisponibilidad[],20,FALSE), 0)</f>
        <v>0</v>
      </c>
      <c r="Q301">
        <f>IFERROR(VLOOKUP(Tabla1[[#This Row],[SISMED]],TblDisponibilidad[],21,FALSE), 0)</f>
        <v>0</v>
      </c>
      <c r="R301">
        <f>IFERROR(VLOOKUP(Tabla1[[#This Row],[SISMED]],TblDisponibilidad[],22,FALSE), 0)</f>
        <v>0</v>
      </c>
      <c r="S301" s="15">
        <f>IFERROR(VLOOKUP(Tabla1[[#This Row],[SISMED]],TblDisponibilidad[],23,FALSE), 0)</f>
        <v>0</v>
      </c>
    </row>
    <row r="302" spans="1:19" x14ac:dyDescent="0.3">
      <c r="A302" s="15" t="s">
        <v>332</v>
      </c>
      <c r="B302" t="str">
        <f>IFERROR(VLOOKUP(Tabla1[[#This Row],[SISMED]],TblDisponibilidad[],2,FALSE), "")</f>
        <v/>
      </c>
      <c r="C302">
        <f>IFERROR(VLOOKUP(Tabla1[[#This Row],[SISMED]],TblDisponibilidad[],7,FALSE), 0)</f>
        <v>0</v>
      </c>
      <c r="D302">
        <f>IFERROR(VLOOKUP(Tabla1[[#This Row],[SISMED]],TblDisponibilidad[],8,FALSE), 0)</f>
        <v>0</v>
      </c>
      <c r="E302">
        <f>IFERROR(VLOOKUP(Tabla1[[#This Row],[SISMED]],TblDisponibilidad[],9,FALSE), 0)</f>
        <v>0</v>
      </c>
      <c r="F302">
        <f>IFERROR(VLOOKUP(Tabla1[[#This Row],[SISMED]],TblDisponibilidad[],10,FALSE), 0)</f>
        <v>0</v>
      </c>
      <c r="G302">
        <f>IFERROR(VLOOKUP(Tabla1[[#This Row],[SISMED]],TblDisponibilidad[],11,FALSE), 0)</f>
        <v>0</v>
      </c>
      <c r="H302">
        <f>IFERROR(VLOOKUP(Tabla1[[#This Row],[SISMED]],TblDisponibilidad[],12,FALSE), 0)</f>
        <v>0</v>
      </c>
      <c r="I302">
        <f>IFERROR(VLOOKUP(Tabla1[[#This Row],[SISMED]],TblDisponibilidad[],13,FALSE), 0)</f>
        <v>0</v>
      </c>
      <c r="J302">
        <f>IFERROR(VLOOKUP(Tabla1[[#This Row],[SISMED]],TblDisponibilidad[],14,FALSE), 0)</f>
        <v>0</v>
      </c>
      <c r="K302">
        <f>IFERROR(VLOOKUP(Tabla1[[#This Row],[SISMED]],TblDisponibilidad[],15,FALSE), 0)</f>
        <v>0</v>
      </c>
      <c r="L302">
        <f>IFERROR(VLOOKUP(Tabla1[[#This Row],[SISMED]],TblDisponibilidad[],16,FALSE), 0)</f>
        <v>0</v>
      </c>
      <c r="M302">
        <f>IFERROR(VLOOKUP(Tabla1[[#This Row],[SISMED]],TblDisponibilidad[],17,FALSE), 0)</f>
        <v>0</v>
      </c>
      <c r="N302">
        <f>IFERROR(VLOOKUP(Tabla1[[#This Row],[SISMED]],TblDisponibilidad[],18,FALSE), 0)</f>
        <v>0</v>
      </c>
      <c r="O302">
        <f>IFERROR(VLOOKUP(Tabla1[[#This Row],[SISMED]],TblDisponibilidad[],19,FALSE), 0)</f>
        <v>0</v>
      </c>
      <c r="P302">
        <f>IFERROR(VLOOKUP(Tabla1[[#This Row],[SISMED]],TblDisponibilidad[],20,FALSE), 0)</f>
        <v>0</v>
      </c>
      <c r="Q302">
        <f>IFERROR(VLOOKUP(Tabla1[[#This Row],[SISMED]],TblDisponibilidad[],21,FALSE), 0)</f>
        <v>0</v>
      </c>
      <c r="R302">
        <f>IFERROR(VLOOKUP(Tabla1[[#This Row],[SISMED]],TblDisponibilidad[],22,FALSE), 0)</f>
        <v>0</v>
      </c>
      <c r="S302" s="15">
        <f>IFERROR(VLOOKUP(Tabla1[[#This Row],[SISMED]],TblDisponibilidad[],23,FALSE), 0)</f>
        <v>0</v>
      </c>
    </row>
    <row r="303" spans="1:19" x14ac:dyDescent="0.3">
      <c r="A303" s="15" t="s">
        <v>333</v>
      </c>
      <c r="B303" t="str">
        <f>IFERROR(VLOOKUP(Tabla1[[#This Row],[SISMED]],TblDisponibilidad[],2,FALSE), "")</f>
        <v/>
      </c>
      <c r="C303">
        <f>IFERROR(VLOOKUP(Tabla1[[#This Row],[SISMED]],TblDisponibilidad[],7,FALSE), 0)</f>
        <v>0</v>
      </c>
      <c r="D303">
        <f>IFERROR(VLOOKUP(Tabla1[[#This Row],[SISMED]],TblDisponibilidad[],8,FALSE), 0)</f>
        <v>0</v>
      </c>
      <c r="E303">
        <f>IFERROR(VLOOKUP(Tabla1[[#This Row],[SISMED]],TblDisponibilidad[],9,FALSE), 0)</f>
        <v>0</v>
      </c>
      <c r="F303">
        <f>IFERROR(VLOOKUP(Tabla1[[#This Row],[SISMED]],TblDisponibilidad[],10,FALSE), 0)</f>
        <v>0</v>
      </c>
      <c r="G303">
        <f>IFERROR(VLOOKUP(Tabla1[[#This Row],[SISMED]],TblDisponibilidad[],11,FALSE), 0)</f>
        <v>0</v>
      </c>
      <c r="H303">
        <f>IFERROR(VLOOKUP(Tabla1[[#This Row],[SISMED]],TblDisponibilidad[],12,FALSE), 0)</f>
        <v>0</v>
      </c>
      <c r="I303">
        <f>IFERROR(VLOOKUP(Tabla1[[#This Row],[SISMED]],TblDisponibilidad[],13,FALSE), 0)</f>
        <v>0</v>
      </c>
      <c r="J303">
        <f>IFERROR(VLOOKUP(Tabla1[[#This Row],[SISMED]],TblDisponibilidad[],14,FALSE), 0)</f>
        <v>0</v>
      </c>
      <c r="K303">
        <f>IFERROR(VLOOKUP(Tabla1[[#This Row],[SISMED]],TblDisponibilidad[],15,FALSE), 0)</f>
        <v>0</v>
      </c>
      <c r="L303">
        <f>IFERROR(VLOOKUP(Tabla1[[#This Row],[SISMED]],TblDisponibilidad[],16,FALSE), 0)</f>
        <v>0</v>
      </c>
      <c r="M303">
        <f>IFERROR(VLOOKUP(Tabla1[[#This Row],[SISMED]],TblDisponibilidad[],17,FALSE), 0)</f>
        <v>0</v>
      </c>
      <c r="N303">
        <f>IFERROR(VLOOKUP(Tabla1[[#This Row],[SISMED]],TblDisponibilidad[],18,FALSE), 0)</f>
        <v>0</v>
      </c>
      <c r="O303">
        <f>IFERROR(VLOOKUP(Tabla1[[#This Row],[SISMED]],TblDisponibilidad[],19,FALSE), 0)</f>
        <v>0</v>
      </c>
      <c r="P303">
        <f>IFERROR(VLOOKUP(Tabla1[[#This Row],[SISMED]],TblDisponibilidad[],20,FALSE), 0)</f>
        <v>0</v>
      </c>
      <c r="Q303">
        <f>IFERROR(VLOOKUP(Tabla1[[#This Row],[SISMED]],TblDisponibilidad[],21,FALSE), 0)</f>
        <v>0</v>
      </c>
      <c r="R303">
        <f>IFERROR(VLOOKUP(Tabla1[[#This Row],[SISMED]],TblDisponibilidad[],22,FALSE), 0)</f>
        <v>0</v>
      </c>
      <c r="S303" s="15">
        <f>IFERROR(VLOOKUP(Tabla1[[#This Row],[SISMED]],TblDisponibilidad[],23,FALSE), 0)</f>
        <v>0</v>
      </c>
    </row>
    <row r="304" spans="1:19" x14ac:dyDescent="0.3">
      <c r="A304" s="15" t="s">
        <v>334</v>
      </c>
      <c r="B304" t="str">
        <f>IFERROR(VLOOKUP(Tabla1[[#This Row],[SISMED]],TblDisponibilidad[],2,FALSE), "")</f>
        <v/>
      </c>
      <c r="C304">
        <f>IFERROR(VLOOKUP(Tabla1[[#This Row],[SISMED]],TblDisponibilidad[],7,FALSE), 0)</f>
        <v>0</v>
      </c>
      <c r="D304">
        <f>IFERROR(VLOOKUP(Tabla1[[#This Row],[SISMED]],TblDisponibilidad[],8,FALSE), 0)</f>
        <v>0</v>
      </c>
      <c r="E304">
        <f>IFERROR(VLOOKUP(Tabla1[[#This Row],[SISMED]],TblDisponibilidad[],9,FALSE), 0)</f>
        <v>0</v>
      </c>
      <c r="F304">
        <f>IFERROR(VLOOKUP(Tabla1[[#This Row],[SISMED]],TblDisponibilidad[],10,FALSE), 0)</f>
        <v>0</v>
      </c>
      <c r="G304">
        <f>IFERROR(VLOOKUP(Tabla1[[#This Row],[SISMED]],TblDisponibilidad[],11,FALSE), 0)</f>
        <v>0</v>
      </c>
      <c r="H304">
        <f>IFERROR(VLOOKUP(Tabla1[[#This Row],[SISMED]],TblDisponibilidad[],12,FALSE), 0)</f>
        <v>0</v>
      </c>
      <c r="I304">
        <f>IFERROR(VLOOKUP(Tabla1[[#This Row],[SISMED]],TblDisponibilidad[],13,FALSE), 0)</f>
        <v>0</v>
      </c>
      <c r="J304">
        <f>IFERROR(VLOOKUP(Tabla1[[#This Row],[SISMED]],TblDisponibilidad[],14,FALSE), 0)</f>
        <v>0</v>
      </c>
      <c r="K304">
        <f>IFERROR(VLOOKUP(Tabla1[[#This Row],[SISMED]],TblDisponibilidad[],15,FALSE), 0)</f>
        <v>0</v>
      </c>
      <c r="L304">
        <f>IFERROR(VLOOKUP(Tabla1[[#This Row],[SISMED]],TblDisponibilidad[],16,FALSE), 0)</f>
        <v>0</v>
      </c>
      <c r="M304">
        <f>IFERROR(VLOOKUP(Tabla1[[#This Row],[SISMED]],TblDisponibilidad[],17,FALSE), 0)</f>
        <v>0</v>
      </c>
      <c r="N304">
        <f>IFERROR(VLOOKUP(Tabla1[[#This Row],[SISMED]],TblDisponibilidad[],18,FALSE), 0)</f>
        <v>0</v>
      </c>
      <c r="O304">
        <f>IFERROR(VLOOKUP(Tabla1[[#This Row],[SISMED]],TblDisponibilidad[],19,FALSE), 0)</f>
        <v>0</v>
      </c>
      <c r="P304">
        <f>IFERROR(VLOOKUP(Tabla1[[#This Row],[SISMED]],TblDisponibilidad[],20,FALSE), 0)</f>
        <v>0</v>
      </c>
      <c r="Q304">
        <f>IFERROR(VLOOKUP(Tabla1[[#This Row],[SISMED]],TblDisponibilidad[],21,FALSE), 0)</f>
        <v>0</v>
      </c>
      <c r="R304">
        <f>IFERROR(VLOOKUP(Tabla1[[#This Row],[SISMED]],TblDisponibilidad[],22,FALSE), 0)</f>
        <v>0</v>
      </c>
      <c r="S304" s="15">
        <f>IFERROR(VLOOKUP(Tabla1[[#This Row],[SISMED]],TblDisponibilidad[],23,FALSE), 0)</f>
        <v>0</v>
      </c>
    </row>
    <row r="305" spans="1:19" x14ac:dyDescent="0.3">
      <c r="A305" s="15" t="s">
        <v>335</v>
      </c>
      <c r="B305" t="str">
        <f>IFERROR(VLOOKUP(Tabla1[[#This Row],[SISMED]],TblDisponibilidad[],2,FALSE), "")</f>
        <v/>
      </c>
      <c r="C305">
        <f>IFERROR(VLOOKUP(Tabla1[[#This Row],[SISMED]],TblDisponibilidad[],7,FALSE), 0)</f>
        <v>0</v>
      </c>
      <c r="D305">
        <f>IFERROR(VLOOKUP(Tabla1[[#This Row],[SISMED]],TblDisponibilidad[],8,FALSE), 0)</f>
        <v>0</v>
      </c>
      <c r="E305">
        <f>IFERROR(VLOOKUP(Tabla1[[#This Row],[SISMED]],TblDisponibilidad[],9,FALSE), 0)</f>
        <v>0</v>
      </c>
      <c r="F305">
        <f>IFERROR(VLOOKUP(Tabla1[[#This Row],[SISMED]],TblDisponibilidad[],10,FALSE), 0)</f>
        <v>0</v>
      </c>
      <c r="G305">
        <f>IFERROR(VLOOKUP(Tabla1[[#This Row],[SISMED]],TblDisponibilidad[],11,FALSE), 0)</f>
        <v>0</v>
      </c>
      <c r="H305">
        <f>IFERROR(VLOOKUP(Tabla1[[#This Row],[SISMED]],TblDisponibilidad[],12,FALSE), 0)</f>
        <v>0</v>
      </c>
      <c r="I305">
        <f>IFERROR(VLOOKUP(Tabla1[[#This Row],[SISMED]],TblDisponibilidad[],13,FALSE), 0)</f>
        <v>0</v>
      </c>
      <c r="J305">
        <f>IFERROR(VLOOKUP(Tabla1[[#This Row],[SISMED]],TblDisponibilidad[],14,FALSE), 0)</f>
        <v>0</v>
      </c>
      <c r="K305">
        <f>IFERROR(VLOOKUP(Tabla1[[#This Row],[SISMED]],TblDisponibilidad[],15,FALSE), 0)</f>
        <v>0</v>
      </c>
      <c r="L305">
        <f>IFERROR(VLOOKUP(Tabla1[[#This Row],[SISMED]],TblDisponibilidad[],16,FALSE), 0)</f>
        <v>0</v>
      </c>
      <c r="M305">
        <f>IFERROR(VLOOKUP(Tabla1[[#This Row],[SISMED]],TblDisponibilidad[],17,FALSE), 0)</f>
        <v>0</v>
      </c>
      <c r="N305">
        <f>IFERROR(VLOOKUP(Tabla1[[#This Row],[SISMED]],TblDisponibilidad[],18,FALSE), 0)</f>
        <v>0</v>
      </c>
      <c r="O305">
        <f>IFERROR(VLOOKUP(Tabla1[[#This Row],[SISMED]],TblDisponibilidad[],19,FALSE), 0)</f>
        <v>0</v>
      </c>
      <c r="P305">
        <f>IFERROR(VLOOKUP(Tabla1[[#This Row],[SISMED]],TblDisponibilidad[],20,FALSE), 0)</f>
        <v>0</v>
      </c>
      <c r="Q305">
        <f>IFERROR(VLOOKUP(Tabla1[[#This Row],[SISMED]],TblDisponibilidad[],21,FALSE), 0)</f>
        <v>0</v>
      </c>
      <c r="R305">
        <f>IFERROR(VLOOKUP(Tabla1[[#This Row],[SISMED]],TblDisponibilidad[],22,FALSE), 0)</f>
        <v>0</v>
      </c>
      <c r="S305" s="15">
        <f>IFERROR(VLOOKUP(Tabla1[[#This Row],[SISMED]],TblDisponibilidad[],23,FALSE), 0)</f>
        <v>0</v>
      </c>
    </row>
    <row r="306" spans="1:19" x14ac:dyDescent="0.3">
      <c r="A306" s="15" t="s">
        <v>336</v>
      </c>
      <c r="B306" t="str">
        <f>IFERROR(VLOOKUP(Tabla1[[#This Row],[SISMED]],TblDisponibilidad[],2,FALSE), "")</f>
        <v/>
      </c>
      <c r="C306">
        <f>IFERROR(VLOOKUP(Tabla1[[#This Row],[SISMED]],TblDisponibilidad[],7,FALSE), 0)</f>
        <v>0</v>
      </c>
      <c r="D306">
        <f>IFERROR(VLOOKUP(Tabla1[[#This Row],[SISMED]],TblDisponibilidad[],8,FALSE), 0)</f>
        <v>0</v>
      </c>
      <c r="E306">
        <f>IFERROR(VLOOKUP(Tabla1[[#This Row],[SISMED]],TblDisponibilidad[],9,FALSE), 0)</f>
        <v>0</v>
      </c>
      <c r="F306">
        <f>IFERROR(VLOOKUP(Tabla1[[#This Row],[SISMED]],TblDisponibilidad[],10,FALSE), 0)</f>
        <v>0</v>
      </c>
      <c r="G306">
        <f>IFERROR(VLOOKUP(Tabla1[[#This Row],[SISMED]],TblDisponibilidad[],11,FALSE), 0)</f>
        <v>0</v>
      </c>
      <c r="H306">
        <f>IFERROR(VLOOKUP(Tabla1[[#This Row],[SISMED]],TblDisponibilidad[],12,FALSE), 0)</f>
        <v>0</v>
      </c>
      <c r="I306">
        <f>IFERROR(VLOOKUP(Tabla1[[#This Row],[SISMED]],TblDisponibilidad[],13,FALSE), 0)</f>
        <v>0</v>
      </c>
      <c r="J306">
        <f>IFERROR(VLOOKUP(Tabla1[[#This Row],[SISMED]],TblDisponibilidad[],14,FALSE), 0)</f>
        <v>0</v>
      </c>
      <c r="K306">
        <f>IFERROR(VLOOKUP(Tabla1[[#This Row],[SISMED]],TblDisponibilidad[],15,FALSE), 0)</f>
        <v>0</v>
      </c>
      <c r="L306">
        <f>IFERROR(VLOOKUP(Tabla1[[#This Row],[SISMED]],TblDisponibilidad[],16,FALSE), 0)</f>
        <v>0</v>
      </c>
      <c r="M306">
        <f>IFERROR(VLOOKUP(Tabla1[[#This Row],[SISMED]],TblDisponibilidad[],17,FALSE), 0)</f>
        <v>0</v>
      </c>
      <c r="N306">
        <f>IFERROR(VLOOKUP(Tabla1[[#This Row],[SISMED]],TblDisponibilidad[],18,FALSE), 0)</f>
        <v>0</v>
      </c>
      <c r="O306">
        <f>IFERROR(VLOOKUP(Tabla1[[#This Row],[SISMED]],TblDisponibilidad[],19,FALSE), 0)</f>
        <v>0</v>
      </c>
      <c r="P306">
        <f>IFERROR(VLOOKUP(Tabla1[[#This Row],[SISMED]],TblDisponibilidad[],20,FALSE), 0)</f>
        <v>0</v>
      </c>
      <c r="Q306">
        <f>IFERROR(VLOOKUP(Tabla1[[#This Row],[SISMED]],TblDisponibilidad[],21,FALSE), 0)</f>
        <v>0</v>
      </c>
      <c r="R306">
        <f>IFERROR(VLOOKUP(Tabla1[[#This Row],[SISMED]],TblDisponibilidad[],22,FALSE), 0)</f>
        <v>0</v>
      </c>
      <c r="S306" s="15">
        <f>IFERROR(VLOOKUP(Tabla1[[#This Row],[SISMED]],TblDisponibilidad[],23,FALSE), 0)</f>
        <v>0</v>
      </c>
    </row>
    <row r="307" spans="1:19" x14ac:dyDescent="0.3">
      <c r="A307" s="15" t="s">
        <v>337</v>
      </c>
      <c r="B307" t="str">
        <f>IFERROR(VLOOKUP(Tabla1[[#This Row],[SISMED]],TblDisponibilidad[],2,FALSE), "")</f>
        <v/>
      </c>
      <c r="C307">
        <f>IFERROR(VLOOKUP(Tabla1[[#This Row],[SISMED]],TblDisponibilidad[],7,FALSE), 0)</f>
        <v>0</v>
      </c>
      <c r="D307">
        <f>IFERROR(VLOOKUP(Tabla1[[#This Row],[SISMED]],TblDisponibilidad[],8,FALSE), 0)</f>
        <v>0</v>
      </c>
      <c r="E307">
        <f>IFERROR(VLOOKUP(Tabla1[[#This Row],[SISMED]],TblDisponibilidad[],9,FALSE), 0)</f>
        <v>0</v>
      </c>
      <c r="F307">
        <f>IFERROR(VLOOKUP(Tabla1[[#This Row],[SISMED]],TblDisponibilidad[],10,FALSE), 0)</f>
        <v>0</v>
      </c>
      <c r="G307">
        <f>IFERROR(VLOOKUP(Tabla1[[#This Row],[SISMED]],TblDisponibilidad[],11,FALSE), 0)</f>
        <v>0</v>
      </c>
      <c r="H307">
        <f>IFERROR(VLOOKUP(Tabla1[[#This Row],[SISMED]],TblDisponibilidad[],12,FALSE), 0)</f>
        <v>0</v>
      </c>
      <c r="I307">
        <f>IFERROR(VLOOKUP(Tabla1[[#This Row],[SISMED]],TblDisponibilidad[],13,FALSE), 0)</f>
        <v>0</v>
      </c>
      <c r="J307">
        <f>IFERROR(VLOOKUP(Tabla1[[#This Row],[SISMED]],TblDisponibilidad[],14,FALSE), 0)</f>
        <v>0</v>
      </c>
      <c r="K307">
        <f>IFERROR(VLOOKUP(Tabla1[[#This Row],[SISMED]],TblDisponibilidad[],15,FALSE), 0)</f>
        <v>0</v>
      </c>
      <c r="L307">
        <f>IFERROR(VLOOKUP(Tabla1[[#This Row],[SISMED]],TblDisponibilidad[],16,FALSE), 0)</f>
        <v>0</v>
      </c>
      <c r="M307">
        <f>IFERROR(VLOOKUP(Tabla1[[#This Row],[SISMED]],TblDisponibilidad[],17,FALSE), 0)</f>
        <v>0</v>
      </c>
      <c r="N307">
        <f>IFERROR(VLOOKUP(Tabla1[[#This Row],[SISMED]],TblDisponibilidad[],18,FALSE), 0)</f>
        <v>0</v>
      </c>
      <c r="O307">
        <f>IFERROR(VLOOKUP(Tabla1[[#This Row],[SISMED]],TblDisponibilidad[],19,FALSE), 0)</f>
        <v>0</v>
      </c>
      <c r="P307">
        <f>IFERROR(VLOOKUP(Tabla1[[#This Row],[SISMED]],TblDisponibilidad[],20,FALSE), 0)</f>
        <v>0</v>
      </c>
      <c r="Q307">
        <f>IFERROR(VLOOKUP(Tabla1[[#This Row],[SISMED]],TblDisponibilidad[],21,FALSE), 0)</f>
        <v>0</v>
      </c>
      <c r="R307">
        <f>IFERROR(VLOOKUP(Tabla1[[#This Row],[SISMED]],TblDisponibilidad[],22,FALSE), 0)</f>
        <v>0</v>
      </c>
      <c r="S307" s="15">
        <f>IFERROR(VLOOKUP(Tabla1[[#This Row],[SISMED]],TblDisponibilidad[],23,FALSE), 0)</f>
        <v>0</v>
      </c>
    </row>
    <row r="308" spans="1:19" x14ac:dyDescent="0.3">
      <c r="A308" s="15" t="s">
        <v>338</v>
      </c>
      <c r="B308" t="str">
        <f>IFERROR(VLOOKUP(Tabla1[[#This Row],[SISMED]],TblDisponibilidad[],2,FALSE), "")</f>
        <v/>
      </c>
      <c r="C308">
        <f>IFERROR(VLOOKUP(Tabla1[[#This Row],[SISMED]],TblDisponibilidad[],7,FALSE), 0)</f>
        <v>0</v>
      </c>
      <c r="D308">
        <f>IFERROR(VLOOKUP(Tabla1[[#This Row],[SISMED]],TblDisponibilidad[],8,FALSE), 0)</f>
        <v>0</v>
      </c>
      <c r="E308">
        <f>IFERROR(VLOOKUP(Tabla1[[#This Row],[SISMED]],TblDisponibilidad[],9,FALSE), 0)</f>
        <v>0</v>
      </c>
      <c r="F308">
        <f>IFERROR(VLOOKUP(Tabla1[[#This Row],[SISMED]],TblDisponibilidad[],10,FALSE), 0)</f>
        <v>0</v>
      </c>
      <c r="G308">
        <f>IFERROR(VLOOKUP(Tabla1[[#This Row],[SISMED]],TblDisponibilidad[],11,FALSE), 0)</f>
        <v>0</v>
      </c>
      <c r="H308">
        <f>IFERROR(VLOOKUP(Tabla1[[#This Row],[SISMED]],TblDisponibilidad[],12,FALSE), 0)</f>
        <v>0</v>
      </c>
      <c r="I308">
        <f>IFERROR(VLOOKUP(Tabla1[[#This Row],[SISMED]],TblDisponibilidad[],13,FALSE), 0)</f>
        <v>0</v>
      </c>
      <c r="J308">
        <f>IFERROR(VLOOKUP(Tabla1[[#This Row],[SISMED]],TblDisponibilidad[],14,FALSE), 0)</f>
        <v>0</v>
      </c>
      <c r="K308">
        <f>IFERROR(VLOOKUP(Tabla1[[#This Row],[SISMED]],TblDisponibilidad[],15,FALSE), 0)</f>
        <v>0</v>
      </c>
      <c r="L308">
        <f>IFERROR(VLOOKUP(Tabla1[[#This Row],[SISMED]],TblDisponibilidad[],16,FALSE), 0)</f>
        <v>0</v>
      </c>
      <c r="M308">
        <f>IFERROR(VLOOKUP(Tabla1[[#This Row],[SISMED]],TblDisponibilidad[],17,FALSE), 0)</f>
        <v>0</v>
      </c>
      <c r="N308">
        <f>IFERROR(VLOOKUP(Tabla1[[#This Row],[SISMED]],TblDisponibilidad[],18,FALSE), 0)</f>
        <v>0</v>
      </c>
      <c r="O308">
        <f>IFERROR(VLOOKUP(Tabla1[[#This Row],[SISMED]],TblDisponibilidad[],19,FALSE), 0)</f>
        <v>0</v>
      </c>
      <c r="P308">
        <f>IFERROR(VLOOKUP(Tabla1[[#This Row],[SISMED]],TblDisponibilidad[],20,FALSE), 0)</f>
        <v>0</v>
      </c>
      <c r="Q308">
        <f>IFERROR(VLOOKUP(Tabla1[[#This Row],[SISMED]],TblDisponibilidad[],21,FALSE), 0)</f>
        <v>0</v>
      </c>
      <c r="R308">
        <f>IFERROR(VLOOKUP(Tabla1[[#This Row],[SISMED]],TblDisponibilidad[],22,FALSE), 0)</f>
        <v>0</v>
      </c>
      <c r="S308" s="15">
        <f>IFERROR(VLOOKUP(Tabla1[[#This Row],[SISMED]],TblDisponibilidad[],23,FALSE), 0)</f>
        <v>0</v>
      </c>
    </row>
    <row r="309" spans="1:19" x14ac:dyDescent="0.3">
      <c r="A309" s="15" t="s">
        <v>339</v>
      </c>
      <c r="B309" t="str">
        <f>IFERROR(VLOOKUP(Tabla1[[#This Row],[SISMED]],TblDisponibilidad[],2,FALSE), "")</f>
        <v/>
      </c>
      <c r="C309">
        <f>IFERROR(VLOOKUP(Tabla1[[#This Row],[SISMED]],TblDisponibilidad[],7,FALSE), 0)</f>
        <v>0</v>
      </c>
      <c r="D309">
        <f>IFERROR(VLOOKUP(Tabla1[[#This Row],[SISMED]],TblDisponibilidad[],8,FALSE), 0)</f>
        <v>0</v>
      </c>
      <c r="E309">
        <f>IFERROR(VLOOKUP(Tabla1[[#This Row],[SISMED]],TblDisponibilidad[],9,FALSE), 0)</f>
        <v>0</v>
      </c>
      <c r="F309">
        <f>IFERROR(VLOOKUP(Tabla1[[#This Row],[SISMED]],TblDisponibilidad[],10,FALSE), 0)</f>
        <v>0</v>
      </c>
      <c r="G309">
        <f>IFERROR(VLOOKUP(Tabla1[[#This Row],[SISMED]],TblDisponibilidad[],11,FALSE), 0)</f>
        <v>0</v>
      </c>
      <c r="H309">
        <f>IFERROR(VLOOKUP(Tabla1[[#This Row],[SISMED]],TblDisponibilidad[],12,FALSE), 0)</f>
        <v>0</v>
      </c>
      <c r="I309">
        <f>IFERROR(VLOOKUP(Tabla1[[#This Row],[SISMED]],TblDisponibilidad[],13,FALSE), 0)</f>
        <v>0</v>
      </c>
      <c r="J309">
        <f>IFERROR(VLOOKUP(Tabla1[[#This Row],[SISMED]],TblDisponibilidad[],14,FALSE), 0)</f>
        <v>0</v>
      </c>
      <c r="K309">
        <f>IFERROR(VLOOKUP(Tabla1[[#This Row],[SISMED]],TblDisponibilidad[],15,FALSE), 0)</f>
        <v>0</v>
      </c>
      <c r="L309">
        <f>IFERROR(VLOOKUP(Tabla1[[#This Row],[SISMED]],TblDisponibilidad[],16,FALSE), 0)</f>
        <v>0</v>
      </c>
      <c r="M309">
        <f>IFERROR(VLOOKUP(Tabla1[[#This Row],[SISMED]],TblDisponibilidad[],17,FALSE), 0)</f>
        <v>0</v>
      </c>
      <c r="N309">
        <f>IFERROR(VLOOKUP(Tabla1[[#This Row],[SISMED]],TblDisponibilidad[],18,FALSE), 0)</f>
        <v>0</v>
      </c>
      <c r="O309">
        <f>IFERROR(VLOOKUP(Tabla1[[#This Row],[SISMED]],TblDisponibilidad[],19,FALSE), 0)</f>
        <v>0</v>
      </c>
      <c r="P309">
        <f>IFERROR(VLOOKUP(Tabla1[[#This Row],[SISMED]],TblDisponibilidad[],20,FALSE), 0)</f>
        <v>0</v>
      </c>
      <c r="Q309">
        <f>IFERROR(VLOOKUP(Tabla1[[#This Row],[SISMED]],TblDisponibilidad[],21,FALSE), 0)</f>
        <v>0</v>
      </c>
      <c r="R309">
        <f>IFERROR(VLOOKUP(Tabla1[[#This Row],[SISMED]],TblDisponibilidad[],22,FALSE), 0)</f>
        <v>0</v>
      </c>
      <c r="S309" s="15">
        <f>IFERROR(VLOOKUP(Tabla1[[#This Row],[SISMED]],TblDisponibilidad[],23,FALSE), 0)</f>
        <v>0</v>
      </c>
    </row>
    <row r="310" spans="1:19" x14ac:dyDescent="0.3">
      <c r="A310" s="15" t="s">
        <v>340</v>
      </c>
      <c r="B310" t="str">
        <f>IFERROR(VLOOKUP(Tabla1[[#This Row],[SISMED]],TblDisponibilidad[],2,FALSE), "")</f>
        <v/>
      </c>
      <c r="C310">
        <f>IFERROR(VLOOKUP(Tabla1[[#This Row],[SISMED]],TblDisponibilidad[],7,FALSE), 0)</f>
        <v>0</v>
      </c>
      <c r="D310">
        <f>IFERROR(VLOOKUP(Tabla1[[#This Row],[SISMED]],TblDisponibilidad[],8,FALSE), 0)</f>
        <v>0</v>
      </c>
      <c r="E310">
        <f>IFERROR(VLOOKUP(Tabla1[[#This Row],[SISMED]],TblDisponibilidad[],9,FALSE), 0)</f>
        <v>0</v>
      </c>
      <c r="F310">
        <f>IFERROR(VLOOKUP(Tabla1[[#This Row],[SISMED]],TblDisponibilidad[],10,FALSE), 0)</f>
        <v>0</v>
      </c>
      <c r="G310">
        <f>IFERROR(VLOOKUP(Tabla1[[#This Row],[SISMED]],TblDisponibilidad[],11,FALSE), 0)</f>
        <v>0</v>
      </c>
      <c r="H310">
        <f>IFERROR(VLOOKUP(Tabla1[[#This Row],[SISMED]],TblDisponibilidad[],12,FALSE), 0)</f>
        <v>0</v>
      </c>
      <c r="I310">
        <f>IFERROR(VLOOKUP(Tabla1[[#This Row],[SISMED]],TblDisponibilidad[],13,FALSE), 0)</f>
        <v>0</v>
      </c>
      <c r="J310">
        <f>IFERROR(VLOOKUP(Tabla1[[#This Row],[SISMED]],TblDisponibilidad[],14,FALSE), 0)</f>
        <v>0</v>
      </c>
      <c r="K310">
        <f>IFERROR(VLOOKUP(Tabla1[[#This Row],[SISMED]],TblDisponibilidad[],15,FALSE), 0)</f>
        <v>0</v>
      </c>
      <c r="L310">
        <f>IFERROR(VLOOKUP(Tabla1[[#This Row],[SISMED]],TblDisponibilidad[],16,FALSE), 0)</f>
        <v>0</v>
      </c>
      <c r="M310">
        <f>IFERROR(VLOOKUP(Tabla1[[#This Row],[SISMED]],TblDisponibilidad[],17,FALSE), 0)</f>
        <v>0</v>
      </c>
      <c r="N310">
        <f>IFERROR(VLOOKUP(Tabla1[[#This Row],[SISMED]],TblDisponibilidad[],18,FALSE), 0)</f>
        <v>0</v>
      </c>
      <c r="O310">
        <f>IFERROR(VLOOKUP(Tabla1[[#This Row],[SISMED]],TblDisponibilidad[],19,FALSE), 0)</f>
        <v>0</v>
      </c>
      <c r="P310">
        <f>IFERROR(VLOOKUP(Tabla1[[#This Row],[SISMED]],TblDisponibilidad[],20,FALSE), 0)</f>
        <v>0</v>
      </c>
      <c r="Q310">
        <f>IFERROR(VLOOKUP(Tabla1[[#This Row],[SISMED]],TblDisponibilidad[],21,FALSE), 0)</f>
        <v>0</v>
      </c>
      <c r="R310">
        <f>IFERROR(VLOOKUP(Tabla1[[#This Row],[SISMED]],TblDisponibilidad[],22,FALSE), 0)</f>
        <v>0</v>
      </c>
      <c r="S310" s="15">
        <f>IFERROR(VLOOKUP(Tabla1[[#This Row],[SISMED]],TblDisponibilidad[],23,FALSE), 0)</f>
        <v>0</v>
      </c>
    </row>
    <row r="311" spans="1:19" x14ac:dyDescent="0.3">
      <c r="A311" s="15" t="s">
        <v>341</v>
      </c>
      <c r="B311" t="str">
        <f>IFERROR(VLOOKUP(Tabla1[[#This Row],[SISMED]],TblDisponibilidad[],2,FALSE), "")</f>
        <v/>
      </c>
      <c r="C311">
        <f>IFERROR(VLOOKUP(Tabla1[[#This Row],[SISMED]],TblDisponibilidad[],7,FALSE), 0)</f>
        <v>0</v>
      </c>
      <c r="D311">
        <f>IFERROR(VLOOKUP(Tabla1[[#This Row],[SISMED]],TblDisponibilidad[],8,FALSE), 0)</f>
        <v>0</v>
      </c>
      <c r="E311">
        <f>IFERROR(VLOOKUP(Tabla1[[#This Row],[SISMED]],TblDisponibilidad[],9,FALSE), 0)</f>
        <v>0</v>
      </c>
      <c r="F311">
        <f>IFERROR(VLOOKUP(Tabla1[[#This Row],[SISMED]],TblDisponibilidad[],10,FALSE), 0)</f>
        <v>0</v>
      </c>
      <c r="G311">
        <f>IFERROR(VLOOKUP(Tabla1[[#This Row],[SISMED]],TblDisponibilidad[],11,FALSE), 0)</f>
        <v>0</v>
      </c>
      <c r="H311">
        <f>IFERROR(VLOOKUP(Tabla1[[#This Row],[SISMED]],TblDisponibilidad[],12,FALSE), 0)</f>
        <v>0</v>
      </c>
      <c r="I311">
        <f>IFERROR(VLOOKUP(Tabla1[[#This Row],[SISMED]],TblDisponibilidad[],13,FALSE), 0)</f>
        <v>0</v>
      </c>
      <c r="J311">
        <f>IFERROR(VLOOKUP(Tabla1[[#This Row],[SISMED]],TblDisponibilidad[],14,FALSE), 0)</f>
        <v>0</v>
      </c>
      <c r="K311">
        <f>IFERROR(VLOOKUP(Tabla1[[#This Row],[SISMED]],TblDisponibilidad[],15,FALSE), 0)</f>
        <v>0</v>
      </c>
      <c r="L311">
        <f>IFERROR(VLOOKUP(Tabla1[[#This Row],[SISMED]],TblDisponibilidad[],16,FALSE), 0)</f>
        <v>0</v>
      </c>
      <c r="M311">
        <f>IFERROR(VLOOKUP(Tabla1[[#This Row],[SISMED]],TblDisponibilidad[],17,FALSE), 0)</f>
        <v>0</v>
      </c>
      <c r="N311">
        <f>IFERROR(VLOOKUP(Tabla1[[#This Row],[SISMED]],TblDisponibilidad[],18,FALSE), 0)</f>
        <v>0</v>
      </c>
      <c r="O311">
        <f>IFERROR(VLOOKUP(Tabla1[[#This Row],[SISMED]],TblDisponibilidad[],19,FALSE), 0)</f>
        <v>0</v>
      </c>
      <c r="P311">
        <f>IFERROR(VLOOKUP(Tabla1[[#This Row],[SISMED]],TblDisponibilidad[],20,FALSE), 0)</f>
        <v>0</v>
      </c>
      <c r="Q311">
        <f>IFERROR(VLOOKUP(Tabla1[[#This Row],[SISMED]],TblDisponibilidad[],21,FALSE), 0)</f>
        <v>0</v>
      </c>
      <c r="R311">
        <f>IFERROR(VLOOKUP(Tabla1[[#This Row],[SISMED]],TblDisponibilidad[],22,FALSE), 0)</f>
        <v>0</v>
      </c>
      <c r="S311" s="15">
        <f>IFERROR(VLOOKUP(Tabla1[[#This Row],[SISMED]],TblDisponibilidad[],23,FALSE), 0)</f>
        <v>0</v>
      </c>
    </row>
    <row r="312" spans="1:19" x14ac:dyDescent="0.3">
      <c r="A312" s="15" t="s">
        <v>342</v>
      </c>
      <c r="B312" t="str">
        <f>IFERROR(VLOOKUP(Tabla1[[#This Row],[SISMED]],TblDisponibilidad[],2,FALSE), "")</f>
        <v/>
      </c>
      <c r="C312">
        <f>IFERROR(VLOOKUP(Tabla1[[#This Row],[SISMED]],TblDisponibilidad[],7,FALSE), 0)</f>
        <v>0</v>
      </c>
      <c r="D312">
        <f>IFERROR(VLOOKUP(Tabla1[[#This Row],[SISMED]],TblDisponibilidad[],8,FALSE), 0)</f>
        <v>0</v>
      </c>
      <c r="E312">
        <f>IFERROR(VLOOKUP(Tabla1[[#This Row],[SISMED]],TblDisponibilidad[],9,FALSE), 0)</f>
        <v>0</v>
      </c>
      <c r="F312">
        <f>IFERROR(VLOOKUP(Tabla1[[#This Row],[SISMED]],TblDisponibilidad[],10,FALSE), 0)</f>
        <v>0</v>
      </c>
      <c r="G312">
        <f>IFERROR(VLOOKUP(Tabla1[[#This Row],[SISMED]],TblDisponibilidad[],11,FALSE), 0)</f>
        <v>0</v>
      </c>
      <c r="H312">
        <f>IFERROR(VLOOKUP(Tabla1[[#This Row],[SISMED]],TblDisponibilidad[],12,FALSE), 0)</f>
        <v>0</v>
      </c>
      <c r="I312">
        <f>IFERROR(VLOOKUP(Tabla1[[#This Row],[SISMED]],TblDisponibilidad[],13,FALSE), 0)</f>
        <v>0</v>
      </c>
      <c r="J312">
        <f>IFERROR(VLOOKUP(Tabla1[[#This Row],[SISMED]],TblDisponibilidad[],14,FALSE), 0)</f>
        <v>0</v>
      </c>
      <c r="K312">
        <f>IFERROR(VLOOKUP(Tabla1[[#This Row],[SISMED]],TblDisponibilidad[],15,FALSE), 0)</f>
        <v>0</v>
      </c>
      <c r="L312">
        <f>IFERROR(VLOOKUP(Tabla1[[#This Row],[SISMED]],TblDisponibilidad[],16,FALSE), 0)</f>
        <v>0</v>
      </c>
      <c r="M312">
        <f>IFERROR(VLOOKUP(Tabla1[[#This Row],[SISMED]],TblDisponibilidad[],17,FALSE), 0)</f>
        <v>0</v>
      </c>
      <c r="N312">
        <f>IFERROR(VLOOKUP(Tabla1[[#This Row],[SISMED]],TblDisponibilidad[],18,FALSE), 0)</f>
        <v>0</v>
      </c>
      <c r="O312">
        <f>IFERROR(VLOOKUP(Tabla1[[#This Row],[SISMED]],TblDisponibilidad[],19,FALSE), 0)</f>
        <v>0</v>
      </c>
      <c r="P312">
        <f>IFERROR(VLOOKUP(Tabla1[[#This Row],[SISMED]],TblDisponibilidad[],20,FALSE), 0)</f>
        <v>0</v>
      </c>
      <c r="Q312">
        <f>IFERROR(VLOOKUP(Tabla1[[#This Row],[SISMED]],TblDisponibilidad[],21,FALSE), 0)</f>
        <v>0</v>
      </c>
      <c r="R312">
        <f>IFERROR(VLOOKUP(Tabla1[[#This Row],[SISMED]],TblDisponibilidad[],22,FALSE), 0)</f>
        <v>0</v>
      </c>
      <c r="S312" s="15">
        <f>IFERROR(VLOOKUP(Tabla1[[#This Row],[SISMED]],TblDisponibilidad[],23,FALSE), 0)</f>
        <v>0</v>
      </c>
    </row>
    <row r="313" spans="1:19" x14ac:dyDescent="0.3">
      <c r="A313" s="15" t="s">
        <v>343</v>
      </c>
      <c r="B313" t="str">
        <f>IFERROR(VLOOKUP(Tabla1[[#This Row],[SISMED]],TblDisponibilidad[],2,FALSE), "")</f>
        <v/>
      </c>
      <c r="C313">
        <f>IFERROR(VLOOKUP(Tabla1[[#This Row],[SISMED]],TblDisponibilidad[],7,FALSE), 0)</f>
        <v>0</v>
      </c>
      <c r="D313">
        <f>IFERROR(VLOOKUP(Tabla1[[#This Row],[SISMED]],TblDisponibilidad[],8,FALSE), 0)</f>
        <v>0</v>
      </c>
      <c r="E313">
        <f>IFERROR(VLOOKUP(Tabla1[[#This Row],[SISMED]],TblDisponibilidad[],9,FALSE), 0)</f>
        <v>0</v>
      </c>
      <c r="F313">
        <f>IFERROR(VLOOKUP(Tabla1[[#This Row],[SISMED]],TblDisponibilidad[],10,FALSE), 0)</f>
        <v>0</v>
      </c>
      <c r="G313">
        <f>IFERROR(VLOOKUP(Tabla1[[#This Row],[SISMED]],TblDisponibilidad[],11,FALSE), 0)</f>
        <v>0</v>
      </c>
      <c r="H313">
        <f>IFERROR(VLOOKUP(Tabla1[[#This Row],[SISMED]],TblDisponibilidad[],12,FALSE), 0)</f>
        <v>0</v>
      </c>
      <c r="I313">
        <f>IFERROR(VLOOKUP(Tabla1[[#This Row],[SISMED]],TblDisponibilidad[],13,FALSE), 0)</f>
        <v>0</v>
      </c>
      <c r="J313">
        <f>IFERROR(VLOOKUP(Tabla1[[#This Row],[SISMED]],TblDisponibilidad[],14,FALSE), 0)</f>
        <v>0</v>
      </c>
      <c r="K313">
        <f>IFERROR(VLOOKUP(Tabla1[[#This Row],[SISMED]],TblDisponibilidad[],15,FALSE), 0)</f>
        <v>0</v>
      </c>
      <c r="L313">
        <f>IFERROR(VLOOKUP(Tabla1[[#This Row],[SISMED]],TblDisponibilidad[],16,FALSE), 0)</f>
        <v>0</v>
      </c>
      <c r="M313">
        <f>IFERROR(VLOOKUP(Tabla1[[#This Row],[SISMED]],TblDisponibilidad[],17,FALSE), 0)</f>
        <v>0</v>
      </c>
      <c r="N313">
        <f>IFERROR(VLOOKUP(Tabla1[[#This Row],[SISMED]],TblDisponibilidad[],18,FALSE), 0)</f>
        <v>0</v>
      </c>
      <c r="O313">
        <f>IFERROR(VLOOKUP(Tabla1[[#This Row],[SISMED]],TblDisponibilidad[],19,FALSE), 0)</f>
        <v>0</v>
      </c>
      <c r="P313">
        <f>IFERROR(VLOOKUP(Tabla1[[#This Row],[SISMED]],TblDisponibilidad[],20,FALSE), 0)</f>
        <v>0</v>
      </c>
      <c r="Q313">
        <f>IFERROR(VLOOKUP(Tabla1[[#This Row],[SISMED]],TblDisponibilidad[],21,FALSE), 0)</f>
        <v>0</v>
      </c>
      <c r="R313">
        <f>IFERROR(VLOOKUP(Tabla1[[#This Row],[SISMED]],TblDisponibilidad[],22,FALSE), 0)</f>
        <v>0</v>
      </c>
      <c r="S313" s="15">
        <f>IFERROR(VLOOKUP(Tabla1[[#This Row],[SISMED]],TblDisponibilidad[],23,FALSE), 0)</f>
        <v>0</v>
      </c>
    </row>
    <row r="314" spans="1:19" x14ac:dyDescent="0.3">
      <c r="A314" s="15" t="s">
        <v>344</v>
      </c>
      <c r="B314" t="str">
        <f>IFERROR(VLOOKUP(Tabla1[[#This Row],[SISMED]],TblDisponibilidad[],2,FALSE), "")</f>
        <v/>
      </c>
      <c r="C314">
        <f>IFERROR(VLOOKUP(Tabla1[[#This Row],[SISMED]],TblDisponibilidad[],7,FALSE), 0)</f>
        <v>0</v>
      </c>
      <c r="D314">
        <f>IFERROR(VLOOKUP(Tabla1[[#This Row],[SISMED]],TblDisponibilidad[],8,FALSE), 0)</f>
        <v>0</v>
      </c>
      <c r="E314">
        <f>IFERROR(VLOOKUP(Tabla1[[#This Row],[SISMED]],TblDisponibilidad[],9,FALSE), 0)</f>
        <v>0</v>
      </c>
      <c r="F314">
        <f>IFERROR(VLOOKUP(Tabla1[[#This Row],[SISMED]],TblDisponibilidad[],10,FALSE), 0)</f>
        <v>0</v>
      </c>
      <c r="G314">
        <f>IFERROR(VLOOKUP(Tabla1[[#This Row],[SISMED]],TblDisponibilidad[],11,FALSE), 0)</f>
        <v>0</v>
      </c>
      <c r="H314">
        <f>IFERROR(VLOOKUP(Tabla1[[#This Row],[SISMED]],TblDisponibilidad[],12,FALSE), 0)</f>
        <v>0</v>
      </c>
      <c r="I314">
        <f>IFERROR(VLOOKUP(Tabla1[[#This Row],[SISMED]],TblDisponibilidad[],13,FALSE), 0)</f>
        <v>0</v>
      </c>
      <c r="J314">
        <f>IFERROR(VLOOKUP(Tabla1[[#This Row],[SISMED]],TblDisponibilidad[],14,FALSE), 0)</f>
        <v>0</v>
      </c>
      <c r="K314">
        <f>IFERROR(VLOOKUP(Tabla1[[#This Row],[SISMED]],TblDisponibilidad[],15,FALSE), 0)</f>
        <v>0</v>
      </c>
      <c r="L314">
        <f>IFERROR(VLOOKUP(Tabla1[[#This Row],[SISMED]],TblDisponibilidad[],16,FALSE), 0)</f>
        <v>0</v>
      </c>
      <c r="M314">
        <f>IFERROR(VLOOKUP(Tabla1[[#This Row],[SISMED]],TblDisponibilidad[],17,FALSE), 0)</f>
        <v>0</v>
      </c>
      <c r="N314">
        <f>IFERROR(VLOOKUP(Tabla1[[#This Row],[SISMED]],TblDisponibilidad[],18,FALSE), 0)</f>
        <v>0</v>
      </c>
      <c r="O314">
        <f>IFERROR(VLOOKUP(Tabla1[[#This Row],[SISMED]],TblDisponibilidad[],19,FALSE), 0)</f>
        <v>0</v>
      </c>
      <c r="P314">
        <f>IFERROR(VLOOKUP(Tabla1[[#This Row],[SISMED]],TblDisponibilidad[],20,FALSE), 0)</f>
        <v>0</v>
      </c>
      <c r="Q314">
        <f>IFERROR(VLOOKUP(Tabla1[[#This Row],[SISMED]],TblDisponibilidad[],21,FALSE), 0)</f>
        <v>0</v>
      </c>
      <c r="R314">
        <f>IFERROR(VLOOKUP(Tabla1[[#This Row],[SISMED]],TblDisponibilidad[],22,FALSE), 0)</f>
        <v>0</v>
      </c>
      <c r="S314" s="15">
        <f>IFERROR(VLOOKUP(Tabla1[[#This Row],[SISMED]],TblDisponibilidad[],23,FALSE), 0)</f>
        <v>0</v>
      </c>
    </row>
    <row r="315" spans="1:19" x14ac:dyDescent="0.3">
      <c r="A315" s="15" t="s">
        <v>345</v>
      </c>
      <c r="B315" t="str">
        <f>IFERROR(VLOOKUP(Tabla1[[#This Row],[SISMED]],TblDisponibilidad[],2,FALSE), "")</f>
        <v/>
      </c>
      <c r="C315">
        <f>IFERROR(VLOOKUP(Tabla1[[#This Row],[SISMED]],TblDisponibilidad[],7,FALSE), 0)</f>
        <v>0</v>
      </c>
      <c r="D315">
        <f>IFERROR(VLOOKUP(Tabla1[[#This Row],[SISMED]],TblDisponibilidad[],8,FALSE), 0)</f>
        <v>0</v>
      </c>
      <c r="E315">
        <f>IFERROR(VLOOKUP(Tabla1[[#This Row],[SISMED]],TblDisponibilidad[],9,FALSE), 0)</f>
        <v>0</v>
      </c>
      <c r="F315">
        <f>IFERROR(VLOOKUP(Tabla1[[#This Row],[SISMED]],TblDisponibilidad[],10,FALSE), 0)</f>
        <v>0</v>
      </c>
      <c r="G315">
        <f>IFERROR(VLOOKUP(Tabla1[[#This Row],[SISMED]],TblDisponibilidad[],11,FALSE), 0)</f>
        <v>0</v>
      </c>
      <c r="H315">
        <f>IFERROR(VLOOKUP(Tabla1[[#This Row],[SISMED]],TblDisponibilidad[],12,FALSE), 0)</f>
        <v>0</v>
      </c>
      <c r="I315">
        <f>IFERROR(VLOOKUP(Tabla1[[#This Row],[SISMED]],TblDisponibilidad[],13,FALSE), 0)</f>
        <v>0</v>
      </c>
      <c r="J315">
        <f>IFERROR(VLOOKUP(Tabla1[[#This Row],[SISMED]],TblDisponibilidad[],14,FALSE), 0)</f>
        <v>0</v>
      </c>
      <c r="K315">
        <f>IFERROR(VLOOKUP(Tabla1[[#This Row],[SISMED]],TblDisponibilidad[],15,FALSE), 0)</f>
        <v>0</v>
      </c>
      <c r="L315">
        <f>IFERROR(VLOOKUP(Tabla1[[#This Row],[SISMED]],TblDisponibilidad[],16,FALSE), 0)</f>
        <v>0</v>
      </c>
      <c r="M315">
        <f>IFERROR(VLOOKUP(Tabla1[[#This Row],[SISMED]],TblDisponibilidad[],17,FALSE), 0)</f>
        <v>0</v>
      </c>
      <c r="N315">
        <f>IFERROR(VLOOKUP(Tabla1[[#This Row],[SISMED]],TblDisponibilidad[],18,FALSE), 0)</f>
        <v>0</v>
      </c>
      <c r="O315">
        <f>IFERROR(VLOOKUP(Tabla1[[#This Row],[SISMED]],TblDisponibilidad[],19,FALSE), 0)</f>
        <v>0</v>
      </c>
      <c r="P315">
        <f>IFERROR(VLOOKUP(Tabla1[[#This Row],[SISMED]],TblDisponibilidad[],20,FALSE), 0)</f>
        <v>0</v>
      </c>
      <c r="Q315">
        <f>IFERROR(VLOOKUP(Tabla1[[#This Row],[SISMED]],TblDisponibilidad[],21,FALSE), 0)</f>
        <v>0</v>
      </c>
      <c r="R315">
        <f>IFERROR(VLOOKUP(Tabla1[[#This Row],[SISMED]],TblDisponibilidad[],22,FALSE), 0)</f>
        <v>0</v>
      </c>
      <c r="S315" s="15">
        <f>IFERROR(VLOOKUP(Tabla1[[#This Row],[SISMED]],TblDisponibilidad[],23,FALSE), 0)</f>
        <v>0</v>
      </c>
    </row>
    <row r="316" spans="1:19" x14ac:dyDescent="0.3">
      <c r="A316" s="15" t="s">
        <v>346</v>
      </c>
      <c r="B316" t="str">
        <f>IFERROR(VLOOKUP(Tabla1[[#This Row],[SISMED]],TblDisponibilidad[],2,FALSE), "")</f>
        <v/>
      </c>
      <c r="C316">
        <f>IFERROR(VLOOKUP(Tabla1[[#This Row],[SISMED]],TblDisponibilidad[],7,FALSE), 0)</f>
        <v>0</v>
      </c>
      <c r="D316">
        <f>IFERROR(VLOOKUP(Tabla1[[#This Row],[SISMED]],TblDisponibilidad[],8,FALSE), 0)</f>
        <v>0</v>
      </c>
      <c r="E316">
        <f>IFERROR(VLOOKUP(Tabla1[[#This Row],[SISMED]],TblDisponibilidad[],9,FALSE), 0)</f>
        <v>0</v>
      </c>
      <c r="F316">
        <f>IFERROR(VLOOKUP(Tabla1[[#This Row],[SISMED]],TblDisponibilidad[],10,FALSE), 0)</f>
        <v>0</v>
      </c>
      <c r="G316">
        <f>IFERROR(VLOOKUP(Tabla1[[#This Row],[SISMED]],TblDisponibilidad[],11,FALSE), 0)</f>
        <v>0</v>
      </c>
      <c r="H316">
        <f>IFERROR(VLOOKUP(Tabla1[[#This Row],[SISMED]],TblDisponibilidad[],12,FALSE), 0)</f>
        <v>0</v>
      </c>
      <c r="I316">
        <f>IFERROR(VLOOKUP(Tabla1[[#This Row],[SISMED]],TblDisponibilidad[],13,FALSE), 0)</f>
        <v>0</v>
      </c>
      <c r="J316">
        <f>IFERROR(VLOOKUP(Tabla1[[#This Row],[SISMED]],TblDisponibilidad[],14,FALSE), 0)</f>
        <v>0</v>
      </c>
      <c r="K316">
        <f>IFERROR(VLOOKUP(Tabla1[[#This Row],[SISMED]],TblDisponibilidad[],15,FALSE), 0)</f>
        <v>0</v>
      </c>
      <c r="L316">
        <f>IFERROR(VLOOKUP(Tabla1[[#This Row],[SISMED]],TblDisponibilidad[],16,FALSE), 0)</f>
        <v>0</v>
      </c>
      <c r="M316">
        <f>IFERROR(VLOOKUP(Tabla1[[#This Row],[SISMED]],TblDisponibilidad[],17,FALSE), 0)</f>
        <v>0</v>
      </c>
      <c r="N316">
        <f>IFERROR(VLOOKUP(Tabla1[[#This Row],[SISMED]],TblDisponibilidad[],18,FALSE), 0)</f>
        <v>0</v>
      </c>
      <c r="O316">
        <f>IFERROR(VLOOKUP(Tabla1[[#This Row],[SISMED]],TblDisponibilidad[],19,FALSE), 0)</f>
        <v>0</v>
      </c>
      <c r="P316">
        <f>IFERROR(VLOOKUP(Tabla1[[#This Row],[SISMED]],TblDisponibilidad[],20,FALSE), 0)</f>
        <v>0</v>
      </c>
      <c r="Q316">
        <f>IFERROR(VLOOKUP(Tabla1[[#This Row],[SISMED]],TblDisponibilidad[],21,FALSE), 0)</f>
        <v>0</v>
      </c>
      <c r="R316">
        <f>IFERROR(VLOOKUP(Tabla1[[#This Row],[SISMED]],TblDisponibilidad[],22,FALSE), 0)</f>
        <v>0</v>
      </c>
      <c r="S316" s="15">
        <f>IFERROR(VLOOKUP(Tabla1[[#This Row],[SISMED]],TblDisponibilidad[],23,FALSE), 0)</f>
        <v>0</v>
      </c>
    </row>
    <row r="317" spans="1:19" x14ac:dyDescent="0.3">
      <c r="A317" s="15" t="s">
        <v>347</v>
      </c>
      <c r="B317" t="str">
        <f>IFERROR(VLOOKUP(Tabla1[[#This Row],[SISMED]],TblDisponibilidad[],2,FALSE), "")</f>
        <v/>
      </c>
      <c r="C317">
        <f>IFERROR(VLOOKUP(Tabla1[[#This Row],[SISMED]],TblDisponibilidad[],7,FALSE), 0)</f>
        <v>0</v>
      </c>
      <c r="D317">
        <f>IFERROR(VLOOKUP(Tabla1[[#This Row],[SISMED]],TblDisponibilidad[],8,FALSE), 0)</f>
        <v>0</v>
      </c>
      <c r="E317">
        <f>IFERROR(VLOOKUP(Tabla1[[#This Row],[SISMED]],TblDisponibilidad[],9,FALSE), 0)</f>
        <v>0</v>
      </c>
      <c r="F317">
        <f>IFERROR(VLOOKUP(Tabla1[[#This Row],[SISMED]],TblDisponibilidad[],10,FALSE), 0)</f>
        <v>0</v>
      </c>
      <c r="G317">
        <f>IFERROR(VLOOKUP(Tabla1[[#This Row],[SISMED]],TblDisponibilidad[],11,FALSE), 0)</f>
        <v>0</v>
      </c>
      <c r="H317">
        <f>IFERROR(VLOOKUP(Tabla1[[#This Row],[SISMED]],TblDisponibilidad[],12,FALSE), 0)</f>
        <v>0</v>
      </c>
      <c r="I317">
        <f>IFERROR(VLOOKUP(Tabla1[[#This Row],[SISMED]],TblDisponibilidad[],13,FALSE), 0)</f>
        <v>0</v>
      </c>
      <c r="J317">
        <f>IFERROR(VLOOKUP(Tabla1[[#This Row],[SISMED]],TblDisponibilidad[],14,FALSE), 0)</f>
        <v>0</v>
      </c>
      <c r="K317">
        <f>IFERROR(VLOOKUP(Tabla1[[#This Row],[SISMED]],TblDisponibilidad[],15,FALSE), 0)</f>
        <v>0</v>
      </c>
      <c r="L317">
        <f>IFERROR(VLOOKUP(Tabla1[[#This Row],[SISMED]],TblDisponibilidad[],16,FALSE), 0)</f>
        <v>0</v>
      </c>
      <c r="M317">
        <f>IFERROR(VLOOKUP(Tabla1[[#This Row],[SISMED]],TblDisponibilidad[],17,FALSE), 0)</f>
        <v>0</v>
      </c>
      <c r="N317">
        <f>IFERROR(VLOOKUP(Tabla1[[#This Row],[SISMED]],TblDisponibilidad[],18,FALSE), 0)</f>
        <v>0</v>
      </c>
      <c r="O317">
        <f>IFERROR(VLOOKUP(Tabla1[[#This Row],[SISMED]],TblDisponibilidad[],19,FALSE), 0)</f>
        <v>0</v>
      </c>
      <c r="P317">
        <f>IFERROR(VLOOKUP(Tabla1[[#This Row],[SISMED]],TblDisponibilidad[],20,FALSE), 0)</f>
        <v>0</v>
      </c>
      <c r="Q317">
        <f>IFERROR(VLOOKUP(Tabla1[[#This Row],[SISMED]],TblDisponibilidad[],21,FALSE), 0)</f>
        <v>0</v>
      </c>
      <c r="R317">
        <f>IFERROR(VLOOKUP(Tabla1[[#This Row],[SISMED]],TblDisponibilidad[],22,FALSE), 0)</f>
        <v>0</v>
      </c>
      <c r="S317" s="15">
        <f>IFERROR(VLOOKUP(Tabla1[[#This Row],[SISMED]],TblDisponibilidad[],23,FALSE), 0)</f>
        <v>0</v>
      </c>
    </row>
    <row r="318" spans="1:19" x14ac:dyDescent="0.3">
      <c r="A318" s="15" t="s">
        <v>348</v>
      </c>
      <c r="B318" t="str">
        <f>IFERROR(VLOOKUP(Tabla1[[#This Row],[SISMED]],TblDisponibilidad[],2,FALSE), "")</f>
        <v/>
      </c>
      <c r="C318">
        <f>IFERROR(VLOOKUP(Tabla1[[#This Row],[SISMED]],TblDisponibilidad[],7,FALSE), 0)</f>
        <v>0</v>
      </c>
      <c r="D318">
        <f>IFERROR(VLOOKUP(Tabla1[[#This Row],[SISMED]],TblDisponibilidad[],8,FALSE), 0)</f>
        <v>0</v>
      </c>
      <c r="E318">
        <f>IFERROR(VLOOKUP(Tabla1[[#This Row],[SISMED]],TblDisponibilidad[],9,FALSE), 0)</f>
        <v>0</v>
      </c>
      <c r="F318">
        <f>IFERROR(VLOOKUP(Tabla1[[#This Row],[SISMED]],TblDisponibilidad[],10,FALSE), 0)</f>
        <v>0</v>
      </c>
      <c r="G318">
        <f>IFERROR(VLOOKUP(Tabla1[[#This Row],[SISMED]],TblDisponibilidad[],11,FALSE), 0)</f>
        <v>0</v>
      </c>
      <c r="H318">
        <f>IFERROR(VLOOKUP(Tabla1[[#This Row],[SISMED]],TblDisponibilidad[],12,FALSE), 0)</f>
        <v>0</v>
      </c>
      <c r="I318">
        <f>IFERROR(VLOOKUP(Tabla1[[#This Row],[SISMED]],TblDisponibilidad[],13,FALSE), 0)</f>
        <v>0</v>
      </c>
      <c r="J318">
        <f>IFERROR(VLOOKUP(Tabla1[[#This Row],[SISMED]],TblDisponibilidad[],14,FALSE), 0)</f>
        <v>0</v>
      </c>
      <c r="K318">
        <f>IFERROR(VLOOKUP(Tabla1[[#This Row],[SISMED]],TblDisponibilidad[],15,FALSE), 0)</f>
        <v>0</v>
      </c>
      <c r="L318">
        <f>IFERROR(VLOOKUP(Tabla1[[#This Row],[SISMED]],TblDisponibilidad[],16,FALSE), 0)</f>
        <v>0</v>
      </c>
      <c r="M318">
        <f>IFERROR(VLOOKUP(Tabla1[[#This Row],[SISMED]],TblDisponibilidad[],17,FALSE), 0)</f>
        <v>0</v>
      </c>
      <c r="N318">
        <f>IFERROR(VLOOKUP(Tabla1[[#This Row],[SISMED]],TblDisponibilidad[],18,FALSE), 0)</f>
        <v>0</v>
      </c>
      <c r="O318">
        <f>IFERROR(VLOOKUP(Tabla1[[#This Row],[SISMED]],TblDisponibilidad[],19,FALSE), 0)</f>
        <v>0</v>
      </c>
      <c r="P318">
        <f>IFERROR(VLOOKUP(Tabla1[[#This Row],[SISMED]],TblDisponibilidad[],20,FALSE), 0)</f>
        <v>0</v>
      </c>
      <c r="Q318">
        <f>IFERROR(VLOOKUP(Tabla1[[#This Row],[SISMED]],TblDisponibilidad[],21,FALSE), 0)</f>
        <v>0</v>
      </c>
      <c r="R318">
        <f>IFERROR(VLOOKUP(Tabla1[[#This Row],[SISMED]],TblDisponibilidad[],22,FALSE), 0)</f>
        <v>0</v>
      </c>
      <c r="S318" s="15">
        <f>IFERROR(VLOOKUP(Tabla1[[#This Row],[SISMED]],TblDisponibilidad[],23,FALSE), 0)</f>
        <v>0</v>
      </c>
    </row>
    <row r="319" spans="1:19" x14ac:dyDescent="0.3">
      <c r="A319" s="15" t="s">
        <v>349</v>
      </c>
      <c r="B319" t="str">
        <f>IFERROR(VLOOKUP(Tabla1[[#This Row],[SISMED]],TblDisponibilidad[],2,FALSE), "")</f>
        <v/>
      </c>
      <c r="C319">
        <f>IFERROR(VLOOKUP(Tabla1[[#This Row],[SISMED]],TblDisponibilidad[],7,FALSE), 0)</f>
        <v>0</v>
      </c>
      <c r="D319">
        <f>IFERROR(VLOOKUP(Tabla1[[#This Row],[SISMED]],TblDisponibilidad[],8,FALSE), 0)</f>
        <v>0</v>
      </c>
      <c r="E319">
        <f>IFERROR(VLOOKUP(Tabla1[[#This Row],[SISMED]],TblDisponibilidad[],9,FALSE), 0)</f>
        <v>0</v>
      </c>
      <c r="F319">
        <f>IFERROR(VLOOKUP(Tabla1[[#This Row],[SISMED]],TblDisponibilidad[],10,FALSE), 0)</f>
        <v>0</v>
      </c>
      <c r="G319">
        <f>IFERROR(VLOOKUP(Tabla1[[#This Row],[SISMED]],TblDisponibilidad[],11,FALSE), 0)</f>
        <v>0</v>
      </c>
      <c r="H319">
        <f>IFERROR(VLOOKUP(Tabla1[[#This Row],[SISMED]],TblDisponibilidad[],12,FALSE), 0)</f>
        <v>0</v>
      </c>
      <c r="I319">
        <f>IFERROR(VLOOKUP(Tabla1[[#This Row],[SISMED]],TblDisponibilidad[],13,FALSE), 0)</f>
        <v>0</v>
      </c>
      <c r="J319">
        <f>IFERROR(VLOOKUP(Tabla1[[#This Row],[SISMED]],TblDisponibilidad[],14,FALSE), 0)</f>
        <v>0</v>
      </c>
      <c r="K319">
        <f>IFERROR(VLOOKUP(Tabla1[[#This Row],[SISMED]],TblDisponibilidad[],15,FALSE), 0)</f>
        <v>0</v>
      </c>
      <c r="L319">
        <f>IFERROR(VLOOKUP(Tabla1[[#This Row],[SISMED]],TblDisponibilidad[],16,FALSE), 0)</f>
        <v>0</v>
      </c>
      <c r="M319">
        <f>IFERROR(VLOOKUP(Tabla1[[#This Row],[SISMED]],TblDisponibilidad[],17,FALSE), 0)</f>
        <v>0</v>
      </c>
      <c r="N319">
        <f>IFERROR(VLOOKUP(Tabla1[[#This Row],[SISMED]],TblDisponibilidad[],18,FALSE), 0)</f>
        <v>0</v>
      </c>
      <c r="O319">
        <f>IFERROR(VLOOKUP(Tabla1[[#This Row],[SISMED]],TblDisponibilidad[],19,FALSE), 0)</f>
        <v>0</v>
      </c>
      <c r="P319">
        <f>IFERROR(VLOOKUP(Tabla1[[#This Row],[SISMED]],TblDisponibilidad[],20,FALSE), 0)</f>
        <v>0</v>
      </c>
      <c r="Q319">
        <f>IFERROR(VLOOKUP(Tabla1[[#This Row],[SISMED]],TblDisponibilidad[],21,FALSE), 0)</f>
        <v>0</v>
      </c>
      <c r="R319">
        <f>IFERROR(VLOOKUP(Tabla1[[#This Row],[SISMED]],TblDisponibilidad[],22,FALSE), 0)</f>
        <v>0</v>
      </c>
      <c r="S319" s="15">
        <f>IFERROR(VLOOKUP(Tabla1[[#This Row],[SISMED]],TblDisponibilidad[],23,FALSE), 0)</f>
        <v>0</v>
      </c>
    </row>
    <row r="320" spans="1:19" x14ac:dyDescent="0.3">
      <c r="A320" s="15" t="s">
        <v>350</v>
      </c>
      <c r="B320" t="str">
        <f>IFERROR(VLOOKUP(Tabla1[[#This Row],[SISMED]],TblDisponibilidad[],2,FALSE), "")</f>
        <v/>
      </c>
      <c r="C320">
        <f>IFERROR(VLOOKUP(Tabla1[[#This Row],[SISMED]],TblDisponibilidad[],7,FALSE), 0)</f>
        <v>0</v>
      </c>
      <c r="D320">
        <f>IFERROR(VLOOKUP(Tabla1[[#This Row],[SISMED]],TblDisponibilidad[],8,FALSE), 0)</f>
        <v>0</v>
      </c>
      <c r="E320">
        <f>IFERROR(VLOOKUP(Tabla1[[#This Row],[SISMED]],TblDisponibilidad[],9,FALSE), 0)</f>
        <v>0</v>
      </c>
      <c r="F320">
        <f>IFERROR(VLOOKUP(Tabla1[[#This Row],[SISMED]],TblDisponibilidad[],10,FALSE), 0)</f>
        <v>0</v>
      </c>
      <c r="G320">
        <f>IFERROR(VLOOKUP(Tabla1[[#This Row],[SISMED]],TblDisponibilidad[],11,FALSE), 0)</f>
        <v>0</v>
      </c>
      <c r="H320">
        <f>IFERROR(VLOOKUP(Tabla1[[#This Row],[SISMED]],TblDisponibilidad[],12,FALSE), 0)</f>
        <v>0</v>
      </c>
      <c r="I320">
        <f>IFERROR(VLOOKUP(Tabla1[[#This Row],[SISMED]],TblDisponibilidad[],13,FALSE), 0)</f>
        <v>0</v>
      </c>
      <c r="J320">
        <f>IFERROR(VLOOKUP(Tabla1[[#This Row],[SISMED]],TblDisponibilidad[],14,FALSE), 0)</f>
        <v>0</v>
      </c>
      <c r="K320">
        <f>IFERROR(VLOOKUP(Tabla1[[#This Row],[SISMED]],TblDisponibilidad[],15,FALSE), 0)</f>
        <v>0</v>
      </c>
      <c r="L320">
        <f>IFERROR(VLOOKUP(Tabla1[[#This Row],[SISMED]],TblDisponibilidad[],16,FALSE), 0)</f>
        <v>0</v>
      </c>
      <c r="M320">
        <f>IFERROR(VLOOKUP(Tabla1[[#This Row],[SISMED]],TblDisponibilidad[],17,FALSE), 0)</f>
        <v>0</v>
      </c>
      <c r="N320">
        <f>IFERROR(VLOOKUP(Tabla1[[#This Row],[SISMED]],TblDisponibilidad[],18,FALSE), 0)</f>
        <v>0</v>
      </c>
      <c r="O320">
        <f>IFERROR(VLOOKUP(Tabla1[[#This Row],[SISMED]],TblDisponibilidad[],19,FALSE), 0)</f>
        <v>0</v>
      </c>
      <c r="P320">
        <f>IFERROR(VLOOKUP(Tabla1[[#This Row],[SISMED]],TblDisponibilidad[],20,FALSE), 0)</f>
        <v>0</v>
      </c>
      <c r="Q320">
        <f>IFERROR(VLOOKUP(Tabla1[[#This Row],[SISMED]],TblDisponibilidad[],21,FALSE), 0)</f>
        <v>0</v>
      </c>
      <c r="R320">
        <f>IFERROR(VLOOKUP(Tabla1[[#This Row],[SISMED]],TblDisponibilidad[],22,FALSE), 0)</f>
        <v>0</v>
      </c>
      <c r="S320" s="15">
        <f>IFERROR(VLOOKUP(Tabla1[[#This Row],[SISMED]],TblDisponibilidad[],23,FALSE), 0)</f>
        <v>0</v>
      </c>
    </row>
    <row r="321" spans="1:19" x14ac:dyDescent="0.3">
      <c r="A321" s="15" t="s">
        <v>351</v>
      </c>
      <c r="B321" t="str">
        <f>IFERROR(VLOOKUP(Tabla1[[#This Row],[SISMED]],TblDisponibilidad[],2,FALSE), "")</f>
        <v/>
      </c>
      <c r="C321">
        <f>IFERROR(VLOOKUP(Tabla1[[#This Row],[SISMED]],TblDisponibilidad[],7,FALSE), 0)</f>
        <v>0</v>
      </c>
      <c r="D321">
        <f>IFERROR(VLOOKUP(Tabla1[[#This Row],[SISMED]],TblDisponibilidad[],8,FALSE), 0)</f>
        <v>0</v>
      </c>
      <c r="E321">
        <f>IFERROR(VLOOKUP(Tabla1[[#This Row],[SISMED]],TblDisponibilidad[],9,FALSE), 0)</f>
        <v>0</v>
      </c>
      <c r="F321">
        <f>IFERROR(VLOOKUP(Tabla1[[#This Row],[SISMED]],TblDisponibilidad[],10,FALSE), 0)</f>
        <v>0</v>
      </c>
      <c r="G321">
        <f>IFERROR(VLOOKUP(Tabla1[[#This Row],[SISMED]],TblDisponibilidad[],11,FALSE), 0)</f>
        <v>0</v>
      </c>
      <c r="H321">
        <f>IFERROR(VLOOKUP(Tabla1[[#This Row],[SISMED]],TblDisponibilidad[],12,FALSE), 0)</f>
        <v>0</v>
      </c>
      <c r="I321">
        <f>IFERROR(VLOOKUP(Tabla1[[#This Row],[SISMED]],TblDisponibilidad[],13,FALSE), 0)</f>
        <v>0</v>
      </c>
      <c r="J321">
        <f>IFERROR(VLOOKUP(Tabla1[[#This Row],[SISMED]],TblDisponibilidad[],14,FALSE), 0)</f>
        <v>0</v>
      </c>
      <c r="K321">
        <f>IFERROR(VLOOKUP(Tabla1[[#This Row],[SISMED]],TblDisponibilidad[],15,FALSE), 0)</f>
        <v>0</v>
      </c>
      <c r="L321">
        <f>IFERROR(VLOOKUP(Tabla1[[#This Row],[SISMED]],TblDisponibilidad[],16,FALSE), 0)</f>
        <v>0</v>
      </c>
      <c r="M321">
        <f>IFERROR(VLOOKUP(Tabla1[[#This Row],[SISMED]],TblDisponibilidad[],17,FALSE), 0)</f>
        <v>0</v>
      </c>
      <c r="N321">
        <f>IFERROR(VLOOKUP(Tabla1[[#This Row],[SISMED]],TblDisponibilidad[],18,FALSE), 0)</f>
        <v>0</v>
      </c>
      <c r="O321">
        <f>IFERROR(VLOOKUP(Tabla1[[#This Row],[SISMED]],TblDisponibilidad[],19,FALSE), 0)</f>
        <v>0</v>
      </c>
      <c r="P321">
        <f>IFERROR(VLOOKUP(Tabla1[[#This Row],[SISMED]],TblDisponibilidad[],20,FALSE), 0)</f>
        <v>0</v>
      </c>
      <c r="Q321">
        <f>IFERROR(VLOOKUP(Tabla1[[#This Row],[SISMED]],TblDisponibilidad[],21,FALSE), 0)</f>
        <v>0</v>
      </c>
      <c r="R321">
        <f>IFERROR(VLOOKUP(Tabla1[[#This Row],[SISMED]],TblDisponibilidad[],22,FALSE), 0)</f>
        <v>0</v>
      </c>
      <c r="S321" s="15">
        <f>IFERROR(VLOOKUP(Tabla1[[#This Row],[SISMED]],TblDisponibilidad[],23,FALSE), 0)</f>
        <v>0</v>
      </c>
    </row>
    <row r="322" spans="1:19" x14ac:dyDescent="0.3">
      <c r="A322" s="15" t="s">
        <v>352</v>
      </c>
      <c r="B322" t="str">
        <f>IFERROR(VLOOKUP(Tabla1[[#This Row],[SISMED]],TblDisponibilidad[],2,FALSE), "")</f>
        <v/>
      </c>
      <c r="C322">
        <f>IFERROR(VLOOKUP(Tabla1[[#This Row],[SISMED]],TblDisponibilidad[],7,FALSE), 0)</f>
        <v>0</v>
      </c>
      <c r="D322">
        <f>IFERROR(VLOOKUP(Tabla1[[#This Row],[SISMED]],TblDisponibilidad[],8,FALSE), 0)</f>
        <v>0</v>
      </c>
      <c r="E322">
        <f>IFERROR(VLOOKUP(Tabla1[[#This Row],[SISMED]],TblDisponibilidad[],9,FALSE), 0)</f>
        <v>0</v>
      </c>
      <c r="F322">
        <f>IFERROR(VLOOKUP(Tabla1[[#This Row],[SISMED]],TblDisponibilidad[],10,FALSE), 0)</f>
        <v>0</v>
      </c>
      <c r="G322">
        <f>IFERROR(VLOOKUP(Tabla1[[#This Row],[SISMED]],TblDisponibilidad[],11,FALSE), 0)</f>
        <v>0</v>
      </c>
      <c r="H322">
        <f>IFERROR(VLOOKUP(Tabla1[[#This Row],[SISMED]],TblDisponibilidad[],12,FALSE), 0)</f>
        <v>0</v>
      </c>
      <c r="I322">
        <f>IFERROR(VLOOKUP(Tabla1[[#This Row],[SISMED]],TblDisponibilidad[],13,FALSE), 0)</f>
        <v>0</v>
      </c>
      <c r="J322">
        <f>IFERROR(VLOOKUP(Tabla1[[#This Row],[SISMED]],TblDisponibilidad[],14,FALSE), 0)</f>
        <v>0</v>
      </c>
      <c r="K322">
        <f>IFERROR(VLOOKUP(Tabla1[[#This Row],[SISMED]],TblDisponibilidad[],15,FALSE), 0)</f>
        <v>0</v>
      </c>
      <c r="L322">
        <f>IFERROR(VLOOKUP(Tabla1[[#This Row],[SISMED]],TblDisponibilidad[],16,FALSE), 0)</f>
        <v>0</v>
      </c>
      <c r="M322">
        <f>IFERROR(VLOOKUP(Tabla1[[#This Row],[SISMED]],TblDisponibilidad[],17,FALSE), 0)</f>
        <v>0</v>
      </c>
      <c r="N322">
        <f>IFERROR(VLOOKUP(Tabla1[[#This Row],[SISMED]],TblDisponibilidad[],18,FALSE), 0)</f>
        <v>0</v>
      </c>
      <c r="O322">
        <f>IFERROR(VLOOKUP(Tabla1[[#This Row],[SISMED]],TblDisponibilidad[],19,FALSE), 0)</f>
        <v>0</v>
      </c>
      <c r="P322">
        <f>IFERROR(VLOOKUP(Tabla1[[#This Row],[SISMED]],TblDisponibilidad[],20,FALSE), 0)</f>
        <v>0</v>
      </c>
      <c r="Q322">
        <f>IFERROR(VLOOKUP(Tabla1[[#This Row],[SISMED]],TblDisponibilidad[],21,FALSE), 0)</f>
        <v>0</v>
      </c>
      <c r="R322">
        <f>IFERROR(VLOOKUP(Tabla1[[#This Row],[SISMED]],TblDisponibilidad[],22,FALSE), 0)</f>
        <v>0</v>
      </c>
      <c r="S322" s="15">
        <f>IFERROR(VLOOKUP(Tabla1[[#This Row],[SISMED]],TblDisponibilidad[],23,FALSE), 0)</f>
        <v>0</v>
      </c>
    </row>
    <row r="323" spans="1:19" x14ac:dyDescent="0.3">
      <c r="A323" s="15" t="s">
        <v>353</v>
      </c>
      <c r="B323" t="str">
        <f>IFERROR(VLOOKUP(Tabla1[[#This Row],[SISMED]],TblDisponibilidad[],2,FALSE), "")</f>
        <v/>
      </c>
      <c r="C323">
        <f>IFERROR(VLOOKUP(Tabla1[[#This Row],[SISMED]],TblDisponibilidad[],7,FALSE), 0)</f>
        <v>0</v>
      </c>
      <c r="D323">
        <f>IFERROR(VLOOKUP(Tabla1[[#This Row],[SISMED]],TblDisponibilidad[],8,FALSE), 0)</f>
        <v>0</v>
      </c>
      <c r="E323">
        <f>IFERROR(VLOOKUP(Tabla1[[#This Row],[SISMED]],TblDisponibilidad[],9,FALSE), 0)</f>
        <v>0</v>
      </c>
      <c r="F323">
        <f>IFERROR(VLOOKUP(Tabla1[[#This Row],[SISMED]],TblDisponibilidad[],10,FALSE), 0)</f>
        <v>0</v>
      </c>
      <c r="G323">
        <f>IFERROR(VLOOKUP(Tabla1[[#This Row],[SISMED]],TblDisponibilidad[],11,FALSE), 0)</f>
        <v>0</v>
      </c>
      <c r="H323">
        <f>IFERROR(VLOOKUP(Tabla1[[#This Row],[SISMED]],TblDisponibilidad[],12,FALSE), 0)</f>
        <v>0</v>
      </c>
      <c r="I323">
        <f>IFERROR(VLOOKUP(Tabla1[[#This Row],[SISMED]],TblDisponibilidad[],13,FALSE), 0)</f>
        <v>0</v>
      </c>
      <c r="J323">
        <f>IFERROR(VLOOKUP(Tabla1[[#This Row],[SISMED]],TblDisponibilidad[],14,FALSE), 0)</f>
        <v>0</v>
      </c>
      <c r="K323">
        <f>IFERROR(VLOOKUP(Tabla1[[#This Row],[SISMED]],TblDisponibilidad[],15,FALSE), 0)</f>
        <v>0</v>
      </c>
      <c r="L323">
        <f>IFERROR(VLOOKUP(Tabla1[[#This Row],[SISMED]],TblDisponibilidad[],16,FALSE), 0)</f>
        <v>0</v>
      </c>
      <c r="M323">
        <f>IFERROR(VLOOKUP(Tabla1[[#This Row],[SISMED]],TblDisponibilidad[],17,FALSE), 0)</f>
        <v>0</v>
      </c>
      <c r="N323">
        <f>IFERROR(VLOOKUP(Tabla1[[#This Row],[SISMED]],TblDisponibilidad[],18,FALSE), 0)</f>
        <v>0</v>
      </c>
      <c r="O323">
        <f>IFERROR(VLOOKUP(Tabla1[[#This Row],[SISMED]],TblDisponibilidad[],19,FALSE), 0)</f>
        <v>0</v>
      </c>
      <c r="P323">
        <f>IFERROR(VLOOKUP(Tabla1[[#This Row],[SISMED]],TblDisponibilidad[],20,FALSE), 0)</f>
        <v>0</v>
      </c>
      <c r="Q323">
        <f>IFERROR(VLOOKUP(Tabla1[[#This Row],[SISMED]],TblDisponibilidad[],21,FALSE), 0)</f>
        <v>0</v>
      </c>
      <c r="R323">
        <f>IFERROR(VLOOKUP(Tabla1[[#This Row],[SISMED]],TblDisponibilidad[],22,FALSE), 0)</f>
        <v>0</v>
      </c>
      <c r="S323" s="15">
        <f>IFERROR(VLOOKUP(Tabla1[[#This Row],[SISMED]],TblDisponibilidad[],23,FALSE), 0)</f>
        <v>0</v>
      </c>
    </row>
    <row r="324" spans="1:19" x14ac:dyDescent="0.3">
      <c r="A324" s="15" t="s">
        <v>354</v>
      </c>
      <c r="B324" t="str">
        <f>IFERROR(VLOOKUP(Tabla1[[#This Row],[SISMED]],TblDisponibilidad[],2,FALSE), "")</f>
        <v/>
      </c>
      <c r="C324">
        <f>IFERROR(VLOOKUP(Tabla1[[#This Row],[SISMED]],TblDisponibilidad[],7,FALSE), 0)</f>
        <v>0</v>
      </c>
      <c r="D324">
        <f>IFERROR(VLOOKUP(Tabla1[[#This Row],[SISMED]],TblDisponibilidad[],8,FALSE), 0)</f>
        <v>0</v>
      </c>
      <c r="E324">
        <f>IFERROR(VLOOKUP(Tabla1[[#This Row],[SISMED]],TblDisponibilidad[],9,FALSE), 0)</f>
        <v>0</v>
      </c>
      <c r="F324">
        <f>IFERROR(VLOOKUP(Tabla1[[#This Row],[SISMED]],TblDisponibilidad[],10,FALSE), 0)</f>
        <v>0</v>
      </c>
      <c r="G324">
        <f>IFERROR(VLOOKUP(Tabla1[[#This Row],[SISMED]],TblDisponibilidad[],11,FALSE), 0)</f>
        <v>0</v>
      </c>
      <c r="H324">
        <f>IFERROR(VLOOKUP(Tabla1[[#This Row],[SISMED]],TblDisponibilidad[],12,FALSE), 0)</f>
        <v>0</v>
      </c>
      <c r="I324">
        <f>IFERROR(VLOOKUP(Tabla1[[#This Row],[SISMED]],TblDisponibilidad[],13,FALSE), 0)</f>
        <v>0</v>
      </c>
      <c r="J324">
        <f>IFERROR(VLOOKUP(Tabla1[[#This Row],[SISMED]],TblDisponibilidad[],14,FALSE), 0)</f>
        <v>0</v>
      </c>
      <c r="K324">
        <f>IFERROR(VLOOKUP(Tabla1[[#This Row],[SISMED]],TblDisponibilidad[],15,FALSE), 0)</f>
        <v>0</v>
      </c>
      <c r="L324">
        <f>IFERROR(VLOOKUP(Tabla1[[#This Row],[SISMED]],TblDisponibilidad[],16,FALSE), 0)</f>
        <v>0</v>
      </c>
      <c r="M324">
        <f>IFERROR(VLOOKUP(Tabla1[[#This Row],[SISMED]],TblDisponibilidad[],17,FALSE), 0)</f>
        <v>0</v>
      </c>
      <c r="N324">
        <f>IFERROR(VLOOKUP(Tabla1[[#This Row],[SISMED]],TblDisponibilidad[],18,FALSE), 0)</f>
        <v>0</v>
      </c>
      <c r="O324">
        <f>IFERROR(VLOOKUP(Tabla1[[#This Row],[SISMED]],TblDisponibilidad[],19,FALSE), 0)</f>
        <v>0</v>
      </c>
      <c r="P324">
        <f>IFERROR(VLOOKUP(Tabla1[[#This Row],[SISMED]],TblDisponibilidad[],20,FALSE), 0)</f>
        <v>0</v>
      </c>
      <c r="Q324">
        <f>IFERROR(VLOOKUP(Tabla1[[#This Row],[SISMED]],TblDisponibilidad[],21,FALSE), 0)</f>
        <v>0</v>
      </c>
      <c r="R324">
        <f>IFERROR(VLOOKUP(Tabla1[[#This Row],[SISMED]],TblDisponibilidad[],22,FALSE), 0)</f>
        <v>0</v>
      </c>
      <c r="S324" s="15">
        <f>IFERROR(VLOOKUP(Tabla1[[#This Row],[SISMED]],TblDisponibilidad[],23,FALSE), 0)</f>
        <v>0</v>
      </c>
    </row>
    <row r="325" spans="1:19" x14ac:dyDescent="0.3">
      <c r="A325" s="15" t="s">
        <v>355</v>
      </c>
      <c r="B325" t="str">
        <f>IFERROR(VLOOKUP(Tabla1[[#This Row],[SISMED]],TblDisponibilidad[],2,FALSE), "")</f>
        <v/>
      </c>
      <c r="C325">
        <f>IFERROR(VLOOKUP(Tabla1[[#This Row],[SISMED]],TblDisponibilidad[],7,FALSE), 0)</f>
        <v>0</v>
      </c>
      <c r="D325">
        <f>IFERROR(VLOOKUP(Tabla1[[#This Row],[SISMED]],TblDisponibilidad[],8,FALSE), 0)</f>
        <v>0</v>
      </c>
      <c r="E325">
        <f>IFERROR(VLOOKUP(Tabla1[[#This Row],[SISMED]],TblDisponibilidad[],9,FALSE), 0)</f>
        <v>0</v>
      </c>
      <c r="F325">
        <f>IFERROR(VLOOKUP(Tabla1[[#This Row],[SISMED]],TblDisponibilidad[],10,FALSE), 0)</f>
        <v>0</v>
      </c>
      <c r="G325">
        <f>IFERROR(VLOOKUP(Tabla1[[#This Row],[SISMED]],TblDisponibilidad[],11,FALSE), 0)</f>
        <v>0</v>
      </c>
      <c r="H325">
        <f>IFERROR(VLOOKUP(Tabla1[[#This Row],[SISMED]],TblDisponibilidad[],12,FALSE), 0)</f>
        <v>0</v>
      </c>
      <c r="I325">
        <f>IFERROR(VLOOKUP(Tabla1[[#This Row],[SISMED]],TblDisponibilidad[],13,FALSE), 0)</f>
        <v>0</v>
      </c>
      <c r="J325">
        <f>IFERROR(VLOOKUP(Tabla1[[#This Row],[SISMED]],TblDisponibilidad[],14,FALSE), 0)</f>
        <v>0</v>
      </c>
      <c r="K325">
        <f>IFERROR(VLOOKUP(Tabla1[[#This Row],[SISMED]],TblDisponibilidad[],15,FALSE), 0)</f>
        <v>0</v>
      </c>
      <c r="L325">
        <f>IFERROR(VLOOKUP(Tabla1[[#This Row],[SISMED]],TblDisponibilidad[],16,FALSE), 0)</f>
        <v>0</v>
      </c>
      <c r="M325">
        <f>IFERROR(VLOOKUP(Tabla1[[#This Row],[SISMED]],TblDisponibilidad[],17,FALSE), 0)</f>
        <v>0</v>
      </c>
      <c r="N325">
        <f>IFERROR(VLOOKUP(Tabla1[[#This Row],[SISMED]],TblDisponibilidad[],18,FALSE), 0)</f>
        <v>0</v>
      </c>
      <c r="O325">
        <f>IFERROR(VLOOKUP(Tabla1[[#This Row],[SISMED]],TblDisponibilidad[],19,FALSE), 0)</f>
        <v>0</v>
      </c>
      <c r="P325">
        <f>IFERROR(VLOOKUP(Tabla1[[#This Row],[SISMED]],TblDisponibilidad[],20,FALSE), 0)</f>
        <v>0</v>
      </c>
      <c r="Q325">
        <f>IFERROR(VLOOKUP(Tabla1[[#This Row],[SISMED]],TblDisponibilidad[],21,FALSE), 0)</f>
        <v>0</v>
      </c>
      <c r="R325">
        <f>IFERROR(VLOOKUP(Tabla1[[#This Row],[SISMED]],TblDisponibilidad[],22,FALSE), 0)</f>
        <v>0</v>
      </c>
      <c r="S325" s="15">
        <f>IFERROR(VLOOKUP(Tabla1[[#This Row],[SISMED]],TblDisponibilidad[],23,FALSE), 0)</f>
        <v>0</v>
      </c>
    </row>
    <row r="326" spans="1:19" x14ac:dyDescent="0.3">
      <c r="A326" s="15" t="s">
        <v>356</v>
      </c>
      <c r="B326" t="str">
        <f>IFERROR(VLOOKUP(Tabla1[[#This Row],[SISMED]],TblDisponibilidad[],2,FALSE), "")</f>
        <v/>
      </c>
      <c r="C326">
        <f>IFERROR(VLOOKUP(Tabla1[[#This Row],[SISMED]],TblDisponibilidad[],7,FALSE), 0)</f>
        <v>0</v>
      </c>
      <c r="D326">
        <f>IFERROR(VLOOKUP(Tabla1[[#This Row],[SISMED]],TblDisponibilidad[],8,FALSE), 0)</f>
        <v>0</v>
      </c>
      <c r="E326">
        <f>IFERROR(VLOOKUP(Tabla1[[#This Row],[SISMED]],TblDisponibilidad[],9,FALSE), 0)</f>
        <v>0</v>
      </c>
      <c r="F326">
        <f>IFERROR(VLOOKUP(Tabla1[[#This Row],[SISMED]],TblDisponibilidad[],10,FALSE), 0)</f>
        <v>0</v>
      </c>
      <c r="G326">
        <f>IFERROR(VLOOKUP(Tabla1[[#This Row],[SISMED]],TblDisponibilidad[],11,FALSE), 0)</f>
        <v>0</v>
      </c>
      <c r="H326">
        <f>IFERROR(VLOOKUP(Tabla1[[#This Row],[SISMED]],TblDisponibilidad[],12,FALSE), 0)</f>
        <v>0</v>
      </c>
      <c r="I326">
        <f>IFERROR(VLOOKUP(Tabla1[[#This Row],[SISMED]],TblDisponibilidad[],13,FALSE), 0)</f>
        <v>0</v>
      </c>
      <c r="J326">
        <f>IFERROR(VLOOKUP(Tabla1[[#This Row],[SISMED]],TblDisponibilidad[],14,FALSE), 0)</f>
        <v>0</v>
      </c>
      <c r="K326">
        <f>IFERROR(VLOOKUP(Tabla1[[#This Row],[SISMED]],TblDisponibilidad[],15,FALSE), 0)</f>
        <v>0</v>
      </c>
      <c r="L326">
        <f>IFERROR(VLOOKUP(Tabla1[[#This Row],[SISMED]],TblDisponibilidad[],16,FALSE), 0)</f>
        <v>0</v>
      </c>
      <c r="M326">
        <f>IFERROR(VLOOKUP(Tabla1[[#This Row],[SISMED]],TblDisponibilidad[],17,FALSE), 0)</f>
        <v>0</v>
      </c>
      <c r="N326">
        <f>IFERROR(VLOOKUP(Tabla1[[#This Row],[SISMED]],TblDisponibilidad[],18,FALSE), 0)</f>
        <v>0</v>
      </c>
      <c r="O326">
        <f>IFERROR(VLOOKUP(Tabla1[[#This Row],[SISMED]],TblDisponibilidad[],19,FALSE), 0)</f>
        <v>0</v>
      </c>
      <c r="P326">
        <f>IFERROR(VLOOKUP(Tabla1[[#This Row],[SISMED]],TblDisponibilidad[],20,FALSE), 0)</f>
        <v>0</v>
      </c>
      <c r="Q326">
        <f>IFERROR(VLOOKUP(Tabla1[[#This Row],[SISMED]],TblDisponibilidad[],21,FALSE), 0)</f>
        <v>0</v>
      </c>
      <c r="R326">
        <f>IFERROR(VLOOKUP(Tabla1[[#This Row],[SISMED]],TblDisponibilidad[],22,FALSE), 0)</f>
        <v>0</v>
      </c>
      <c r="S326" s="15">
        <f>IFERROR(VLOOKUP(Tabla1[[#This Row],[SISMED]],TblDisponibilidad[],23,FALSE), 0)</f>
        <v>0</v>
      </c>
    </row>
    <row r="327" spans="1:19" x14ac:dyDescent="0.3">
      <c r="A327" s="15" t="s">
        <v>357</v>
      </c>
      <c r="B327" t="str">
        <f>IFERROR(VLOOKUP(Tabla1[[#This Row],[SISMED]],TblDisponibilidad[],2,FALSE), "")</f>
        <v/>
      </c>
      <c r="C327">
        <f>IFERROR(VLOOKUP(Tabla1[[#This Row],[SISMED]],TblDisponibilidad[],7,FALSE), 0)</f>
        <v>0</v>
      </c>
      <c r="D327">
        <f>IFERROR(VLOOKUP(Tabla1[[#This Row],[SISMED]],TblDisponibilidad[],8,FALSE), 0)</f>
        <v>0</v>
      </c>
      <c r="E327">
        <f>IFERROR(VLOOKUP(Tabla1[[#This Row],[SISMED]],TblDisponibilidad[],9,FALSE), 0)</f>
        <v>0</v>
      </c>
      <c r="F327">
        <f>IFERROR(VLOOKUP(Tabla1[[#This Row],[SISMED]],TblDisponibilidad[],10,FALSE), 0)</f>
        <v>0</v>
      </c>
      <c r="G327">
        <f>IFERROR(VLOOKUP(Tabla1[[#This Row],[SISMED]],TblDisponibilidad[],11,FALSE), 0)</f>
        <v>0</v>
      </c>
      <c r="H327">
        <f>IFERROR(VLOOKUP(Tabla1[[#This Row],[SISMED]],TblDisponibilidad[],12,FALSE), 0)</f>
        <v>0</v>
      </c>
      <c r="I327">
        <f>IFERROR(VLOOKUP(Tabla1[[#This Row],[SISMED]],TblDisponibilidad[],13,FALSE), 0)</f>
        <v>0</v>
      </c>
      <c r="J327">
        <f>IFERROR(VLOOKUP(Tabla1[[#This Row],[SISMED]],TblDisponibilidad[],14,FALSE), 0)</f>
        <v>0</v>
      </c>
      <c r="K327">
        <f>IFERROR(VLOOKUP(Tabla1[[#This Row],[SISMED]],TblDisponibilidad[],15,FALSE), 0)</f>
        <v>0</v>
      </c>
      <c r="L327">
        <f>IFERROR(VLOOKUP(Tabla1[[#This Row],[SISMED]],TblDisponibilidad[],16,FALSE), 0)</f>
        <v>0</v>
      </c>
      <c r="M327">
        <f>IFERROR(VLOOKUP(Tabla1[[#This Row],[SISMED]],TblDisponibilidad[],17,FALSE), 0)</f>
        <v>0</v>
      </c>
      <c r="N327">
        <f>IFERROR(VLOOKUP(Tabla1[[#This Row],[SISMED]],TblDisponibilidad[],18,FALSE), 0)</f>
        <v>0</v>
      </c>
      <c r="O327">
        <f>IFERROR(VLOOKUP(Tabla1[[#This Row],[SISMED]],TblDisponibilidad[],19,FALSE), 0)</f>
        <v>0</v>
      </c>
      <c r="P327">
        <f>IFERROR(VLOOKUP(Tabla1[[#This Row],[SISMED]],TblDisponibilidad[],20,FALSE), 0)</f>
        <v>0</v>
      </c>
      <c r="Q327">
        <f>IFERROR(VLOOKUP(Tabla1[[#This Row],[SISMED]],TblDisponibilidad[],21,FALSE), 0)</f>
        <v>0</v>
      </c>
      <c r="R327">
        <f>IFERROR(VLOOKUP(Tabla1[[#This Row],[SISMED]],TblDisponibilidad[],22,FALSE), 0)</f>
        <v>0</v>
      </c>
      <c r="S327" s="15">
        <f>IFERROR(VLOOKUP(Tabla1[[#This Row],[SISMED]],TblDisponibilidad[],23,FALSE), 0)</f>
        <v>0</v>
      </c>
    </row>
    <row r="328" spans="1:19" x14ac:dyDescent="0.3">
      <c r="A328" s="15" t="s">
        <v>358</v>
      </c>
      <c r="B328" t="str">
        <f>IFERROR(VLOOKUP(Tabla1[[#This Row],[SISMED]],TblDisponibilidad[],2,FALSE), "")</f>
        <v/>
      </c>
      <c r="C328">
        <f>IFERROR(VLOOKUP(Tabla1[[#This Row],[SISMED]],TblDisponibilidad[],7,FALSE), 0)</f>
        <v>0</v>
      </c>
      <c r="D328">
        <f>IFERROR(VLOOKUP(Tabla1[[#This Row],[SISMED]],TblDisponibilidad[],8,FALSE), 0)</f>
        <v>0</v>
      </c>
      <c r="E328">
        <f>IFERROR(VLOOKUP(Tabla1[[#This Row],[SISMED]],TblDisponibilidad[],9,FALSE), 0)</f>
        <v>0</v>
      </c>
      <c r="F328">
        <f>IFERROR(VLOOKUP(Tabla1[[#This Row],[SISMED]],TblDisponibilidad[],10,FALSE), 0)</f>
        <v>0</v>
      </c>
      <c r="G328">
        <f>IFERROR(VLOOKUP(Tabla1[[#This Row],[SISMED]],TblDisponibilidad[],11,FALSE), 0)</f>
        <v>0</v>
      </c>
      <c r="H328">
        <f>IFERROR(VLOOKUP(Tabla1[[#This Row],[SISMED]],TblDisponibilidad[],12,FALSE), 0)</f>
        <v>0</v>
      </c>
      <c r="I328">
        <f>IFERROR(VLOOKUP(Tabla1[[#This Row],[SISMED]],TblDisponibilidad[],13,FALSE), 0)</f>
        <v>0</v>
      </c>
      <c r="J328">
        <f>IFERROR(VLOOKUP(Tabla1[[#This Row],[SISMED]],TblDisponibilidad[],14,FALSE), 0)</f>
        <v>0</v>
      </c>
      <c r="K328">
        <f>IFERROR(VLOOKUP(Tabla1[[#This Row],[SISMED]],TblDisponibilidad[],15,FALSE), 0)</f>
        <v>0</v>
      </c>
      <c r="L328">
        <f>IFERROR(VLOOKUP(Tabla1[[#This Row],[SISMED]],TblDisponibilidad[],16,FALSE), 0)</f>
        <v>0</v>
      </c>
      <c r="M328">
        <f>IFERROR(VLOOKUP(Tabla1[[#This Row],[SISMED]],TblDisponibilidad[],17,FALSE), 0)</f>
        <v>0</v>
      </c>
      <c r="N328">
        <f>IFERROR(VLOOKUP(Tabla1[[#This Row],[SISMED]],TblDisponibilidad[],18,FALSE), 0)</f>
        <v>0</v>
      </c>
      <c r="O328">
        <f>IFERROR(VLOOKUP(Tabla1[[#This Row],[SISMED]],TblDisponibilidad[],19,FALSE), 0)</f>
        <v>0</v>
      </c>
      <c r="P328">
        <f>IFERROR(VLOOKUP(Tabla1[[#This Row],[SISMED]],TblDisponibilidad[],20,FALSE), 0)</f>
        <v>0</v>
      </c>
      <c r="Q328">
        <f>IFERROR(VLOOKUP(Tabla1[[#This Row],[SISMED]],TblDisponibilidad[],21,FALSE), 0)</f>
        <v>0</v>
      </c>
      <c r="R328">
        <f>IFERROR(VLOOKUP(Tabla1[[#This Row],[SISMED]],TblDisponibilidad[],22,FALSE), 0)</f>
        <v>0</v>
      </c>
      <c r="S328" s="15">
        <f>IFERROR(VLOOKUP(Tabla1[[#This Row],[SISMED]],TblDisponibilidad[],23,FALSE), 0)</f>
        <v>0</v>
      </c>
    </row>
    <row r="329" spans="1:19" x14ac:dyDescent="0.3">
      <c r="A329" s="15" t="s">
        <v>359</v>
      </c>
      <c r="B329" t="str">
        <f>IFERROR(VLOOKUP(Tabla1[[#This Row],[SISMED]],TblDisponibilidad[],2,FALSE), "")</f>
        <v/>
      </c>
      <c r="C329">
        <f>IFERROR(VLOOKUP(Tabla1[[#This Row],[SISMED]],TblDisponibilidad[],7,FALSE), 0)</f>
        <v>0</v>
      </c>
      <c r="D329">
        <f>IFERROR(VLOOKUP(Tabla1[[#This Row],[SISMED]],TblDisponibilidad[],8,FALSE), 0)</f>
        <v>0</v>
      </c>
      <c r="E329">
        <f>IFERROR(VLOOKUP(Tabla1[[#This Row],[SISMED]],TblDisponibilidad[],9,FALSE), 0)</f>
        <v>0</v>
      </c>
      <c r="F329">
        <f>IFERROR(VLOOKUP(Tabla1[[#This Row],[SISMED]],TblDisponibilidad[],10,FALSE), 0)</f>
        <v>0</v>
      </c>
      <c r="G329">
        <f>IFERROR(VLOOKUP(Tabla1[[#This Row],[SISMED]],TblDisponibilidad[],11,FALSE), 0)</f>
        <v>0</v>
      </c>
      <c r="H329">
        <f>IFERROR(VLOOKUP(Tabla1[[#This Row],[SISMED]],TblDisponibilidad[],12,FALSE), 0)</f>
        <v>0</v>
      </c>
      <c r="I329">
        <f>IFERROR(VLOOKUP(Tabla1[[#This Row],[SISMED]],TblDisponibilidad[],13,FALSE), 0)</f>
        <v>0</v>
      </c>
      <c r="J329">
        <f>IFERROR(VLOOKUP(Tabla1[[#This Row],[SISMED]],TblDisponibilidad[],14,FALSE), 0)</f>
        <v>0</v>
      </c>
      <c r="K329">
        <f>IFERROR(VLOOKUP(Tabla1[[#This Row],[SISMED]],TblDisponibilidad[],15,FALSE), 0)</f>
        <v>0</v>
      </c>
      <c r="L329">
        <f>IFERROR(VLOOKUP(Tabla1[[#This Row],[SISMED]],TblDisponibilidad[],16,FALSE), 0)</f>
        <v>0</v>
      </c>
      <c r="M329">
        <f>IFERROR(VLOOKUP(Tabla1[[#This Row],[SISMED]],TblDisponibilidad[],17,FALSE), 0)</f>
        <v>0</v>
      </c>
      <c r="N329">
        <f>IFERROR(VLOOKUP(Tabla1[[#This Row],[SISMED]],TblDisponibilidad[],18,FALSE), 0)</f>
        <v>0</v>
      </c>
      <c r="O329">
        <f>IFERROR(VLOOKUP(Tabla1[[#This Row],[SISMED]],TblDisponibilidad[],19,FALSE), 0)</f>
        <v>0</v>
      </c>
      <c r="P329">
        <f>IFERROR(VLOOKUP(Tabla1[[#This Row],[SISMED]],TblDisponibilidad[],20,FALSE), 0)</f>
        <v>0</v>
      </c>
      <c r="Q329">
        <f>IFERROR(VLOOKUP(Tabla1[[#This Row],[SISMED]],TblDisponibilidad[],21,FALSE), 0)</f>
        <v>0</v>
      </c>
      <c r="R329">
        <f>IFERROR(VLOOKUP(Tabla1[[#This Row],[SISMED]],TblDisponibilidad[],22,FALSE), 0)</f>
        <v>0</v>
      </c>
      <c r="S329" s="15">
        <f>IFERROR(VLOOKUP(Tabla1[[#This Row],[SISMED]],TblDisponibilidad[],23,FALSE), 0)</f>
        <v>0</v>
      </c>
    </row>
    <row r="330" spans="1:19" x14ac:dyDescent="0.3">
      <c r="A330" s="15" t="s">
        <v>360</v>
      </c>
      <c r="B330" t="str">
        <f>IFERROR(VLOOKUP(Tabla1[[#This Row],[SISMED]],TblDisponibilidad[],2,FALSE), "")</f>
        <v/>
      </c>
      <c r="C330">
        <f>IFERROR(VLOOKUP(Tabla1[[#This Row],[SISMED]],TblDisponibilidad[],7,FALSE), 0)</f>
        <v>0</v>
      </c>
      <c r="D330">
        <f>IFERROR(VLOOKUP(Tabla1[[#This Row],[SISMED]],TblDisponibilidad[],8,FALSE), 0)</f>
        <v>0</v>
      </c>
      <c r="E330">
        <f>IFERROR(VLOOKUP(Tabla1[[#This Row],[SISMED]],TblDisponibilidad[],9,FALSE), 0)</f>
        <v>0</v>
      </c>
      <c r="F330">
        <f>IFERROR(VLOOKUP(Tabla1[[#This Row],[SISMED]],TblDisponibilidad[],10,FALSE), 0)</f>
        <v>0</v>
      </c>
      <c r="G330">
        <f>IFERROR(VLOOKUP(Tabla1[[#This Row],[SISMED]],TblDisponibilidad[],11,FALSE), 0)</f>
        <v>0</v>
      </c>
      <c r="H330">
        <f>IFERROR(VLOOKUP(Tabla1[[#This Row],[SISMED]],TblDisponibilidad[],12,FALSE), 0)</f>
        <v>0</v>
      </c>
      <c r="I330">
        <f>IFERROR(VLOOKUP(Tabla1[[#This Row],[SISMED]],TblDisponibilidad[],13,FALSE), 0)</f>
        <v>0</v>
      </c>
      <c r="J330">
        <f>IFERROR(VLOOKUP(Tabla1[[#This Row],[SISMED]],TblDisponibilidad[],14,FALSE), 0)</f>
        <v>0</v>
      </c>
      <c r="K330">
        <f>IFERROR(VLOOKUP(Tabla1[[#This Row],[SISMED]],TblDisponibilidad[],15,FALSE), 0)</f>
        <v>0</v>
      </c>
      <c r="L330">
        <f>IFERROR(VLOOKUP(Tabla1[[#This Row],[SISMED]],TblDisponibilidad[],16,FALSE), 0)</f>
        <v>0</v>
      </c>
      <c r="M330">
        <f>IFERROR(VLOOKUP(Tabla1[[#This Row],[SISMED]],TblDisponibilidad[],17,FALSE), 0)</f>
        <v>0</v>
      </c>
      <c r="N330">
        <f>IFERROR(VLOOKUP(Tabla1[[#This Row],[SISMED]],TblDisponibilidad[],18,FALSE), 0)</f>
        <v>0</v>
      </c>
      <c r="O330">
        <f>IFERROR(VLOOKUP(Tabla1[[#This Row],[SISMED]],TblDisponibilidad[],19,FALSE), 0)</f>
        <v>0</v>
      </c>
      <c r="P330">
        <f>IFERROR(VLOOKUP(Tabla1[[#This Row],[SISMED]],TblDisponibilidad[],20,FALSE), 0)</f>
        <v>0</v>
      </c>
      <c r="Q330">
        <f>IFERROR(VLOOKUP(Tabla1[[#This Row],[SISMED]],TblDisponibilidad[],21,FALSE), 0)</f>
        <v>0</v>
      </c>
      <c r="R330">
        <f>IFERROR(VLOOKUP(Tabla1[[#This Row],[SISMED]],TblDisponibilidad[],22,FALSE), 0)</f>
        <v>0</v>
      </c>
      <c r="S330" s="15">
        <f>IFERROR(VLOOKUP(Tabla1[[#This Row],[SISMED]],TblDisponibilidad[],23,FALSE), 0)</f>
        <v>0</v>
      </c>
    </row>
    <row r="331" spans="1:19" x14ac:dyDescent="0.3">
      <c r="A331" s="15" t="s">
        <v>361</v>
      </c>
      <c r="B331" t="str">
        <f>IFERROR(VLOOKUP(Tabla1[[#This Row],[SISMED]],TblDisponibilidad[],2,FALSE), "")</f>
        <v/>
      </c>
      <c r="C331">
        <f>IFERROR(VLOOKUP(Tabla1[[#This Row],[SISMED]],TblDisponibilidad[],7,FALSE), 0)</f>
        <v>0</v>
      </c>
      <c r="D331">
        <f>IFERROR(VLOOKUP(Tabla1[[#This Row],[SISMED]],TblDisponibilidad[],8,FALSE), 0)</f>
        <v>0</v>
      </c>
      <c r="E331">
        <f>IFERROR(VLOOKUP(Tabla1[[#This Row],[SISMED]],TblDisponibilidad[],9,FALSE), 0)</f>
        <v>0</v>
      </c>
      <c r="F331">
        <f>IFERROR(VLOOKUP(Tabla1[[#This Row],[SISMED]],TblDisponibilidad[],10,FALSE), 0)</f>
        <v>0</v>
      </c>
      <c r="G331">
        <f>IFERROR(VLOOKUP(Tabla1[[#This Row],[SISMED]],TblDisponibilidad[],11,FALSE), 0)</f>
        <v>0</v>
      </c>
      <c r="H331">
        <f>IFERROR(VLOOKUP(Tabla1[[#This Row],[SISMED]],TblDisponibilidad[],12,FALSE), 0)</f>
        <v>0</v>
      </c>
      <c r="I331">
        <f>IFERROR(VLOOKUP(Tabla1[[#This Row],[SISMED]],TblDisponibilidad[],13,FALSE), 0)</f>
        <v>0</v>
      </c>
      <c r="J331">
        <f>IFERROR(VLOOKUP(Tabla1[[#This Row],[SISMED]],TblDisponibilidad[],14,FALSE), 0)</f>
        <v>0</v>
      </c>
      <c r="K331">
        <f>IFERROR(VLOOKUP(Tabla1[[#This Row],[SISMED]],TblDisponibilidad[],15,FALSE), 0)</f>
        <v>0</v>
      </c>
      <c r="L331">
        <f>IFERROR(VLOOKUP(Tabla1[[#This Row],[SISMED]],TblDisponibilidad[],16,FALSE), 0)</f>
        <v>0</v>
      </c>
      <c r="M331">
        <f>IFERROR(VLOOKUP(Tabla1[[#This Row],[SISMED]],TblDisponibilidad[],17,FALSE), 0)</f>
        <v>0</v>
      </c>
      <c r="N331">
        <f>IFERROR(VLOOKUP(Tabla1[[#This Row],[SISMED]],TblDisponibilidad[],18,FALSE), 0)</f>
        <v>0</v>
      </c>
      <c r="O331">
        <f>IFERROR(VLOOKUP(Tabla1[[#This Row],[SISMED]],TblDisponibilidad[],19,FALSE), 0)</f>
        <v>0</v>
      </c>
      <c r="P331">
        <f>IFERROR(VLOOKUP(Tabla1[[#This Row],[SISMED]],TblDisponibilidad[],20,FALSE), 0)</f>
        <v>0</v>
      </c>
      <c r="Q331">
        <f>IFERROR(VLOOKUP(Tabla1[[#This Row],[SISMED]],TblDisponibilidad[],21,FALSE), 0)</f>
        <v>0</v>
      </c>
      <c r="R331">
        <f>IFERROR(VLOOKUP(Tabla1[[#This Row],[SISMED]],TblDisponibilidad[],22,FALSE), 0)</f>
        <v>0</v>
      </c>
      <c r="S331" s="15">
        <f>IFERROR(VLOOKUP(Tabla1[[#This Row],[SISMED]],TblDisponibilidad[],23,FALSE), 0)</f>
        <v>0</v>
      </c>
    </row>
    <row r="332" spans="1:19" x14ac:dyDescent="0.3">
      <c r="A332" s="15" t="s">
        <v>362</v>
      </c>
      <c r="B332" t="str">
        <f>IFERROR(VLOOKUP(Tabla1[[#This Row],[SISMED]],TblDisponibilidad[],2,FALSE), "")</f>
        <v/>
      </c>
      <c r="C332">
        <f>IFERROR(VLOOKUP(Tabla1[[#This Row],[SISMED]],TblDisponibilidad[],7,FALSE), 0)</f>
        <v>0</v>
      </c>
      <c r="D332">
        <f>IFERROR(VLOOKUP(Tabla1[[#This Row],[SISMED]],TblDisponibilidad[],8,FALSE), 0)</f>
        <v>0</v>
      </c>
      <c r="E332">
        <f>IFERROR(VLOOKUP(Tabla1[[#This Row],[SISMED]],TblDisponibilidad[],9,FALSE), 0)</f>
        <v>0</v>
      </c>
      <c r="F332">
        <f>IFERROR(VLOOKUP(Tabla1[[#This Row],[SISMED]],TblDisponibilidad[],10,FALSE), 0)</f>
        <v>0</v>
      </c>
      <c r="G332">
        <f>IFERROR(VLOOKUP(Tabla1[[#This Row],[SISMED]],TblDisponibilidad[],11,FALSE), 0)</f>
        <v>0</v>
      </c>
      <c r="H332">
        <f>IFERROR(VLOOKUP(Tabla1[[#This Row],[SISMED]],TblDisponibilidad[],12,FALSE), 0)</f>
        <v>0</v>
      </c>
      <c r="I332">
        <f>IFERROR(VLOOKUP(Tabla1[[#This Row],[SISMED]],TblDisponibilidad[],13,FALSE), 0)</f>
        <v>0</v>
      </c>
      <c r="J332">
        <f>IFERROR(VLOOKUP(Tabla1[[#This Row],[SISMED]],TblDisponibilidad[],14,FALSE), 0)</f>
        <v>0</v>
      </c>
      <c r="K332">
        <f>IFERROR(VLOOKUP(Tabla1[[#This Row],[SISMED]],TblDisponibilidad[],15,FALSE), 0)</f>
        <v>0</v>
      </c>
      <c r="L332">
        <f>IFERROR(VLOOKUP(Tabla1[[#This Row],[SISMED]],TblDisponibilidad[],16,FALSE), 0)</f>
        <v>0</v>
      </c>
      <c r="M332">
        <f>IFERROR(VLOOKUP(Tabla1[[#This Row],[SISMED]],TblDisponibilidad[],17,FALSE), 0)</f>
        <v>0</v>
      </c>
      <c r="N332">
        <f>IFERROR(VLOOKUP(Tabla1[[#This Row],[SISMED]],TblDisponibilidad[],18,FALSE), 0)</f>
        <v>0</v>
      </c>
      <c r="O332">
        <f>IFERROR(VLOOKUP(Tabla1[[#This Row],[SISMED]],TblDisponibilidad[],19,FALSE), 0)</f>
        <v>0</v>
      </c>
      <c r="P332">
        <f>IFERROR(VLOOKUP(Tabla1[[#This Row],[SISMED]],TblDisponibilidad[],20,FALSE), 0)</f>
        <v>0</v>
      </c>
      <c r="Q332">
        <f>IFERROR(VLOOKUP(Tabla1[[#This Row],[SISMED]],TblDisponibilidad[],21,FALSE), 0)</f>
        <v>0</v>
      </c>
      <c r="R332">
        <f>IFERROR(VLOOKUP(Tabla1[[#This Row],[SISMED]],TblDisponibilidad[],22,FALSE), 0)</f>
        <v>0</v>
      </c>
      <c r="S332" s="15">
        <f>IFERROR(VLOOKUP(Tabla1[[#This Row],[SISMED]],TblDisponibilidad[],23,FALSE), 0)</f>
        <v>0</v>
      </c>
    </row>
    <row r="333" spans="1:19" x14ac:dyDescent="0.3">
      <c r="A333" s="15" t="s">
        <v>363</v>
      </c>
      <c r="B333" t="str">
        <f>IFERROR(VLOOKUP(Tabla1[[#This Row],[SISMED]],TblDisponibilidad[],2,FALSE), "")</f>
        <v/>
      </c>
      <c r="C333">
        <f>IFERROR(VLOOKUP(Tabla1[[#This Row],[SISMED]],TblDisponibilidad[],7,FALSE), 0)</f>
        <v>0</v>
      </c>
      <c r="D333">
        <f>IFERROR(VLOOKUP(Tabla1[[#This Row],[SISMED]],TblDisponibilidad[],8,FALSE), 0)</f>
        <v>0</v>
      </c>
      <c r="E333">
        <f>IFERROR(VLOOKUP(Tabla1[[#This Row],[SISMED]],TblDisponibilidad[],9,FALSE), 0)</f>
        <v>0</v>
      </c>
      <c r="F333">
        <f>IFERROR(VLOOKUP(Tabla1[[#This Row],[SISMED]],TblDisponibilidad[],10,FALSE), 0)</f>
        <v>0</v>
      </c>
      <c r="G333">
        <f>IFERROR(VLOOKUP(Tabla1[[#This Row],[SISMED]],TblDisponibilidad[],11,FALSE), 0)</f>
        <v>0</v>
      </c>
      <c r="H333">
        <f>IFERROR(VLOOKUP(Tabla1[[#This Row],[SISMED]],TblDisponibilidad[],12,FALSE), 0)</f>
        <v>0</v>
      </c>
      <c r="I333">
        <f>IFERROR(VLOOKUP(Tabla1[[#This Row],[SISMED]],TblDisponibilidad[],13,FALSE), 0)</f>
        <v>0</v>
      </c>
      <c r="J333">
        <f>IFERROR(VLOOKUP(Tabla1[[#This Row],[SISMED]],TblDisponibilidad[],14,FALSE), 0)</f>
        <v>0</v>
      </c>
      <c r="K333">
        <f>IFERROR(VLOOKUP(Tabla1[[#This Row],[SISMED]],TblDisponibilidad[],15,FALSE), 0)</f>
        <v>0</v>
      </c>
      <c r="L333">
        <f>IFERROR(VLOOKUP(Tabla1[[#This Row],[SISMED]],TblDisponibilidad[],16,FALSE), 0)</f>
        <v>0</v>
      </c>
      <c r="M333">
        <f>IFERROR(VLOOKUP(Tabla1[[#This Row],[SISMED]],TblDisponibilidad[],17,FALSE), 0)</f>
        <v>0</v>
      </c>
      <c r="N333">
        <f>IFERROR(VLOOKUP(Tabla1[[#This Row],[SISMED]],TblDisponibilidad[],18,FALSE), 0)</f>
        <v>0</v>
      </c>
      <c r="O333">
        <f>IFERROR(VLOOKUP(Tabla1[[#This Row],[SISMED]],TblDisponibilidad[],19,FALSE), 0)</f>
        <v>0</v>
      </c>
      <c r="P333">
        <f>IFERROR(VLOOKUP(Tabla1[[#This Row],[SISMED]],TblDisponibilidad[],20,FALSE), 0)</f>
        <v>0</v>
      </c>
      <c r="Q333">
        <f>IFERROR(VLOOKUP(Tabla1[[#This Row],[SISMED]],TblDisponibilidad[],21,FALSE), 0)</f>
        <v>0</v>
      </c>
      <c r="R333">
        <f>IFERROR(VLOOKUP(Tabla1[[#This Row],[SISMED]],TblDisponibilidad[],22,FALSE), 0)</f>
        <v>0</v>
      </c>
      <c r="S333" s="15">
        <f>IFERROR(VLOOKUP(Tabla1[[#This Row],[SISMED]],TblDisponibilidad[],23,FALSE), 0)</f>
        <v>0</v>
      </c>
    </row>
    <row r="334" spans="1:19" x14ac:dyDescent="0.3">
      <c r="A334" s="15" t="s">
        <v>364</v>
      </c>
      <c r="B334" t="str">
        <f>IFERROR(VLOOKUP(Tabla1[[#This Row],[SISMED]],TblDisponibilidad[],2,FALSE), "")</f>
        <v/>
      </c>
      <c r="C334">
        <f>IFERROR(VLOOKUP(Tabla1[[#This Row],[SISMED]],TblDisponibilidad[],7,FALSE), 0)</f>
        <v>0</v>
      </c>
      <c r="D334">
        <f>IFERROR(VLOOKUP(Tabla1[[#This Row],[SISMED]],TblDisponibilidad[],8,FALSE), 0)</f>
        <v>0</v>
      </c>
      <c r="E334">
        <f>IFERROR(VLOOKUP(Tabla1[[#This Row],[SISMED]],TblDisponibilidad[],9,FALSE), 0)</f>
        <v>0</v>
      </c>
      <c r="F334">
        <f>IFERROR(VLOOKUP(Tabla1[[#This Row],[SISMED]],TblDisponibilidad[],10,FALSE), 0)</f>
        <v>0</v>
      </c>
      <c r="G334">
        <f>IFERROR(VLOOKUP(Tabla1[[#This Row],[SISMED]],TblDisponibilidad[],11,FALSE), 0)</f>
        <v>0</v>
      </c>
      <c r="H334">
        <f>IFERROR(VLOOKUP(Tabla1[[#This Row],[SISMED]],TblDisponibilidad[],12,FALSE), 0)</f>
        <v>0</v>
      </c>
      <c r="I334">
        <f>IFERROR(VLOOKUP(Tabla1[[#This Row],[SISMED]],TblDisponibilidad[],13,FALSE), 0)</f>
        <v>0</v>
      </c>
      <c r="J334">
        <f>IFERROR(VLOOKUP(Tabla1[[#This Row],[SISMED]],TblDisponibilidad[],14,FALSE), 0)</f>
        <v>0</v>
      </c>
      <c r="K334">
        <f>IFERROR(VLOOKUP(Tabla1[[#This Row],[SISMED]],TblDisponibilidad[],15,FALSE), 0)</f>
        <v>0</v>
      </c>
      <c r="L334">
        <f>IFERROR(VLOOKUP(Tabla1[[#This Row],[SISMED]],TblDisponibilidad[],16,FALSE), 0)</f>
        <v>0</v>
      </c>
      <c r="M334">
        <f>IFERROR(VLOOKUP(Tabla1[[#This Row],[SISMED]],TblDisponibilidad[],17,FALSE), 0)</f>
        <v>0</v>
      </c>
      <c r="N334">
        <f>IFERROR(VLOOKUP(Tabla1[[#This Row],[SISMED]],TblDisponibilidad[],18,FALSE), 0)</f>
        <v>0</v>
      </c>
      <c r="O334">
        <f>IFERROR(VLOOKUP(Tabla1[[#This Row],[SISMED]],TblDisponibilidad[],19,FALSE), 0)</f>
        <v>0</v>
      </c>
      <c r="P334">
        <f>IFERROR(VLOOKUP(Tabla1[[#This Row],[SISMED]],TblDisponibilidad[],20,FALSE), 0)</f>
        <v>0</v>
      </c>
      <c r="Q334">
        <f>IFERROR(VLOOKUP(Tabla1[[#This Row],[SISMED]],TblDisponibilidad[],21,FALSE), 0)</f>
        <v>0</v>
      </c>
      <c r="R334">
        <f>IFERROR(VLOOKUP(Tabla1[[#This Row],[SISMED]],TblDisponibilidad[],22,FALSE), 0)</f>
        <v>0</v>
      </c>
      <c r="S334" s="15">
        <f>IFERROR(VLOOKUP(Tabla1[[#This Row],[SISMED]],TblDisponibilidad[],23,FALSE), 0)</f>
        <v>0</v>
      </c>
    </row>
    <row r="335" spans="1:19" x14ac:dyDescent="0.3">
      <c r="A335" s="15" t="s">
        <v>365</v>
      </c>
      <c r="B335" t="str">
        <f>IFERROR(VLOOKUP(Tabla1[[#This Row],[SISMED]],TblDisponibilidad[],2,FALSE), "")</f>
        <v/>
      </c>
      <c r="C335">
        <f>IFERROR(VLOOKUP(Tabla1[[#This Row],[SISMED]],TblDisponibilidad[],7,FALSE), 0)</f>
        <v>0</v>
      </c>
      <c r="D335">
        <f>IFERROR(VLOOKUP(Tabla1[[#This Row],[SISMED]],TblDisponibilidad[],8,FALSE), 0)</f>
        <v>0</v>
      </c>
      <c r="E335">
        <f>IFERROR(VLOOKUP(Tabla1[[#This Row],[SISMED]],TblDisponibilidad[],9,FALSE), 0)</f>
        <v>0</v>
      </c>
      <c r="F335">
        <f>IFERROR(VLOOKUP(Tabla1[[#This Row],[SISMED]],TblDisponibilidad[],10,FALSE), 0)</f>
        <v>0</v>
      </c>
      <c r="G335">
        <f>IFERROR(VLOOKUP(Tabla1[[#This Row],[SISMED]],TblDisponibilidad[],11,FALSE), 0)</f>
        <v>0</v>
      </c>
      <c r="H335">
        <f>IFERROR(VLOOKUP(Tabla1[[#This Row],[SISMED]],TblDisponibilidad[],12,FALSE), 0)</f>
        <v>0</v>
      </c>
      <c r="I335">
        <f>IFERROR(VLOOKUP(Tabla1[[#This Row],[SISMED]],TblDisponibilidad[],13,FALSE), 0)</f>
        <v>0</v>
      </c>
      <c r="J335">
        <f>IFERROR(VLOOKUP(Tabla1[[#This Row],[SISMED]],TblDisponibilidad[],14,FALSE), 0)</f>
        <v>0</v>
      </c>
      <c r="K335">
        <f>IFERROR(VLOOKUP(Tabla1[[#This Row],[SISMED]],TblDisponibilidad[],15,FALSE), 0)</f>
        <v>0</v>
      </c>
      <c r="L335">
        <f>IFERROR(VLOOKUP(Tabla1[[#This Row],[SISMED]],TblDisponibilidad[],16,FALSE), 0)</f>
        <v>0</v>
      </c>
      <c r="M335">
        <f>IFERROR(VLOOKUP(Tabla1[[#This Row],[SISMED]],TblDisponibilidad[],17,FALSE), 0)</f>
        <v>0</v>
      </c>
      <c r="N335">
        <f>IFERROR(VLOOKUP(Tabla1[[#This Row],[SISMED]],TblDisponibilidad[],18,FALSE), 0)</f>
        <v>0</v>
      </c>
      <c r="O335">
        <f>IFERROR(VLOOKUP(Tabla1[[#This Row],[SISMED]],TblDisponibilidad[],19,FALSE), 0)</f>
        <v>0</v>
      </c>
      <c r="P335">
        <f>IFERROR(VLOOKUP(Tabla1[[#This Row],[SISMED]],TblDisponibilidad[],20,FALSE), 0)</f>
        <v>0</v>
      </c>
      <c r="Q335">
        <f>IFERROR(VLOOKUP(Tabla1[[#This Row],[SISMED]],TblDisponibilidad[],21,FALSE), 0)</f>
        <v>0</v>
      </c>
      <c r="R335">
        <f>IFERROR(VLOOKUP(Tabla1[[#This Row],[SISMED]],TblDisponibilidad[],22,FALSE), 0)</f>
        <v>0</v>
      </c>
      <c r="S335" s="15">
        <f>IFERROR(VLOOKUP(Tabla1[[#This Row],[SISMED]],TblDisponibilidad[],23,FALSE), 0)</f>
        <v>0</v>
      </c>
    </row>
    <row r="336" spans="1:19" x14ac:dyDescent="0.3">
      <c r="A336" s="15" t="s">
        <v>366</v>
      </c>
      <c r="B336" t="str">
        <f>IFERROR(VLOOKUP(Tabla1[[#This Row],[SISMED]],TblDisponibilidad[],2,FALSE), "")</f>
        <v/>
      </c>
      <c r="C336">
        <f>IFERROR(VLOOKUP(Tabla1[[#This Row],[SISMED]],TblDisponibilidad[],7,FALSE), 0)</f>
        <v>0</v>
      </c>
      <c r="D336">
        <f>IFERROR(VLOOKUP(Tabla1[[#This Row],[SISMED]],TblDisponibilidad[],8,FALSE), 0)</f>
        <v>0</v>
      </c>
      <c r="E336">
        <f>IFERROR(VLOOKUP(Tabla1[[#This Row],[SISMED]],TblDisponibilidad[],9,FALSE), 0)</f>
        <v>0</v>
      </c>
      <c r="F336">
        <f>IFERROR(VLOOKUP(Tabla1[[#This Row],[SISMED]],TblDisponibilidad[],10,FALSE), 0)</f>
        <v>0</v>
      </c>
      <c r="G336">
        <f>IFERROR(VLOOKUP(Tabla1[[#This Row],[SISMED]],TblDisponibilidad[],11,FALSE), 0)</f>
        <v>0</v>
      </c>
      <c r="H336">
        <f>IFERROR(VLOOKUP(Tabla1[[#This Row],[SISMED]],TblDisponibilidad[],12,FALSE), 0)</f>
        <v>0</v>
      </c>
      <c r="I336">
        <f>IFERROR(VLOOKUP(Tabla1[[#This Row],[SISMED]],TblDisponibilidad[],13,FALSE), 0)</f>
        <v>0</v>
      </c>
      <c r="J336">
        <f>IFERROR(VLOOKUP(Tabla1[[#This Row],[SISMED]],TblDisponibilidad[],14,FALSE), 0)</f>
        <v>0</v>
      </c>
      <c r="K336">
        <f>IFERROR(VLOOKUP(Tabla1[[#This Row],[SISMED]],TblDisponibilidad[],15,FALSE), 0)</f>
        <v>0</v>
      </c>
      <c r="L336">
        <f>IFERROR(VLOOKUP(Tabla1[[#This Row],[SISMED]],TblDisponibilidad[],16,FALSE), 0)</f>
        <v>0</v>
      </c>
      <c r="M336">
        <f>IFERROR(VLOOKUP(Tabla1[[#This Row],[SISMED]],TblDisponibilidad[],17,FALSE), 0)</f>
        <v>0</v>
      </c>
      <c r="N336">
        <f>IFERROR(VLOOKUP(Tabla1[[#This Row],[SISMED]],TblDisponibilidad[],18,FALSE), 0)</f>
        <v>0</v>
      </c>
      <c r="O336">
        <f>IFERROR(VLOOKUP(Tabla1[[#This Row],[SISMED]],TblDisponibilidad[],19,FALSE), 0)</f>
        <v>0</v>
      </c>
      <c r="P336">
        <f>IFERROR(VLOOKUP(Tabla1[[#This Row],[SISMED]],TblDisponibilidad[],20,FALSE), 0)</f>
        <v>0</v>
      </c>
      <c r="Q336">
        <f>IFERROR(VLOOKUP(Tabla1[[#This Row],[SISMED]],TblDisponibilidad[],21,FALSE), 0)</f>
        <v>0</v>
      </c>
      <c r="R336">
        <f>IFERROR(VLOOKUP(Tabla1[[#This Row],[SISMED]],TblDisponibilidad[],22,FALSE), 0)</f>
        <v>0</v>
      </c>
      <c r="S336" s="15">
        <f>IFERROR(VLOOKUP(Tabla1[[#This Row],[SISMED]],TblDisponibilidad[],23,FALSE), 0)</f>
        <v>0</v>
      </c>
    </row>
    <row r="337" spans="1:19" x14ac:dyDescent="0.3">
      <c r="A337" s="15" t="s">
        <v>367</v>
      </c>
      <c r="B337" t="str">
        <f>IFERROR(VLOOKUP(Tabla1[[#This Row],[SISMED]],TblDisponibilidad[],2,FALSE), "")</f>
        <v/>
      </c>
      <c r="C337">
        <f>IFERROR(VLOOKUP(Tabla1[[#This Row],[SISMED]],TblDisponibilidad[],7,FALSE), 0)</f>
        <v>0</v>
      </c>
      <c r="D337">
        <f>IFERROR(VLOOKUP(Tabla1[[#This Row],[SISMED]],TblDisponibilidad[],8,FALSE), 0)</f>
        <v>0</v>
      </c>
      <c r="E337">
        <f>IFERROR(VLOOKUP(Tabla1[[#This Row],[SISMED]],TblDisponibilidad[],9,FALSE), 0)</f>
        <v>0</v>
      </c>
      <c r="F337">
        <f>IFERROR(VLOOKUP(Tabla1[[#This Row],[SISMED]],TblDisponibilidad[],10,FALSE), 0)</f>
        <v>0</v>
      </c>
      <c r="G337">
        <f>IFERROR(VLOOKUP(Tabla1[[#This Row],[SISMED]],TblDisponibilidad[],11,FALSE), 0)</f>
        <v>0</v>
      </c>
      <c r="H337">
        <f>IFERROR(VLOOKUP(Tabla1[[#This Row],[SISMED]],TblDisponibilidad[],12,FALSE), 0)</f>
        <v>0</v>
      </c>
      <c r="I337">
        <f>IFERROR(VLOOKUP(Tabla1[[#This Row],[SISMED]],TblDisponibilidad[],13,FALSE), 0)</f>
        <v>0</v>
      </c>
      <c r="J337">
        <f>IFERROR(VLOOKUP(Tabla1[[#This Row],[SISMED]],TblDisponibilidad[],14,FALSE), 0)</f>
        <v>0</v>
      </c>
      <c r="K337">
        <f>IFERROR(VLOOKUP(Tabla1[[#This Row],[SISMED]],TblDisponibilidad[],15,FALSE), 0)</f>
        <v>0</v>
      </c>
      <c r="L337">
        <f>IFERROR(VLOOKUP(Tabla1[[#This Row],[SISMED]],TblDisponibilidad[],16,FALSE), 0)</f>
        <v>0</v>
      </c>
      <c r="M337">
        <f>IFERROR(VLOOKUP(Tabla1[[#This Row],[SISMED]],TblDisponibilidad[],17,FALSE), 0)</f>
        <v>0</v>
      </c>
      <c r="N337">
        <f>IFERROR(VLOOKUP(Tabla1[[#This Row],[SISMED]],TblDisponibilidad[],18,FALSE), 0)</f>
        <v>0</v>
      </c>
      <c r="O337">
        <f>IFERROR(VLOOKUP(Tabla1[[#This Row],[SISMED]],TblDisponibilidad[],19,FALSE), 0)</f>
        <v>0</v>
      </c>
      <c r="P337">
        <f>IFERROR(VLOOKUP(Tabla1[[#This Row],[SISMED]],TblDisponibilidad[],20,FALSE), 0)</f>
        <v>0</v>
      </c>
      <c r="Q337">
        <f>IFERROR(VLOOKUP(Tabla1[[#This Row],[SISMED]],TblDisponibilidad[],21,FALSE), 0)</f>
        <v>0</v>
      </c>
      <c r="R337">
        <f>IFERROR(VLOOKUP(Tabla1[[#This Row],[SISMED]],TblDisponibilidad[],22,FALSE), 0)</f>
        <v>0</v>
      </c>
      <c r="S337" s="15">
        <f>IFERROR(VLOOKUP(Tabla1[[#This Row],[SISMED]],TblDisponibilidad[],23,FALSE), 0)</f>
        <v>0</v>
      </c>
    </row>
    <row r="338" spans="1:19" x14ac:dyDescent="0.3">
      <c r="A338" s="15" t="s">
        <v>368</v>
      </c>
      <c r="B338" t="str">
        <f>IFERROR(VLOOKUP(Tabla1[[#This Row],[SISMED]],TblDisponibilidad[],2,FALSE), "")</f>
        <v/>
      </c>
      <c r="C338">
        <f>IFERROR(VLOOKUP(Tabla1[[#This Row],[SISMED]],TblDisponibilidad[],7,FALSE), 0)</f>
        <v>0</v>
      </c>
      <c r="D338">
        <f>IFERROR(VLOOKUP(Tabla1[[#This Row],[SISMED]],TblDisponibilidad[],8,FALSE), 0)</f>
        <v>0</v>
      </c>
      <c r="E338">
        <f>IFERROR(VLOOKUP(Tabla1[[#This Row],[SISMED]],TblDisponibilidad[],9,FALSE), 0)</f>
        <v>0</v>
      </c>
      <c r="F338">
        <f>IFERROR(VLOOKUP(Tabla1[[#This Row],[SISMED]],TblDisponibilidad[],10,FALSE), 0)</f>
        <v>0</v>
      </c>
      <c r="G338">
        <f>IFERROR(VLOOKUP(Tabla1[[#This Row],[SISMED]],TblDisponibilidad[],11,FALSE), 0)</f>
        <v>0</v>
      </c>
      <c r="H338">
        <f>IFERROR(VLOOKUP(Tabla1[[#This Row],[SISMED]],TblDisponibilidad[],12,FALSE), 0)</f>
        <v>0</v>
      </c>
      <c r="I338">
        <f>IFERROR(VLOOKUP(Tabla1[[#This Row],[SISMED]],TblDisponibilidad[],13,FALSE), 0)</f>
        <v>0</v>
      </c>
      <c r="J338">
        <f>IFERROR(VLOOKUP(Tabla1[[#This Row],[SISMED]],TblDisponibilidad[],14,FALSE), 0)</f>
        <v>0</v>
      </c>
      <c r="K338">
        <f>IFERROR(VLOOKUP(Tabla1[[#This Row],[SISMED]],TblDisponibilidad[],15,FALSE), 0)</f>
        <v>0</v>
      </c>
      <c r="L338">
        <f>IFERROR(VLOOKUP(Tabla1[[#This Row],[SISMED]],TblDisponibilidad[],16,FALSE), 0)</f>
        <v>0</v>
      </c>
      <c r="M338">
        <f>IFERROR(VLOOKUP(Tabla1[[#This Row],[SISMED]],TblDisponibilidad[],17,FALSE), 0)</f>
        <v>0</v>
      </c>
      <c r="N338">
        <f>IFERROR(VLOOKUP(Tabla1[[#This Row],[SISMED]],TblDisponibilidad[],18,FALSE), 0)</f>
        <v>0</v>
      </c>
      <c r="O338">
        <f>IFERROR(VLOOKUP(Tabla1[[#This Row],[SISMED]],TblDisponibilidad[],19,FALSE), 0)</f>
        <v>0</v>
      </c>
      <c r="P338">
        <f>IFERROR(VLOOKUP(Tabla1[[#This Row],[SISMED]],TblDisponibilidad[],20,FALSE), 0)</f>
        <v>0</v>
      </c>
      <c r="Q338">
        <f>IFERROR(VLOOKUP(Tabla1[[#This Row],[SISMED]],TblDisponibilidad[],21,FALSE), 0)</f>
        <v>0</v>
      </c>
      <c r="R338">
        <f>IFERROR(VLOOKUP(Tabla1[[#This Row],[SISMED]],TblDisponibilidad[],22,FALSE), 0)</f>
        <v>0</v>
      </c>
      <c r="S338" s="15">
        <f>IFERROR(VLOOKUP(Tabla1[[#This Row],[SISMED]],TblDisponibilidad[],23,FALSE), 0)</f>
        <v>0</v>
      </c>
    </row>
    <row r="339" spans="1:19" x14ac:dyDescent="0.3">
      <c r="A339" s="15" t="s">
        <v>369</v>
      </c>
      <c r="B339" t="str">
        <f>IFERROR(VLOOKUP(Tabla1[[#This Row],[SISMED]],TblDisponibilidad[],2,FALSE), "")</f>
        <v/>
      </c>
      <c r="C339">
        <f>IFERROR(VLOOKUP(Tabla1[[#This Row],[SISMED]],TblDisponibilidad[],7,FALSE), 0)</f>
        <v>0</v>
      </c>
      <c r="D339">
        <f>IFERROR(VLOOKUP(Tabla1[[#This Row],[SISMED]],TblDisponibilidad[],8,FALSE), 0)</f>
        <v>0</v>
      </c>
      <c r="E339">
        <f>IFERROR(VLOOKUP(Tabla1[[#This Row],[SISMED]],TblDisponibilidad[],9,FALSE), 0)</f>
        <v>0</v>
      </c>
      <c r="F339">
        <f>IFERROR(VLOOKUP(Tabla1[[#This Row],[SISMED]],TblDisponibilidad[],10,FALSE), 0)</f>
        <v>0</v>
      </c>
      <c r="G339">
        <f>IFERROR(VLOOKUP(Tabla1[[#This Row],[SISMED]],TblDisponibilidad[],11,FALSE), 0)</f>
        <v>0</v>
      </c>
      <c r="H339">
        <f>IFERROR(VLOOKUP(Tabla1[[#This Row],[SISMED]],TblDisponibilidad[],12,FALSE), 0)</f>
        <v>0</v>
      </c>
      <c r="I339">
        <f>IFERROR(VLOOKUP(Tabla1[[#This Row],[SISMED]],TblDisponibilidad[],13,FALSE), 0)</f>
        <v>0</v>
      </c>
      <c r="J339">
        <f>IFERROR(VLOOKUP(Tabla1[[#This Row],[SISMED]],TblDisponibilidad[],14,FALSE), 0)</f>
        <v>0</v>
      </c>
      <c r="K339">
        <f>IFERROR(VLOOKUP(Tabla1[[#This Row],[SISMED]],TblDisponibilidad[],15,FALSE), 0)</f>
        <v>0</v>
      </c>
      <c r="L339">
        <f>IFERROR(VLOOKUP(Tabla1[[#This Row],[SISMED]],TblDisponibilidad[],16,FALSE), 0)</f>
        <v>0</v>
      </c>
      <c r="M339">
        <f>IFERROR(VLOOKUP(Tabla1[[#This Row],[SISMED]],TblDisponibilidad[],17,FALSE), 0)</f>
        <v>0</v>
      </c>
      <c r="N339">
        <f>IFERROR(VLOOKUP(Tabla1[[#This Row],[SISMED]],TblDisponibilidad[],18,FALSE), 0)</f>
        <v>0</v>
      </c>
      <c r="O339">
        <f>IFERROR(VLOOKUP(Tabla1[[#This Row],[SISMED]],TblDisponibilidad[],19,FALSE), 0)</f>
        <v>0</v>
      </c>
      <c r="P339">
        <f>IFERROR(VLOOKUP(Tabla1[[#This Row],[SISMED]],TblDisponibilidad[],20,FALSE), 0)</f>
        <v>0</v>
      </c>
      <c r="Q339">
        <f>IFERROR(VLOOKUP(Tabla1[[#This Row],[SISMED]],TblDisponibilidad[],21,FALSE), 0)</f>
        <v>0</v>
      </c>
      <c r="R339">
        <f>IFERROR(VLOOKUP(Tabla1[[#This Row],[SISMED]],TblDisponibilidad[],22,FALSE), 0)</f>
        <v>0</v>
      </c>
      <c r="S339" s="15">
        <f>IFERROR(VLOOKUP(Tabla1[[#This Row],[SISMED]],TblDisponibilidad[],23,FALSE), 0)</f>
        <v>0</v>
      </c>
    </row>
    <row r="340" spans="1:19" x14ac:dyDescent="0.3">
      <c r="A340" s="15" t="s">
        <v>370</v>
      </c>
      <c r="B340" t="str">
        <f>IFERROR(VLOOKUP(Tabla1[[#This Row],[SISMED]],TblDisponibilidad[],2,FALSE), "")</f>
        <v/>
      </c>
      <c r="C340">
        <f>IFERROR(VLOOKUP(Tabla1[[#This Row],[SISMED]],TblDisponibilidad[],7,FALSE), 0)</f>
        <v>0</v>
      </c>
      <c r="D340">
        <f>IFERROR(VLOOKUP(Tabla1[[#This Row],[SISMED]],TblDisponibilidad[],8,FALSE), 0)</f>
        <v>0</v>
      </c>
      <c r="E340">
        <f>IFERROR(VLOOKUP(Tabla1[[#This Row],[SISMED]],TblDisponibilidad[],9,FALSE), 0)</f>
        <v>0</v>
      </c>
      <c r="F340">
        <f>IFERROR(VLOOKUP(Tabla1[[#This Row],[SISMED]],TblDisponibilidad[],10,FALSE), 0)</f>
        <v>0</v>
      </c>
      <c r="G340">
        <f>IFERROR(VLOOKUP(Tabla1[[#This Row],[SISMED]],TblDisponibilidad[],11,FALSE), 0)</f>
        <v>0</v>
      </c>
      <c r="H340">
        <f>IFERROR(VLOOKUP(Tabla1[[#This Row],[SISMED]],TblDisponibilidad[],12,FALSE), 0)</f>
        <v>0</v>
      </c>
      <c r="I340">
        <f>IFERROR(VLOOKUP(Tabla1[[#This Row],[SISMED]],TblDisponibilidad[],13,FALSE), 0)</f>
        <v>0</v>
      </c>
      <c r="J340">
        <f>IFERROR(VLOOKUP(Tabla1[[#This Row],[SISMED]],TblDisponibilidad[],14,FALSE), 0)</f>
        <v>0</v>
      </c>
      <c r="K340">
        <f>IFERROR(VLOOKUP(Tabla1[[#This Row],[SISMED]],TblDisponibilidad[],15,FALSE), 0)</f>
        <v>0</v>
      </c>
      <c r="L340">
        <f>IFERROR(VLOOKUP(Tabla1[[#This Row],[SISMED]],TblDisponibilidad[],16,FALSE), 0)</f>
        <v>0</v>
      </c>
      <c r="M340">
        <f>IFERROR(VLOOKUP(Tabla1[[#This Row],[SISMED]],TblDisponibilidad[],17,FALSE), 0)</f>
        <v>0</v>
      </c>
      <c r="N340">
        <f>IFERROR(VLOOKUP(Tabla1[[#This Row],[SISMED]],TblDisponibilidad[],18,FALSE), 0)</f>
        <v>0</v>
      </c>
      <c r="O340">
        <f>IFERROR(VLOOKUP(Tabla1[[#This Row],[SISMED]],TblDisponibilidad[],19,FALSE), 0)</f>
        <v>0</v>
      </c>
      <c r="P340">
        <f>IFERROR(VLOOKUP(Tabla1[[#This Row],[SISMED]],TblDisponibilidad[],20,FALSE), 0)</f>
        <v>0</v>
      </c>
      <c r="Q340">
        <f>IFERROR(VLOOKUP(Tabla1[[#This Row],[SISMED]],TblDisponibilidad[],21,FALSE), 0)</f>
        <v>0</v>
      </c>
      <c r="R340">
        <f>IFERROR(VLOOKUP(Tabla1[[#This Row],[SISMED]],TblDisponibilidad[],22,FALSE), 0)</f>
        <v>0</v>
      </c>
      <c r="S340" s="15">
        <f>IFERROR(VLOOKUP(Tabla1[[#This Row],[SISMED]],TblDisponibilidad[],23,FALSE), 0)</f>
        <v>0</v>
      </c>
    </row>
    <row r="341" spans="1:19" x14ac:dyDescent="0.3">
      <c r="A341" s="15" t="s">
        <v>371</v>
      </c>
      <c r="B341" t="str">
        <f>IFERROR(VLOOKUP(Tabla1[[#This Row],[SISMED]],TblDisponibilidad[],2,FALSE), "")</f>
        <v/>
      </c>
      <c r="C341">
        <f>IFERROR(VLOOKUP(Tabla1[[#This Row],[SISMED]],TblDisponibilidad[],7,FALSE), 0)</f>
        <v>0</v>
      </c>
      <c r="D341">
        <f>IFERROR(VLOOKUP(Tabla1[[#This Row],[SISMED]],TblDisponibilidad[],8,FALSE), 0)</f>
        <v>0</v>
      </c>
      <c r="E341">
        <f>IFERROR(VLOOKUP(Tabla1[[#This Row],[SISMED]],TblDisponibilidad[],9,FALSE), 0)</f>
        <v>0</v>
      </c>
      <c r="F341">
        <f>IFERROR(VLOOKUP(Tabla1[[#This Row],[SISMED]],TblDisponibilidad[],10,FALSE), 0)</f>
        <v>0</v>
      </c>
      <c r="G341">
        <f>IFERROR(VLOOKUP(Tabla1[[#This Row],[SISMED]],TblDisponibilidad[],11,FALSE), 0)</f>
        <v>0</v>
      </c>
      <c r="H341">
        <f>IFERROR(VLOOKUP(Tabla1[[#This Row],[SISMED]],TblDisponibilidad[],12,FALSE), 0)</f>
        <v>0</v>
      </c>
      <c r="I341">
        <f>IFERROR(VLOOKUP(Tabla1[[#This Row],[SISMED]],TblDisponibilidad[],13,FALSE), 0)</f>
        <v>0</v>
      </c>
      <c r="J341">
        <f>IFERROR(VLOOKUP(Tabla1[[#This Row],[SISMED]],TblDisponibilidad[],14,FALSE), 0)</f>
        <v>0</v>
      </c>
      <c r="K341">
        <f>IFERROR(VLOOKUP(Tabla1[[#This Row],[SISMED]],TblDisponibilidad[],15,FALSE), 0)</f>
        <v>0</v>
      </c>
      <c r="L341">
        <f>IFERROR(VLOOKUP(Tabla1[[#This Row],[SISMED]],TblDisponibilidad[],16,FALSE), 0)</f>
        <v>0</v>
      </c>
      <c r="M341">
        <f>IFERROR(VLOOKUP(Tabla1[[#This Row],[SISMED]],TblDisponibilidad[],17,FALSE), 0)</f>
        <v>0</v>
      </c>
      <c r="N341">
        <f>IFERROR(VLOOKUP(Tabla1[[#This Row],[SISMED]],TblDisponibilidad[],18,FALSE), 0)</f>
        <v>0</v>
      </c>
      <c r="O341">
        <f>IFERROR(VLOOKUP(Tabla1[[#This Row],[SISMED]],TblDisponibilidad[],19,FALSE), 0)</f>
        <v>0</v>
      </c>
      <c r="P341">
        <f>IFERROR(VLOOKUP(Tabla1[[#This Row],[SISMED]],TblDisponibilidad[],20,FALSE), 0)</f>
        <v>0</v>
      </c>
      <c r="Q341">
        <f>IFERROR(VLOOKUP(Tabla1[[#This Row],[SISMED]],TblDisponibilidad[],21,FALSE), 0)</f>
        <v>0</v>
      </c>
      <c r="R341">
        <f>IFERROR(VLOOKUP(Tabla1[[#This Row],[SISMED]],TblDisponibilidad[],22,FALSE), 0)</f>
        <v>0</v>
      </c>
      <c r="S341" s="15">
        <f>IFERROR(VLOOKUP(Tabla1[[#This Row],[SISMED]],TblDisponibilidad[],23,FALSE), 0)</f>
        <v>0</v>
      </c>
    </row>
    <row r="342" spans="1:19" x14ac:dyDescent="0.3">
      <c r="A342" s="15" t="s">
        <v>372</v>
      </c>
      <c r="B342" t="str">
        <f>IFERROR(VLOOKUP(Tabla1[[#This Row],[SISMED]],TblDisponibilidad[],2,FALSE), "")</f>
        <v/>
      </c>
      <c r="C342">
        <f>IFERROR(VLOOKUP(Tabla1[[#This Row],[SISMED]],TblDisponibilidad[],7,FALSE), 0)</f>
        <v>0</v>
      </c>
      <c r="D342">
        <f>IFERROR(VLOOKUP(Tabla1[[#This Row],[SISMED]],TblDisponibilidad[],8,FALSE), 0)</f>
        <v>0</v>
      </c>
      <c r="E342">
        <f>IFERROR(VLOOKUP(Tabla1[[#This Row],[SISMED]],TblDisponibilidad[],9,FALSE), 0)</f>
        <v>0</v>
      </c>
      <c r="F342">
        <f>IFERROR(VLOOKUP(Tabla1[[#This Row],[SISMED]],TblDisponibilidad[],10,FALSE), 0)</f>
        <v>0</v>
      </c>
      <c r="G342">
        <f>IFERROR(VLOOKUP(Tabla1[[#This Row],[SISMED]],TblDisponibilidad[],11,FALSE), 0)</f>
        <v>0</v>
      </c>
      <c r="H342">
        <f>IFERROR(VLOOKUP(Tabla1[[#This Row],[SISMED]],TblDisponibilidad[],12,FALSE), 0)</f>
        <v>0</v>
      </c>
      <c r="I342">
        <f>IFERROR(VLOOKUP(Tabla1[[#This Row],[SISMED]],TblDisponibilidad[],13,FALSE), 0)</f>
        <v>0</v>
      </c>
      <c r="J342">
        <f>IFERROR(VLOOKUP(Tabla1[[#This Row],[SISMED]],TblDisponibilidad[],14,FALSE), 0)</f>
        <v>0</v>
      </c>
      <c r="K342">
        <f>IFERROR(VLOOKUP(Tabla1[[#This Row],[SISMED]],TblDisponibilidad[],15,FALSE), 0)</f>
        <v>0</v>
      </c>
      <c r="L342">
        <f>IFERROR(VLOOKUP(Tabla1[[#This Row],[SISMED]],TblDisponibilidad[],16,FALSE), 0)</f>
        <v>0</v>
      </c>
      <c r="M342">
        <f>IFERROR(VLOOKUP(Tabla1[[#This Row],[SISMED]],TblDisponibilidad[],17,FALSE), 0)</f>
        <v>0</v>
      </c>
      <c r="N342">
        <f>IFERROR(VLOOKUP(Tabla1[[#This Row],[SISMED]],TblDisponibilidad[],18,FALSE), 0)</f>
        <v>0</v>
      </c>
      <c r="O342">
        <f>IFERROR(VLOOKUP(Tabla1[[#This Row],[SISMED]],TblDisponibilidad[],19,FALSE), 0)</f>
        <v>0</v>
      </c>
      <c r="P342">
        <f>IFERROR(VLOOKUP(Tabla1[[#This Row],[SISMED]],TblDisponibilidad[],20,FALSE), 0)</f>
        <v>0</v>
      </c>
      <c r="Q342">
        <f>IFERROR(VLOOKUP(Tabla1[[#This Row],[SISMED]],TblDisponibilidad[],21,FALSE), 0)</f>
        <v>0</v>
      </c>
      <c r="R342">
        <f>IFERROR(VLOOKUP(Tabla1[[#This Row],[SISMED]],TblDisponibilidad[],22,FALSE), 0)</f>
        <v>0</v>
      </c>
      <c r="S342" s="15">
        <f>IFERROR(VLOOKUP(Tabla1[[#This Row],[SISMED]],TblDisponibilidad[],23,FALSE), 0)</f>
        <v>0</v>
      </c>
    </row>
    <row r="343" spans="1:19" x14ac:dyDescent="0.3">
      <c r="A343" s="15" t="s">
        <v>373</v>
      </c>
      <c r="B343" t="str">
        <f>IFERROR(VLOOKUP(Tabla1[[#This Row],[SISMED]],TblDisponibilidad[],2,FALSE), "")</f>
        <v/>
      </c>
      <c r="C343">
        <f>IFERROR(VLOOKUP(Tabla1[[#This Row],[SISMED]],TblDisponibilidad[],7,FALSE), 0)</f>
        <v>0</v>
      </c>
      <c r="D343">
        <f>IFERROR(VLOOKUP(Tabla1[[#This Row],[SISMED]],TblDisponibilidad[],8,FALSE), 0)</f>
        <v>0</v>
      </c>
      <c r="E343">
        <f>IFERROR(VLOOKUP(Tabla1[[#This Row],[SISMED]],TblDisponibilidad[],9,FALSE), 0)</f>
        <v>0</v>
      </c>
      <c r="F343">
        <f>IFERROR(VLOOKUP(Tabla1[[#This Row],[SISMED]],TblDisponibilidad[],10,FALSE), 0)</f>
        <v>0</v>
      </c>
      <c r="G343">
        <f>IFERROR(VLOOKUP(Tabla1[[#This Row],[SISMED]],TblDisponibilidad[],11,FALSE), 0)</f>
        <v>0</v>
      </c>
      <c r="H343">
        <f>IFERROR(VLOOKUP(Tabla1[[#This Row],[SISMED]],TblDisponibilidad[],12,FALSE), 0)</f>
        <v>0</v>
      </c>
      <c r="I343">
        <f>IFERROR(VLOOKUP(Tabla1[[#This Row],[SISMED]],TblDisponibilidad[],13,FALSE), 0)</f>
        <v>0</v>
      </c>
      <c r="J343">
        <f>IFERROR(VLOOKUP(Tabla1[[#This Row],[SISMED]],TblDisponibilidad[],14,FALSE), 0)</f>
        <v>0</v>
      </c>
      <c r="K343">
        <f>IFERROR(VLOOKUP(Tabla1[[#This Row],[SISMED]],TblDisponibilidad[],15,FALSE), 0)</f>
        <v>0</v>
      </c>
      <c r="L343">
        <f>IFERROR(VLOOKUP(Tabla1[[#This Row],[SISMED]],TblDisponibilidad[],16,FALSE), 0)</f>
        <v>0</v>
      </c>
      <c r="M343">
        <f>IFERROR(VLOOKUP(Tabla1[[#This Row],[SISMED]],TblDisponibilidad[],17,FALSE), 0)</f>
        <v>0</v>
      </c>
      <c r="N343">
        <f>IFERROR(VLOOKUP(Tabla1[[#This Row],[SISMED]],TblDisponibilidad[],18,FALSE), 0)</f>
        <v>0</v>
      </c>
      <c r="O343">
        <f>IFERROR(VLOOKUP(Tabla1[[#This Row],[SISMED]],TblDisponibilidad[],19,FALSE), 0)</f>
        <v>0</v>
      </c>
      <c r="P343">
        <f>IFERROR(VLOOKUP(Tabla1[[#This Row],[SISMED]],TblDisponibilidad[],20,FALSE), 0)</f>
        <v>0</v>
      </c>
      <c r="Q343">
        <f>IFERROR(VLOOKUP(Tabla1[[#This Row],[SISMED]],TblDisponibilidad[],21,FALSE), 0)</f>
        <v>0</v>
      </c>
      <c r="R343">
        <f>IFERROR(VLOOKUP(Tabla1[[#This Row],[SISMED]],TblDisponibilidad[],22,FALSE), 0)</f>
        <v>0</v>
      </c>
      <c r="S343" s="15">
        <f>IFERROR(VLOOKUP(Tabla1[[#This Row],[SISMED]],TblDisponibilidad[],23,FALSE), 0)</f>
        <v>0</v>
      </c>
    </row>
    <row r="344" spans="1:19" x14ac:dyDescent="0.3">
      <c r="A344" s="15" t="s">
        <v>374</v>
      </c>
      <c r="B344" t="str">
        <f>IFERROR(VLOOKUP(Tabla1[[#This Row],[SISMED]],TblDisponibilidad[],2,FALSE), "")</f>
        <v/>
      </c>
      <c r="C344">
        <f>IFERROR(VLOOKUP(Tabla1[[#This Row],[SISMED]],TblDisponibilidad[],7,FALSE), 0)</f>
        <v>0</v>
      </c>
      <c r="D344">
        <f>IFERROR(VLOOKUP(Tabla1[[#This Row],[SISMED]],TblDisponibilidad[],8,FALSE), 0)</f>
        <v>0</v>
      </c>
      <c r="E344">
        <f>IFERROR(VLOOKUP(Tabla1[[#This Row],[SISMED]],TblDisponibilidad[],9,FALSE), 0)</f>
        <v>0</v>
      </c>
      <c r="F344">
        <f>IFERROR(VLOOKUP(Tabla1[[#This Row],[SISMED]],TblDisponibilidad[],10,FALSE), 0)</f>
        <v>0</v>
      </c>
      <c r="G344">
        <f>IFERROR(VLOOKUP(Tabla1[[#This Row],[SISMED]],TblDisponibilidad[],11,FALSE), 0)</f>
        <v>0</v>
      </c>
      <c r="H344">
        <f>IFERROR(VLOOKUP(Tabla1[[#This Row],[SISMED]],TblDisponibilidad[],12,FALSE), 0)</f>
        <v>0</v>
      </c>
      <c r="I344">
        <f>IFERROR(VLOOKUP(Tabla1[[#This Row],[SISMED]],TblDisponibilidad[],13,FALSE), 0)</f>
        <v>0</v>
      </c>
      <c r="J344">
        <f>IFERROR(VLOOKUP(Tabla1[[#This Row],[SISMED]],TblDisponibilidad[],14,FALSE), 0)</f>
        <v>0</v>
      </c>
      <c r="K344">
        <f>IFERROR(VLOOKUP(Tabla1[[#This Row],[SISMED]],TblDisponibilidad[],15,FALSE), 0)</f>
        <v>0</v>
      </c>
      <c r="L344">
        <f>IFERROR(VLOOKUP(Tabla1[[#This Row],[SISMED]],TblDisponibilidad[],16,FALSE), 0)</f>
        <v>0</v>
      </c>
      <c r="M344">
        <f>IFERROR(VLOOKUP(Tabla1[[#This Row],[SISMED]],TblDisponibilidad[],17,FALSE), 0)</f>
        <v>0</v>
      </c>
      <c r="N344">
        <f>IFERROR(VLOOKUP(Tabla1[[#This Row],[SISMED]],TblDisponibilidad[],18,FALSE), 0)</f>
        <v>0</v>
      </c>
      <c r="O344">
        <f>IFERROR(VLOOKUP(Tabla1[[#This Row],[SISMED]],TblDisponibilidad[],19,FALSE), 0)</f>
        <v>0</v>
      </c>
      <c r="P344">
        <f>IFERROR(VLOOKUP(Tabla1[[#This Row],[SISMED]],TblDisponibilidad[],20,FALSE), 0)</f>
        <v>0</v>
      </c>
      <c r="Q344">
        <f>IFERROR(VLOOKUP(Tabla1[[#This Row],[SISMED]],TblDisponibilidad[],21,FALSE), 0)</f>
        <v>0</v>
      </c>
      <c r="R344">
        <f>IFERROR(VLOOKUP(Tabla1[[#This Row],[SISMED]],TblDisponibilidad[],22,FALSE), 0)</f>
        <v>0</v>
      </c>
      <c r="S344" s="15">
        <f>IFERROR(VLOOKUP(Tabla1[[#This Row],[SISMED]],TblDisponibilidad[],23,FALSE), 0)</f>
        <v>0</v>
      </c>
    </row>
    <row r="345" spans="1:19" x14ac:dyDescent="0.3">
      <c r="A345" s="15" t="s">
        <v>375</v>
      </c>
      <c r="B345" t="str">
        <f>IFERROR(VLOOKUP(Tabla1[[#This Row],[SISMED]],TblDisponibilidad[],2,FALSE), "")</f>
        <v/>
      </c>
      <c r="C345">
        <f>IFERROR(VLOOKUP(Tabla1[[#This Row],[SISMED]],TblDisponibilidad[],7,FALSE), 0)</f>
        <v>0</v>
      </c>
      <c r="D345">
        <f>IFERROR(VLOOKUP(Tabla1[[#This Row],[SISMED]],TblDisponibilidad[],8,FALSE), 0)</f>
        <v>0</v>
      </c>
      <c r="E345">
        <f>IFERROR(VLOOKUP(Tabla1[[#This Row],[SISMED]],TblDisponibilidad[],9,FALSE), 0)</f>
        <v>0</v>
      </c>
      <c r="F345">
        <f>IFERROR(VLOOKUP(Tabla1[[#This Row],[SISMED]],TblDisponibilidad[],10,FALSE), 0)</f>
        <v>0</v>
      </c>
      <c r="G345">
        <f>IFERROR(VLOOKUP(Tabla1[[#This Row],[SISMED]],TblDisponibilidad[],11,FALSE), 0)</f>
        <v>0</v>
      </c>
      <c r="H345">
        <f>IFERROR(VLOOKUP(Tabla1[[#This Row],[SISMED]],TblDisponibilidad[],12,FALSE), 0)</f>
        <v>0</v>
      </c>
      <c r="I345">
        <f>IFERROR(VLOOKUP(Tabla1[[#This Row],[SISMED]],TblDisponibilidad[],13,FALSE), 0)</f>
        <v>0</v>
      </c>
      <c r="J345">
        <f>IFERROR(VLOOKUP(Tabla1[[#This Row],[SISMED]],TblDisponibilidad[],14,FALSE), 0)</f>
        <v>0</v>
      </c>
      <c r="K345">
        <f>IFERROR(VLOOKUP(Tabla1[[#This Row],[SISMED]],TblDisponibilidad[],15,FALSE), 0)</f>
        <v>0</v>
      </c>
      <c r="L345">
        <f>IFERROR(VLOOKUP(Tabla1[[#This Row],[SISMED]],TblDisponibilidad[],16,FALSE), 0)</f>
        <v>0</v>
      </c>
      <c r="M345">
        <f>IFERROR(VLOOKUP(Tabla1[[#This Row],[SISMED]],TblDisponibilidad[],17,FALSE), 0)</f>
        <v>0</v>
      </c>
      <c r="N345">
        <f>IFERROR(VLOOKUP(Tabla1[[#This Row],[SISMED]],TblDisponibilidad[],18,FALSE), 0)</f>
        <v>0</v>
      </c>
      <c r="O345">
        <f>IFERROR(VLOOKUP(Tabla1[[#This Row],[SISMED]],TblDisponibilidad[],19,FALSE), 0)</f>
        <v>0</v>
      </c>
      <c r="P345">
        <f>IFERROR(VLOOKUP(Tabla1[[#This Row],[SISMED]],TblDisponibilidad[],20,FALSE), 0)</f>
        <v>0</v>
      </c>
      <c r="Q345">
        <f>IFERROR(VLOOKUP(Tabla1[[#This Row],[SISMED]],TblDisponibilidad[],21,FALSE), 0)</f>
        <v>0</v>
      </c>
      <c r="R345">
        <f>IFERROR(VLOOKUP(Tabla1[[#This Row],[SISMED]],TblDisponibilidad[],22,FALSE), 0)</f>
        <v>0</v>
      </c>
      <c r="S345" s="15">
        <f>IFERROR(VLOOKUP(Tabla1[[#This Row],[SISMED]],TblDisponibilidad[],23,FALSE), 0)</f>
        <v>0</v>
      </c>
    </row>
    <row r="346" spans="1:19" x14ac:dyDescent="0.3">
      <c r="A346" s="15" t="s">
        <v>376</v>
      </c>
      <c r="B346" t="str">
        <f>IFERROR(VLOOKUP(Tabla1[[#This Row],[SISMED]],TblDisponibilidad[],2,FALSE), "")</f>
        <v/>
      </c>
      <c r="C346">
        <f>IFERROR(VLOOKUP(Tabla1[[#This Row],[SISMED]],TblDisponibilidad[],7,FALSE), 0)</f>
        <v>0</v>
      </c>
      <c r="D346">
        <f>IFERROR(VLOOKUP(Tabla1[[#This Row],[SISMED]],TblDisponibilidad[],8,FALSE), 0)</f>
        <v>0</v>
      </c>
      <c r="E346">
        <f>IFERROR(VLOOKUP(Tabla1[[#This Row],[SISMED]],TblDisponibilidad[],9,FALSE), 0)</f>
        <v>0</v>
      </c>
      <c r="F346">
        <f>IFERROR(VLOOKUP(Tabla1[[#This Row],[SISMED]],TblDisponibilidad[],10,FALSE), 0)</f>
        <v>0</v>
      </c>
      <c r="G346">
        <f>IFERROR(VLOOKUP(Tabla1[[#This Row],[SISMED]],TblDisponibilidad[],11,FALSE), 0)</f>
        <v>0</v>
      </c>
      <c r="H346">
        <f>IFERROR(VLOOKUP(Tabla1[[#This Row],[SISMED]],TblDisponibilidad[],12,FALSE), 0)</f>
        <v>0</v>
      </c>
      <c r="I346">
        <f>IFERROR(VLOOKUP(Tabla1[[#This Row],[SISMED]],TblDisponibilidad[],13,FALSE), 0)</f>
        <v>0</v>
      </c>
      <c r="J346">
        <f>IFERROR(VLOOKUP(Tabla1[[#This Row],[SISMED]],TblDisponibilidad[],14,FALSE), 0)</f>
        <v>0</v>
      </c>
      <c r="K346">
        <f>IFERROR(VLOOKUP(Tabla1[[#This Row],[SISMED]],TblDisponibilidad[],15,FALSE), 0)</f>
        <v>0</v>
      </c>
      <c r="L346">
        <f>IFERROR(VLOOKUP(Tabla1[[#This Row],[SISMED]],TblDisponibilidad[],16,FALSE), 0)</f>
        <v>0</v>
      </c>
      <c r="M346">
        <f>IFERROR(VLOOKUP(Tabla1[[#This Row],[SISMED]],TblDisponibilidad[],17,FALSE), 0)</f>
        <v>0</v>
      </c>
      <c r="N346">
        <f>IFERROR(VLOOKUP(Tabla1[[#This Row],[SISMED]],TblDisponibilidad[],18,FALSE), 0)</f>
        <v>0</v>
      </c>
      <c r="O346">
        <f>IFERROR(VLOOKUP(Tabla1[[#This Row],[SISMED]],TblDisponibilidad[],19,FALSE), 0)</f>
        <v>0</v>
      </c>
      <c r="P346">
        <f>IFERROR(VLOOKUP(Tabla1[[#This Row],[SISMED]],TblDisponibilidad[],20,FALSE), 0)</f>
        <v>0</v>
      </c>
      <c r="Q346">
        <f>IFERROR(VLOOKUP(Tabla1[[#This Row],[SISMED]],TblDisponibilidad[],21,FALSE), 0)</f>
        <v>0</v>
      </c>
      <c r="R346">
        <f>IFERROR(VLOOKUP(Tabla1[[#This Row],[SISMED]],TblDisponibilidad[],22,FALSE), 0)</f>
        <v>0</v>
      </c>
      <c r="S346" s="15">
        <f>IFERROR(VLOOKUP(Tabla1[[#This Row],[SISMED]],TblDisponibilidad[],23,FALSE), 0)</f>
        <v>0</v>
      </c>
    </row>
    <row r="347" spans="1:19" x14ac:dyDescent="0.3">
      <c r="A347" s="15" t="s">
        <v>377</v>
      </c>
      <c r="B347" t="str">
        <f>IFERROR(VLOOKUP(Tabla1[[#This Row],[SISMED]],TblDisponibilidad[],2,FALSE), "")</f>
        <v/>
      </c>
      <c r="C347">
        <f>IFERROR(VLOOKUP(Tabla1[[#This Row],[SISMED]],TblDisponibilidad[],7,FALSE), 0)</f>
        <v>0</v>
      </c>
      <c r="D347">
        <f>IFERROR(VLOOKUP(Tabla1[[#This Row],[SISMED]],TblDisponibilidad[],8,FALSE), 0)</f>
        <v>0</v>
      </c>
      <c r="E347">
        <f>IFERROR(VLOOKUP(Tabla1[[#This Row],[SISMED]],TblDisponibilidad[],9,FALSE), 0)</f>
        <v>0</v>
      </c>
      <c r="F347">
        <f>IFERROR(VLOOKUP(Tabla1[[#This Row],[SISMED]],TblDisponibilidad[],10,FALSE), 0)</f>
        <v>0</v>
      </c>
      <c r="G347">
        <f>IFERROR(VLOOKUP(Tabla1[[#This Row],[SISMED]],TblDisponibilidad[],11,FALSE), 0)</f>
        <v>0</v>
      </c>
      <c r="H347">
        <f>IFERROR(VLOOKUP(Tabla1[[#This Row],[SISMED]],TblDisponibilidad[],12,FALSE), 0)</f>
        <v>0</v>
      </c>
      <c r="I347">
        <f>IFERROR(VLOOKUP(Tabla1[[#This Row],[SISMED]],TblDisponibilidad[],13,FALSE), 0)</f>
        <v>0</v>
      </c>
      <c r="J347">
        <f>IFERROR(VLOOKUP(Tabla1[[#This Row],[SISMED]],TblDisponibilidad[],14,FALSE), 0)</f>
        <v>0</v>
      </c>
      <c r="K347">
        <f>IFERROR(VLOOKUP(Tabla1[[#This Row],[SISMED]],TblDisponibilidad[],15,FALSE), 0)</f>
        <v>0</v>
      </c>
      <c r="L347">
        <f>IFERROR(VLOOKUP(Tabla1[[#This Row],[SISMED]],TblDisponibilidad[],16,FALSE), 0)</f>
        <v>0</v>
      </c>
      <c r="M347">
        <f>IFERROR(VLOOKUP(Tabla1[[#This Row],[SISMED]],TblDisponibilidad[],17,FALSE), 0)</f>
        <v>0</v>
      </c>
      <c r="N347">
        <f>IFERROR(VLOOKUP(Tabla1[[#This Row],[SISMED]],TblDisponibilidad[],18,FALSE), 0)</f>
        <v>0</v>
      </c>
      <c r="O347">
        <f>IFERROR(VLOOKUP(Tabla1[[#This Row],[SISMED]],TblDisponibilidad[],19,FALSE), 0)</f>
        <v>0</v>
      </c>
      <c r="P347">
        <f>IFERROR(VLOOKUP(Tabla1[[#This Row],[SISMED]],TblDisponibilidad[],20,FALSE), 0)</f>
        <v>0</v>
      </c>
      <c r="Q347">
        <f>IFERROR(VLOOKUP(Tabla1[[#This Row],[SISMED]],TblDisponibilidad[],21,FALSE), 0)</f>
        <v>0</v>
      </c>
      <c r="R347">
        <f>IFERROR(VLOOKUP(Tabla1[[#This Row],[SISMED]],TblDisponibilidad[],22,FALSE), 0)</f>
        <v>0</v>
      </c>
      <c r="S347" s="15">
        <f>IFERROR(VLOOKUP(Tabla1[[#This Row],[SISMED]],TblDisponibilidad[],23,FALSE), 0)</f>
        <v>0</v>
      </c>
    </row>
    <row r="348" spans="1:19" x14ac:dyDescent="0.3">
      <c r="A348" s="15" t="s">
        <v>378</v>
      </c>
      <c r="B348" t="str">
        <f>IFERROR(VLOOKUP(Tabla1[[#This Row],[SISMED]],TblDisponibilidad[],2,FALSE), "")</f>
        <v/>
      </c>
      <c r="C348">
        <f>IFERROR(VLOOKUP(Tabla1[[#This Row],[SISMED]],TblDisponibilidad[],7,FALSE), 0)</f>
        <v>0</v>
      </c>
      <c r="D348">
        <f>IFERROR(VLOOKUP(Tabla1[[#This Row],[SISMED]],TblDisponibilidad[],8,FALSE), 0)</f>
        <v>0</v>
      </c>
      <c r="E348">
        <f>IFERROR(VLOOKUP(Tabla1[[#This Row],[SISMED]],TblDisponibilidad[],9,FALSE), 0)</f>
        <v>0</v>
      </c>
      <c r="F348">
        <f>IFERROR(VLOOKUP(Tabla1[[#This Row],[SISMED]],TblDisponibilidad[],10,FALSE), 0)</f>
        <v>0</v>
      </c>
      <c r="G348">
        <f>IFERROR(VLOOKUP(Tabla1[[#This Row],[SISMED]],TblDisponibilidad[],11,FALSE), 0)</f>
        <v>0</v>
      </c>
      <c r="H348">
        <f>IFERROR(VLOOKUP(Tabla1[[#This Row],[SISMED]],TblDisponibilidad[],12,FALSE), 0)</f>
        <v>0</v>
      </c>
      <c r="I348">
        <f>IFERROR(VLOOKUP(Tabla1[[#This Row],[SISMED]],TblDisponibilidad[],13,FALSE), 0)</f>
        <v>0</v>
      </c>
      <c r="J348">
        <f>IFERROR(VLOOKUP(Tabla1[[#This Row],[SISMED]],TblDisponibilidad[],14,FALSE), 0)</f>
        <v>0</v>
      </c>
      <c r="K348">
        <f>IFERROR(VLOOKUP(Tabla1[[#This Row],[SISMED]],TblDisponibilidad[],15,FALSE), 0)</f>
        <v>0</v>
      </c>
      <c r="L348">
        <f>IFERROR(VLOOKUP(Tabla1[[#This Row],[SISMED]],TblDisponibilidad[],16,FALSE), 0)</f>
        <v>0</v>
      </c>
      <c r="M348">
        <f>IFERROR(VLOOKUP(Tabla1[[#This Row],[SISMED]],TblDisponibilidad[],17,FALSE), 0)</f>
        <v>0</v>
      </c>
      <c r="N348">
        <f>IFERROR(VLOOKUP(Tabla1[[#This Row],[SISMED]],TblDisponibilidad[],18,FALSE), 0)</f>
        <v>0</v>
      </c>
      <c r="O348">
        <f>IFERROR(VLOOKUP(Tabla1[[#This Row],[SISMED]],TblDisponibilidad[],19,FALSE), 0)</f>
        <v>0</v>
      </c>
      <c r="P348">
        <f>IFERROR(VLOOKUP(Tabla1[[#This Row],[SISMED]],TblDisponibilidad[],20,FALSE), 0)</f>
        <v>0</v>
      </c>
      <c r="Q348">
        <f>IFERROR(VLOOKUP(Tabla1[[#This Row],[SISMED]],TblDisponibilidad[],21,FALSE), 0)</f>
        <v>0</v>
      </c>
      <c r="R348">
        <f>IFERROR(VLOOKUP(Tabla1[[#This Row],[SISMED]],TblDisponibilidad[],22,FALSE), 0)</f>
        <v>0</v>
      </c>
      <c r="S348" s="15">
        <f>IFERROR(VLOOKUP(Tabla1[[#This Row],[SISMED]],TblDisponibilidad[],23,FALSE), 0)</f>
        <v>0</v>
      </c>
    </row>
    <row r="349" spans="1:19" x14ac:dyDescent="0.3">
      <c r="A349" s="15" t="s">
        <v>379</v>
      </c>
      <c r="B349" t="str">
        <f>IFERROR(VLOOKUP(Tabla1[[#This Row],[SISMED]],TblDisponibilidad[],2,FALSE), "")</f>
        <v/>
      </c>
      <c r="C349">
        <f>IFERROR(VLOOKUP(Tabla1[[#This Row],[SISMED]],TblDisponibilidad[],7,FALSE), 0)</f>
        <v>0</v>
      </c>
      <c r="D349">
        <f>IFERROR(VLOOKUP(Tabla1[[#This Row],[SISMED]],TblDisponibilidad[],8,FALSE), 0)</f>
        <v>0</v>
      </c>
      <c r="E349">
        <f>IFERROR(VLOOKUP(Tabla1[[#This Row],[SISMED]],TblDisponibilidad[],9,FALSE), 0)</f>
        <v>0</v>
      </c>
      <c r="F349">
        <f>IFERROR(VLOOKUP(Tabla1[[#This Row],[SISMED]],TblDisponibilidad[],10,FALSE), 0)</f>
        <v>0</v>
      </c>
      <c r="G349">
        <f>IFERROR(VLOOKUP(Tabla1[[#This Row],[SISMED]],TblDisponibilidad[],11,FALSE), 0)</f>
        <v>0</v>
      </c>
      <c r="H349">
        <f>IFERROR(VLOOKUP(Tabla1[[#This Row],[SISMED]],TblDisponibilidad[],12,FALSE), 0)</f>
        <v>0</v>
      </c>
      <c r="I349">
        <f>IFERROR(VLOOKUP(Tabla1[[#This Row],[SISMED]],TblDisponibilidad[],13,FALSE), 0)</f>
        <v>0</v>
      </c>
      <c r="J349">
        <f>IFERROR(VLOOKUP(Tabla1[[#This Row],[SISMED]],TblDisponibilidad[],14,FALSE), 0)</f>
        <v>0</v>
      </c>
      <c r="K349">
        <f>IFERROR(VLOOKUP(Tabla1[[#This Row],[SISMED]],TblDisponibilidad[],15,FALSE), 0)</f>
        <v>0</v>
      </c>
      <c r="L349">
        <f>IFERROR(VLOOKUP(Tabla1[[#This Row],[SISMED]],TblDisponibilidad[],16,FALSE), 0)</f>
        <v>0</v>
      </c>
      <c r="M349">
        <f>IFERROR(VLOOKUP(Tabla1[[#This Row],[SISMED]],TblDisponibilidad[],17,FALSE), 0)</f>
        <v>0</v>
      </c>
      <c r="N349">
        <f>IFERROR(VLOOKUP(Tabla1[[#This Row],[SISMED]],TblDisponibilidad[],18,FALSE), 0)</f>
        <v>0</v>
      </c>
      <c r="O349">
        <f>IFERROR(VLOOKUP(Tabla1[[#This Row],[SISMED]],TblDisponibilidad[],19,FALSE), 0)</f>
        <v>0</v>
      </c>
      <c r="P349">
        <f>IFERROR(VLOOKUP(Tabla1[[#This Row],[SISMED]],TblDisponibilidad[],20,FALSE), 0)</f>
        <v>0</v>
      </c>
      <c r="Q349">
        <f>IFERROR(VLOOKUP(Tabla1[[#This Row],[SISMED]],TblDisponibilidad[],21,FALSE), 0)</f>
        <v>0</v>
      </c>
      <c r="R349">
        <f>IFERROR(VLOOKUP(Tabla1[[#This Row],[SISMED]],TblDisponibilidad[],22,FALSE), 0)</f>
        <v>0</v>
      </c>
      <c r="S349" s="15">
        <f>IFERROR(VLOOKUP(Tabla1[[#This Row],[SISMED]],TblDisponibilidad[],23,FALSE), 0)</f>
        <v>0</v>
      </c>
    </row>
    <row r="350" spans="1:19" x14ac:dyDescent="0.3">
      <c r="A350" s="15" t="s">
        <v>380</v>
      </c>
      <c r="B350" t="str">
        <f>IFERROR(VLOOKUP(Tabla1[[#This Row],[SISMED]],TblDisponibilidad[],2,FALSE), "")</f>
        <v/>
      </c>
      <c r="C350">
        <f>IFERROR(VLOOKUP(Tabla1[[#This Row],[SISMED]],TblDisponibilidad[],7,FALSE), 0)</f>
        <v>0</v>
      </c>
      <c r="D350">
        <f>IFERROR(VLOOKUP(Tabla1[[#This Row],[SISMED]],TblDisponibilidad[],8,FALSE), 0)</f>
        <v>0</v>
      </c>
      <c r="E350">
        <f>IFERROR(VLOOKUP(Tabla1[[#This Row],[SISMED]],TblDisponibilidad[],9,FALSE), 0)</f>
        <v>0</v>
      </c>
      <c r="F350">
        <f>IFERROR(VLOOKUP(Tabla1[[#This Row],[SISMED]],TblDisponibilidad[],10,FALSE), 0)</f>
        <v>0</v>
      </c>
      <c r="G350">
        <f>IFERROR(VLOOKUP(Tabla1[[#This Row],[SISMED]],TblDisponibilidad[],11,FALSE), 0)</f>
        <v>0</v>
      </c>
      <c r="H350">
        <f>IFERROR(VLOOKUP(Tabla1[[#This Row],[SISMED]],TblDisponibilidad[],12,FALSE), 0)</f>
        <v>0</v>
      </c>
      <c r="I350">
        <f>IFERROR(VLOOKUP(Tabla1[[#This Row],[SISMED]],TblDisponibilidad[],13,FALSE), 0)</f>
        <v>0</v>
      </c>
      <c r="J350">
        <f>IFERROR(VLOOKUP(Tabla1[[#This Row],[SISMED]],TblDisponibilidad[],14,FALSE), 0)</f>
        <v>0</v>
      </c>
      <c r="K350">
        <f>IFERROR(VLOOKUP(Tabla1[[#This Row],[SISMED]],TblDisponibilidad[],15,FALSE), 0)</f>
        <v>0</v>
      </c>
      <c r="L350">
        <f>IFERROR(VLOOKUP(Tabla1[[#This Row],[SISMED]],TblDisponibilidad[],16,FALSE), 0)</f>
        <v>0</v>
      </c>
      <c r="M350">
        <f>IFERROR(VLOOKUP(Tabla1[[#This Row],[SISMED]],TblDisponibilidad[],17,FALSE), 0)</f>
        <v>0</v>
      </c>
      <c r="N350">
        <f>IFERROR(VLOOKUP(Tabla1[[#This Row],[SISMED]],TblDisponibilidad[],18,FALSE), 0)</f>
        <v>0</v>
      </c>
      <c r="O350">
        <f>IFERROR(VLOOKUP(Tabla1[[#This Row],[SISMED]],TblDisponibilidad[],19,FALSE), 0)</f>
        <v>0</v>
      </c>
      <c r="P350">
        <f>IFERROR(VLOOKUP(Tabla1[[#This Row],[SISMED]],TblDisponibilidad[],20,FALSE), 0)</f>
        <v>0</v>
      </c>
      <c r="Q350">
        <f>IFERROR(VLOOKUP(Tabla1[[#This Row],[SISMED]],TblDisponibilidad[],21,FALSE), 0)</f>
        <v>0</v>
      </c>
      <c r="R350">
        <f>IFERROR(VLOOKUP(Tabla1[[#This Row],[SISMED]],TblDisponibilidad[],22,FALSE), 0)</f>
        <v>0</v>
      </c>
      <c r="S350" s="15">
        <f>IFERROR(VLOOKUP(Tabla1[[#This Row],[SISMED]],TblDisponibilidad[],23,FALSE), 0)</f>
        <v>0</v>
      </c>
    </row>
    <row r="351" spans="1:19" x14ac:dyDescent="0.3">
      <c r="A351" s="15" t="s">
        <v>381</v>
      </c>
      <c r="B351" t="str">
        <f>IFERROR(VLOOKUP(Tabla1[[#This Row],[SISMED]],TblDisponibilidad[],2,FALSE), "")</f>
        <v/>
      </c>
      <c r="C351">
        <f>IFERROR(VLOOKUP(Tabla1[[#This Row],[SISMED]],TblDisponibilidad[],7,FALSE), 0)</f>
        <v>0</v>
      </c>
      <c r="D351">
        <f>IFERROR(VLOOKUP(Tabla1[[#This Row],[SISMED]],TblDisponibilidad[],8,FALSE), 0)</f>
        <v>0</v>
      </c>
      <c r="E351">
        <f>IFERROR(VLOOKUP(Tabla1[[#This Row],[SISMED]],TblDisponibilidad[],9,FALSE), 0)</f>
        <v>0</v>
      </c>
      <c r="F351">
        <f>IFERROR(VLOOKUP(Tabla1[[#This Row],[SISMED]],TblDisponibilidad[],10,FALSE), 0)</f>
        <v>0</v>
      </c>
      <c r="G351">
        <f>IFERROR(VLOOKUP(Tabla1[[#This Row],[SISMED]],TblDisponibilidad[],11,FALSE), 0)</f>
        <v>0</v>
      </c>
      <c r="H351">
        <f>IFERROR(VLOOKUP(Tabla1[[#This Row],[SISMED]],TblDisponibilidad[],12,FALSE), 0)</f>
        <v>0</v>
      </c>
      <c r="I351">
        <f>IFERROR(VLOOKUP(Tabla1[[#This Row],[SISMED]],TblDisponibilidad[],13,FALSE), 0)</f>
        <v>0</v>
      </c>
      <c r="J351">
        <f>IFERROR(VLOOKUP(Tabla1[[#This Row],[SISMED]],TblDisponibilidad[],14,FALSE), 0)</f>
        <v>0</v>
      </c>
      <c r="K351">
        <f>IFERROR(VLOOKUP(Tabla1[[#This Row],[SISMED]],TblDisponibilidad[],15,FALSE), 0)</f>
        <v>0</v>
      </c>
      <c r="L351">
        <f>IFERROR(VLOOKUP(Tabla1[[#This Row],[SISMED]],TblDisponibilidad[],16,FALSE), 0)</f>
        <v>0</v>
      </c>
      <c r="M351">
        <f>IFERROR(VLOOKUP(Tabla1[[#This Row],[SISMED]],TblDisponibilidad[],17,FALSE), 0)</f>
        <v>0</v>
      </c>
      <c r="N351">
        <f>IFERROR(VLOOKUP(Tabla1[[#This Row],[SISMED]],TblDisponibilidad[],18,FALSE), 0)</f>
        <v>0</v>
      </c>
      <c r="O351">
        <f>IFERROR(VLOOKUP(Tabla1[[#This Row],[SISMED]],TblDisponibilidad[],19,FALSE), 0)</f>
        <v>0</v>
      </c>
      <c r="P351">
        <f>IFERROR(VLOOKUP(Tabla1[[#This Row],[SISMED]],TblDisponibilidad[],20,FALSE), 0)</f>
        <v>0</v>
      </c>
      <c r="Q351">
        <f>IFERROR(VLOOKUP(Tabla1[[#This Row],[SISMED]],TblDisponibilidad[],21,FALSE), 0)</f>
        <v>0</v>
      </c>
      <c r="R351">
        <f>IFERROR(VLOOKUP(Tabla1[[#This Row],[SISMED]],TblDisponibilidad[],22,FALSE), 0)</f>
        <v>0</v>
      </c>
      <c r="S351" s="15">
        <f>IFERROR(VLOOKUP(Tabla1[[#This Row],[SISMED]],TblDisponibilidad[],23,FALSE), 0)</f>
        <v>0</v>
      </c>
    </row>
    <row r="352" spans="1:19" x14ac:dyDescent="0.3">
      <c r="A352" s="15" t="s">
        <v>382</v>
      </c>
      <c r="B352" t="str">
        <f>IFERROR(VLOOKUP(Tabla1[[#This Row],[SISMED]],TblDisponibilidad[],2,FALSE), "")</f>
        <v/>
      </c>
      <c r="C352">
        <f>IFERROR(VLOOKUP(Tabla1[[#This Row],[SISMED]],TblDisponibilidad[],7,FALSE), 0)</f>
        <v>0</v>
      </c>
      <c r="D352">
        <f>IFERROR(VLOOKUP(Tabla1[[#This Row],[SISMED]],TblDisponibilidad[],8,FALSE), 0)</f>
        <v>0</v>
      </c>
      <c r="E352">
        <f>IFERROR(VLOOKUP(Tabla1[[#This Row],[SISMED]],TblDisponibilidad[],9,FALSE), 0)</f>
        <v>0</v>
      </c>
      <c r="F352">
        <f>IFERROR(VLOOKUP(Tabla1[[#This Row],[SISMED]],TblDisponibilidad[],10,FALSE), 0)</f>
        <v>0</v>
      </c>
      <c r="G352">
        <f>IFERROR(VLOOKUP(Tabla1[[#This Row],[SISMED]],TblDisponibilidad[],11,FALSE), 0)</f>
        <v>0</v>
      </c>
      <c r="H352">
        <f>IFERROR(VLOOKUP(Tabla1[[#This Row],[SISMED]],TblDisponibilidad[],12,FALSE), 0)</f>
        <v>0</v>
      </c>
      <c r="I352">
        <f>IFERROR(VLOOKUP(Tabla1[[#This Row],[SISMED]],TblDisponibilidad[],13,FALSE), 0)</f>
        <v>0</v>
      </c>
      <c r="J352">
        <f>IFERROR(VLOOKUP(Tabla1[[#This Row],[SISMED]],TblDisponibilidad[],14,FALSE), 0)</f>
        <v>0</v>
      </c>
      <c r="K352">
        <f>IFERROR(VLOOKUP(Tabla1[[#This Row],[SISMED]],TblDisponibilidad[],15,FALSE), 0)</f>
        <v>0</v>
      </c>
      <c r="L352">
        <f>IFERROR(VLOOKUP(Tabla1[[#This Row],[SISMED]],TblDisponibilidad[],16,FALSE), 0)</f>
        <v>0</v>
      </c>
      <c r="M352">
        <f>IFERROR(VLOOKUP(Tabla1[[#This Row],[SISMED]],TblDisponibilidad[],17,FALSE), 0)</f>
        <v>0</v>
      </c>
      <c r="N352">
        <f>IFERROR(VLOOKUP(Tabla1[[#This Row],[SISMED]],TblDisponibilidad[],18,FALSE), 0)</f>
        <v>0</v>
      </c>
      <c r="O352">
        <f>IFERROR(VLOOKUP(Tabla1[[#This Row],[SISMED]],TblDisponibilidad[],19,FALSE), 0)</f>
        <v>0</v>
      </c>
      <c r="P352">
        <f>IFERROR(VLOOKUP(Tabla1[[#This Row],[SISMED]],TblDisponibilidad[],20,FALSE), 0)</f>
        <v>0</v>
      </c>
      <c r="Q352">
        <f>IFERROR(VLOOKUP(Tabla1[[#This Row],[SISMED]],TblDisponibilidad[],21,FALSE), 0)</f>
        <v>0</v>
      </c>
      <c r="R352">
        <f>IFERROR(VLOOKUP(Tabla1[[#This Row],[SISMED]],TblDisponibilidad[],22,FALSE), 0)</f>
        <v>0</v>
      </c>
      <c r="S352" s="15">
        <f>IFERROR(VLOOKUP(Tabla1[[#This Row],[SISMED]],TblDisponibilidad[],23,FALSE), 0)</f>
        <v>0</v>
      </c>
    </row>
    <row r="353" spans="1:19" x14ac:dyDescent="0.3">
      <c r="A353" s="15" t="s">
        <v>383</v>
      </c>
      <c r="B353" t="str">
        <f>IFERROR(VLOOKUP(Tabla1[[#This Row],[SISMED]],TblDisponibilidad[],2,FALSE), "")</f>
        <v/>
      </c>
      <c r="C353">
        <f>IFERROR(VLOOKUP(Tabla1[[#This Row],[SISMED]],TblDisponibilidad[],7,FALSE), 0)</f>
        <v>0</v>
      </c>
      <c r="D353">
        <f>IFERROR(VLOOKUP(Tabla1[[#This Row],[SISMED]],TblDisponibilidad[],8,FALSE), 0)</f>
        <v>0</v>
      </c>
      <c r="E353">
        <f>IFERROR(VLOOKUP(Tabla1[[#This Row],[SISMED]],TblDisponibilidad[],9,FALSE), 0)</f>
        <v>0</v>
      </c>
      <c r="F353">
        <f>IFERROR(VLOOKUP(Tabla1[[#This Row],[SISMED]],TblDisponibilidad[],10,FALSE), 0)</f>
        <v>0</v>
      </c>
      <c r="G353">
        <f>IFERROR(VLOOKUP(Tabla1[[#This Row],[SISMED]],TblDisponibilidad[],11,FALSE), 0)</f>
        <v>0</v>
      </c>
      <c r="H353">
        <f>IFERROR(VLOOKUP(Tabla1[[#This Row],[SISMED]],TblDisponibilidad[],12,FALSE), 0)</f>
        <v>0</v>
      </c>
      <c r="I353">
        <f>IFERROR(VLOOKUP(Tabla1[[#This Row],[SISMED]],TblDisponibilidad[],13,FALSE), 0)</f>
        <v>0</v>
      </c>
      <c r="J353">
        <f>IFERROR(VLOOKUP(Tabla1[[#This Row],[SISMED]],TblDisponibilidad[],14,FALSE), 0)</f>
        <v>0</v>
      </c>
      <c r="K353">
        <f>IFERROR(VLOOKUP(Tabla1[[#This Row],[SISMED]],TblDisponibilidad[],15,FALSE), 0)</f>
        <v>0</v>
      </c>
      <c r="L353">
        <f>IFERROR(VLOOKUP(Tabla1[[#This Row],[SISMED]],TblDisponibilidad[],16,FALSE), 0)</f>
        <v>0</v>
      </c>
      <c r="M353">
        <f>IFERROR(VLOOKUP(Tabla1[[#This Row],[SISMED]],TblDisponibilidad[],17,FALSE), 0)</f>
        <v>0</v>
      </c>
      <c r="N353">
        <f>IFERROR(VLOOKUP(Tabla1[[#This Row],[SISMED]],TblDisponibilidad[],18,FALSE), 0)</f>
        <v>0</v>
      </c>
      <c r="O353">
        <f>IFERROR(VLOOKUP(Tabla1[[#This Row],[SISMED]],TblDisponibilidad[],19,FALSE), 0)</f>
        <v>0</v>
      </c>
      <c r="P353">
        <f>IFERROR(VLOOKUP(Tabla1[[#This Row],[SISMED]],TblDisponibilidad[],20,FALSE), 0)</f>
        <v>0</v>
      </c>
      <c r="Q353">
        <f>IFERROR(VLOOKUP(Tabla1[[#This Row],[SISMED]],TblDisponibilidad[],21,FALSE), 0)</f>
        <v>0</v>
      </c>
      <c r="R353">
        <f>IFERROR(VLOOKUP(Tabla1[[#This Row],[SISMED]],TblDisponibilidad[],22,FALSE), 0)</f>
        <v>0</v>
      </c>
      <c r="S353" s="15">
        <f>IFERROR(VLOOKUP(Tabla1[[#This Row],[SISMED]],TblDisponibilidad[],23,FALSE), 0)</f>
        <v>0</v>
      </c>
    </row>
    <row r="354" spans="1:19" x14ac:dyDescent="0.3">
      <c r="A354" s="15" t="s">
        <v>384</v>
      </c>
      <c r="B354" t="str">
        <f>IFERROR(VLOOKUP(Tabla1[[#This Row],[SISMED]],TblDisponibilidad[],2,FALSE), "")</f>
        <v/>
      </c>
      <c r="C354">
        <f>IFERROR(VLOOKUP(Tabla1[[#This Row],[SISMED]],TblDisponibilidad[],7,FALSE), 0)</f>
        <v>0</v>
      </c>
      <c r="D354">
        <f>IFERROR(VLOOKUP(Tabla1[[#This Row],[SISMED]],TblDisponibilidad[],8,FALSE), 0)</f>
        <v>0</v>
      </c>
      <c r="E354">
        <f>IFERROR(VLOOKUP(Tabla1[[#This Row],[SISMED]],TblDisponibilidad[],9,FALSE), 0)</f>
        <v>0</v>
      </c>
      <c r="F354">
        <f>IFERROR(VLOOKUP(Tabla1[[#This Row],[SISMED]],TblDisponibilidad[],10,FALSE), 0)</f>
        <v>0</v>
      </c>
      <c r="G354">
        <f>IFERROR(VLOOKUP(Tabla1[[#This Row],[SISMED]],TblDisponibilidad[],11,FALSE), 0)</f>
        <v>0</v>
      </c>
      <c r="H354">
        <f>IFERROR(VLOOKUP(Tabla1[[#This Row],[SISMED]],TblDisponibilidad[],12,FALSE), 0)</f>
        <v>0</v>
      </c>
      <c r="I354">
        <f>IFERROR(VLOOKUP(Tabla1[[#This Row],[SISMED]],TblDisponibilidad[],13,FALSE), 0)</f>
        <v>0</v>
      </c>
      <c r="J354">
        <f>IFERROR(VLOOKUP(Tabla1[[#This Row],[SISMED]],TblDisponibilidad[],14,FALSE), 0)</f>
        <v>0</v>
      </c>
      <c r="K354">
        <f>IFERROR(VLOOKUP(Tabla1[[#This Row],[SISMED]],TblDisponibilidad[],15,FALSE), 0)</f>
        <v>0</v>
      </c>
      <c r="L354">
        <f>IFERROR(VLOOKUP(Tabla1[[#This Row],[SISMED]],TblDisponibilidad[],16,FALSE), 0)</f>
        <v>0</v>
      </c>
      <c r="M354">
        <f>IFERROR(VLOOKUP(Tabla1[[#This Row],[SISMED]],TblDisponibilidad[],17,FALSE), 0)</f>
        <v>0</v>
      </c>
      <c r="N354">
        <f>IFERROR(VLOOKUP(Tabla1[[#This Row],[SISMED]],TblDisponibilidad[],18,FALSE), 0)</f>
        <v>0</v>
      </c>
      <c r="O354">
        <f>IFERROR(VLOOKUP(Tabla1[[#This Row],[SISMED]],TblDisponibilidad[],19,FALSE), 0)</f>
        <v>0</v>
      </c>
      <c r="P354">
        <f>IFERROR(VLOOKUP(Tabla1[[#This Row],[SISMED]],TblDisponibilidad[],20,FALSE), 0)</f>
        <v>0</v>
      </c>
      <c r="Q354">
        <f>IFERROR(VLOOKUP(Tabla1[[#This Row],[SISMED]],TblDisponibilidad[],21,FALSE), 0)</f>
        <v>0</v>
      </c>
      <c r="R354">
        <f>IFERROR(VLOOKUP(Tabla1[[#This Row],[SISMED]],TblDisponibilidad[],22,FALSE), 0)</f>
        <v>0</v>
      </c>
      <c r="S354" s="15">
        <f>IFERROR(VLOOKUP(Tabla1[[#This Row],[SISMED]],TblDisponibilidad[],23,FALSE), 0)</f>
        <v>0</v>
      </c>
    </row>
    <row r="355" spans="1:19" x14ac:dyDescent="0.3">
      <c r="A355" s="15" t="s">
        <v>385</v>
      </c>
      <c r="B355" t="str">
        <f>IFERROR(VLOOKUP(Tabla1[[#This Row],[SISMED]],TblDisponibilidad[],2,FALSE), "")</f>
        <v/>
      </c>
      <c r="C355">
        <f>IFERROR(VLOOKUP(Tabla1[[#This Row],[SISMED]],TblDisponibilidad[],7,FALSE), 0)</f>
        <v>0</v>
      </c>
      <c r="D355">
        <f>IFERROR(VLOOKUP(Tabla1[[#This Row],[SISMED]],TblDisponibilidad[],8,FALSE), 0)</f>
        <v>0</v>
      </c>
      <c r="E355">
        <f>IFERROR(VLOOKUP(Tabla1[[#This Row],[SISMED]],TblDisponibilidad[],9,FALSE), 0)</f>
        <v>0</v>
      </c>
      <c r="F355">
        <f>IFERROR(VLOOKUP(Tabla1[[#This Row],[SISMED]],TblDisponibilidad[],10,FALSE), 0)</f>
        <v>0</v>
      </c>
      <c r="G355">
        <f>IFERROR(VLOOKUP(Tabla1[[#This Row],[SISMED]],TblDisponibilidad[],11,FALSE), 0)</f>
        <v>0</v>
      </c>
      <c r="H355">
        <f>IFERROR(VLOOKUP(Tabla1[[#This Row],[SISMED]],TblDisponibilidad[],12,FALSE), 0)</f>
        <v>0</v>
      </c>
      <c r="I355">
        <f>IFERROR(VLOOKUP(Tabla1[[#This Row],[SISMED]],TblDisponibilidad[],13,FALSE), 0)</f>
        <v>0</v>
      </c>
      <c r="J355">
        <f>IFERROR(VLOOKUP(Tabla1[[#This Row],[SISMED]],TblDisponibilidad[],14,FALSE), 0)</f>
        <v>0</v>
      </c>
      <c r="K355">
        <f>IFERROR(VLOOKUP(Tabla1[[#This Row],[SISMED]],TblDisponibilidad[],15,FALSE), 0)</f>
        <v>0</v>
      </c>
      <c r="L355">
        <f>IFERROR(VLOOKUP(Tabla1[[#This Row],[SISMED]],TblDisponibilidad[],16,FALSE), 0)</f>
        <v>0</v>
      </c>
      <c r="M355">
        <f>IFERROR(VLOOKUP(Tabla1[[#This Row],[SISMED]],TblDisponibilidad[],17,FALSE), 0)</f>
        <v>0</v>
      </c>
      <c r="N355">
        <f>IFERROR(VLOOKUP(Tabla1[[#This Row],[SISMED]],TblDisponibilidad[],18,FALSE), 0)</f>
        <v>0</v>
      </c>
      <c r="O355">
        <f>IFERROR(VLOOKUP(Tabla1[[#This Row],[SISMED]],TblDisponibilidad[],19,FALSE), 0)</f>
        <v>0</v>
      </c>
      <c r="P355">
        <f>IFERROR(VLOOKUP(Tabla1[[#This Row],[SISMED]],TblDisponibilidad[],20,FALSE), 0)</f>
        <v>0</v>
      </c>
      <c r="Q355">
        <f>IFERROR(VLOOKUP(Tabla1[[#This Row],[SISMED]],TblDisponibilidad[],21,FALSE), 0)</f>
        <v>0</v>
      </c>
      <c r="R355">
        <f>IFERROR(VLOOKUP(Tabla1[[#This Row],[SISMED]],TblDisponibilidad[],22,FALSE), 0)</f>
        <v>0</v>
      </c>
      <c r="S355" s="15">
        <f>IFERROR(VLOOKUP(Tabla1[[#This Row],[SISMED]],TblDisponibilidad[],23,FALSE), 0)</f>
        <v>0</v>
      </c>
    </row>
    <row r="356" spans="1:19" x14ac:dyDescent="0.3">
      <c r="A356" s="15" t="s">
        <v>386</v>
      </c>
      <c r="B356" t="str">
        <f>IFERROR(VLOOKUP(Tabla1[[#This Row],[SISMED]],TblDisponibilidad[],2,FALSE), "")</f>
        <v/>
      </c>
      <c r="C356">
        <f>IFERROR(VLOOKUP(Tabla1[[#This Row],[SISMED]],TblDisponibilidad[],7,FALSE), 0)</f>
        <v>0</v>
      </c>
      <c r="D356">
        <f>IFERROR(VLOOKUP(Tabla1[[#This Row],[SISMED]],TblDisponibilidad[],8,FALSE), 0)</f>
        <v>0</v>
      </c>
      <c r="E356">
        <f>IFERROR(VLOOKUP(Tabla1[[#This Row],[SISMED]],TblDisponibilidad[],9,FALSE), 0)</f>
        <v>0</v>
      </c>
      <c r="F356">
        <f>IFERROR(VLOOKUP(Tabla1[[#This Row],[SISMED]],TblDisponibilidad[],10,FALSE), 0)</f>
        <v>0</v>
      </c>
      <c r="G356">
        <f>IFERROR(VLOOKUP(Tabla1[[#This Row],[SISMED]],TblDisponibilidad[],11,FALSE), 0)</f>
        <v>0</v>
      </c>
      <c r="H356">
        <f>IFERROR(VLOOKUP(Tabla1[[#This Row],[SISMED]],TblDisponibilidad[],12,FALSE), 0)</f>
        <v>0</v>
      </c>
      <c r="I356">
        <f>IFERROR(VLOOKUP(Tabla1[[#This Row],[SISMED]],TblDisponibilidad[],13,FALSE), 0)</f>
        <v>0</v>
      </c>
      <c r="J356">
        <f>IFERROR(VLOOKUP(Tabla1[[#This Row],[SISMED]],TblDisponibilidad[],14,FALSE), 0)</f>
        <v>0</v>
      </c>
      <c r="K356">
        <f>IFERROR(VLOOKUP(Tabla1[[#This Row],[SISMED]],TblDisponibilidad[],15,FALSE), 0)</f>
        <v>0</v>
      </c>
      <c r="L356">
        <f>IFERROR(VLOOKUP(Tabla1[[#This Row],[SISMED]],TblDisponibilidad[],16,FALSE), 0)</f>
        <v>0</v>
      </c>
      <c r="M356">
        <f>IFERROR(VLOOKUP(Tabla1[[#This Row],[SISMED]],TblDisponibilidad[],17,FALSE), 0)</f>
        <v>0</v>
      </c>
      <c r="N356">
        <f>IFERROR(VLOOKUP(Tabla1[[#This Row],[SISMED]],TblDisponibilidad[],18,FALSE), 0)</f>
        <v>0</v>
      </c>
      <c r="O356">
        <f>IFERROR(VLOOKUP(Tabla1[[#This Row],[SISMED]],TblDisponibilidad[],19,FALSE), 0)</f>
        <v>0</v>
      </c>
      <c r="P356">
        <f>IFERROR(VLOOKUP(Tabla1[[#This Row],[SISMED]],TblDisponibilidad[],20,FALSE), 0)</f>
        <v>0</v>
      </c>
      <c r="Q356">
        <f>IFERROR(VLOOKUP(Tabla1[[#This Row],[SISMED]],TblDisponibilidad[],21,FALSE), 0)</f>
        <v>0</v>
      </c>
      <c r="R356">
        <f>IFERROR(VLOOKUP(Tabla1[[#This Row],[SISMED]],TblDisponibilidad[],22,FALSE), 0)</f>
        <v>0</v>
      </c>
      <c r="S356" s="15">
        <f>IFERROR(VLOOKUP(Tabla1[[#This Row],[SISMED]],TblDisponibilidad[],23,FALSE), 0)</f>
        <v>0</v>
      </c>
    </row>
    <row r="357" spans="1:19" x14ac:dyDescent="0.3">
      <c r="A357" s="15" t="s">
        <v>387</v>
      </c>
      <c r="B357" t="str">
        <f>IFERROR(VLOOKUP(Tabla1[[#This Row],[SISMED]],TblDisponibilidad[],2,FALSE), "")</f>
        <v/>
      </c>
      <c r="C357">
        <f>IFERROR(VLOOKUP(Tabla1[[#This Row],[SISMED]],TblDisponibilidad[],7,FALSE), 0)</f>
        <v>0</v>
      </c>
      <c r="D357">
        <f>IFERROR(VLOOKUP(Tabla1[[#This Row],[SISMED]],TblDisponibilidad[],8,FALSE), 0)</f>
        <v>0</v>
      </c>
      <c r="E357">
        <f>IFERROR(VLOOKUP(Tabla1[[#This Row],[SISMED]],TblDisponibilidad[],9,FALSE), 0)</f>
        <v>0</v>
      </c>
      <c r="F357">
        <f>IFERROR(VLOOKUP(Tabla1[[#This Row],[SISMED]],TblDisponibilidad[],10,FALSE), 0)</f>
        <v>0</v>
      </c>
      <c r="G357">
        <f>IFERROR(VLOOKUP(Tabla1[[#This Row],[SISMED]],TblDisponibilidad[],11,FALSE), 0)</f>
        <v>0</v>
      </c>
      <c r="H357">
        <f>IFERROR(VLOOKUP(Tabla1[[#This Row],[SISMED]],TblDisponibilidad[],12,FALSE), 0)</f>
        <v>0</v>
      </c>
      <c r="I357">
        <f>IFERROR(VLOOKUP(Tabla1[[#This Row],[SISMED]],TblDisponibilidad[],13,FALSE), 0)</f>
        <v>0</v>
      </c>
      <c r="J357">
        <f>IFERROR(VLOOKUP(Tabla1[[#This Row],[SISMED]],TblDisponibilidad[],14,FALSE), 0)</f>
        <v>0</v>
      </c>
      <c r="K357">
        <f>IFERROR(VLOOKUP(Tabla1[[#This Row],[SISMED]],TblDisponibilidad[],15,FALSE), 0)</f>
        <v>0</v>
      </c>
      <c r="L357">
        <f>IFERROR(VLOOKUP(Tabla1[[#This Row],[SISMED]],TblDisponibilidad[],16,FALSE), 0)</f>
        <v>0</v>
      </c>
      <c r="M357">
        <f>IFERROR(VLOOKUP(Tabla1[[#This Row],[SISMED]],TblDisponibilidad[],17,FALSE), 0)</f>
        <v>0</v>
      </c>
      <c r="N357">
        <f>IFERROR(VLOOKUP(Tabla1[[#This Row],[SISMED]],TblDisponibilidad[],18,FALSE), 0)</f>
        <v>0</v>
      </c>
      <c r="O357">
        <f>IFERROR(VLOOKUP(Tabla1[[#This Row],[SISMED]],TblDisponibilidad[],19,FALSE), 0)</f>
        <v>0</v>
      </c>
      <c r="P357">
        <f>IFERROR(VLOOKUP(Tabla1[[#This Row],[SISMED]],TblDisponibilidad[],20,FALSE), 0)</f>
        <v>0</v>
      </c>
      <c r="Q357">
        <f>IFERROR(VLOOKUP(Tabla1[[#This Row],[SISMED]],TblDisponibilidad[],21,FALSE), 0)</f>
        <v>0</v>
      </c>
      <c r="R357">
        <f>IFERROR(VLOOKUP(Tabla1[[#This Row],[SISMED]],TblDisponibilidad[],22,FALSE), 0)</f>
        <v>0</v>
      </c>
      <c r="S357" s="15">
        <f>IFERROR(VLOOKUP(Tabla1[[#This Row],[SISMED]],TblDisponibilidad[],23,FALSE), 0)</f>
        <v>0</v>
      </c>
    </row>
    <row r="358" spans="1:19" x14ac:dyDescent="0.3">
      <c r="A358" s="15" t="s">
        <v>388</v>
      </c>
      <c r="B358" t="str">
        <f>IFERROR(VLOOKUP(Tabla1[[#This Row],[SISMED]],TblDisponibilidad[],2,FALSE), "")</f>
        <v/>
      </c>
      <c r="C358">
        <f>IFERROR(VLOOKUP(Tabla1[[#This Row],[SISMED]],TblDisponibilidad[],7,FALSE), 0)</f>
        <v>0</v>
      </c>
      <c r="D358">
        <f>IFERROR(VLOOKUP(Tabla1[[#This Row],[SISMED]],TblDisponibilidad[],8,FALSE), 0)</f>
        <v>0</v>
      </c>
      <c r="E358">
        <f>IFERROR(VLOOKUP(Tabla1[[#This Row],[SISMED]],TblDisponibilidad[],9,FALSE), 0)</f>
        <v>0</v>
      </c>
      <c r="F358">
        <f>IFERROR(VLOOKUP(Tabla1[[#This Row],[SISMED]],TblDisponibilidad[],10,FALSE), 0)</f>
        <v>0</v>
      </c>
      <c r="G358">
        <f>IFERROR(VLOOKUP(Tabla1[[#This Row],[SISMED]],TblDisponibilidad[],11,FALSE), 0)</f>
        <v>0</v>
      </c>
      <c r="H358">
        <f>IFERROR(VLOOKUP(Tabla1[[#This Row],[SISMED]],TblDisponibilidad[],12,FALSE), 0)</f>
        <v>0</v>
      </c>
      <c r="I358">
        <f>IFERROR(VLOOKUP(Tabla1[[#This Row],[SISMED]],TblDisponibilidad[],13,FALSE), 0)</f>
        <v>0</v>
      </c>
      <c r="J358">
        <f>IFERROR(VLOOKUP(Tabla1[[#This Row],[SISMED]],TblDisponibilidad[],14,FALSE), 0)</f>
        <v>0</v>
      </c>
      <c r="K358">
        <f>IFERROR(VLOOKUP(Tabla1[[#This Row],[SISMED]],TblDisponibilidad[],15,FALSE), 0)</f>
        <v>0</v>
      </c>
      <c r="L358">
        <f>IFERROR(VLOOKUP(Tabla1[[#This Row],[SISMED]],TblDisponibilidad[],16,FALSE), 0)</f>
        <v>0</v>
      </c>
      <c r="M358">
        <f>IFERROR(VLOOKUP(Tabla1[[#This Row],[SISMED]],TblDisponibilidad[],17,FALSE), 0)</f>
        <v>0</v>
      </c>
      <c r="N358">
        <f>IFERROR(VLOOKUP(Tabla1[[#This Row],[SISMED]],TblDisponibilidad[],18,FALSE), 0)</f>
        <v>0</v>
      </c>
      <c r="O358">
        <f>IFERROR(VLOOKUP(Tabla1[[#This Row],[SISMED]],TblDisponibilidad[],19,FALSE), 0)</f>
        <v>0</v>
      </c>
      <c r="P358">
        <f>IFERROR(VLOOKUP(Tabla1[[#This Row],[SISMED]],TblDisponibilidad[],20,FALSE), 0)</f>
        <v>0</v>
      </c>
      <c r="Q358">
        <f>IFERROR(VLOOKUP(Tabla1[[#This Row],[SISMED]],TblDisponibilidad[],21,FALSE), 0)</f>
        <v>0</v>
      </c>
      <c r="R358">
        <f>IFERROR(VLOOKUP(Tabla1[[#This Row],[SISMED]],TblDisponibilidad[],22,FALSE), 0)</f>
        <v>0</v>
      </c>
      <c r="S358" s="15">
        <f>IFERROR(VLOOKUP(Tabla1[[#This Row],[SISMED]],TblDisponibilidad[],23,FALSE), 0)</f>
        <v>0</v>
      </c>
    </row>
    <row r="359" spans="1:19" x14ac:dyDescent="0.3">
      <c r="A359" s="15" t="s">
        <v>389</v>
      </c>
      <c r="B359" t="str">
        <f>IFERROR(VLOOKUP(Tabla1[[#This Row],[SISMED]],TblDisponibilidad[],2,FALSE), "")</f>
        <v/>
      </c>
      <c r="C359">
        <f>IFERROR(VLOOKUP(Tabla1[[#This Row],[SISMED]],TblDisponibilidad[],7,FALSE), 0)</f>
        <v>0</v>
      </c>
      <c r="D359">
        <f>IFERROR(VLOOKUP(Tabla1[[#This Row],[SISMED]],TblDisponibilidad[],8,FALSE), 0)</f>
        <v>0</v>
      </c>
      <c r="E359">
        <f>IFERROR(VLOOKUP(Tabla1[[#This Row],[SISMED]],TblDisponibilidad[],9,FALSE), 0)</f>
        <v>0</v>
      </c>
      <c r="F359">
        <f>IFERROR(VLOOKUP(Tabla1[[#This Row],[SISMED]],TblDisponibilidad[],10,FALSE), 0)</f>
        <v>0</v>
      </c>
      <c r="G359">
        <f>IFERROR(VLOOKUP(Tabla1[[#This Row],[SISMED]],TblDisponibilidad[],11,FALSE), 0)</f>
        <v>0</v>
      </c>
      <c r="H359">
        <f>IFERROR(VLOOKUP(Tabla1[[#This Row],[SISMED]],TblDisponibilidad[],12,FALSE), 0)</f>
        <v>0</v>
      </c>
      <c r="I359">
        <f>IFERROR(VLOOKUP(Tabla1[[#This Row],[SISMED]],TblDisponibilidad[],13,FALSE), 0)</f>
        <v>0</v>
      </c>
      <c r="J359">
        <f>IFERROR(VLOOKUP(Tabla1[[#This Row],[SISMED]],TblDisponibilidad[],14,FALSE), 0)</f>
        <v>0</v>
      </c>
      <c r="K359">
        <f>IFERROR(VLOOKUP(Tabla1[[#This Row],[SISMED]],TblDisponibilidad[],15,FALSE), 0)</f>
        <v>0</v>
      </c>
      <c r="L359">
        <f>IFERROR(VLOOKUP(Tabla1[[#This Row],[SISMED]],TblDisponibilidad[],16,FALSE), 0)</f>
        <v>0</v>
      </c>
      <c r="M359">
        <f>IFERROR(VLOOKUP(Tabla1[[#This Row],[SISMED]],TblDisponibilidad[],17,FALSE), 0)</f>
        <v>0</v>
      </c>
      <c r="N359">
        <f>IFERROR(VLOOKUP(Tabla1[[#This Row],[SISMED]],TblDisponibilidad[],18,FALSE), 0)</f>
        <v>0</v>
      </c>
      <c r="O359">
        <f>IFERROR(VLOOKUP(Tabla1[[#This Row],[SISMED]],TblDisponibilidad[],19,FALSE), 0)</f>
        <v>0</v>
      </c>
      <c r="P359">
        <f>IFERROR(VLOOKUP(Tabla1[[#This Row],[SISMED]],TblDisponibilidad[],20,FALSE), 0)</f>
        <v>0</v>
      </c>
      <c r="Q359">
        <f>IFERROR(VLOOKUP(Tabla1[[#This Row],[SISMED]],TblDisponibilidad[],21,FALSE), 0)</f>
        <v>0</v>
      </c>
      <c r="R359">
        <f>IFERROR(VLOOKUP(Tabla1[[#This Row],[SISMED]],TblDisponibilidad[],22,FALSE), 0)</f>
        <v>0</v>
      </c>
      <c r="S359" s="15">
        <f>IFERROR(VLOOKUP(Tabla1[[#This Row],[SISMED]],TblDisponibilidad[],23,FALSE), 0)</f>
        <v>0</v>
      </c>
    </row>
    <row r="360" spans="1:19" x14ac:dyDescent="0.3">
      <c r="A360" s="15" t="s">
        <v>390</v>
      </c>
      <c r="B360" t="str">
        <f>IFERROR(VLOOKUP(Tabla1[[#This Row],[SISMED]],TblDisponibilidad[],2,FALSE), "")</f>
        <v/>
      </c>
      <c r="C360">
        <f>IFERROR(VLOOKUP(Tabla1[[#This Row],[SISMED]],TblDisponibilidad[],7,FALSE), 0)</f>
        <v>0</v>
      </c>
      <c r="D360">
        <f>IFERROR(VLOOKUP(Tabla1[[#This Row],[SISMED]],TblDisponibilidad[],8,FALSE), 0)</f>
        <v>0</v>
      </c>
      <c r="E360">
        <f>IFERROR(VLOOKUP(Tabla1[[#This Row],[SISMED]],TblDisponibilidad[],9,FALSE), 0)</f>
        <v>0</v>
      </c>
      <c r="F360">
        <f>IFERROR(VLOOKUP(Tabla1[[#This Row],[SISMED]],TblDisponibilidad[],10,FALSE), 0)</f>
        <v>0</v>
      </c>
      <c r="G360">
        <f>IFERROR(VLOOKUP(Tabla1[[#This Row],[SISMED]],TblDisponibilidad[],11,FALSE), 0)</f>
        <v>0</v>
      </c>
      <c r="H360">
        <f>IFERROR(VLOOKUP(Tabla1[[#This Row],[SISMED]],TblDisponibilidad[],12,FALSE), 0)</f>
        <v>0</v>
      </c>
      <c r="I360">
        <f>IFERROR(VLOOKUP(Tabla1[[#This Row],[SISMED]],TblDisponibilidad[],13,FALSE), 0)</f>
        <v>0</v>
      </c>
      <c r="J360">
        <f>IFERROR(VLOOKUP(Tabla1[[#This Row],[SISMED]],TblDisponibilidad[],14,FALSE), 0)</f>
        <v>0</v>
      </c>
      <c r="K360">
        <f>IFERROR(VLOOKUP(Tabla1[[#This Row],[SISMED]],TblDisponibilidad[],15,FALSE), 0)</f>
        <v>0</v>
      </c>
      <c r="L360">
        <f>IFERROR(VLOOKUP(Tabla1[[#This Row],[SISMED]],TblDisponibilidad[],16,FALSE), 0)</f>
        <v>0</v>
      </c>
      <c r="M360">
        <f>IFERROR(VLOOKUP(Tabla1[[#This Row],[SISMED]],TblDisponibilidad[],17,FALSE), 0)</f>
        <v>0</v>
      </c>
      <c r="N360">
        <f>IFERROR(VLOOKUP(Tabla1[[#This Row],[SISMED]],TblDisponibilidad[],18,FALSE), 0)</f>
        <v>0</v>
      </c>
      <c r="O360">
        <f>IFERROR(VLOOKUP(Tabla1[[#This Row],[SISMED]],TblDisponibilidad[],19,FALSE), 0)</f>
        <v>0</v>
      </c>
      <c r="P360">
        <f>IFERROR(VLOOKUP(Tabla1[[#This Row],[SISMED]],TblDisponibilidad[],20,FALSE), 0)</f>
        <v>0</v>
      </c>
      <c r="Q360">
        <f>IFERROR(VLOOKUP(Tabla1[[#This Row],[SISMED]],TblDisponibilidad[],21,FALSE), 0)</f>
        <v>0</v>
      </c>
      <c r="R360">
        <f>IFERROR(VLOOKUP(Tabla1[[#This Row],[SISMED]],TblDisponibilidad[],22,FALSE), 0)</f>
        <v>0</v>
      </c>
      <c r="S360" s="15">
        <f>IFERROR(VLOOKUP(Tabla1[[#This Row],[SISMED]],TblDisponibilidad[],23,FALSE), 0)</f>
        <v>0</v>
      </c>
    </row>
    <row r="361" spans="1:19" x14ac:dyDescent="0.3">
      <c r="A361" s="15" t="s">
        <v>391</v>
      </c>
      <c r="B361" t="str">
        <f>IFERROR(VLOOKUP(Tabla1[[#This Row],[SISMED]],TblDisponibilidad[],2,FALSE), "")</f>
        <v/>
      </c>
      <c r="C361">
        <f>IFERROR(VLOOKUP(Tabla1[[#This Row],[SISMED]],TblDisponibilidad[],7,FALSE), 0)</f>
        <v>0</v>
      </c>
      <c r="D361">
        <f>IFERROR(VLOOKUP(Tabla1[[#This Row],[SISMED]],TblDisponibilidad[],8,FALSE), 0)</f>
        <v>0</v>
      </c>
      <c r="E361">
        <f>IFERROR(VLOOKUP(Tabla1[[#This Row],[SISMED]],TblDisponibilidad[],9,FALSE), 0)</f>
        <v>0</v>
      </c>
      <c r="F361">
        <f>IFERROR(VLOOKUP(Tabla1[[#This Row],[SISMED]],TblDisponibilidad[],10,FALSE), 0)</f>
        <v>0</v>
      </c>
      <c r="G361">
        <f>IFERROR(VLOOKUP(Tabla1[[#This Row],[SISMED]],TblDisponibilidad[],11,FALSE), 0)</f>
        <v>0</v>
      </c>
      <c r="H361">
        <f>IFERROR(VLOOKUP(Tabla1[[#This Row],[SISMED]],TblDisponibilidad[],12,FALSE), 0)</f>
        <v>0</v>
      </c>
      <c r="I361">
        <f>IFERROR(VLOOKUP(Tabla1[[#This Row],[SISMED]],TblDisponibilidad[],13,FALSE), 0)</f>
        <v>0</v>
      </c>
      <c r="J361">
        <f>IFERROR(VLOOKUP(Tabla1[[#This Row],[SISMED]],TblDisponibilidad[],14,FALSE), 0)</f>
        <v>0</v>
      </c>
      <c r="K361">
        <f>IFERROR(VLOOKUP(Tabla1[[#This Row],[SISMED]],TblDisponibilidad[],15,FALSE), 0)</f>
        <v>0</v>
      </c>
      <c r="L361">
        <f>IFERROR(VLOOKUP(Tabla1[[#This Row],[SISMED]],TblDisponibilidad[],16,FALSE), 0)</f>
        <v>0</v>
      </c>
      <c r="M361">
        <f>IFERROR(VLOOKUP(Tabla1[[#This Row],[SISMED]],TblDisponibilidad[],17,FALSE), 0)</f>
        <v>0</v>
      </c>
      <c r="N361">
        <f>IFERROR(VLOOKUP(Tabla1[[#This Row],[SISMED]],TblDisponibilidad[],18,FALSE), 0)</f>
        <v>0</v>
      </c>
      <c r="O361">
        <f>IFERROR(VLOOKUP(Tabla1[[#This Row],[SISMED]],TblDisponibilidad[],19,FALSE), 0)</f>
        <v>0</v>
      </c>
      <c r="P361">
        <f>IFERROR(VLOOKUP(Tabla1[[#This Row],[SISMED]],TblDisponibilidad[],20,FALSE), 0)</f>
        <v>0</v>
      </c>
      <c r="Q361">
        <f>IFERROR(VLOOKUP(Tabla1[[#This Row],[SISMED]],TblDisponibilidad[],21,FALSE), 0)</f>
        <v>0</v>
      </c>
      <c r="R361">
        <f>IFERROR(VLOOKUP(Tabla1[[#This Row],[SISMED]],TblDisponibilidad[],22,FALSE), 0)</f>
        <v>0</v>
      </c>
      <c r="S361" s="15">
        <f>IFERROR(VLOOKUP(Tabla1[[#This Row],[SISMED]],TblDisponibilidad[],23,FALSE), 0)</f>
        <v>0</v>
      </c>
    </row>
    <row r="362" spans="1:19" x14ac:dyDescent="0.3">
      <c r="A362" s="15" t="s">
        <v>392</v>
      </c>
      <c r="B362" t="str">
        <f>IFERROR(VLOOKUP(Tabla1[[#This Row],[SISMED]],TblDisponibilidad[],2,FALSE), "")</f>
        <v/>
      </c>
      <c r="C362">
        <f>IFERROR(VLOOKUP(Tabla1[[#This Row],[SISMED]],TblDisponibilidad[],7,FALSE), 0)</f>
        <v>0</v>
      </c>
      <c r="D362">
        <f>IFERROR(VLOOKUP(Tabla1[[#This Row],[SISMED]],TblDisponibilidad[],8,FALSE), 0)</f>
        <v>0</v>
      </c>
      <c r="E362">
        <f>IFERROR(VLOOKUP(Tabla1[[#This Row],[SISMED]],TblDisponibilidad[],9,FALSE), 0)</f>
        <v>0</v>
      </c>
      <c r="F362">
        <f>IFERROR(VLOOKUP(Tabla1[[#This Row],[SISMED]],TblDisponibilidad[],10,FALSE), 0)</f>
        <v>0</v>
      </c>
      <c r="G362">
        <f>IFERROR(VLOOKUP(Tabla1[[#This Row],[SISMED]],TblDisponibilidad[],11,FALSE), 0)</f>
        <v>0</v>
      </c>
      <c r="H362">
        <f>IFERROR(VLOOKUP(Tabla1[[#This Row],[SISMED]],TblDisponibilidad[],12,FALSE), 0)</f>
        <v>0</v>
      </c>
      <c r="I362">
        <f>IFERROR(VLOOKUP(Tabla1[[#This Row],[SISMED]],TblDisponibilidad[],13,FALSE), 0)</f>
        <v>0</v>
      </c>
      <c r="J362">
        <f>IFERROR(VLOOKUP(Tabla1[[#This Row],[SISMED]],TblDisponibilidad[],14,FALSE), 0)</f>
        <v>0</v>
      </c>
      <c r="K362">
        <f>IFERROR(VLOOKUP(Tabla1[[#This Row],[SISMED]],TblDisponibilidad[],15,FALSE), 0)</f>
        <v>0</v>
      </c>
      <c r="L362">
        <f>IFERROR(VLOOKUP(Tabla1[[#This Row],[SISMED]],TblDisponibilidad[],16,FALSE), 0)</f>
        <v>0</v>
      </c>
      <c r="M362">
        <f>IFERROR(VLOOKUP(Tabla1[[#This Row],[SISMED]],TblDisponibilidad[],17,FALSE), 0)</f>
        <v>0</v>
      </c>
      <c r="N362">
        <f>IFERROR(VLOOKUP(Tabla1[[#This Row],[SISMED]],TblDisponibilidad[],18,FALSE), 0)</f>
        <v>0</v>
      </c>
      <c r="O362">
        <f>IFERROR(VLOOKUP(Tabla1[[#This Row],[SISMED]],TblDisponibilidad[],19,FALSE), 0)</f>
        <v>0</v>
      </c>
      <c r="P362">
        <f>IFERROR(VLOOKUP(Tabla1[[#This Row],[SISMED]],TblDisponibilidad[],20,FALSE), 0)</f>
        <v>0</v>
      </c>
      <c r="Q362">
        <f>IFERROR(VLOOKUP(Tabla1[[#This Row],[SISMED]],TblDisponibilidad[],21,FALSE), 0)</f>
        <v>0</v>
      </c>
      <c r="R362">
        <f>IFERROR(VLOOKUP(Tabla1[[#This Row],[SISMED]],TblDisponibilidad[],22,FALSE), 0)</f>
        <v>0</v>
      </c>
      <c r="S362" s="15">
        <f>IFERROR(VLOOKUP(Tabla1[[#This Row],[SISMED]],TblDisponibilidad[],23,FALSE), 0)</f>
        <v>0</v>
      </c>
    </row>
    <row r="363" spans="1:19" x14ac:dyDescent="0.3">
      <c r="A363" s="15" t="s">
        <v>393</v>
      </c>
      <c r="B363" t="str">
        <f>IFERROR(VLOOKUP(Tabla1[[#This Row],[SISMED]],TblDisponibilidad[],2,FALSE), "")</f>
        <v/>
      </c>
      <c r="C363">
        <f>IFERROR(VLOOKUP(Tabla1[[#This Row],[SISMED]],TblDisponibilidad[],7,FALSE), 0)</f>
        <v>0</v>
      </c>
      <c r="D363">
        <f>IFERROR(VLOOKUP(Tabla1[[#This Row],[SISMED]],TblDisponibilidad[],8,FALSE), 0)</f>
        <v>0</v>
      </c>
      <c r="E363">
        <f>IFERROR(VLOOKUP(Tabla1[[#This Row],[SISMED]],TblDisponibilidad[],9,FALSE), 0)</f>
        <v>0</v>
      </c>
      <c r="F363">
        <f>IFERROR(VLOOKUP(Tabla1[[#This Row],[SISMED]],TblDisponibilidad[],10,FALSE), 0)</f>
        <v>0</v>
      </c>
      <c r="G363">
        <f>IFERROR(VLOOKUP(Tabla1[[#This Row],[SISMED]],TblDisponibilidad[],11,FALSE), 0)</f>
        <v>0</v>
      </c>
      <c r="H363">
        <f>IFERROR(VLOOKUP(Tabla1[[#This Row],[SISMED]],TblDisponibilidad[],12,FALSE), 0)</f>
        <v>0</v>
      </c>
      <c r="I363">
        <f>IFERROR(VLOOKUP(Tabla1[[#This Row],[SISMED]],TblDisponibilidad[],13,FALSE), 0)</f>
        <v>0</v>
      </c>
      <c r="J363">
        <f>IFERROR(VLOOKUP(Tabla1[[#This Row],[SISMED]],TblDisponibilidad[],14,FALSE), 0)</f>
        <v>0</v>
      </c>
      <c r="K363">
        <f>IFERROR(VLOOKUP(Tabla1[[#This Row],[SISMED]],TblDisponibilidad[],15,FALSE), 0)</f>
        <v>0</v>
      </c>
      <c r="L363">
        <f>IFERROR(VLOOKUP(Tabla1[[#This Row],[SISMED]],TblDisponibilidad[],16,FALSE), 0)</f>
        <v>0</v>
      </c>
      <c r="M363">
        <f>IFERROR(VLOOKUP(Tabla1[[#This Row],[SISMED]],TblDisponibilidad[],17,FALSE), 0)</f>
        <v>0</v>
      </c>
      <c r="N363">
        <f>IFERROR(VLOOKUP(Tabla1[[#This Row],[SISMED]],TblDisponibilidad[],18,FALSE), 0)</f>
        <v>0</v>
      </c>
      <c r="O363">
        <f>IFERROR(VLOOKUP(Tabla1[[#This Row],[SISMED]],TblDisponibilidad[],19,FALSE), 0)</f>
        <v>0</v>
      </c>
      <c r="P363">
        <f>IFERROR(VLOOKUP(Tabla1[[#This Row],[SISMED]],TblDisponibilidad[],20,FALSE), 0)</f>
        <v>0</v>
      </c>
      <c r="Q363">
        <f>IFERROR(VLOOKUP(Tabla1[[#This Row],[SISMED]],TblDisponibilidad[],21,FALSE), 0)</f>
        <v>0</v>
      </c>
      <c r="R363">
        <f>IFERROR(VLOOKUP(Tabla1[[#This Row],[SISMED]],TblDisponibilidad[],22,FALSE), 0)</f>
        <v>0</v>
      </c>
      <c r="S363" s="15">
        <f>IFERROR(VLOOKUP(Tabla1[[#This Row],[SISMED]],TblDisponibilidad[],23,FALSE), 0)</f>
        <v>0</v>
      </c>
    </row>
    <row r="364" spans="1:19" x14ac:dyDescent="0.3">
      <c r="A364" s="15" t="s">
        <v>394</v>
      </c>
      <c r="B364" t="str">
        <f>IFERROR(VLOOKUP(Tabla1[[#This Row],[SISMED]],TblDisponibilidad[],2,FALSE), "")</f>
        <v/>
      </c>
      <c r="C364">
        <f>IFERROR(VLOOKUP(Tabla1[[#This Row],[SISMED]],TblDisponibilidad[],7,FALSE), 0)</f>
        <v>0</v>
      </c>
      <c r="D364">
        <f>IFERROR(VLOOKUP(Tabla1[[#This Row],[SISMED]],TblDisponibilidad[],8,FALSE), 0)</f>
        <v>0</v>
      </c>
      <c r="E364">
        <f>IFERROR(VLOOKUP(Tabla1[[#This Row],[SISMED]],TblDisponibilidad[],9,FALSE), 0)</f>
        <v>0</v>
      </c>
      <c r="F364">
        <f>IFERROR(VLOOKUP(Tabla1[[#This Row],[SISMED]],TblDisponibilidad[],10,FALSE), 0)</f>
        <v>0</v>
      </c>
      <c r="G364">
        <f>IFERROR(VLOOKUP(Tabla1[[#This Row],[SISMED]],TblDisponibilidad[],11,FALSE), 0)</f>
        <v>0</v>
      </c>
      <c r="H364">
        <f>IFERROR(VLOOKUP(Tabla1[[#This Row],[SISMED]],TblDisponibilidad[],12,FALSE), 0)</f>
        <v>0</v>
      </c>
      <c r="I364">
        <f>IFERROR(VLOOKUP(Tabla1[[#This Row],[SISMED]],TblDisponibilidad[],13,FALSE), 0)</f>
        <v>0</v>
      </c>
      <c r="J364">
        <f>IFERROR(VLOOKUP(Tabla1[[#This Row],[SISMED]],TblDisponibilidad[],14,FALSE), 0)</f>
        <v>0</v>
      </c>
      <c r="K364">
        <f>IFERROR(VLOOKUP(Tabla1[[#This Row],[SISMED]],TblDisponibilidad[],15,FALSE), 0)</f>
        <v>0</v>
      </c>
      <c r="L364">
        <f>IFERROR(VLOOKUP(Tabla1[[#This Row],[SISMED]],TblDisponibilidad[],16,FALSE), 0)</f>
        <v>0</v>
      </c>
      <c r="M364">
        <f>IFERROR(VLOOKUP(Tabla1[[#This Row],[SISMED]],TblDisponibilidad[],17,FALSE), 0)</f>
        <v>0</v>
      </c>
      <c r="N364">
        <f>IFERROR(VLOOKUP(Tabla1[[#This Row],[SISMED]],TblDisponibilidad[],18,FALSE), 0)</f>
        <v>0</v>
      </c>
      <c r="O364">
        <f>IFERROR(VLOOKUP(Tabla1[[#This Row],[SISMED]],TblDisponibilidad[],19,FALSE), 0)</f>
        <v>0</v>
      </c>
      <c r="P364">
        <f>IFERROR(VLOOKUP(Tabla1[[#This Row],[SISMED]],TblDisponibilidad[],20,FALSE), 0)</f>
        <v>0</v>
      </c>
      <c r="Q364">
        <f>IFERROR(VLOOKUP(Tabla1[[#This Row],[SISMED]],TblDisponibilidad[],21,FALSE), 0)</f>
        <v>0</v>
      </c>
      <c r="R364">
        <f>IFERROR(VLOOKUP(Tabla1[[#This Row],[SISMED]],TblDisponibilidad[],22,FALSE), 0)</f>
        <v>0</v>
      </c>
      <c r="S364" s="15">
        <f>IFERROR(VLOOKUP(Tabla1[[#This Row],[SISMED]],TblDisponibilidad[],23,FALSE), 0)</f>
        <v>0</v>
      </c>
    </row>
    <row r="365" spans="1:19" x14ac:dyDescent="0.3">
      <c r="A365" s="15" t="s">
        <v>395</v>
      </c>
      <c r="B365" t="str">
        <f>IFERROR(VLOOKUP(Tabla1[[#This Row],[SISMED]],TblDisponibilidad[],2,FALSE), "")</f>
        <v/>
      </c>
      <c r="C365">
        <f>IFERROR(VLOOKUP(Tabla1[[#This Row],[SISMED]],TblDisponibilidad[],7,FALSE), 0)</f>
        <v>0</v>
      </c>
      <c r="D365">
        <f>IFERROR(VLOOKUP(Tabla1[[#This Row],[SISMED]],TblDisponibilidad[],8,FALSE), 0)</f>
        <v>0</v>
      </c>
      <c r="E365">
        <f>IFERROR(VLOOKUP(Tabla1[[#This Row],[SISMED]],TblDisponibilidad[],9,FALSE), 0)</f>
        <v>0</v>
      </c>
      <c r="F365">
        <f>IFERROR(VLOOKUP(Tabla1[[#This Row],[SISMED]],TblDisponibilidad[],10,FALSE), 0)</f>
        <v>0</v>
      </c>
      <c r="G365">
        <f>IFERROR(VLOOKUP(Tabla1[[#This Row],[SISMED]],TblDisponibilidad[],11,FALSE), 0)</f>
        <v>0</v>
      </c>
      <c r="H365">
        <f>IFERROR(VLOOKUP(Tabla1[[#This Row],[SISMED]],TblDisponibilidad[],12,FALSE), 0)</f>
        <v>0</v>
      </c>
      <c r="I365">
        <f>IFERROR(VLOOKUP(Tabla1[[#This Row],[SISMED]],TblDisponibilidad[],13,FALSE), 0)</f>
        <v>0</v>
      </c>
      <c r="J365">
        <f>IFERROR(VLOOKUP(Tabla1[[#This Row],[SISMED]],TblDisponibilidad[],14,FALSE), 0)</f>
        <v>0</v>
      </c>
      <c r="K365">
        <f>IFERROR(VLOOKUP(Tabla1[[#This Row],[SISMED]],TblDisponibilidad[],15,FALSE), 0)</f>
        <v>0</v>
      </c>
      <c r="L365">
        <f>IFERROR(VLOOKUP(Tabla1[[#This Row],[SISMED]],TblDisponibilidad[],16,FALSE), 0)</f>
        <v>0</v>
      </c>
      <c r="M365">
        <f>IFERROR(VLOOKUP(Tabla1[[#This Row],[SISMED]],TblDisponibilidad[],17,FALSE), 0)</f>
        <v>0</v>
      </c>
      <c r="N365">
        <f>IFERROR(VLOOKUP(Tabla1[[#This Row],[SISMED]],TblDisponibilidad[],18,FALSE), 0)</f>
        <v>0</v>
      </c>
      <c r="O365">
        <f>IFERROR(VLOOKUP(Tabla1[[#This Row],[SISMED]],TblDisponibilidad[],19,FALSE), 0)</f>
        <v>0</v>
      </c>
      <c r="P365">
        <f>IFERROR(VLOOKUP(Tabla1[[#This Row],[SISMED]],TblDisponibilidad[],20,FALSE), 0)</f>
        <v>0</v>
      </c>
      <c r="Q365">
        <f>IFERROR(VLOOKUP(Tabla1[[#This Row],[SISMED]],TblDisponibilidad[],21,FALSE), 0)</f>
        <v>0</v>
      </c>
      <c r="R365">
        <f>IFERROR(VLOOKUP(Tabla1[[#This Row],[SISMED]],TblDisponibilidad[],22,FALSE), 0)</f>
        <v>0</v>
      </c>
      <c r="S365" s="15">
        <f>IFERROR(VLOOKUP(Tabla1[[#This Row],[SISMED]],TblDisponibilidad[],23,FALSE), 0)</f>
        <v>0</v>
      </c>
    </row>
    <row r="366" spans="1:19" x14ac:dyDescent="0.3">
      <c r="A366" s="15" t="s">
        <v>396</v>
      </c>
      <c r="B366" t="str">
        <f>IFERROR(VLOOKUP(Tabla1[[#This Row],[SISMED]],TblDisponibilidad[],2,FALSE), "")</f>
        <v/>
      </c>
      <c r="C366">
        <f>IFERROR(VLOOKUP(Tabla1[[#This Row],[SISMED]],TblDisponibilidad[],7,FALSE), 0)</f>
        <v>0</v>
      </c>
      <c r="D366">
        <f>IFERROR(VLOOKUP(Tabla1[[#This Row],[SISMED]],TblDisponibilidad[],8,FALSE), 0)</f>
        <v>0</v>
      </c>
      <c r="E366">
        <f>IFERROR(VLOOKUP(Tabla1[[#This Row],[SISMED]],TblDisponibilidad[],9,FALSE), 0)</f>
        <v>0</v>
      </c>
      <c r="F366">
        <f>IFERROR(VLOOKUP(Tabla1[[#This Row],[SISMED]],TblDisponibilidad[],10,FALSE), 0)</f>
        <v>0</v>
      </c>
      <c r="G366">
        <f>IFERROR(VLOOKUP(Tabla1[[#This Row],[SISMED]],TblDisponibilidad[],11,FALSE), 0)</f>
        <v>0</v>
      </c>
      <c r="H366">
        <f>IFERROR(VLOOKUP(Tabla1[[#This Row],[SISMED]],TblDisponibilidad[],12,FALSE), 0)</f>
        <v>0</v>
      </c>
      <c r="I366">
        <f>IFERROR(VLOOKUP(Tabla1[[#This Row],[SISMED]],TblDisponibilidad[],13,FALSE), 0)</f>
        <v>0</v>
      </c>
      <c r="J366">
        <f>IFERROR(VLOOKUP(Tabla1[[#This Row],[SISMED]],TblDisponibilidad[],14,FALSE), 0)</f>
        <v>0</v>
      </c>
      <c r="K366">
        <f>IFERROR(VLOOKUP(Tabla1[[#This Row],[SISMED]],TblDisponibilidad[],15,FALSE), 0)</f>
        <v>0</v>
      </c>
      <c r="L366">
        <f>IFERROR(VLOOKUP(Tabla1[[#This Row],[SISMED]],TblDisponibilidad[],16,FALSE), 0)</f>
        <v>0</v>
      </c>
      <c r="M366">
        <f>IFERROR(VLOOKUP(Tabla1[[#This Row],[SISMED]],TblDisponibilidad[],17,FALSE), 0)</f>
        <v>0</v>
      </c>
      <c r="N366">
        <f>IFERROR(VLOOKUP(Tabla1[[#This Row],[SISMED]],TblDisponibilidad[],18,FALSE), 0)</f>
        <v>0</v>
      </c>
      <c r="O366">
        <f>IFERROR(VLOOKUP(Tabla1[[#This Row],[SISMED]],TblDisponibilidad[],19,FALSE), 0)</f>
        <v>0</v>
      </c>
      <c r="P366">
        <f>IFERROR(VLOOKUP(Tabla1[[#This Row],[SISMED]],TblDisponibilidad[],20,FALSE), 0)</f>
        <v>0</v>
      </c>
      <c r="Q366">
        <f>IFERROR(VLOOKUP(Tabla1[[#This Row],[SISMED]],TblDisponibilidad[],21,FALSE), 0)</f>
        <v>0</v>
      </c>
      <c r="R366">
        <f>IFERROR(VLOOKUP(Tabla1[[#This Row],[SISMED]],TblDisponibilidad[],22,FALSE), 0)</f>
        <v>0</v>
      </c>
      <c r="S366" s="15">
        <f>IFERROR(VLOOKUP(Tabla1[[#This Row],[SISMED]],TblDisponibilidad[],23,FALSE), 0)</f>
        <v>0</v>
      </c>
    </row>
    <row r="367" spans="1:19" x14ac:dyDescent="0.3">
      <c r="A367" s="15" t="s">
        <v>397</v>
      </c>
      <c r="B367" t="str">
        <f>IFERROR(VLOOKUP(Tabla1[[#This Row],[SISMED]],TblDisponibilidad[],2,FALSE), "")</f>
        <v/>
      </c>
      <c r="C367">
        <f>IFERROR(VLOOKUP(Tabla1[[#This Row],[SISMED]],TblDisponibilidad[],7,FALSE), 0)</f>
        <v>0</v>
      </c>
      <c r="D367">
        <f>IFERROR(VLOOKUP(Tabla1[[#This Row],[SISMED]],TblDisponibilidad[],8,FALSE), 0)</f>
        <v>0</v>
      </c>
      <c r="E367">
        <f>IFERROR(VLOOKUP(Tabla1[[#This Row],[SISMED]],TblDisponibilidad[],9,FALSE), 0)</f>
        <v>0</v>
      </c>
      <c r="F367">
        <f>IFERROR(VLOOKUP(Tabla1[[#This Row],[SISMED]],TblDisponibilidad[],10,FALSE), 0)</f>
        <v>0</v>
      </c>
      <c r="G367">
        <f>IFERROR(VLOOKUP(Tabla1[[#This Row],[SISMED]],TblDisponibilidad[],11,FALSE), 0)</f>
        <v>0</v>
      </c>
      <c r="H367">
        <f>IFERROR(VLOOKUP(Tabla1[[#This Row],[SISMED]],TblDisponibilidad[],12,FALSE), 0)</f>
        <v>0</v>
      </c>
      <c r="I367">
        <f>IFERROR(VLOOKUP(Tabla1[[#This Row],[SISMED]],TblDisponibilidad[],13,FALSE), 0)</f>
        <v>0</v>
      </c>
      <c r="J367">
        <f>IFERROR(VLOOKUP(Tabla1[[#This Row],[SISMED]],TblDisponibilidad[],14,FALSE), 0)</f>
        <v>0</v>
      </c>
      <c r="K367">
        <f>IFERROR(VLOOKUP(Tabla1[[#This Row],[SISMED]],TblDisponibilidad[],15,FALSE), 0)</f>
        <v>0</v>
      </c>
      <c r="L367">
        <f>IFERROR(VLOOKUP(Tabla1[[#This Row],[SISMED]],TblDisponibilidad[],16,FALSE), 0)</f>
        <v>0</v>
      </c>
      <c r="M367">
        <f>IFERROR(VLOOKUP(Tabla1[[#This Row],[SISMED]],TblDisponibilidad[],17,FALSE), 0)</f>
        <v>0</v>
      </c>
      <c r="N367">
        <f>IFERROR(VLOOKUP(Tabla1[[#This Row],[SISMED]],TblDisponibilidad[],18,FALSE), 0)</f>
        <v>0</v>
      </c>
      <c r="O367">
        <f>IFERROR(VLOOKUP(Tabla1[[#This Row],[SISMED]],TblDisponibilidad[],19,FALSE), 0)</f>
        <v>0</v>
      </c>
      <c r="P367">
        <f>IFERROR(VLOOKUP(Tabla1[[#This Row],[SISMED]],TblDisponibilidad[],20,FALSE), 0)</f>
        <v>0</v>
      </c>
      <c r="Q367">
        <f>IFERROR(VLOOKUP(Tabla1[[#This Row],[SISMED]],TblDisponibilidad[],21,FALSE), 0)</f>
        <v>0</v>
      </c>
      <c r="R367">
        <f>IFERROR(VLOOKUP(Tabla1[[#This Row],[SISMED]],TblDisponibilidad[],22,FALSE), 0)</f>
        <v>0</v>
      </c>
      <c r="S367" s="15">
        <f>IFERROR(VLOOKUP(Tabla1[[#This Row],[SISMED]],TblDisponibilidad[],23,FALSE), 0)</f>
        <v>0</v>
      </c>
    </row>
    <row r="368" spans="1:19" x14ac:dyDescent="0.3">
      <c r="A368" s="15" t="s">
        <v>398</v>
      </c>
      <c r="B368" t="str">
        <f>IFERROR(VLOOKUP(Tabla1[[#This Row],[SISMED]],TblDisponibilidad[],2,FALSE), "")</f>
        <v/>
      </c>
      <c r="C368">
        <f>IFERROR(VLOOKUP(Tabla1[[#This Row],[SISMED]],TblDisponibilidad[],7,FALSE), 0)</f>
        <v>0</v>
      </c>
      <c r="D368">
        <f>IFERROR(VLOOKUP(Tabla1[[#This Row],[SISMED]],TblDisponibilidad[],8,FALSE), 0)</f>
        <v>0</v>
      </c>
      <c r="E368">
        <f>IFERROR(VLOOKUP(Tabla1[[#This Row],[SISMED]],TblDisponibilidad[],9,FALSE), 0)</f>
        <v>0</v>
      </c>
      <c r="F368">
        <f>IFERROR(VLOOKUP(Tabla1[[#This Row],[SISMED]],TblDisponibilidad[],10,FALSE), 0)</f>
        <v>0</v>
      </c>
      <c r="G368">
        <f>IFERROR(VLOOKUP(Tabla1[[#This Row],[SISMED]],TblDisponibilidad[],11,FALSE), 0)</f>
        <v>0</v>
      </c>
      <c r="H368">
        <f>IFERROR(VLOOKUP(Tabla1[[#This Row],[SISMED]],TblDisponibilidad[],12,FALSE), 0)</f>
        <v>0</v>
      </c>
      <c r="I368">
        <f>IFERROR(VLOOKUP(Tabla1[[#This Row],[SISMED]],TblDisponibilidad[],13,FALSE), 0)</f>
        <v>0</v>
      </c>
      <c r="J368">
        <f>IFERROR(VLOOKUP(Tabla1[[#This Row],[SISMED]],TblDisponibilidad[],14,FALSE), 0)</f>
        <v>0</v>
      </c>
      <c r="K368">
        <f>IFERROR(VLOOKUP(Tabla1[[#This Row],[SISMED]],TblDisponibilidad[],15,FALSE), 0)</f>
        <v>0</v>
      </c>
      <c r="L368">
        <f>IFERROR(VLOOKUP(Tabla1[[#This Row],[SISMED]],TblDisponibilidad[],16,FALSE), 0)</f>
        <v>0</v>
      </c>
      <c r="M368">
        <f>IFERROR(VLOOKUP(Tabla1[[#This Row],[SISMED]],TblDisponibilidad[],17,FALSE), 0)</f>
        <v>0</v>
      </c>
      <c r="N368">
        <f>IFERROR(VLOOKUP(Tabla1[[#This Row],[SISMED]],TblDisponibilidad[],18,FALSE), 0)</f>
        <v>0</v>
      </c>
      <c r="O368">
        <f>IFERROR(VLOOKUP(Tabla1[[#This Row],[SISMED]],TblDisponibilidad[],19,FALSE), 0)</f>
        <v>0</v>
      </c>
      <c r="P368">
        <f>IFERROR(VLOOKUP(Tabla1[[#This Row],[SISMED]],TblDisponibilidad[],20,FALSE), 0)</f>
        <v>0</v>
      </c>
      <c r="Q368">
        <f>IFERROR(VLOOKUP(Tabla1[[#This Row],[SISMED]],TblDisponibilidad[],21,FALSE), 0)</f>
        <v>0</v>
      </c>
      <c r="R368">
        <f>IFERROR(VLOOKUP(Tabla1[[#This Row],[SISMED]],TblDisponibilidad[],22,FALSE), 0)</f>
        <v>0</v>
      </c>
      <c r="S368" s="15">
        <f>IFERROR(VLOOKUP(Tabla1[[#This Row],[SISMED]],TblDisponibilidad[],23,FALSE), 0)</f>
        <v>0</v>
      </c>
    </row>
    <row r="369" spans="1:19" x14ac:dyDescent="0.3">
      <c r="A369" s="15" t="s">
        <v>399</v>
      </c>
      <c r="B369" t="str">
        <f>IFERROR(VLOOKUP(Tabla1[[#This Row],[SISMED]],TblDisponibilidad[],2,FALSE), "")</f>
        <v/>
      </c>
      <c r="C369">
        <f>IFERROR(VLOOKUP(Tabla1[[#This Row],[SISMED]],TblDisponibilidad[],7,FALSE), 0)</f>
        <v>0</v>
      </c>
      <c r="D369">
        <f>IFERROR(VLOOKUP(Tabla1[[#This Row],[SISMED]],TblDisponibilidad[],8,FALSE), 0)</f>
        <v>0</v>
      </c>
      <c r="E369">
        <f>IFERROR(VLOOKUP(Tabla1[[#This Row],[SISMED]],TblDisponibilidad[],9,FALSE), 0)</f>
        <v>0</v>
      </c>
      <c r="F369">
        <f>IFERROR(VLOOKUP(Tabla1[[#This Row],[SISMED]],TblDisponibilidad[],10,FALSE), 0)</f>
        <v>0</v>
      </c>
      <c r="G369">
        <f>IFERROR(VLOOKUP(Tabla1[[#This Row],[SISMED]],TblDisponibilidad[],11,FALSE), 0)</f>
        <v>0</v>
      </c>
      <c r="H369">
        <f>IFERROR(VLOOKUP(Tabla1[[#This Row],[SISMED]],TblDisponibilidad[],12,FALSE), 0)</f>
        <v>0</v>
      </c>
      <c r="I369">
        <f>IFERROR(VLOOKUP(Tabla1[[#This Row],[SISMED]],TblDisponibilidad[],13,FALSE), 0)</f>
        <v>0</v>
      </c>
      <c r="J369">
        <f>IFERROR(VLOOKUP(Tabla1[[#This Row],[SISMED]],TblDisponibilidad[],14,FALSE), 0)</f>
        <v>0</v>
      </c>
      <c r="K369">
        <f>IFERROR(VLOOKUP(Tabla1[[#This Row],[SISMED]],TblDisponibilidad[],15,FALSE), 0)</f>
        <v>0</v>
      </c>
      <c r="L369">
        <f>IFERROR(VLOOKUP(Tabla1[[#This Row],[SISMED]],TblDisponibilidad[],16,FALSE), 0)</f>
        <v>0</v>
      </c>
      <c r="M369">
        <f>IFERROR(VLOOKUP(Tabla1[[#This Row],[SISMED]],TblDisponibilidad[],17,FALSE), 0)</f>
        <v>0</v>
      </c>
      <c r="N369">
        <f>IFERROR(VLOOKUP(Tabla1[[#This Row],[SISMED]],TblDisponibilidad[],18,FALSE), 0)</f>
        <v>0</v>
      </c>
      <c r="O369">
        <f>IFERROR(VLOOKUP(Tabla1[[#This Row],[SISMED]],TblDisponibilidad[],19,FALSE), 0)</f>
        <v>0</v>
      </c>
      <c r="P369">
        <f>IFERROR(VLOOKUP(Tabla1[[#This Row],[SISMED]],TblDisponibilidad[],20,FALSE), 0)</f>
        <v>0</v>
      </c>
      <c r="Q369">
        <f>IFERROR(VLOOKUP(Tabla1[[#This Row],[SISMED]],TblDisponibilidad[],21,FALSE), 0)</f>
        <v>0</v>
      </c>
      <c r="R369">
        <f>IFERROR(VLOOKUP(Tabla1[[#This Row],[SISMED]],TblDisponibilidad[],22,FALSE), 0)</f>
        <v>0</v>
      </c>
      <c r="S369" s="15">
        <f>IFERROR(VLOOKUP(Tabla1[[#This Row],[SISMED]],TblDisponibilidad[],23,FALSE), 0)</f>
        <v>0</v>
      </c>
    </row>
    <row r="370" spans="1:19" x14ac:dyDescent="0.3">
      <c r="A370" s="15" t="s">
        <v>400</v>
      </c>
      <c r="B370" t="str">
        <f>IFERROR(VLOOKUP(Tabla1[[#This Row],[SISMED]],TblDisponibilidad[],2,FALSE), "")</f>
        <v/>
      </c>
      <c r="C370">
        <f>IFERROR(VLOOKUP(Tabla1[[#This Row],[SISMED]],TblDisponibilidad[],7,FALSE), 0)</f>
        <v>0</v>
      </c>
      <c r="D370">
        <f>IFERROR(VLOOKUP(Tabla1[[#This Row],[SISMED]],TblDisponibilidad[],8,FALSE), 0)</f>
        <v>0</v>
      </c>
      <c r="E370">
        <f>IFERROR(VLOOKUP(Tabla1[[#This Row],[SISMED]],TblDisponibilidad[],9,FALSE), 0)</f>
        <v>0</v>
      </c>
      <c r="F370">
        <f>IFERROR(VLOOKUP(Tabla1[[#This Row],[SISMED]],TblDisponibilidad[],10,FALSE), 0)</f>
        <v>0</v>
      </c>
      <c r="G370">
        <f>IFERROR(VLOOKUP(Tabla1[[#This Row],[SISMED]],TblDisponibilidad[],11,FALSE), 0)</f>
        <v>0</v>
      </c>
      <c r="H370">
        <f>IFERROR(VLOOKUP(Tabla1[[#This Row],[SISMED]],TblDisponibilidad[],12,FALSE), 0)</f>
        <v>0</v>
      </c>
      <c r="I370">
        <f>IFERROR(VLOOKUP(Tabla1[[#This Row],[SISMED]],TblDisponibilidad[],13,FALSE), 0)</f>
        <v>0</v>
      </c>
      <c r="J370">
        <f>IFERROR(VLOOKUP(Tabla1[[#This Row],[SISMED]],TblDisponibilidad[],14,FALSE), 0)</f>
        <v>0</v>
      </c>
      <c r="K370">
        <f>IFERROR(VLOOKUP(Tabla1[[#This Row],[SISMED]],TblDisponibilidad[],15,FALSE), 0)</f>
        <v>0</v>
      </c>
      <c r="L370">
        <f>IFERROR(VLOOKUP(Tabla1[[#This Row],[SISMED]],TblDisponibilidad[],16,FALSE), 0)</f>
        <v>0</v>
      </c>
      <c r="M370">
        <f>IFERROR(VLOOKUP(Tabla1[[#This Row],[SISMED]],TblDisponibilidad[],17,FALSE), 0)</f>
        <v>0</v>
      </c>
      <c r="N370">
        <f>IFERROR(VLOOKUP(Tabla1[[#This Row],[SISMED]],TblDisponibilidad[],18,FALSE), 0)</f>
        <v>0</v>
      </c>
      <c r="O370">
        <f>IFERROR(VLOOKUP(Tabla1[[#This Row],[SISMED]],TblDisponibilidad[],19,FALSE), 0)</f>
        <v>0</v>
      </c>
      <c r="P370">
        <f>IFERROR(VLOOKUP(Tabla1[[#This Row],[SISMED]],TblDisponibilidad[],20,FALSE), 0)</f>
        <v>0</v>
      </c>
      <c r="Q370">
        <f>IFERROR(VLOOKUP(Tabla1[[#This Row],[SISMED]],TblDisponibilidad[],21,FALSE), 0)</f>
        <v>0</v>
      </c>
      <c r="R370">
        <f>IFERROR(VLOOKUP(Tabla1[[#This Row],[SISMED]],TblDisponibilidad[],22,FALSE), 0)</f>
        <v>0</v>
      </c>
      <c r="S370" s="15">
        <f>IFERROR(VLOOKUP(Tabla1[[#This Row],[SISMED]],TblDisponibilidad[],23,FALSE), 0)</f>
        <v>0</v>
      </c>
    </row>
    <row r="371" spans="1:19" x14ac:dyDescent="0.3">
      <c r="A371" s="15" t="s">
        <v>401</v>
      </c>
      <c r="B371" t="str">
        <f>IFERROR(VLOOKUP(Tabla1[[#This Row],[SISMED]],TblDisponibilidad[],2,FALSE), "")</f>
        <v/>
      </c>
      <c r="C371">
        <f>IFERROR(VLOOKUP(Tabla1[[#This Row],[SISMED]],TblDisponibilidad[],7,FALSE), 0)</f>
        <v>0</v>
      </c>
      <c r="D371">
        <f>IFERROR(VLOOKUP(Tabla1[[#This Row],[SISMED]],TblDisponibilidad[],8,FALSE), 0)</f>
        <v>0</v>
      </c>
      <c r="E371">
        <f>IFERROR(VLOOKUP(Tabla1[[#This Row],[SISMED]],TblDisponibilidad[],9,FALSE), 0)</f>
        <v>0</v>
      </c>
      <c r="F371">
        <f>IFERROR(VLOOKUP(Tabla1[[#This Row],[SISMED]],TblDisponibilidad[],10,FALSE), 0)</f>
        <v>0</v>
      </c>
      <c r="G371">
        <f>IFERROR(VLOOKUP(Tabla1[[#This Row],[SISMED]],TblDisponibilidad[],11,FALSE), 0)</f>
        <v>0</v>
      </c>
      <c r="H371">
        <f>IFERROR(VLOOKUP(Tabla1[[#This Row],[SISMED]],TblDisponibilidad[],12,FALSE), 0)</f>
        <v>0</v>
      </c>
      <c r="I371">
        <f>IFERROR(VLOOKUP(Tabla1[[#This Row],[SISMED]],TblDisponibilidad[],13,FALSE), 0)</f>
        <v>0</v>
      </c>
      <c r="J371">
        <f>IFERROR(VLOOKUP(Tabla1[[#This Row],[SISMED]],TblDisponibilidad[],14,FALSE), 0)</f>
        <v>0</v>
      </c>
      <c r="K371">
        <f>IFERROR(VLOOKUP(Tabla1[[#This Row],[SISMED]],TblDisponibilidad[],15,FALSE), 0)</f>
        <v>0</v>
      </c>
      <c r="L371">
        <f>IFERROR(VLOOKUP(Tabla1[[#This Row],[SISMED]],TblDisponibilidad[],16,FALSE), 0)</f>
        <v>0</v>
      </c>
      <c r="M371">
        <f>IFERROR(VLOOKUP(Tabla1[[#This Row],[SISMED]],TblDisponibilidad[],17,FALSE), 0)</f>
        <v>0</v>
      </c>
      <c r="N371">
        <f>IFERROR(VLOOKUP(Tabla1[[#This Row],[SISMED]],TblDisponibilidad[],18,FALSE), 0)</f>
        <v>0</v>
      </c>
      <c r="O371">
        <f>IFERROR(VLOOKUP(Tabla1[[#This Row],[SISMED]],TblDisponibilidad[],19,FALSE), 0)</f>
        <v>0</v>
      </c>
      <c r="P371">
        <f>IFERROR(VLOOKUP(Tabla1[[#This Row],[SISMED]],TblDisponibilidad[],20,FALSE), 0)</f>
        <v>0</v>
      </c>
      <c r="Q371">
        <f>IFERROR(VLOOKUP(Tabla1[[#This Row],[SISMED]],TblDisponibilidad[],21,FALSE), 0)</f>
        <v>0</v>
      </c>
      <c r="R371">
        <f>IFERROR(VLOOKUP(Tabla1[[#This Row],[SISMED]],TblDisponibilidad[],22,FALSE), 0)</f>
        <v>0</v>
      </c>
      <c r="S371" s="15">
        <f>IFERROR(VLOOKUP(Tabla1[[#This Row],[SISMED]],TblDisponibilidad[],23,FALSE), 0)</f>
        <v>0</v>
      </c>
    </row>
    <row r="372" spans="1:19" x14ac:dyDescent="0.3">
      <c r="A372" s="15" t="s">
        <v>402</v>
      </c>
      <c r="B372" t="str">
        <f>IFERROR(VLOOKUP(Tabla1[[#This Row],[SISMED]],TblDisponibilidad[],2,FALSE), "")</f>
        <v/>
      </c>
      <c r="C372">
        <f>IFERROR(VLOOKUP(Tabla1[[#This Row],[SISMED]],TblDisponibilidad[],7,FALSE), 0)</f>
        <v>0</v>
      </c>
      <c r="D372">
        <f>IFERROR(VLOOKUP(Tabla1[[#This Row],[SISMED]],TblDisponibilidad[],8,FALSE), 0)</f>
        <v>0</v>
      </c>
      <c r="E372">
        <f>IFERROR(VLOOKUP(Tabla1[[#This Row],[SISMED]],TblDisponibilidad[],9,FALSE), 0)</f>
        <v>0</v>
      </c>
      <c r="F372">
        <f>IFERROR(VLOOKUP(Tabla1[[#This Row],[SISMED]],TblDisponibilidad[],10,FALSE), 0)</f>
        <v>0</v>
      </c>
      <c r="G372">
        <f>IFERROR(VLOOKUP(Tabla1[[#This Row],[SISMED]],TblDisponibilidad[],11,FALSE), 0)</f>
        <v>0</v>
      </c>
      <c r="H372">
        <f>IFERROR(VLOOKUP(Tabla1[[#This Row],[SISMED]],TblDisponibilidad[],12,FALSE), 0)</f>
        <v>0</v>
      </c>
      <c r="I372">
        <f>IFERROR(VLOOKUP(Tabla1[[#This Row],[SISMED]],TblDisponibilidad[],13,FALSE), 0)</f>
        <v>0</v>
      </c>
      <c r="J372">
        <f>IFERROR(VLOOKUP(Tabla1[[#This Row],[SISMED]],TblDisponibilidad[],14,FALSE), 0)</f>
        <v>0</v>
      </c>
      <c r="K372">
        <f>IFERROR(VLOOKUP(Tabla1[[#This Row],[SISMED]],TblDisponibilidad[],15,FALSE), 0)</f>
        <v>0</v>
      </c>
      <c r="L372">
        <f>IFERROR(VLOOKUP(Tabla1[[#This Row],[SISMED]],TblDisponibilidad[],16,FALSE), 0)</f>
        <v>0</v>
      </c>
      <c r="M372">
        <f>IFERROR(VLOOKUP(Tabla1[[#This Row],[SISMED]],TblDisponibilidad[],17,FALSE), 0)</f>
        <v>0</v>
      </c>
      <c r="N372">
        <f>IFERROR(VLOOKUP(Tabla1[[#This Row],[SISMED]],TblDisponibilidad[],18,FALSE), 0)</f>
        <v>0</v>
      </c>
      <c r="O372">
        <f>IFERROR(VLOOKUP(Tabla1[[#This Row],[SISMED]],TblDisponibilidad[],19,FALSE), 0)</f>
        <v>0</v>
      </c>
      <c r="P372">
        <f>IFERROR(VLOOKUP(Tabla1[[#This Row],[SISMED]],TblDisponibilidad[],20,FALSE), 0)</f>
        <v>0</v>
      </c>
      <c r="Q372">
        <f>IFERROR(VLOOKUP(Tabla1[[#This Row],[SISMED]],TblDisponibilidad[],21,FALSE), 0)</f>
        <v>0</v>
      </c>
      <c r="R372">
        <f>IFERROR(VLOOKUP(Tabla1[[#This Row],[SISMED]],TblDisponibilidad[],22,FALSE), 0)</f>
        <v>0</v>
      </c>
      <c r="S372" s="15">
        <f>IFERROR(VLOOKUP(Tabla1[[#This Row],[SISMED]],TblDisponibilidad[],23,FALSE), 0)</f>
        <v>0</v>
      </c>
    </row>
    <row r="373" spans="1:19" x14ac:dyDescent="0.3">
      <c r="A373" s="15" t="s">
        <v>403</v>
      </c>
      <c r="B373" t="str">
        <f>IFERROR(VLOOKUP(Tabla1[[#This Row],[SISMED]],TblDisponibilidad[],2,FALSE), "")</f>
        <v/>
      </c>
      <c r="C373">
        <f>IFERROR(VLOOKUP(Tabla1[[#This Row],[SISMED]],TblDisponibilidad[],7,FALSE), 0)</f>
        <v>0</v>
      </c>
      <c r="D373">
        <f>IFERROR(VLOOKUP(Tabla1[[#This Row],[SISMED]],TblDisponibilidad[],8,FALSE), 0)</f>
        <v>0</v>
      </c>
      <c r="E373">
        <f>IFERROR(VLOOKUP(Tabla1[[#This Row],[SISMED]],TblDisponibilidad[],9,FALSE), 0)</f>
        <v>0</v>
      </c>
      <c r="F373">
        <f>IFERROR(VLOOKUP(Tabla1[[#This Row],[SISMED]],TblDisponibilidad[],10,FALSE), 0)</f>
        <v>0</v>
      </c>
      <c r="G373">
        <f>IFERROR(VLOOKUP(Tabla1[[#This Row],[SISMED]],TblDisponibilidad[],11,FALSE), 0)</f>
        <v>0</v>
      </c>
      <c r="H373">
        <f>IFERROR(VLOOKUP(Tabla1[[#This Row],[SISMED]],TblDisponibilidad[],12,FALSE), 0)</f>
        <v>0</v>
      </c>
      <c r="I373">
        <f>IFERROR(VLOOKUP(Tabla1[[#This Row],[SISMED]],TblDisponibilidad[],13,FALSE), 0)</f>
        <v>0</v>
      </c>
      <c r="J373">
        <f>IFERROR(VLOOKUP(Tabla1[[#This Row],[SISMED]],TblDisponibilidad[],14,FALSE), 0)</f>
        <v>0</v>
      </c>
      <c r="K373">
        <f>IFERROR(VLOOKUP(Tabla1[[#This Row],[SISMED]],TblDisponibilidad[],15,FALSE), 0)</f>
        <v>0</v>
      </c>
      <c r="L373">
        <f>IFERROR(VLOOKUP(Tabla1[[#This Row],[SISMED]],TblDisponibilidad[],16,FALSE), 0)</f>
        <v>0</v>
      </c>
      <c r="M373">
        <f>IFERROR(VLOOKUP(Tabla1[[#This Row],[SISMED]],TblDisponibilidad[],17,FALSE), 0)</f>
        <v>0</v>
      </c>
      <c r="N373">
        <f>IFERROR(VLOOKUP(Tabla1[[#This Row],[SISMED]],TblDisponibilidad[],18,FALSE), 0)</f>
        <v>0</v>
      </c>
      <c r="O373">
        <f>IFERROR(VLOOKUP(Tabla1[[#This Row],[SISMED]],TblDisponibilidad[],19,FALSE), 0)</f>
        <v>0</v>
      </c>
      <c r="P373">
        <f>IFERROR(VLOOKUP(Tabla1[[#This Row],[SISMED]],TblDisponibilidad[],20,FALSE), 0)</f>
        <v>0</v>
      </c>
      <c r="Q373">
        <f>IFERROR(VLOOKUP(Tabla1[[#This Row],[SISMED]],TblDisponibilidad[],21,FALSE), 0)</f>
        <v>0</v>
      </c>
      <c r="R373">
        <f>IFERROR(VLOOKUP(Tabla1[[#This Row],[SISMED]],TblDisponibilidad[],22,FALSE), 0)</f>
        <v>0</v>
      </c>
      <c r="S373" s="15">
        <f>IFERROR(VLOOKUP(Tabla1[[#This Row],[SISMED]],TblDisponibilidad[],23,FALSE), 0)</f>
        <v>0</v>
      </c>
    </row>
    <row r="374" spans="1:19" x14ac:dyDescent="0.3">
      <c r="A374" s="15" t="s">
        <v>404</v>
      </c>
      <c r="B374" t="str">
        <f>IFERROR(VLOOKUP(Tabla1[[#This Row],[SISMED]],TblDisponibilidad[],2,FALSE), "")</f>
        <v/>
      </c>
      <c r="C374">
        <f>IFERROR(VLOOKUP(Tabla1[[#This Row],[SISMED]],TblDisponibilidad[],7,FALSE), 0)</f>
        <v>0</v>
      </c>
      <c r="D374">
        <f>IFERROR(VLOOKUP(Tabla1[[#This Row],[SISMED]],TblDisponibilidad[],8,FALSE), 0)</f>
        <v>0</v>
      </c>
      <c r="E374">
        <f>IFERROR(VLOOKUP(Tabla1[[#This Row],[SISMED]],TblDisponibilidad[],9,FALSE), 0)</f>
        <v>0</v>
      </c>
      <c r="F374">
        <f>IFERROR(VLOOKUP(Tabla1[[#This Row],[SISMED]],TblDisponibilidad[],10,FALSE), 0)</f>
        <v>0</v>
      </c>
      <c r="G374">
        <f>IFERROR(VLOOKUP(Tabla1[[#This Row],[SISMED]],TblDisponibilidad[],11,FALSE), 0)</f>
        <v>0</v>
      </c>
      <c r="H374">
        <f>IFERROR(VLOOKUP(Tabla1[[#This Row],[SISMED]],TblDisponibilidad[],12,FALSE), 0)</f>
        <v>0</v>
      </c>
      <c r="I374">
        <f>IFERROR(VLOOKUP(Tabla1[[#This Row],[SISMED]],TblDisponibilidad[],13,FALSE), 0)</f>
        <v>0</v>
      </c>
      <c r="J374">
        <f>IFERROR(VLOOKUP(Tabla1[[#This Row],[SISMED]],TblDisponibilidad[],14,FALSE), 0)</f>
        <v>0</v>
      </c>
      <c r="K374">
        <f>IFERROR(VLOOKUP(Tabla1[[#This Row],[SISMED]],TblDisponibilidad[],15,FALSE), 0)</f>
        <v>0</v>
      </c>
      <c r="L374">
        <f>IFERROR(VLOOKUP(Tabla1[[#This Row],[SISMED]],TblDisponibilidad[],16,FALSE), 0)</f>
        <v>0</v>
      </c>
      <c r="M374">
        <f>IFERROR(VLOOKUP(Tabla1[[#This Row],[SISMED]],TblDisponibilidad[],17,FALSE), 0)</f>
        <v>0</v>
      </c>
      <c r="N374">
        <f>IFERROR(VLOOKUP(Tabla1[[#This Row],[SISMED]],TblDisponibilidad[],18,FALSE), 0)</f>
        <v>0</v>
      </c>
      <c r="O374">
        <f>IFERROR(VLOOKUP(Tabla1[[#This Row],[SISMED]],TblDisponibilidad[],19,FALSE), 0)</f>
        <v>0</v>
      </c>
      <c r="P374">
        <f>IFERROR(VLOOKUP(Tabla1[[#This Row],[SISMED]],TblDisponibilidad[],20,FALSE), 0)</f>
        <v>0</v>
      </c>
      <c r="Q374">
        <f>IFERROR(VLOOKUP(Tabla1[[#This Row],[SISMED]],TblDisponibilidad[],21,FALSE), 0)</f>
        <v>0</v>
      </c>
      <c r="R374">
        <f>IFERROR(VLOOKUP(Tabla1[[#This Row],[SISMED]],TblDisponibilidad[],22,FALSE), 0)</f>
        <v>0</v>
      </c>
      <c r="S374" s="15">
        <f>IFERROR(VLOOKUP(Tabla1[[#This Row],[SISMED]],TblDisponibilidad[],23,FALSE), 0)</f>
        <v>0</v>
      </c>
    </row>
    <row r="375" spans="1:19" x14ac:dyDescent="0.3">
      <c r="A375" s="15" t="s">
        <v>405</v>
      </c>
      <c r="B375" t="str">
        <f>IFERROR(VLOOKUP(Tabla1[[#This Row],[SISMED]],TblDisponibilidad[],2,FALSE), "")</f>
        <v/>
      </c>
      <c r="C375">
        <f>IFERROR(VLOOKUP(Tabla1[[#This Row],[SISMED]],TblDisponibilidad[],7,FALSE), 0)</f>
        <v>0</v>
      </c>
      <c r="D375">
        <f>IFERROR(VLOOKUP(Tabla1[[#This Row],[SISMED]],TblDisponibilidad[],8,FALSE), 0)</f>
        <v>0</v>
      </c>
      <c r="E375">
        <f>IFERROR(VLOOKUP(Tabla1[[#This Row],[SISMED]],TblDisponibilidad[],9,FALSE), 0)</f>
        <v>0</v>
      </c>
      <c r="F375">
        <f>IFERROR(VLOOKUP(Tabla1[[#This Row],[SISMED]],TblDisponibilidad[],10,FALSE), 0)</f>
        <v>0</v>
      </c>
      <c r="G375">
        <f>IFERROR(VLOOKUP(Tabla1[[#This Row],[SISMED]],TblDisponibilidad[],11,FALSE), 0)</f>
        <v>0</v>
      </c>
      <c r="H375">
        <f>IFERROR(VLOOKUP(Tabla1[[#This Row],[SISMED]],TblDisponibilidad[],12,FALSE), 0)</f>
        <v>0</v>
      </c>
      <c r="I375">
        <f>IFERROR(VLOOKUP(Tabla1[[#This Row],[SISMED]],TblDisponibilidad[],13,FALSE), 0)</f>
        <v>0</v>
      </c>
      <c r="J375">
        <f>IFERROR(VLOOKUP(Tabla1[[#This Row],[SISMED]],TblDisponibilidad[],14,FALSE), 0)</f>
        <v>0</v>
      </c>
      <c r="K375">
        <f>IFERROR(VLOOKUP(Tabla1[[#This Row],[SISMED]],TblDisponibilidad[],15,FALSE), 0)</f>
        <v>0</v>
      </c>
      <c r="L375">
        <f>IFERROR(VLOOKUP(Tabla1[[#This Row],[SISMED]],TblDisponibilidad[],16,FALSE), 0)</f>
        <v>0</v>
      </c>
      <c r="M375">
        <f>IFERROR(VLOOKUP(Tabla1[[#This Row],[SISMED]],TblDisponibilidad[],17,FALSE), 0)</f>
        <v>0</v>
      </c>
      <c r="N375">
        <f>IFERROR(VLOOKUP(Tabla1[[#This Row],[SISMED]],TblDisponibilidad[],18,FALSE), 0)</f>
        <v>0</v>
      </c>
      <c r="O375">
        <f>IFERROR(VLOOKUP(Tabla1[[#This Row],[SISMED]],TblDisponibilidad[],19,FALSE), 0)</f>
        <v>0</v>
      </c>
      <c r="P375">
        <f>IFERROR(VLOOKUP(Tabla1[[#This Row],[SISMED]],TblDisponibilidad[],20,FALSE), 0)</f>
        <v>0</v>
      </c>
      <c r="Q375">
        <f>IFERROR(VLOOKUP(Tabla1[[#This Row],[SISMED]],TblDisponibilidad[],21,FALSE), 0)</f>
        <v>0</v>
      </c>
      <c r="R375">
        <f>IFERROR(VLOOKUP(Tabla1[[#This Row],[SISMED]],TblDisponibilidad[],22,FALSE), 0)</f>
        <v>0</v>
      </c>
      <c r="S375" s="15">
        <f>IFERROR(VLOOKUP(Tabla1[[#This Row],[SISMED]],TblDisponibilidad[],23,FALSE), 0)</f>
        <v>0</v>
      </c>
    </row>
    <row r="376" spans="1:19" x14ac:dyDescent="0.3">
      <c r="A376" s="15" t="s">
        <v>406</v>
      </c>
      <c r="B376" t="str">
        <f>IFERROR(VLOOKUP(Tabla1[[#This Row],[SISMED]],TblDisponibilidad[],2,FALSE), "")</f>
        <v/>
      </c>
      <c r="C376">
        <f>IFERROR(VLOOKUP(Tabla1[[#This Row],[SISMED]],TblDisponibilidad[],7,FALSE), 0)</f>
        <v>0</v>
      </c>
      <c r="D376">
        <f>IFERROR(VLOOKUP(Tabla1[[#This Row],[SISMED]],TblDisponibilidad[],8,FALSE), 0)</f>
        <v>0</v>
      </c>
      <c r="E376">
        <f>IFERROR(VLOOKUP(Tabla1[[#This Row],[SISMED]],TblDisponibilidad[],9,FALSE), 0)</f>
        <v>0</v>
      </c>
      <c r="F376">
        <f>IFERROR(VLOOKUP(Tabla1[[#This Row],[SISMED]],TblDisponibilidad[],10,FALSE), 0)</f>
        <v>0</v>
      </c>
      <c r="G376">
        <f>IFERROR(VLOOKUP(Tabla1[[#This Row],[SISMED]],TblDisponibilidad[],11,FALSE), 0)</f>
        <v>0</v>
      </c>
      <c r="H376">
        <f>IFERROR(VLOOKUP(Tabla1[[#This Row],[SISMED]],TblDisponibilidad[],12,FALSE), 0)</f>
        <v>0</v>
      </c>
      <c r="I376">
        <f>IFERROR(VLOOKUP(Tabla1[[#This Row],[SISMED]],TblDisponibilidad[],13,FALSE), 0)</f>
        <v>0</v>
      </c>
      <c r="J376">
        <f>IFERROR(VLOOKUP(Tabla1[[#This Row],[SISMED]],TblDisponibilidad[],14,FALSE), 0)</f>
        <v>0</v>
      </c>
      <c r="K376">
        <f>IFERROR(VLOOKUP(Tabla1[[#This Row],[SISMED]],TblDisponibilidad[],15,FALSE), 0)</f>
        <v>0</v>
      </c>
      <c r="L376">
        <f>IFERROR(VLOOKUP(Tabla1[[#This Row],[SISMED]],TblDisponibilidad[],16,FALSE), 0)</f>
        <v>0</v>
      </c>
      <c r="M376">
        <f>IFERROR(VLOOKUP(Tabla1[[#This Row],[SISMED]],TblDisponibilidad[],17,FALSE), 0)</f>
        <v>0</v>
      </c>
      <c r="N376">
        <f>IFERROR(VLOOKUP(Tabla1[[#This Row],[SISMED]],TblDisponibilidad[],18,FALSE), 0)</f>
        <v>0</v>
      </c>
      <c r="O376">
        <f>IFERROR(VLOOKUP(Tabla1[[#This Row],[SISMED]],TblDisponibilidad[],19,FALSE), 0)</f>
        <v>0</v>
      </c>
      <c r="P376">
        <f>IFERROR(VLOOKUP(Tabla1[[#This Row],[SISMED]],TblDisponibilidad[],20,FALSE), 0)</f>
        <v>0</v>
      </c>
      <c r="Q376">
        <f>IFERROR(VLOOKUP(Tabla1[[#This Row],[SISMED]],TblDisponibilidad[],21,FALSE), 0)</f>
        <v>0</v>
      </c>
      <c r="R376">
        <f>IFERROR(VLOOKUP(Tabla1[[#This Row],[SISMED]],TblDisponibilidad[],22,FALSE), 0)</f>
        <v>0</v>
      </c>
      <c r="S376" s="15">
        <f>IFERROR(VLOOKUP(Tabla1[[#This Row],[SISMED]],TblDisponibilidad[],23,FALSE), 0)</f>
        <v>0</v>
      </c>
    </row>
    <row r="377" spans="1:19" x14ac:dyDescent="0.3">
      <c r="A377" s="15" t="s">
        <v>407</v>
      </c>
      <c r="B377" t="str">
        <f>IFERROR(VLOOKUP(Tabla1[[#This Row],[SISMED]],TblDisponibilidad[],2,FALSE), "")</f>
        <v/>
      </c>
      <c r="C377">
        <f>IFERROR(VLOOKUP(Tabla1[[#This Row],[SISMED]],TblDisponibilidad[],7,FALSE), 0)</f>
        <v>0</v>
      </c>
      <c r="D377">
        <f>IFERROR(VLOOKUP(Tabla1[[#This Row],[SISMED]],TblDisponibilidad[],8,FALSE), 0)</f>
        <v>0</v>
      </c>
      <c r="E377">
        <f>IFERROR(VLOOKUP(Tabla1[[#This Row],[SISMED]],TblDisponibilidad[],9,FALSE), 0)</f>
        <v>0</v>
      </c>
      <c r="F377">
        <f>IFERROR(VLOOKUP(Tabla1[[#This Row],[SISMED]],TblDisponibilidad[],10,FALSE), 0)</f>
        <v>0</v>
      </c>
      <c r="G377">
        <f>IFERROR(VLOOKUP(Tabla1[[#This Row],[SISMED]],TblDisponibilidad[],11,FALSE), 0)</f>
        <v>0</v>
      </c>
      <c r="H377">
        <f>IFERROR(VLOOKUP(Tabla1[[#This Row],[SISMED]],TblDisponibilidad[],12,FALSE), 0)</f>
        <v>0</v>
      </c>
      <c r="I377">
        <f>IFERROR(VLOOKUP(Tabla1[[#This Row],[SISMED]],TblDisponibilidad[],13,FALSE), 0)</f>
        <v>0</v>
      </c>
      <c r="J377">
        <f>IFERROR(VLOOKUP(Tabla1[[#This Row],[SISMED]],TblDisponibilidad[],14,FALSE), 0)</f>
        <v>0</v>
      </c>
      <c r="K377">
        <f>IFERROR(VLOOKUP(Tabla1[[#This Row],[SISMED]],TblDisponibilidad[],15,FALSE), 0)</f>
        <v>0</v>
      </c>
      <c r="L377">
        <f>IFERROR(VLOOKUP(Tabla1[[#This Row],[SISMED]],TblDisponibilidad[],16,FALSE), 0)</f>
        <v>0</v>
      </c>
      <c r="M377">
        <f>IFERROR(VLOOKUP(Tabla1[[#This Row],[SISMED]],TblDisponibilidad[],17,FALSE), 0)</f>
        <v>0</v>
      </c>
      <c r="N377">
        <f>IFERROR(VLOOKUP(Tabla1[[#This Row],[SISMED]],TblDisponibilidad[],18,FALSE), 0)</f>
        <v>0</v>
      </c>
      <c r="O377">
        <f>IFERROR(VLOOKUP(Tabla1[[#This Row],[SISMED]],TblDisponibilidad[],19,FALSE), 0)</f>
        <v>0</v>
      </c>
      <c r="P377">
        <f>IFERROR(VLOOKUP(Tabla1[[#This Row],[SISMED]],TblDisponibilidad[],20,FALSE), 0)</f>
        <v>0</v>
      </c>
      <c r="Q377">
        <f>IFERROR(VLOOKUP(Tabla1[[#This Row],[SISMED]],TblDisponibilidad[],21,FALSE), 0)</f>
        <v>0</v>
      </c>
      <c r="R377">
        <f>IFERROR(VLOOKUP(Tabla1[[#This Row],[SISMED]],TblDisponibilidad[],22,FALSE), 0)</f>
        <v>0</v>
      </c>
      <c r="S377" s="15">
        <f>IFERROR(VLOOKUP(Tabla1[[#This Row],[SISMED]],TblDisponibilidad[],23,FALSE), 0)</f>
        <v>0</v>
      </c>
    </row>
    <row r="378" spans="1:19" x14ac:dyDescent="0.3">
      <c r="A378" s="15" t="s">
        <v>408</v>
      </c>
      <c r="B378" t="str">
        <f>IFERROR(VLOOKUP(Tabla1[[#This Row],[SISMED]],TblDisponibilidad[],2,FALSE), "")</f>
        <v/>
      </c>
      <c r="C378">
        <f>IFERROR(VLOOKUP(Tabla1[[#This Row],[SISMED]],TblDisponibilidad[],7,FALSE), 0)</f>
        <v>0</v>
      </c>
      <c r="D378">
        <f>IFERROR(VLOOKUP(Tabla1[[#This Row],[SISMED]],TblDisponibilidad[],8,FALSE), 0)</f>
        <v>0</v>
      </c>
      <c r="E378">
        <f>IFERROR(VLOOKUP(Tabla1[[#This Row],[SISMED]],TblDisponibilidad[],9,FALSE), 0)</f>
        <v>0</v>
      </c>
      <c r="F378">
        <f>IFERROR(VLOOKUP(Tabla1[[#This Row],[SISMED]],TblDisponibilidad[],10,FALSE), 0)</f>
        <v>0</v>
      </c>
      <c r="G378">
        <f>IFERROR(VLOOKUP(Tabla1[[#This Row],[SISMED]],TblDisponibilidad[],11,FALSE), 0)</f>
        <v>0</v>
      </c>
      <c r="H378">
        <f>IFERROR(VLOOKUP(Tabla1[[#This Row],[SISMED]],TblDisponibilidad[],12,FALSE), 0)</f>
        <v>0</v>
      </c>
      <c r="I378">
        <f>IFERROR(VLOOKUP(Tabla1[[#This Row],[SISMED]],TblDisponibilidad[],13,FALSE), 0)</f>
        <v>0</v>
      </c>
      <c r="J378">
        <f>IFERROR(VLOOKUP(Tabla1[[#This Row],[SISMED]],TblDisponibilidad[],14,FALSE), 0)</f>
        <v>0</v>
      </c>
      <c r="K378">
        <f>IFERROR(VLOOKUP(Tabla1[[#This Row],[SISMED]],TblDisponibilidad[],15,FALSE), 0)</f>
        <v>0</v>
      </c>
      <c r="L378">
        <f>IFERROR(VLOOKUP(Tabla1[[#This Row],[SISMED]],TblDisponibilidad[],16,FALSE), 0)</f>
        <v>0</v>
      </c>
      <c r="M378">
        <f>IFERROR(VLOOKUP(Tabla1[[#This Row],[SISMED]],TblDisponibilidad[],17,FALSE), 0)</f>
        <v>0</v>
      </c>
      <c r="N378">
        <f>IFERROR(VLOOKUP(Tabla1[[#This Row],[SISMED]],TblDisponibilidad[],18,FALSE), 0)</f>
        <v>0</v>
      </c>
      <c r="O378">
        <f>IFERROR(VLOOKUP(Tabla1[[#This Row],[SISMED]],TblDisponibilidad[],19,FALSE), 0)</f>
        <v>0</v>
      </c>
      <c r="P378">
        <f>IFERROR(VLOOKUP(Tabla1[[#This Row],[SISMED]],TblDisponibilidad[],20,FALSE), 0)</f>
        <v>0</v>
      </c>
      <c r="Q378">
        <f>IFERROR(VLOOKUP(Tabla1[[#This Row],[SISMED]],TblDisponibilidad[],21,FALSE), 0)</f>
        <v>0</v>
      </c>
      <c r="R378">
        <f>IFERROR(VLOOKUP(Tabla1[[#This Row],[SISMED]],TblDisponibilidad[],22,FALSE), 0)</f>
        <v>0</v>
      </c>
      <c r="S378" s="15">
        <f>IFERROR(VLOOKUP(Tabla1[[#This Row],[SISMED]],TblDisponibilidad[],23,FALSE), 0)</f>
        <v>0</v>
      </c>
    </row>
    <row r="379" spans="1:19" x14ac:dyDescent="0.3">
      <c r="A379" s="15" t="s">
        <v>409</v>
      </c>
      <c r="B379" t="str">
        <f>IFERROR(VLOOKUP(Tabla1[[#This Row],[SISMED]],TblDisponibilidad[],2,FALSE), "")</f>
        <v/>
      </c>
      <c r="C379">
        <f>IFERROR(VLOOKUP(Tabla1[[#This Row],[SISMED]],TblDisponibilidad[],7,FALSE), 0)</f>
        <v>0</v>
      </c>
      <c r="D379">
        <f>IFERROR(VLOOKUP(Tabla1[[#This Row],[SISMED]],TblDisponibilidad[],8,FALSE), 0)</f>
        <v>0</v>
      </c>
      <c r="E379">
        <f>IFERROR(VLOOKUP(Tabla1[[#This Row],[SISMED]],TblDisponibilidad[],9,FALSE), 0)</f>
        <v>0</v>
      </c>
      <c r="F379">
        <f>IFERROR(VLOOKUP(Tabla1[[#This Row],[SISMED]],TblDisponibilidad[],10,FALSE), 0)</f>
        <v>0</v>
      </c>
      <c r="G379">
        <f>IFERROR(VLOOKUP(Tabla1[[#This Row],[SISMED]],TblDisponibilidad[],11,FALSE), 0)</f>
        <v>0</v>
      </c>
      <c r="H379">
        <f>IFERROR(VLOOKUP(Tabla1[[#This Row],[SISMED]],TblDisponibilidad[],12,FALSE), 0)</f>
        <v>0</v>
      </c>
      <c r="I379">
        <f>IFERROR(VLOOKUP(Tabla1[[#This Row],[SISMED]],TblDisponibilidad[],13,FALSE), 0)</f>
        <v>0</v>
      </c>
      <c r="J379">
        <f>IFERROR(VLOOKUP(Tabla1[[#This Row],[SISMED]],TblDisponibilidad[],14,FALSE), 0)</f>
        <v>0</v>
      </c>
      <c r="K379">
        <f>IFERROR(VLOOKUP(Tabla1[[#This Row],[SISMED]],TblDisponibilidad[],15,FALSE), 0)</f>
        <v>0</v>
      </c>
      <c r="L379">
        <f>IFERROR(VLOOKUP(Tabla1[[#This Row],[SISMED]],TblDisponibilidad[],16,FALSE), 0)</f>
        <v>0</v>
      </c>
      <c r="M379">
        <f>IFERROR(VLOOKUP(Tabla1[[#This Row],[SISMED]],TblDisponibilidad[],17,FALSE), 0)</f>
        <v>0</v>
      </c>
      <c r="N379">
        <f>IFERROR(VLOOKUP(Tabla1[[#This Row],[SISMED]],TblDisponibilidad[],18,FALSE), 0)</f>
        <v>0</v>
      </c>
      <c r="O379">
        <f>IFERROR(VLOOKUP(Tabla1[[#This Row],[SISMED]],TblDisponibilidad[],19,FALSE), 0)</f>
        <v>0</v>
      </c>
      <c r="P379">
        <f>IFERROR(VLOOKUP(Tabla1[[#This Row],[SISMED]],TblDisponibilidad[],20,FALSE), 0)</f>
        <v>0</v>
      </c>
      <c r="Q379">
        <f>IFERROR(VLOOKUP(Tabla1[[#This Row],[SISMED]],TblDisponibilidad[],21,FALSE), 0)</f>
        <v>0</v>
      </c>
      <c r="R379">
        <f>IFERROR(VLOOKUP(Tabla1[[#This Row],[SISMED]],TblDisponibilidad[],22,FALSE), 0)</f>
        <v>0</v>
      </c>
      <c r="S379" s="15">
        <f>IFERROR(VLOOKUP(Tabla1[[#This Row],[SISMED]],TblDisponibilidad[],23,FALSE), 0)</f>
        <v>0</v>
      </c>
    </row>
    <row r="380" spans="1:19" x14ac:dyDescent="0.3">
      <c r="A380" s="15" t="s">
        <v>410</v>
      </c>
      <c r="B380" t="str">
        <f>IFERROR(VLOOKUP(Tabla1[[#This Row],[SISMED]],TblDisponibilidad[],2,FALSE), "")</f>
        <v/>
      </c>
      <c r="C380">
        <f>IFERROR(VLOOKUP(Tabla1[[#This Row],[SISMED]],TblDisponibilidad[],7,FALSE), 0)</f>
        <v>0</v>
      </c>
      <c r="D380">
        <f>IFERROR(VLOOKUP(Tabla1[[#This Row],[SISMED]],TblDisponibilidad[],8,FALSE), 0)</f>
        <v>0</v>
      </c>
      <c r="E380">
        <f>IFERROR(VLOOKUP(Tabla1[[#This Row],[SISMED]],TblDisponibilidad[],9,FALSE), 0)</f>
        <v>0</v>
      </c>
      <c r="F380">
        <f>IFERROR(VLOOKUP(Tabla1[[#This Row],[SISMED]],TblDisponibilidad[],10,FALSE), 0)</f>
        <v>0</v>
      </c>
      <c r="G380">
        <f>IFERROR(VLOOKUP(Tabla1[[#This Row],[SISMED]],TblDisponibilidad[],11,FALSE), 0)</f>
        <v>0</v>
      </c>
      <c r="H380">
        <f>IFERROR(VLOOKUP(Tabla1[[#This Row],[SISMED]],TblDisponibilidad[],12,FALSE), 0)</f>
        <v>0</v>
      </c>
      <c r="I380">
        <f>IFERROR(VLOOKUP(Tabla1[[#This Row],[SISMED]],TblDisponibilidad[],13,FALSE), 0)</f>
        <v>0</v>
      </c>
      <c r="J380">
        <f>IFERROR(VLOOKUP(Tabla1[[#This Row],[SISMED]],TblDisponibilidad[],14,FALSE), 0)</f>
        <v>0</v>
      </c>
      <c r="K380">
        <f>IFERROR(VLOOKUP(Tabla1[[#This Row],[SISMED]],TblDisponibilidad[],15,FALSE), 0)</f>
        <v>0</v>
      </c>
      <c r="L380">
        <f>IFERROR(VLOOKUP(Tabla1[[#This Row],[SISMED]],TblDisponibilidad[],16,FALSE), 0)</f>
        <v>0</v>
      </c>
      <c r="M380">
        <f>IFERROR(VLOOKUP(Tabla1[[#This Row],[SISMED]],TblDisponibilidad[],17,FALSE), 0)</f>
        <v>0</v>
      </c>
      <c r="N380">
        <f>IFERROR(VLOOKUP(Tabla1[[#This Row],[SISMED]],TblDisponibilidad[],18,FALSE), 0)</f>
        <v>0</v>
      </c>
      <c r="O380">
        <f>IFERROR(VLOOKUP(Tabla1[[#This Row],[SISMED]],TblDisponibilidad[],19,FALSE), 0)</f>
        <v>0</v>
      </c>
      <c r="P380">
        <f>IFERROR(VLOOKUP(Tabla1[[#This Row],[SISMED]],TblDisponibilidad[],20,FALSE), 0)</f>
        <v>0</v>
      </c>
      <c r="Q380">
        <f>IFERROR(VLOOKUP(Tabla1[[#This Row],[SISMED]],TblDisponibilidad[],21,FALSE), 0)</f>
        <v>0</v>
      </c>
      <c r="R380">
        <f>IFERROR(VLOOKUP(Tabla1[[#This Row],[SISMED]],TblDisponibilidad[],22,FALSE), 0)</f>
        <v>0</v>
      </c>
      <c r="S380" s="15">
        <f>IFERROR(VLOOKUP(Tabla1[[#This Row],[SISMED]],TblDisponibilidad[],23,FALSE), 0)</f>
        <v>0</v>
      </c>
    </row>
    <row r="381" spans="1:19" x14ac:dyDescent="0.3">
      <c r="A381" s="15" t="s">
        <v>411</v>
      </c>
      <c r="B381" t="str">
        <f>IFERROR(VLOOKUP(Tabla1[[#This Row],[SISMED]],TblDisponibilidad[],2,FALSE), "")</f>
        <v/>
      </c>
      <c r="C381">
        <f>IFERROR(VLOOKUP(Tabla1[[#This Row],[SISMED]],TblDisponibilidad[],7,FALSE), 0)</f>
        <v>0</v>
      </c>
      <c r="D381">
        <f>IFERROR(VLOOKUP(Tabla1[[#This Row],[SISMED]],TblDisponibilidad[],8,FALSE), 0)</f>
        <v>0</v>
      </c>
      <c r="E381">
        <f>IFERROR(VLOOKUP(Tabla1[[#This Row],[SISMED]],TblDisponibilidad[],9,FALSE), 0)</f>
        <v>0</v>
      </c>
      <c r="F381">
        <f>IFERROR(VLOOKUP(Tabla1[[#This Row],[SISMED]],TblDisponibilidad[],10,FALSE), 0)</f>
        <v>0</v>
      </c>
      <c r="G381">
        <f>IFERROR(VLOOKUP(Tabla1[[#This Row],[SISMED]],TblDisponibilidad[],11,FALSE), 0)</f>
        <v>0</v>
      </c>
      <c r="H381">
        <f>IFERROR(VLOOKUP(Tabla1[[#This Row],[SISMED]],TblDisponibilidad[],12,FALSE), 0)</f>
        <v>0</v>
      </c>
      <c r="I381">
        <f>IFERROR(VLOOKUP(Tabla1[[#This Row],[SISMED]],TblDisponibilidad[],13,FALSE), 0)</f>
        <v>0</v>
      </c>
      <c r="J381">
        <f>IFERROR(VLOOKUP(Tabla1[[#This Row],[SISMED]],TblDisponibilidad[],14,FALSE), 0)</f>
        <v>0</v>
      </c>
      <c r="K381">
        <f>IFERROR(VLOOKUP(Tabla1[[#This Row],[SISMED]],TblDisponibilidad[],15,FALSE), 0)</f>
        <v>0</v>
      </c>
      <c r="L381">
        <f>IFERROR(VLOOKUP(Tabla1[[#This Row],[SISMED]],TblDisponibilidad[],16,FALSE), 0)</f>
        <v>0</v>
      </c>
      <c r="M381">
        <f>IFERROR(VLOOKUP(Tabla1[[#This Row],[SISMED]],TblDisponibilidad[],17,FALSE), 0)</f>
        <v>0</v>
      </c>
      <c r="N381">
        <f>IFERROR(VLOOKUP(Tabla1[[#This Row],[SISMED]],TblDisponibilidad[],18,FALSE), 0)</f>
        <v>0</v>
      </c>
      <c r="O381">
        <f>IFERROR(VLOOKUP(Tabla1[[#This Row],[SISMED]],TblDisponibilidad[],19,FALSE), 0)</f>
        <v>0</v>
      </c>
      <c r="P381">
        <f>IFERROR(VLOOKUP(Tabla1[[#This Row],[SISMED]],TblDisponibilidad[],20,FALSE), 0)</f>
        <v>0</v>
      </c>
      <c r="Q381">
        <f>IFERROR(VLOOKUP(Tabla1[[#This Row],[SISMED]],TblDisponibilidad[],21,FALSE), 0)</f>
        <v>0</v>
      </c>
      <c r="R381">
        <f>IFERROR(VLOOKUP(Tabla1[[#This Row],[SISMED]],TblDisponibilidad[],22,FALSE), 0)</f>
        <v>0</v>
      </c>
      <c r="S381" s="15">
        <f>IFERROR(VLOOKUP(Tabla1[[#This Row],[SISMED]],TblDisponibilidad[],23,FALSE), 0)</f>
        <v>0</v>
      </c>
    </row>
    <row r="382" spans="1:19" x14ac:dyDescent="0.3">
      <c r="A382" s="15" t="s">
        <v>412</v>
      </c>
      <c r="B382" t="str">
        <f>IFERROR(VLOOKUP(Tabla1[[#This Row],[SISMED]],TblDisponibilidad[],2,FALSE), "")</f>
        <v/>
      </c>
      <c r="C382">
        <f>IFERROR(VLOOKUP(Tabla1[[#This Row],[SISMED]],TblDisponibilidad[],7,FALSE), 0)</f>
        <v>0</v>
      </c>
      <c r="D382">
        <f>IFERROR(VLOOKUP(Tabla1[[#This Row],[SISMED]],TblDisponibilidad[],8,FALSE), 0)</f>
        <v>0</v>
      </c>
      <c r="E382">
        <f>IFERROR(VLOOKUP(Tabla1[[#This Row],[SISMED]],TblDisponibilidad[],9,FALSE), 0)</f>
        <v>0</v>
      </c>
      <c r="F382">
        <f>IFERROR(VLOOKUP(Tabla1[[#This Row],[SISMED]],TblDisponibilidad[],10,FALSE), 0)</f>
        <v>0</v>
      </c>
      <c r="G382">
        <f>IFERROR(VLOOKUP(Tabla1[[#This Row],[SISMED]],TblDisponibilidad[],11,FALSE), 0)</f>
        <v>0</v>
      </c>
      <c r="H382">
        <f>IFERROR(VLOOKUP(Tabla1[[#This Row],[SISMED]],TblDisponibilidad[],12,FALSE), 0)</f>
        <v>0</v>
      </c>
      <c r="I382">
        <f>IFERROR(VLOOKUP(Tabla1[[#This Row],[SISMED]],TblDisponibilidad[],13,FALSE), 0)</f>
        <v>0</v>
      </c>
      <c r="J382">
        <f>IFERROR(VLOOKUP(Tabla1[[#This Row],[SISMED]],TblDisponibilidad[],14,FALSE), 0)</f>
        <v>0</v>
      </c>
      <c r="K382">
        <f>IFERROR(VLOOKUP(Tabla1[[#This Row],[SISMED]],TblDisponibilidad[],15,FALSE), 0)</f>
        <v>0</v>
      </c>
      <c r="L382">
        <f>IFERROR(VLOOKUP(Tabla1[[#This Row],[SISMED]],TblDisponibilidad[],16,FALSE), 0)</f>
        <v>0</v>
      </c>
      <c r="M382">
        <f>IFERROR(VLOOKUP(Tabla1[[#This Row],[SISMED]],TblDisponibilidad[],17,FALSE), 0)</f>
        <v>0</v>
      </c>
      <c r="N382">
        <f>IFERROR(VLOOKUP(Tabla1[[#This Row],[SISMED]],TblDisponibilidad[],18,FALSE), 0)</f>
        <v>0</v>
      </c>
      <c r="O382">
        <f>IFERROR(VLOOKUP(Tabla1[[#This Row],[SISMED]],TblDisponibilidad[],19,FALSE), 0)</f>
        <v>0</v>
      </c>
      <c r="P382">
        <f>IFERROR(VLOOKUP(Tabla1[[#This Row],[SISMED]],TblDisponibilidad[],20,FALSE), 0)</f>
        <v>0</v>
      </c>
      <c r="Q382">
        <f>IFERROR(VLOOKUP(Tabla1[[#This Row],[SISMED]],TblDisponibilidad[],21,FALSE), 0)</f>
        <v>0</v>
      </c>
      <c r="R382">
        <f>IFERROR(VLOOKUP(Tabla1[[#This Row],[SISMED]],TblDisponibilidad[],22,FALSE), 0)</f>
        <v>0</v>
      </c>
      <c r="S382" s="15">
        <f>IFERROR(VLOOKUP(Tabla1[[#This Row],[SISMED]],TblDisponibilidad[],23,FALSE), 0)</f>
        <v>0</v>
      </c>
    </row>
    <row r="383" spans="1:19" x14ac:dyDescent="0.3">
      <c r="A383" s="15" t="s">
        <v>413</v>
      </c>
      <c r="B383" t="str">
        <f>IFERROR(VLOOKUP(Tabla1[[#This Row],[SISMED]],TblDisponibilidad[],2,FALSE), "")</f>
        <v/>
      </c>
      <c r="C383">
        <f>IFERROR(VLOOKUP(Tabla1[[#This Row],[SISMED]],TblDisponibilidad[],7,FALSE), 0)</f>
        <v>0</v>
      </c>
      <c r="D383">
        <f>IFERROR(VLOOKUP(Tabla1[[#This Row],[SISMED]],TblDisponibilidad[],8,FALSE), 0)</f>
        <v>0</v>
      </c>
      <c r="E383">
        <f>IFERROR(VLOOKUP(Tabla1[[#This Row],[SISMED]],TblDisponibilidad[],9,FALSE), 0)</f>
        <v>0</v>
      </c>
      <c r="F383">
        <f>IFERROR(VLOOKUP(Tabla1[[#This Row],[SISMED]],TblDisponibilidad[],10,FALSE), 0)</f>
        <v>0</v>
      </c>
      <c r="G383">
        <f>IFERROR(VLOOKUP(Tabla1[[#This Row],[SISMED]],TblDisponibilidad[],11,FALSE), 0)</f>
        <v>0</v>
      </c>
      <c r="H383">
        <f>IFERROR(VLOOKUP(Tabla1[[#This Row],[SISMED]],TblDisponibilidad[],12,FALSE), 0)</f>
        <v>0</v>
      </c>
      <c r="I383">
        <f>IFERROR(VLOOKUP(Tabla1[[#This Row],[SISMED]],TblDisponibilidad[],13,FALSE), 0)</f>
        <v>0</v>
      </c>
      <c r="J383">
        <f>IFERROR(VLOOKUP(Tabla1[[#This Row],[SISMED]],TblDisponibilidad[],14,FALSE), 0)</f>
        <v>0</v>
      </c>
      <c r="K383">
        <f>IFERROR(VLOOKUP(Tabla1[[#This Row],[SISMED]],TblDisponibilidad[],15,FALSE), 0)</f>
        <v>0</v>
      </c>
      <c r="L383">
        <f>IFERROR(VLOOKUP(Tabla1[[#This Row],[SISMED]],TblDisponibilidad[],16,FALSE), 0)</f>
        <v>0</v>
      </c>
      <c r="M383">
        <f>IFERROR(VLOOKUP(Tabla1[[#This Row],[SISMED]],TblDisponibilidad[],17,FALSE), 0)</f>
        <v>0</v>
      </c>
      <c r="N383">
        <f>IFERROR(VLOOKUP(Tabla1[[#This Row],[SISMED]],TblDisponibilidad[],18,FALSE), 0)</f>
        <v>0</v>
      </c>
      <c r="O383">
        <f>IFERROR(VLOOKUP(Tabla1[[#This Row],[SISMED]],TblDisponibilidad[],19,FALSE), 0)</f>
        <v>0</v>
      </c>
      <c r="P383">
        <f>IFERROR(VLOOKUP(Tabla1[[#This Row],[SISMED]],TblDisponibilidad[],20,FALSE), 0)</f>
        <v>0</v>
      </c>
      <c r="Q383">
        <f>IFERROR(VLOOKUP(Tabla1[[#This Row],[SISMED]],TblDisponibilidad[],21,FALSE), 0)</f>
        <v>0</v>
      </c>
      <c r="R383">
        <f>IFERROR(VLOOKUP(Tabla1[[#This Row],[SISMED]],TblDisponibilidad[],22,FALSE), 0)</f>
        <v>0</v>
      </c>
      <c r="S383" s="15">
        <f>IFERROR(VLOOKUP(Tabla1[[#This Row],[SISMED]],TblDisponibilidad[],23,FALSE), 0)</f>
        <v>0</v>
      </c>
    </row>
    <row r="384" spans="1:19" x14ac:dyDescent="0.3">
      <c r="A384" s="15" t="s">
        <v>414</v>
      </c>
      <c r="B384" t="str">
        <f>IFERROR(VLOOKUP(Tabla1[[#This Row],[SISMED]],TblDisponibilidad[],2,FALSE), "")</f>
        <v/>
      </c>
      <c r="C384">
        <f>IFERROR(VLOOKUP(Tabla1[[#This Row],[SISMED]],TblDisponibilidad[],7,FALSE), 0)</f>
        <v>0</v>
      </c>
      <c r="D384">
        <f>IFERROR(VLOOKUP(Tabla1[[#This Row],[SISMED]],TblDisponibilidad[],8,FALSE), 0)</f>
        <v>0</v>
      </c>
      <c r="E384">
        <f>IFERROR(VLOOKUP(Tabla1[[#This Row],[SISMED]],TblDisponibilidad[],9,FALSE), 0)</f>
        <v>0</v>
      </c>
      <c r="F384">
        <f>IFERROR(VLOOKUP(Tabla1[[#This Row],[SISMED]],TblDisponibilidad[],10,FALSE), 0)</f>
        <v>0</v>
      </c>
      <c r="G384">
        <f>IFERROR(VLOOKUP(Tabla1[[#This Row],[SISMED]],TblDisponibilidad[],11,FALSE), 0)</f>
        <v>0</v>
      </c>
      <c r="H384">
        <f>IFERROR(VLOOKUP(Tabla1[[#This Row],[SISMED]],TblDisponibilidad[],12,FALSE), 0)</f>
        <v>0</v>
      </c>
      <c r="I384">
        <f>IFERROR(VLOOKUP(Tabla1[[#This Row],[SISMED]],TblDisponibilidad[],13,FALSE), 0)</f>
        <v>0</v>
      </c>
      <c r="J384">
        <f>IFERROR(VLOOKUP(Tabla1[[#This Row],[SISMED]],TblDisponibilidad[],14,FALSE), 0)</f>
        <v>0</v>
      </c>
      <c r="K384">
        <f>IFERROR(VLOOKUP(Tabla1[[#This Row],[SISMED]],TblDisponibilidad[],15,FALSE), 0)</f>
        <v>0</v>
      </c>
      <c r="L384">
        <f>IFERROR(VLOOKUP(Tabla1[[#This Row],[SISMED]],TblDisponibilidad[],16,FALSE), 0)</f>
        <v>0</v>
      </c>
      <c r="M384">
        <f>IFERROR(VLOOKUP(Tabla1[[#This Row],[SISMED]],TblDisponibilidad[],17,FALSE), 0)</f>
        <v>0</v>
      </c>
      <c r="N384">
        <f>IFERROR(VLOOKUP(Tabla1[[#This Row],[SISMED]],TblDisponibilidad[],18,FALSE), 0)</f>
        <v>0</v>
      </c>
      <c r="O384">
        <f>IFERROR(VLOOKUP(Tabla1[[#This Row],[SISMED]],TblDisponibilidad[],19,FALSE), 0)</f>
        <v>0</v>
      </c>
      <c r="P384">
        <f>IFERROR(VLOOKUP(Tabla1[[#This Row],[SISMED]],TblDisponibilidad[],20,FALSE), 0)</f>
        <v>0</v>
      </c>
      <c r="Q384">
        <f>IFERROR(VLOOKUP(Tabla1[[#This Row],[SISMED]],TblDisponibilidad[],21,FALSE), 0)</f>
        <v>0</v>
      </c>
      <c r="R384">
        <f>IFERROR(VLOOKUP(Tabla1[[#This Row],[SISMED]],TblDisponibilidad[],22,FALSE), 0)</f>
        <v>0</v>
      </c>
      <c r="S384" s="15">
        <f>IFERROR(VLOOKUP(Tabla1[[#This Row],[SISMED]],TblDisponibilidad[],23,FALSE), 0)</f>
        <v>0</v>
      </c>
    </row>
    <row r="385" spans="1:19" x14ac:dyDescent="0.3">
      <c r="A385" s="15" t="s">
        <v>415</v>
      </c>
      <c r="B385" t="str">
        <f>IFERROR(VLOOKUP(Tabla1[[#This Row],[SISMED]],TblDisponibilidad[],2,FALSE), "")</f>
        <v/>
      </c>
      <c r="C385">
        <f>IFERROR(VLOOKUP(Tabla1[[#This Row],[SISMED]],TblDisponibilidad[],7,FALSE), 0)</f>
        <v>0</v>
      </c>
      <c r="D385">
        <f>IFERROR(VLOOKUP(Tabla1[[#This Row],[SISMED]],TblDisponibilidad[],8,FALSE), 0)</f>
        <v>0</v>
      </c>
      <c r="E385">
        <f>IFERROR(VLOOKUP(Tabla1[[#This Row],[SISMED]],TblDisponibilidad[],9,FALSE), 0)</f>
        <v>0</v>
      </c>
      <c r="F385">
        <f>IFERROR(VLOOKUP(Tabla1[[#This Row],[SISMED]],TblDisponibilidad[],10,FALSE), 0)</f>
        <v>0</v>
      </c>
      <c r="G385">
        <f>IFERROR(VLOOKUP(Tabla1[[#This Row],[SISMED]],TblDisponibilidad[],11,FALSE), 0)</f>
        <v>0</v>
      </c>
      <c r="H385">
        <f>IFERROR(VLOOKUP(Tabla1[[#This Row],[SISMED]],TblDisponibilidad[],12,FALSE), 0)</f>
        <v>0</v>
      </c>
      <c r="I385">
        <f>IFERROR(VLOOKUP(Tabla1[[#This Row],[SISMED]],TblDisponibilidad[],13,FALSE), 0)</f>
        <v>0</v>
      </c>
      <c r="J385">
        <f>IFERROR(VLOOKUP(Tabla1[[#This Row],[SISMED]],TblDisponibilidad[],14,FALSE), 0)</f>
        <v>0</v>
      </c>
      <c r="K385">
        <f>IFERROR(VLOOKUP(Tabla1[[#This Row],[SISMED]],TblDisponibilidad[],15,FALSE), 0)</f>
        <v>0</v>
      </c>
      <c r="L385">
        <f>IFERROR(VLOOKUP(Tabla1[[#This Row],[SISMED]],TblDisponibilidad[],16,FALSE), 0)</f>
        <v>0</v>
      </c>
      <c r="M385">
        <f>IFERROR(VLOOKUP(Tabla1[[#This Row],[SISMED]],TblDisponibilidad[],17,FALSE), 0)</f>
        <v>0</v>
      </c>
      <c r="N385">
        <f>IFERROR(VLOOKUP(Tabla1[[#This Row],[SISMED]],TblDisponibilidad[],18,FALSE), 0)</f>
        <v>0</v>
      </c>
      <c r="O385">
        <f>IFERROR(VLOOKUP(Tabla1[[#This Row],[SISMED]],TblDisponibilidad[],19,FALSE), 0)</f>
        <v>0</v>
      </c>
      <c r="P385">
        <f>IFERROR(VLOOKUP(Tabla1[[#This Row],[SISMED]],TblDisponibilidad[],20,FALSE), 0)</f>
        <v>0</v>
      </c>
      <c r="Q385">
        <f>IFERROR(VLOOKUP(Tabla1[[#This Row],[SISMED]],TblDisponibilidad[],21,FALSE), 0)</f>
        <v>0</v>
      </c>
      <c r="R385">
        <f>IFERROR(VLOOKUP(Tabla1[[#This Row],[SISMED]],TblDisponibilidad[],22,FALSE), 0)</f>
        <v>0</v>
      </c>
      <c r="S385" s="15">
        <f>IFERROR(VLOOKUP(Tabla1[[#This Row],[SISMED]],TblDisponibilidad[],23,FALSE), 0)</f>
        <v>0</v>
      </c>
    </row>
    <row r="386" spans="1:19" x14ac:dyDescent="0.3">
      <c r="A386" s="15" t="s">
        <v>416</v>
      </c>
      <c r="B386" t="str">
        <f>IFERROR(VLOOKUP(Tabla1[[#This Row],[SISMED]],TblDisponibilidad[],2,FALSE), "")</f>
        <v/>
      </c>
      <c r="C386">
        <f>IFERROR(VLOOKUP(Tabla1[[#This Row],[SISMED]],TblDisponibilidad[],7,FALSE), 0)</f>
        <v>0</v>
      </c>
      <c r="D386">
        <f>IFERROR(VLOOKUP(Tabla1[[#This Row],[SISMED]],TblDisponibilidad[],8,FALSE), 0)</f>
        <v>0</v>
      </c>
      <c r="E386">
        <f>IFERROR(VLOOKUP(Tabla1[[#This Row],[SISMED]],TblDisponibilidad[],9,FALSE), 0)</f>
        <v>0</v>
      </c>
      <c r="F386">
        <f>IFERROR(VLOOKUP(Tabla1[[#This Row],[SISMED]],TblDisponibilidad[],10,FALSE), 0)</f>
        <v>0</v>
      </c>
      <c r="G386">
        <f>IFERROR(VLOOKUP(Tabla1[[#This Row],[SISMED]],TblDisponibilidad[],11,FALSE), 0)</f>
        <v>0</v>
      </c>
      <c r="H386">
        <f>IFERROR(VLOOKUP(Tabla1[[#This Row],[SISMED]],TblDisponibilidad[],12,FALSE), 0)</f>
        <v>0</v>
      </c>
      <c r="I386">
        <f>IFERROR(VLOOKUP(Tabla1[[#This Row],[SISMED]],TblDisponibilidad[],13,FALSE), 0)</f>
        <v>0</v>
      </c>
      <c r="J386">
        <f>IFERROR(VLOOKUP(Tabla1[[#This Row],[SISMED]],TblDisponibilidad[],14,FALSE), 0)</f>
        <v>0</v>
      </c>
      <c r="K386">
        <f>IFERROR(VLOOKUP(Tabla1[[#This Row],[SISMED]],TblDisponibilidad[],15,FALSE), 0)</f>
        <v>0</v>
      </c>
      <c r="L386">
        <f>IFERROR(VLOOKUP(Tabla1[[#This Row],[SISMED]],TblDisponibilidad[],16,FALSE), 0)</f>
        <v>0</v>
      </c>
      <c r="M386">
        <f>IFERROR(VLOOKUP(Tabla1[[#This Row],[SISMED]],TblDisponibilidad[],17,FALSE), 0)</f>
        <v>0</v>
      </c>
      <c r="N386">
        <f>IFERROR(VLOOKUP(Tabla1[[#This Row],[SISMED]],TblDisponibilidad[],18,FALSE), 0)</f>
        <v>0</v>
      </c>
      <c r="O386">
        <f>IFERROR(VLOOKUP(Tabla1[[#This Row],[SISMED]],TblDisponibilidad[],19,FALSE), 0)</f>
        <v>0</v>
      </c>
      <c r="P386">
        <f>IFERROR(VLOOKUP(Tabla1[[#This Row],[SISMED]],TblDisponibilidad[],20,FALSE), 0)</f>
        <v>0</v>
      </c>
      <c r="Q386">
        <f>IFERROR(VLOOKUP(Tabla1[[#This Row],[SISMED]],TblDisponibilidad[],21,FALSE), 0)</f>
        <v>0</v>
      </c>
      <c r="R386">
        <f>IFERROR(VLOOKUP(Tabla1[[#This Row],[SISMED]],TblDisponibilidad[],22,FALSE), 0)</f>
        <v>0</v>
      </c>
      <c r="S386" s="15">
        <f>IFERROR(VLOOKUP(Tabla1[[#This Row],[SISMED]],TblDisponibilidad[],23,FALSE), 0)</f>
        <v>0</v>
      </c>
    </row>
    <row r="387" spans="1:19" x14ac:dyDescent="0.3">
      <c r="A387" s="15" t="s">
        <v>417</v>
      </c>
      <c r="B387" t="str">
        <f>IFERROR(VLOOKUP(Tabla1[[#This Row],[SISMED]],TblDisponibilidad[],2,FALSE), "")</f>
        <v/>
      </c>
      <c r="C387">
        <f>IFERROR(VLOOKUP(Tabla1[[#This Row],[SISMED]],TblDisponibilidad[],7,FALSE), 0)</f>
        <v>0</v>
      </c>
      <c r="D387">
        <f>IFERROR(VLOOKUP(Tabla1[[#This Row],[SISMED]],TblDisponibilidad[],8,FALSE), 0)</f>
        <v>0</v>
      </c>
      <c r="E387">
        <f>IFERROR(VLOOKUP(Tabla1[[#This Row],[SISMED]],TblDisponibilidad[],9,FALSE), 0)</f>
        <v>0</v>
      </c>
      <c r="F387">
        <f>IFERROR(VLOOKUP(Tabla1[[#This Row],[SISMED]],TblDisponibilidad[],10,FALSE), 0)</f>
        <v>0</v>
      </c>
      <c r="G387">
        <f>IFERROR(VLOOKUP(Tabla1[[#This Row],[SISMED]],TblDisponibilidad[],11,FALSE), 0)</f>
        <v>0</v>
      </c>
      <c r="H387">
        <f>IFERROR(VLOOKUP(Tabla1[[#This Row],[SISMED]],TblDisponibilidad[],12,FALSE), 0)</f>
        <v>0</v>
      </c>
      <c r="I387">
        <f>IFERROR(VLOOKUP(Tabla1[[#This Row],[SISMED]],TblDisponibilidad[],13,FALSE), 0)</f>
        <v>0</v>
      </c>
      <c r="J387">
        <f>IFERROR(VLOOKUP(Tabla1[[#This Row],[SISMED]],TblDisponibilidad[],14,FALSE), 0)</f>
        <v>0</v>
      </c>
      <c r="K387">
        <f>IFERROR(VLOOKUP(Tabla1[[#This Row],[SISMED]],TblDisponibilidad[],15,FALSE), 0)</f>
        <v>0</v>
      </c>
      <c r="L387">
        <f>IFERROR(VLOOKUP(Tabla1[[#This Row],[SISMED]],TblDisponibilidad[],16,FALSE), 0)</f>
        <v>0</v>
      </c>
      <c r="M387">
        <f>IFERROR(VLOOKUP(Tabla1[[#This Row],[SISMED]],TblDisponibilidad[],17,FALSE), 0)</f>
        <v>0</v>
      </c>
      <c r="N387">
        <f>IFERROR(VLOOKUP(Tabla1[[#This Row],[SISMED]],TblDisponibilidad[],18,FALSE), 0)</f>
        <v>0</v>
      </c>
      <c r="O387">
        <f>IFERROR(VLOOKUP(Tabla1[[#This Row],[SISMED]],TblDisponibilidad[],19,FALSE), 0)</f>
        <v>0</v>
      </c>
      <c r="P387">
        <f>IFERROR(VLOOKUP(Tabla1[[#This Row],[SISMED]],TblDisponibilidad[],20,FALSE), 0)</f>
        <v>0</v>
      </c>
      <c r="Q387">
        <f>IFERROR(VLOOKUP(Tabla1[[#This Row],[SISMED]],TblDisponibilidad[],21,FALSE), 0)</f>
        <v>0</v>
      </c>
      <c r="R387">
        <f>IFERROR(VLOOKUP(Tabla1[[#This Row],[SISMED]],TblDisponibilidad[],22,FALSE), 0)</f>
        <v>0</v>
      </c>
      <c r="S387" s="15">
        <f>IFERROR(VLOOKUP(Tabla1[[#This Row],[SISMED]],TblDisponibilidad[],23,FALSE), 0)</f>
        <v>0</v>
      </c>
    </row>
    <row r="388" spans="1:19" x14ac:dyDescent="0.3">
      <c r="A388" s="15" t="s">
        <v>418</v>
      </c>
      <c r="B388" t="str">
        <f>IFERROR(VLOOKUP(Tabla1[[#This Row],[SISMED]],TblDisponibilidad[],2,FALSE), "")</f>
        <v/>
      </c>
      <c r="C388">
        <f>IFERROR(VLOOKUP(Tabla1[[#This Row],[SISMED]],TblDisponibilidad[],7,FALSE), 0)</f>
        <v>0</v>
      </c>
      <c r="D388">
        <f>IFERROR(VLOOKUP(Tabla1[[#This Row],[SISMED]],TblDisponibilidad[],8,FALSE), 0)</f>
        <v>0</v>
      </c>
      <c r="E388">
        <f>IFERROR(VLOOKUP(Tabla1[[#This Row],[SISMED]],TblDisponibilidad[],9,FALSE), 0)</f>
        <v>0</v>
      </c>
      <c r="F388">
        <f>IFERROR(VLOOKUP(Tabla1[[#This Row],[SISMED]],TblDisponibilidad[],10,FALSE), 0)</f>
        <v>0</v>
      </c>
      <c r="G388">
        <f>IFERROR(VLOOKUP(Tabla1[[#This Row],[SISMED]],TblDisponibilidad[],11,FALSE), 0)</f>
        <v>0</v>
      </c>
      <c r="H388">
        <f>IFERROR(VLOOKUP(Tabla1[[#This Row],[SISMED]],TblDisponibilidad[],12,FALSE), 0)</f>
        <v>0</v>
      </c>
      <c r="I388">
        <f>IFERROR(VLOOKUP(Tabla1[[#This Row],[SISMED]],TblDisponibilidad[],13,FALSE), 0)</f>
        <v>0</v>
      </c>
      <c r="J388">
        <f>IFERROR(VLOOKUP(Tabla1[[#This Row],[SISMED]],TblDisponibilidad[],14,FALSE), 0)</f>
        <v>0</v>
      </c>
      <c r="K388">
        <f>IFERROR(VLOOKUP(Tabla1[[#This Row],[SISMED]],TblDisponibilidad[],15,FALSE), 0)</f>
        <v>0</v>
      </c>
      <c r="L388">
        <f>IFERROR(VLOOKUP(Tabla1[[#This Row],[SISMED]],TblDisponibilidad[],16,FALSE), 0)</f>
        <v>0</v>
      </c>
      <c r="M388">
        <f>IFERROR(VLOOKUP(Tabla1[[#This Row],[SISMED]],TblDisponibilidad[],17,FALSE), 0)</f>
        <v>0</v>
      </c>
      <c r="N388">
        <f>IFERROR(VLOOKUP(Tabla1[[#This Row],[SISMED]],TblDisponibilidad[],18,FALSE), 0)</f>
        <v>0</v>
      </c>
      <c r="O388">
        <f>IFERROR(VLOOKUP(Tabla1[[#This Row],[SISMED]],TblDisponibilidad[],19,FALSE), 0)</f>
        <v>0</v>
      </c>
      <c r="P388">
        <f>IFERROR(VLOOKUP(Tabla1[[#This Row],[SISMED]],TblDisponibilidad[],20,FALSE), 0)</f>
        <v>0</v>
      </c>
      <c r="Q388">
        <f>IFERROR(VLOOKUP(Tabla1[[#This Row],[SISMED]],TblDisponibilidad[],21,FALSE), 0)</f>
        <v>0</v>
      </c>
      <c r="R388">
        <f>IFERROR(VLOOKUP(Tabla1[[#This Row],[SISMED]],TblDisponibilidad[],22,FALSE), 0)</f>
        <v>0</v>
      </c>
      <c r="S388" s="15">
        <f>IFERROR(VLOOKUP(Tabla1[[#This Row],[SISMED]],TblDisponibilidad[],23,FALSE), 0)</f>
        <v>0</v>
      </c>
    </row>
    <row r="389" spans="1:19" x14ac:dyDescent="0.3">
      <c r="A389" s="15" t="s">
        <v>419</v>
      </c>
      <c r="B389" t="str">
        <f>IFERROR(VLOOKUP(Tabla1[[#This Row],[SISMED]],TblDisponibilidad[],2,FALSE), "")</f>
        <v/>
      </c>
      <c r="C389">
        <f>IFERROR(VLOOKUP(Tabla1[[#This Row],[SISMED]],TblDisponibilidad[],7,FALSE), 0)</f>
        <v>0</v>
      </c>
      <c r="D389">
        <f>IFERROR(VLOOKUP(Tabla1[[#This Row],[SISMED]],TblDisponibilidad[],8,FALSE), 0)</f>
        <v>0</v>
      </c>
      <c r="E389">
        <f>IFERROR(VLOOKUP(Tabla1[[#This Row],[SISMED]],TblDisponibilidad[],9,FALSE), 0)</f>
        <v>0</v>
      </c>
      <c r="F389">
        <f>IFERROR(VLOOKUP(Tabla1[[#This Row],[SISMED]],TblDisponibilidad[],10,FALSE), 0)</f>
        <v>0</v>
      </c>
      <c r="G389">
        <f>IFERROR(VLOOKUP(Tabla1[[#This Row],[SISMED]],TblDisponibilidad[],11,FALSE), 0)</f>
        <v>0</v>
      </c>
      <c r="H389">
        <f>IFERROR(VLOOKUP(Tabla1[[#This Row],[SISMED]],TblDisponibilidad[],12,FALSE), 0)</f>
        <v>0</v>
      </c>
      <c r="I389">
        <f>IFERROR(VLOOKUP(Tabla1[[#This Row],[SISMED]],TblDisponibilidad[],13,FALSE), 0)</f>
        <v>0</v>
      </c>
      <c r="J389">
        <f>IFERROR(VLOOKUP(Tabla1[[#This Row],[SISMED]],TblDisponibilidad[],14,FALSE), 0)</f>
        <v>0</v>
      </c>
      <c r="K389">
        <f>IFERROR(VLOOKUP(Tabla1[[#This Row],[SISMED]],TblDisponibilidad[],15,FALSE), 0)</f>
        <v>0</v>
      </c>
      <c r="L389">
        <f>IFERROR(VLOOKUP(Tabla1[[#This Row],[SISMED]],TblDisponibilidad[],16,FALSE), 0)</f>
        <v>0</v>
      </c>
      <c r="M389">
        <f>IFERROR(VLOOKUP(Tabla1[[#This Row],[SISMED]],TblDisponibilidad[],17,FALSE), 0)</f>
        <v>0</v>
      </c>
      <c r="N389">
        <f>IFERROR(VLOOKUP(Tabla1[[#This Row],[SISMED]],TblDisponibilidad[],18,FALSE), 0)</f>
        <v>0</v>
      </c>
      <c r="O389">
        <f>IFERROR(VLOOKUP(Tabla1[[#This Row],[SISMED]],TblDisponibilidad[],19,FALSE), 0)</f>
        <v>0</v>
      </c>
      <c r="P389">
        <f>IFERROR(VLOOKUP(Tabla1[[#This Row],[SISMED]],TblDisponibilidad[],20,FALSE), 0)</f>
        <v>0</v>
      </c>
      <c r="Q389">
        <f>IFERROR(VLOOKUP(Tabla1[[#This Row],[SISMED]],TblDisponibilidad[],21,FALSE), 0)</f>
        <v>0</v>
      </c>
      <c r="R389">
        <f>IFERROR(VLOOKUP(Tabla1[[#This Row],[SISMED]],TblDisponibilidad[],22,FALSE), 0)</f>
        <v>0</v>
      </c>
      <c r="S389" s="15">
        <f>IFERROR(VLOOKUP(Tabla1[[#This Row],[SISMED]],TblDisponibilidad[],23,FALSE), 0)</f>
        <v>0</v>
      </c>
    </row>
    <row r="390" spans="1:19" x14ac:dyDescent="0.3">
      <c r="A390" s="15" t="s">
        <v>420</v>
      </c>
      <c r="B390" t="str">
        <f>IFERROR(VLOOKUP(Tabla1[[#This Row],[SISMED]],TblDisponibilidad[],2,FALSE), "")</f>
        <v/>
      </c>
      <c r="C390">
        <f>IFERROR(VLOOKUP(Tabla1[[#This Row],[SISMED]],TblDisponibilidad[],7,FALSE), 0)</f>
        <v>0</v>
      </c>
      <c r="D390">
        <f>IFERROR(VLOOKUP(Tabla1[[#This Row],[SISMED]],TblDisponibilidad[],8,FALSE), 0)</f>
        <v>0</v>
      </c>
      <c r="E390">
        <f>IFERROR(VLOOKUP(Tabla1[[#This Row],[SISMED]],TblDisponibilidad[],9,FALSE), 0)</f>
        <v>0</v>
      </c>
      <c r="F390">
        <f>IFERROR(VLOOKUP(Tabla1[[#This Row],[SISMED]],TblDisponibilidad[],10,FALSE), 0)</f>
        <v>0</v>
      </c>
      <c r="G390">
        <f>IFERROR(VLOOKUP(Tabla1[[#This Row],[SISMED]],TblDisponibilidad[],11,FALSE), 0)</f>
        <v>0</v>
      </c>
      <c r="H390">
        <f>IFERROR(VLOOKUP(Tabla1[[#This Row],[SISMED]],TblDisponibilidad[],12,FALSE), 0)</f>
        <v>0</v>
      </c>
      <c r="I390">
        <f>IFERROR(VLOOKUP(Tabla1[[#This Row],[SISMED]],TblDisponibilidad[],13,FALSE), 0)</f>
        <v>0</v>
      </c>
      <c r="J390">
        <f>IFERROR(VLOOKUP(Tabla1[[#This Row],[SISMED]],TblDisponibilidad[],14,FALSE), 0)</f>
        <v>0</v>
      </c>
      <c r="K390">
        <f>IFERROR(VLOOKUP(Tabla1[[#This Row],[SISMED]],TblDisponibilidad[],15,FALSE), 0)</f>
        <v>0</v>
      </c>
      <c r="L390">
        <f>IFERROR(VLOOKUP(Tabla1[[#This Row],[SISMED]],TblDisponibilidad[],16,FALSE), 0)</f>
        <v>0</v>
      </c>
      <c r="M390">
        <f>IFERROR(VLOOKUP(Tabla1[[#This Row],[SISMED]],TblDisponibilidad[],17,FALSE), 0)</f>
        <v>0</v>
      </c>
      <c r="N390">
        <f>IFERROR(VLOOKUP(Tabla1[[#This Row],[SISMED]],TblDisponibilidad[],18,FALSE), 0)</f>
        <v>0</v>
      </c>
      <c r="O390">
        <f>IFERROR(VLOOKUP(Tabla1[[#This Row],[SISMED]],TblDisponibilidad[],19,FALSE), 0)</f>
        <v>0</v>
      </c>
      <c r="P390">
        <f>IFERROR(VLOOKUP(Tabla1[[#This Row],[SISMED]],TblDisponibilidad[],20,FALSE), 0)</f>
        <v>0</v>
      </c>
      <c r="Q390">
        <f>IFERROR(VLOOKUP(Tabla1[[#This Row],[SISMED]],TblDisponibilidad[],21,FALSE), 0)</f>
        <v>0</v>
      </c>
      <c r="R390">
        <f>IFERROR(VLOOKUP(Tabla1[[#This Row],[SISMED]],TblDisponibilidad[],22,FALSE), 0)</f>
        <v>0</v>
      </c>
      <c r="S390" s="15">
        <f>IFERROR(VLOOKUP(Tabla1[[#This Row],[SISMED]],TblDisponibilidad[],23,FALSE), 0)</f>
        <v>0</v>
      </c>
    </row>
    <row r="391" spans="1:19" x14ac:dyDescent="0.3">
      <c r="A391" s="15" t="s">
        <v>421</v>
      </c>
      <c r="B391" t="str">
        <f>IFERROR(VLOOKUP(Tabla1[[#This Row],[SISMED]],TblDisponibilidad[],2,FALSE), "")</f>
        <v/>
      </c>
      <c r="C391">
        <f>IFERROR(VLOOKUP(Tabla1[[#This Row],[SISMED]],TblDisponibilidad[],7,FALSE), 0)</f>
        <v>0</v>
      </c>
      <c r="D391">
        <f>IFERROR(VLOOKUP(Tabla1[[#This Row],[SISMED]],TblDisponibilidad[],8,FALSE), 0)</f>
        <v>0</v>
      </c>
      <c r="E391">
        <f>IFERROR(VLOOKUP(Tabla1[[#This Row],[SISMED]],TblDisponibilidad[],9,FALSE), 0)</f>
        <v>0</v>
      </c>
      <c r="F391">
        <f>IFERROR(VLOOKUP(Tabla1[[#This Row],[SISMED]],TblDisponibilidad[],10,FALSE), 0)</f>
        <v>0</v>
      </c>
      <c r="G391">
        <f>IFERROR(VLOOKUP(Tabla1[[#This Row],[SISMED]],TblDisponibilidad[],11,FALSE), 0)</f>
        <v>0</v>
      </c>
      <c r="H391">
        <f>IFERROR(VLOOKUP(Tabla1[[#This Row],[SISMED]],TblDisponibilidad[],12,FALSE), 0)</f>
        <v>0</v>
      </c>
      <c r="I391">
        <f>IFERROR(VLOOKUP(Tabla1[[#This Row],[SISMED]],TblDisponibilidad[],13,FALSE), 0)</f>
        <v>0</v>
      </c>
      <c r="J391">
        <f>IFERROR(VLOOKUP(Tabla1[[#This Row],[SISMED]],TblDisponibilidad[],14,FALSE), 0)</f>
        <v>0</v>
      </c>
      <c r="K391">
        <f>IFERROR(VLOOKUP(Tabla1[[#This Row],[SISMED]],TblDisponibilidad[],15,FALSE), 0)</f>
        <v>0</v>
      </c>
      <c r="L391">
        <f>IFERROR(VLOOKUP(Tabla1[[#This Row],[SISMED]],TblDisponibilidad[],16,FALSE), 0)</f>
        <v>0</v>
      </c>
      <c r="M391">
        <f>IFERROR(VLOOKUP(Tabla1[[#This Row],[SISMED]],TblDisponibilidad[],17,FALSE), 0)</f>
        <v>0</v>
      </c>
      <c r="N391">
        <f>IFERROR(VLOOKUP(Tabla1[[#This Row],[SISMED]],TblDisponibilidad[],18,FALSE), 0)</f>
        <v>0</v>
      </c>
      <c r="O391">
        <f>IFERROR(VLOOKUP(Tabla1[[#This Row],[SISMED]],TblDisponibilidad[],19,FALSE), 0)</f>
        <v>0</v>
      </c>
      <c r="P391">
        <f>IFERROR(VLOOKUP(Tabla1[[#This Row],[SISMED]],TblDisponibilidad[],20,FALSE), 0)</f>
        <v>0</v>
      </c>
      <c r="Q391">
        <f>IFERROR(VLOOKUP(Tabla1[[#This Row],[SISMED]],TblDisponibilidad[],21,FALSE), 0)</f>
        <v>0</v>
      </c>
      <c r="R391">
        <f>IFERROR(VLOOKUP(Tabla1[[#This Row],[SISMED]],TblDisponibilidad[],22,FALSE), 0)</f>
        <v>0</v>
      </c>
      <c r="S391" s="15">
        <f>IFERROR(VLOOKUP(Tabla1[[#This Row],[SISMED]],TblDisponibilidad[],23,FALSE), 0)</f>
        <v>0</v>
      </c>
    </row>
    <row r="392" spans="1:19" x14ac:dyDescent="0.3">
      <c r="A392" s="15" t="s">
        <v>422</v>
      </c>
      <c r="B392" t="str">
        <f>IFERROR(VLOOKUP(Tabla1[[#This Row],[SISMED]],TblDisponibilidad[],2,FALSE), "")</f>
        <v/>
      </c>
      <c r="C392">
        <f>IFERROR(VLOOKUP(Tabla1[[#This Row],[SISMED]],TblDisponibilidad[],7,FALSE), 0)</f>
        <v>0</v>
      </c>
      <c r="D392">
        <f>IFERROR(VLOOKUP(Tabla1[[#This Row],[SISMED]],TblDisponibilidad[],8,FALSE), 0)</f>
        <v>0</v>
      </c>
      <c r="E392">
        <f>IFERROR(VLOOKUP(Tabla1[[#This Row],[SISMED]],TblDisponibilidad[],9,FALSE), 0)</f>
        <v>0</v>
      </c>
      <c r="F392">
        <f>IFERROR(VLOOKUP(Tabla1[[#This Row],[SISMED]],TblDisponibilidad[],10,FALSE), 0)</f>
        <v>0</v>
      </c>
      <c r="G392">
        <f>IFERROR(VLOOKUP(Tabla1[[#This Row],[SISMED]],TblDisponibilidad[],11,FALSE), 0)</f>
        <v>0</v>
      </c>
      <c r="H392">
        <f>IFERROR(VLOOKUP(Tabla1[[#This Row],[SISMED]],TblDisponibilidad[],12,FALSE), 0)</f>
        <v>0</v>
      </c>
      <c r="I392">
        <f>IFERROR(VLOOKUP(Tabla1[[#This Row],[SISMED]],TblDisponibilidad[],13,FALSE), 0)</f>
        <v>0</v>
      </c>
      <c r="J392">
        <f>IFERROR(VLOOKUP(Tabla1[[#This Row],[SISMED]],TblDisponibilidad[],14,FALSE), 0)</f>
        <v>0</v>
      </c>
      <c r="K392">
        <f>IFERROR(VLOOKUP(Tabla1[[#This Row],[SISMED]],TblDisponibilidad[],15,FALSE), 0)</f>
        <v>0</v>
      </c>
      <c r="L392">
        <f>IFERROR(VLOOKUP(Tabla1[[#This Row],[SISMED]],TblDisponibilidad[],16,FALSE), 0)</f>
        <v>0</v>
      </c>
      <c r="M392">
        <f>IFERROR(VLOOKUP(Tabla1[[#This Row],[SISMED]],TblDisponibilidad[],17,FALSE), 0)</f>
        <v>0</v>
      </c>
      <c r="N392">
        <f>IFERROR(VLOOKUP(Tabla1[[#This Row],[SISMED]],TblDisponibilidad[],18,FALSE), 0)</f>
        <v>0</v>
      </c>
      <c r="O392">
        <f>IFERROR(VLOOKUP(Tabla1[[#This Row],[SISMED]],TblDisponibilidad[],19,FALSE), 0)</f>
        <v>0</v>
      </c>
      <c r="P392">
        <f>IFERROR(VLOOKUP(Tabla1[[#This Row],[SISMED]],TblDisponibilidad[],20,FALSE), 0)</f>
        <v>0</v>
      </c>
      <c r="Q392">
        <f>IFERROR(VLOOKUP(Tabla1[[#This Row],[SISMED]],TblDisponibilidad[],21,FALSE), 0)</f>
        <v>0</v>
      </c>
      <c r="R392">
        <f>IFERROR(VLOOKUP(Tabla1[[#This Row],[SISMED]],TblDisponibilidad[],22,FALSE), 0)</f>
        <v>0</v>
      </c>
      <c r="S392" s="15">
        <f>IFERROR(VLOOKUP(Tabla1[[#This Row],[SISMED]],TblDisponibilidad[],23,FALSE), 0)</f>
        <v>0</v>
      </c>
    </row>
    <row r="393" spans="1:19" x14ac:dyDescent="0.3">
      <c r="A393" s="15" t="s">
        <v>423</v>
      </c>
      <c r="B393" t="str">
        <f>IFERROR(VLOOKUP(Tabla1[[#This Row],[SISMED]],TblDisponibilidad[],2,FALSE), "")</f>
        <v/>
      </c>
      <c r="C393">
        <f>IFERROR(VLOOKUP(Tabla1[[#This Row],[SISMED]],TblDisponibilidad[],7,FALSE), 0)</f>
        <v>0</v>
      </c>
      <c r="D393">
        <f>IFERROR(VLOOKUP(Tabla1[[#This Row],[SISMED]],TblDisponibilidad[],8,FALSE), 0)</f>
        <v>0</v>
      </c>
      <c r="E393">
        <f>IFERROR(VLOOKUP(Tabla1[[#This Row],[SISMED]],TblDisponibilidad[],9,FALSE), 0)</f>
        <v>0</v>
      </c>
      <c r="F393">
        <f>IFERROR(VLOOKUP(Tabla1[[#This Row],[SISMED]],TblDisponibilidad[],10,FALSE), 0)</f>
        <v>0</v>
      </c>
      <c r="G393">
        <f>IFERROR(VLOOKUP(Tabla1[[#This Row],[SISMED]],TblDisponibilidad[],11,FALSE), 0)</f>
        <v>0</v>
      </c>
      <c r="H393">
        <f>IFERROR(VLOOKUP(Tabla1[[#This Row],[SISMED]],TblDisponibilidad[],12,FALSE), 0)</f>
        <v>0</v>
      </c>
      <c r="I393">
        <f>IFERROR(VLOOKUP(Tabla1[[#This Row],[SISMED]],TblDisponibilidad[],13,FALSE), 0)</f>
        <v>0</v>
      </c>
      <c r="J393">
        <f>IFERROR(VLOOKUP(Tabla1[[#This Row],[SISMED]],TblDisponibilidad[],14,FALSE), 0)</f>
        <v>0</v>
      </c>
      <c r="K393">
        <f>IFERROR(VLOOKUP(Tabla1[[#This Row],[SISMED]],TblDisponibilidad[],15,FALSE), 0)</f>
        <v>0</v>
      </c>
      <c r="L393">
        <f>IFERROR(VLOOKUP(Tabla1[[#This Row],[SISMED]],TblDisponibilidad[],16,FALSE), 0)</f>
        <v>0</v>
      </c>
      <c r="M393">
        <f>IFERROR(VLOOKUP(Tabla1[[#This Row],[SISMED]],TblDisponibilidad[],17,FALSE), 0)</f>
        <v>0</v>
      </c>
      <c r="N393">
        <f>IFERROR(VLOOKUP(Tabla1[[#This Row],[SISMED]],TblDisponibilidad[],18,FALSE), 0)</f>
        <v>0</v>
      </c>
      <c r="O393">
        <f>IFERROR(VLOOKUP(Tabla1[[#This Row],[SISMED]],TblDisponibilidad[],19,FALSE), 0)</f>
        <v>0</v>
      </c>
      <c r="P393">
        <f>IFERROR(VLOOKUP(Tabla1[[#This Row],[SISMED]],TblDisponibilidad[],20,FALSE), 0)</f>
        <v>0</v>
      </c>
      <c r="Q393">
        <f>IFERROR(VLOOKUP(Tabla1[[#This Row],[SISMED]],TblDisponibilidad[],21,FALSE), 0)</f>
        <v>0</v>
      </c>
      <c r="R393">
        <f>IFERROR(VLOOKUP(Tabla1[[#This Row],[SISMED]],TblDisponibilidad[],22,FALSE), 0)</f>
        <v>0</v>
      </c>
      <c r="S393" s="15">
        <f>IFERROR(VLOOKUP(Tabla1[[#This Row],[SISMED]],TblDisponibilidad[],23,FALSE), 0)</f>
        <v>0</v>
      </c>
    </row>
    <row r="394" spans="1:19" x14ac:dyDescent="0.3">
      <c r="A394" s="15" t="s">
        <v>424</v>
      </c>
      <c r="B394" t="str">
        <f>IFERROR(VLOOKUP(Tabla1[[#This Row],[SISMED]],TblDisponibilidad[],2,FALSE), "")</f>
        <v/>
      </c>
      <c r="C394">
        <f>IFERROR(VLOOKUP(Tabla1[[#This Row],[SISMED]],TblDisponibilidad[],7,FALSE), 0)</f>
        <v>0</v>
      </c>
      <c r="D394">
        <f>IFERROR(VLOOKUP(Tabla1[[#This Row],[SISMED]],TblDisponibilidad[],8,FALSE), 0)</f>
        <v>0</v>
      </c>
      <c r="E394">
        <f>IFERROR(VLOOKUP(Tabla1[[#This Row],[SISMED]],TblDisponibilidad[],9,FALSE), 0)</f>
        <v>0</v>
      </c>
      <c r="F394">
        <f>IFERROR(VLOOKUP(Tabla1[[#This Row],[SISMED]],TblDisponibilidad[],10,FALSE), 0)</f>
        <v>0</v>
      </c>
      <c r="G394">
        <f>IFERROR(VLOOKUP(Tabla1[[#This Row],[SISMED]],TblDisponibilidad[],11,FALSE), 0)</f>
        <v>0</v>
      </c>
      <c r="H394">
        <f>IFERROR(VLOOKUP(Tabla1[[#This Row],[SISMED]],TblDisponibilidad[],12,FALSE), 0)</f>
        <v>0</v>
      </c>
      <c r="I394">
        <f>IFERROR(VLOOKUP(Tabla1[[#This Row],[SISMED]],TblDisponibilidad[],13,FALSE), 0)</f>
        <v>0</v>
      </c>
      <c r="J394">
        <f>IFERROR(VLOOKUP(Tabla1[[#This Row],[SISMED]],TblDisponibilidad[],14,FALSE), 0)</f>
        <v>0</v>
      </c>
      <c r="K394">
        <f>IFERROR(VLOOKUP(Tabla1[[#This Row],[SISMED]],TblDisponibilidad[],15,FALSE), 0)</f>
        <v>0</v>
      </c>
      <c r="L394">
        <f>IFERROR(VLOOKUP(Tabla1[[#This Row],[SISMED]],TblDisponibilidad[],16,FALSE), 0)</f>
        <v>0</v>
      </c>
      <c r="M394">
        <f>IFERROR(VLOOKUP(Tabla1[[#This Row],[SISMED]],TblDisponibilidad[],17,FALSE), 0)</f>
        <v>0</v>
      </c>
      <c r="N394">
        <f>IFERROR(VLOOKUP(Tabla1[[#This Row],[SISMED]],TblDisponibilidad[],18,FALSE), 0)</f>
        <v>0</v>
      </c>
      <c r="O394">
        <f>IFERROR(VLOOKUP(Tabla1[[#This Row],[SISMED]],TblDisponibilidad[],19,FALSE), 0)</f>
        <v>0</v>
      </c>
      <c r="P394">
        <f>IFERROR(VLOOKUP(Tabla1[[#This Row],[SISMED]],TblDisponibilidad[],20,FALSE), 0)</f>
        <v>0</v>
      </c>
      <c r="Q394">
        <f>IFERROR(VLOOKUP(Tabla1[[#This Row],[SISMED]],TblDisponibilidad[],21,FALSE), 0)</f>
        <v>0</v>
      </c>
      <c r="R394">
        <f>IFERROR(VLOOKUP(Tabla1[[#This Row],[SISMED]],TblDisponibilidad[],22,FALSE), 0)</f>
        <v>0</v>
      </c>
      <c r="S394" s="15">
        <f>IFERROR(VLOOKUP(Tabla1[[#This Row],[SISMED]],TblDisponibilidad[],23,FALSE), 0)</f>
        <v>0</v>
      </c>
    </row>
    <row r="395" spans="1:19" x14ac:dyDescent="0.3">
      <c r="A395" s="15" t="s">
        <v>425</v>
      </c>
      <c r="B395" t="str">
        <f>IFERROR(VLOOKUP(Tabla1[[#This Row],[SISMED]],TblDisponibilidad[],2,FALSE), "")</f>
        <v/>
      </c>
      <c r="C395">
        <f>IFERROR(VLOOKUP(Tabla1[[#This Row],[SISMED]],TblDisponibilidad[],7,FALSE), 0)</f>
        <v>0</v>
      </c>
      <c r="D395">
        <f>IFERROR(VLOOKUP(Tabla1[[#This Row],[SISMED]],TblDisponibilidad[],8,FALSE), 0)</f>
        <v>0</v>
      </c>
      <c r="E395">
        <f>IFERROR(VLOOKUP(Tabla1[[#This Row],[SISMED]],TblDisponibilidad[],9,FALSE), 0)</f>
        <v>0</v>
      </c>
      <c r="F395">
        <f>IFERROR(VLOOKUP(Tabla1[[#This Row],[SISMED]],TblDisponibilidad[],10,FALSE), 0)</f>
        <v>0</v>
      </c>
      <c r="G395">
        <f>IFERROR(VLOOKUP(Tabla1[[#This Row],[SISMED]],TblDisponibilidad[],11,FALSE), 0)</f>
        <v>0</v>
      </c>
      <c r="H395">
        <f>IFERROR(VLOOKUP(Tabla1[[#This Row],[SISMED]],TblDisponibilidad[],12,FALSE), 0)</f>
        <v>0</v>
      </c>
      <c r="I395">
        <f>IFERROR(VLOOKUP(Tabla1[[#This Row],[SISMED]],TblDisponibilidad[],13,FALSE), 0)</f>
        <v>0</v>
      </c>
      <c r="J395">
        <f>IFERROR(VLOOKUP(Tabla1[[#This Row],[SISMED]],TblDisponibilidad[],14,FALSE), 0)</f>
        <v>0</v>
      </c>
      <c r="K395">
        <f>IFERROR(VLOOKUP(Tabla1[[#This Row],[SISMED]],TblDisponibilidad[],15,FALSE), 0)</f>
        <v>0</v>
      </c>
      <c r="L395">
        <f>IFERROR(VLOOKUP(Tabla1[[#This Row],[SISMED]],TblDisponibilidad[],16,FALSE), 0)</f>
        <v>0</v>
      </c>
      <c r="M395">
        <f>IFERROR(VLOOKUP(Tabla1[[#This Row],[SISMED]],TblDisponibilidad[],17,FALSE), 0)</f>
        <v>0</v>
      </c>
      <c r="N395">
        <f>IFERROR(VLOOKUP(Tabla1[[#This Row],[SISMED]],TblDisponibilidad[],18,FALSE), 0)</f>
        <v>0</v>
      </c>
      <c r="O395">
        <f>IFERROR(VLOOKUP(Tabla1[[#This Row],[SISMED]],TblDisponibilidad[],19,FALSE), 0)</f>
        <v>0</v>
      </c>
      <c r="P395">
        <f>IFERROR(VLOOKUP(Tabla1[[#This Row],[SISMED]],TblDisponibilidad[],20,FALSE), 0)</f>
        <v>0</v>
      </c>
      <c r="Q395">
        <f>IFERROR(VLOOKUP(Tabla1[[#This Row],[SISMED]],TblDisponibilidad[],21,FALSE), 0)</f>
        <v>0</v>
      </c>
      <c r="R395">
        <f>IFERROR(VLOOKUP(Tabla1[[#This Row],[SISMED]],TblDisponibilidad[],22,FALSE), 0)</f>
        <v>0</v>
      </c>
      <c r="S395" s="15">
        <f>IFERROR(VLOOKUP(Tabla1[[#This Row],[SISMED]],TblDisponibilidad[],23,FALSE), 0)</f>
        <v>0</v>
      </c>
    </row>
    <row r="396" spans="1:19" x14ac:dyDescent="0.3">
      <c r="A396" s="15" t="s">
        <v>426</v>
      </c>
      <c r="B396" t="str">
        <f>IFERROR(VLOOKUP(Tabla1[[#This Row],[SISMED]],TblDisponibilidad[],2,FALSE), "")</f>
        <v/>
      </c>
      <c r="C396">
        <f>IFERROR(VLOOKUP(Tabla1[[#This Row],[SISMED]],TblDisponibilidad[],7,FALSE), 0)</f>
        <v>0</v>
      </c>
      <c r="D396">
        <f>IFERROR(VLOOKUP(Tabla1[[#This Row],[SISMED]],TblDisponibilidad[],8,FALSE), 0)</f>
        <v>0</v>
      </c>
      <c r="E396">
        <f>IFERROR(VLOOKUP(Tabla1[[#This Row],[SISMED]],TblDisponibilidad[],9,FALSE), 0)</f>
        <v>0</v>
      </c>
      <c r="F396">
        <f>IFERROR(VLOOKUP(Tabla1[[#This Row],[SISMED]],TblDisponibilidad[],10,FALSE), 0)</f>
        <v>0</v>
      </c>
      <c r="G396">
        <f>IFERROR(VLOOKUP(Tabla1[[#This Row],[SISMED]],TblDisponibilidad[],11,FALSE), 0)</f>
        <v>0</v>
      </c>
      <c r="H396">
        <f>IFERROR(VLOOKUP(Tabla1[[#This Row],[SISMED]],TblDisponibilidad[],12,FALSE), 0)</f>
        <v>0</v>
      </c>
      <c r="I396">
        <f>IFERROR(VLOOKUP(Tabla1[[#This Row],[SISMED]],TblDisponibilidad[],13,FALSE), 0)</f>
        <v>0</v>
      </c>
      <c r="J396">
        <f>IFERROR(VLOOKUP(Tabla1[[#This Row],[SISMED]],TblDisponibilidad[],14,FALSE), 0)</f>
        <v>0</v>
      </c>
      <c r="K396">
        <f>IFERROR(VLOOKUP(Tabla1[[#This Row],[SISMED]],TblDisponibilidad[],15,FALSE), 0)</f>
        <v>0</v>
      </c>
      <c r="L396">
        <f>IFERROR(VLOOKUP(Tabla1[[#This Row],[SISMED]],TblDisponibilidad[],16,FALSE), 0)</f>
        <v>0</v>
      </c>
      <c r="M396">
        <f>IFERROR(VLOOKUP(Tabla1[[#This Row],[SISMED]],TblDisponibilidad[],17,FALSE), 0)</f>
        <v>0</v>
      </c>
      <c r="N396">
        <f>IFERROR(VLOOKUP(Tabla1[[#This Row],[SISMED]],TblDisponibilidad[],18,FALSE), 0)</f>
        <v>0</v>
      </c>
      <c r="O396">
        <f>IFERROR(VLOOKUP(Tabla1[[#This Row],[SISMED]],TblDisponibilidad[],19,FALSE), 0)</f>
        <v>0</v>
      </c>
      <c r="P396">
        <f>IFERROR(VLOOKUP(Tabla1[[#This Row],[SISMED]],TblDisponibilidad[],20,FALSE), 0)</f>
        <v>0</v>
      </c>
      <c r="Q396">
        <f>IFERROR(VLOOKUP(Tabla1[[#This Row],[SISMED]],TblDisponibilidad[],21,FALSE), 0)</f>
        <v>0</v>
      </c>
      <c r="R396">
        <f>IFERROR(VLOOKUP(Tabla1[[#This Row],[SISMED]],TblDisponibilidad[],22,FALSE), 0)</f>
        <v>0</v>
      </c>
      <c r="S396" s="15">
        <f>IFERROR(VLOOKUP(Tabla1[[#This Row],[SISMED]],TblDisponibilidad[],23,FALSE), 0)</f>
        <v>0</v>
      </c>
    </row>
    <row r="397" spans="1:19" x14ac:dyDescent="0.3">
      <c r="A397" s="15" t="s">
        <v>427</v>
      </c>
      <c r="B397" t="str">
        <f>IFERROR(VLOOKUP(Tabla1[[#This Row],[SISMED]],TblDisponibilidad[],2,FALSE), "")</f>
        <v/>
      </c>
      <c r="C397">
        <f>IFERROR(VLOOKUP(Tabla1[[#This Row],[SISMED]],TblDisponibilidad[],7,FALSE), 0)</f>
        <v>0</v>
      </c>
      <c r="D397">
        <f>IFERROR(VLOOKUP(Tabla1[[#This Row],[SISMED]],TblDisponibilidad[],8,FALSE), 0)</f>
        <v>0</v>
      </c>
      <c r="E397">
        <f>IFERROR(VLOOKUP(Tabla1[[#This Row],[SISMED]],TblDisponibilidad[],9,FALSE), 0)</f>
        <v>0</v>
      </c>
      <c r="F397">
        <f>IFERROR(VLOOKUP(Tabla1[[#This Row],[SISMED]],TblDisponibilidad[],10,FALSE), 0)</f>
        <v>0</v>
      </c>
      <c r="G397">
        <f>IFERROR(VLOOKUP(Tabla1[[#This Row],[SISMED]],TblDisponibilidad[],11,FALSE), 0)</f>
        <v>0</v>
      </c>
      <c r="H397">
        <f>IFERROR(VLOOKUP(Tabla1[[#This Row],[SISMED]],TblDisponibilidad[],12,FALSE), 0)</f>
        <v>0</v>
      </c>
      <c r="I397">
        <f>IFERROR(VLOOKUP(Tabla1[[#This Row],[SISMED]],TblDisponibilidad[],13,FALSE), 0)</f>
        <v>0</v>
      </c>
      <c r="J397">
        <f>IFERROR(VLOOKUP(Tabla1[[#This Row],[SISMED]],TblDisponibilidad[],14,FALSE), 0)</f>
        <v>0</v>
      </c>
      <c r="K397">
        <f>IFERROR(VLOOKUP(Tabla1[[#This Row],[SISMED]],TblDisponibilidad[],15,FALSE), 0)</f>
        <v>0</v>
      </c>
      <c r="L397">
        <f>IFERROR(VLOOKUP(Tabla1[[#This Row],[SISMED]],TblDisponibilidad[],16,FALSE), 0)</f>
        <v>0</v>
      </c>
      <c r="M397">
        <f>IFERROR(VLOOKUP(Tabla1[[#This Row],[SISMED]],TblDisponibilidad[],17,FALSE), 0)</f>
        <v>0</v>
      </c>
      <c r="N397">
        <f>IFERROR(VLOOKUP(Tabla1[[#This Row],[SISMED]],TblDisponibilidad[],18,FALSE), 0)</f>
        <v>0</v>
      </c>
      <c r="O397">
        <f>IFERROR(VLOOKUP(Tabla1[[#This Row],[SISMED]],TblDisponibilidad[],19,FALSE), 0)</f>
        <v>0</v>
      </c>
      <c r="P397">
        <f>IFERROR(VLOOKUP(Tabla1[[#This Row],[SISMED]],TblDisponibilidad[],20,FALSE), 0)</f>
        <v>0</v>
      </c>
      <c r="Q397">
        <f>IFERROR(VLOOKUP(Tabla1[[#This Row],[SISMED]],TblDisponibilidad[],21,FALSE), 0)</f>
        <v>0</v>
      </c>
      <c r="R397">
        <f>IFERROR(VLOOKUP(Tabla1[[#This Row],[SISMED]],TblDisponibilidad[],22,FALSE), 0)</f>
        <v>0</v>
      </c>
      <c r="S397" s="15">
        <f>IFERROR(VLOOKUP(Tabla1[[#This Row],[SISMED]],TblDisponibilidad[],23,FALSE), 0)</f>
        <v>0</v>
      </c>
    </row>
    <row r="398" spans="1:19" x14ac:dyDescent="0.3">
      <c r="A398" s="15" t="s">
        <v>428</v>
      </c>
      <c r="B398" t="str">
        <f>IFERROR(VLOOKUP(Tabla1[[#This Row],[SISMED]],TblDisponibilidad[],2,FALSE), "")</f>
        <v/>
      </c>
      <c r="C398">
        <f>IFERROR(VLOOKUP(Tabla1[[#This Row],[SISMED]],TblDisponibilidad[],7,FALSE), 0)</f>
        <v>0</v>
      </c>
      <c r="D398">
        <f>IFERROR(VLOOKUP(Tabla1[[#This Row],[SISMED]],TblDisponibilidad[],8,FALSE), 0)</f>
        <v>0</v>
      </c>
      <c r="E398">
        <f>IFERROR(VLOOKUP(Tabla1[[#This Row],[SISMED]],TblDisponibilidad[],9,FALSE), 0)</f>
        <v>0</v>
      </c>
      <c r="F398">
        <f>IFERROR(VLOOKUP(Tabla1[[#This Row],[SISMED]],TblDisponibilidad[],10,FALSE), 0)</f>
        <v>0</v>
      </c>
      <c r="G398">
        <f>IFERROR(VLOOKUP(Tabla1[[#This Row],[SISMED]],TblDisponibilidad[],11,FALSE), 0)</f>
        <v>0</v>
      </c>
      <c r="H398">
        <f>IFERROR(VLOOKUP(Tabla1[[#This Row],[SISMED]],TblDisponibilidad[],12,FALSE), 0)</f>
        <v>0</v>
      </c>
      <c r="I398">
        <f>IFERROR(VLOOKUP(Tabla1[[#This Row],[SISMED]],TblDisponibilidad[],13,FALSE), 0)</f>
        <v>0</v>
      </c>
      <c r="J398">
        <f>IFERROR(VLOOKUP(Tabla1[[#This Row],[SISMED]],TblDisponibilidad[],14,FALSE), 0)</f>
        <v>0</v>
      </c>
      <c r="K398">
        <f>IFERROR(VLOOKUP(Tabla1[[#This Row],[SISMED]],TblDisponibilidad[],15,FALSE), 0)</f>
        <v>0</v>
      </c>
      <c r="L398">
        <f>IFERROR(VLOOKUP(Tabla1[[#This Row],[SISMED]],TblDisponibilidad[],16,FALSE), 0)</f>
        <v>0</v>
      </c>
      <c r="M398">
        <f>IFERROR(VLOOKUP(Tabla1[[#This Row],[SISMED]],TblDisponibilidad[],17,FALSE), 0)</f>
        <v>0</v>
      </c>
      <c r="N398">
        <f>IFERROR(VLOOKUP(Tabla1[[#This Row],[SISMED]],TblDisponibilidad[],18,FALSE), 0)</f>
        <v>0</v>
      </c>
      <c r="O398">
        <f>IFERROR(VLOOKUP(Tabla1[[#This Row],[SISMED]],TblDisponibilidad[],19,FALSE), 0)</f>
        <v>0</v>
      </c>
      <c r="P398">
        <f>IFERROR(VLOOKUP(Tabla1[[#This Row],[SISMED]],TblDisponibilidad[],20,FALSE), 0)</f>
        <v>0</v>
      </c>
      <c r="Q398">
        <f>IFERROR(VLOOKUP(Tabla1[[#This Row],[SISMED]],TblDisponibilidad[],21,FALSE), 0)</f>
        <v>0</v>
      </c>
      <c r="R398">
        <f>IFERROR(VLOOKUP(Tabla1[[#This Row],[SISMED]],TblDisponibilidad[],22,FALSE), 0)</f>
        <v>0</v>
      </c>
      <c r="S398" s="15">
        <f>IFERROR(VLOOKUP(Tabla1[[#This Row],[SISMED]],TblDisponibilidad[],23,FALSE), 0)</f>
        <v>0</v>
      </c>
    </row>
    <row r="399" spans="1:19" x14ac:dyDescent="0.3">
      <c r="A399" s="15" t="s">
        <v>429</v>
      </c>
      <c r="B399" t="str">
        <f>IFERROR(VLOOKUP(Tabla1[[#This Row],[SISMED]],TblDisponibilidad[],2,FALSE), "")</f>
        <v/>
      </c>
      <c r="C399">
        <f>IFERROR(VLOOKUP(Tabla1[[#This Row],[SISMED]],TblDisponibilidad[],7,FALSE), 0)</f>
        <v>0</v>
      </c>
      <c r="D399">
        <f>IFERROR(VLOOKUP(Tabla1[[#This Row],[SISMED]],TblDisponibilidad[],8,FALSE), 0)</f>
        <v>0</v>
      </c>
      <c r="E399">
        <f>IFERROR(VLOOKUP(Tabla1[[#This Row],[SISMED]],TblDisponibilidad[],9,FALSE), 0)</f>
        <v>0</v>
      </c>
      <c r="F399">
        <f>IFERROR(VLOOKUP(Tabla1[[#This Row],[SISMED]],TblDisponibilidad[],10,FALSE), 0)</f>
        <v>0</v>
      </c>
      <c r="G399">
        <f>IFERROR(VLOOKUP(Tabla1[[#This Row],[SISMED]],TblDisponibilidad[],11,FALSE), 0)</f>
        <v>0</v>
      </c>
      <c r="H399">
        <f>IFERROR(VLOOKUP(Tabla1[[#This Row],[SISMED]],TblDisponibilidad[],12,FALSE), 0)</f>
        <v>0</v>
      </c>
      <c r="I399">
        <f>IFERROR(VLOOKUP(Tabla1[[#This Row],[SISMED]],TblDisponibilidad[],13,FALSE), 0)</f>
        <v>0</v>
      </c>
      <c r="J399">
        <f>IFERROR(VLOOKUP(Tabla1[[#This Row],[SISMED]],TblDisponibilidad[],14,FALSE), 0)</f>
        <v>0</v>
      </c>
      <c r="K399">
        <f>IFERROR(VLOOKUP(Tabla1[[#This Row],[SISMED]],TblDisponibilidad[],15,FALSE), 0)</f>
        <v>0</v>
      </c>
      <c r="L399">
        <f>IFERROR(VLOOKUP(Tabla1[[#This Row],[SISMED]],TblDisponibilidad[],16,FALSE), 0)</f>
        <v>0</v>
      </c>
      <c r="M399">
        <f>IFERROR(VLOOKUP(Tabla1[[#This Row],[SISMED]],TblDisponibilidad[],17,FALSE), 0)</f>
        <v>0</v>
      </c>
      <c r="N399">
        <f>IFERROR(VLOOKUP(Tabla1[[#This Row],[SISMED]],TblDisponibilidad[],18,FALSE), 0)</f>
        <v>0</v>
      </c>
      <c r="O399">
        <f>IFERROR(VLOOKUP(Tabla1[[#This Row],[SISMED]],TblDisponibilidad[],19,FALSE), 0)</f>
        <v>0</v>
      </c>
      <c r="P399">
        <f>IFERROR(VLOOKUP(Tabla1[[#This Row],[SISMED]],TblDisponibilidad[],20,FALSE), 0)</f>
        <v>0</v>
      </c>
      <c r="Q399">
        <f>IFERROR(VLOOKUP(Tabla1[[#This Row],[SISMED]],TblDisponibilidad[],21,FALSE), 0)</f>
        <v>0</v>
      </c>
      <c r="R399">
        <f>IFERROR(VLOOKUP(Tabla1[[#This Row],[SISMED]],TblDisponibilidad[],22,FALSE), 0)</f>
        <v>0</v>
      </c>
      <c r="S399" s="15">
        <f>IFERROR(VLOOKUP(Tabla1[[#This Row],[SISMED]],TblDisponibilidad[],23,FALSE), 0)</f>
        <v>0</v>
      </c>
    </row>
    <row r="400" spans="1:19" x14ac:dyDescent="0.3">
      <c r="A400" s="15" t="s">
        <v>430</v>
      </c>
      <c r="B400" t="str">
        <f>IFERROR(VLOOKUP(Tabla1[[#This Row],[SISMED]],TblDisponibilidad[],2,FALSE), "")</f>
        <v/>
      </c>
      <c r="C400">
        <f>IFERROR(VLOOKUP(Tabla1[[#This Row],[SISMED]],TblDisponibilidad[],7,FALSE), 0)</f>
        <v>0</v>
      </c>
      <c r="D400">
        <f>IFERROR(VLOOKUP(Tabla1[[#This Row],[SISMED]],TblDisponibilidad[],8,FALSE), 0)</f>
        <v>0</v>
      </c>
      <c r="E400">
        <f>IFERROR(VLOOKUP(Tabla1[[#This Row],[SISMED]],TblDisponibilidad[],9,FALSE), 0)</f>
        <v>0</v>
      </c>
      <c r="F400">
        <f>IFERROR(VLOOKUP(Tabla1[[#This Row],[SISMED]],TblDisponibilidad[],10,FALSE), 0)</f>
        <v>0</v>
      </c>
      <c r="G400">
        <f>IFERROR(VLOOKUP(Tabla1[[#This Row],[SISMED]],TblDisponibilidad[],11,FALSE), 0)</f>
        <v>0</v>
      </c>
      <c r="H400">
        <f>IFERROR(VLOOKUP(Tabla1[[#This Row],[SISMED]],TblDisponibilidad[],12,FALSE), 0)</f>
        <v>0</v>
      </c>
      <c r="I400">
        <f>IFERROR(VLOOKUP(Tabla1[[#This Row],[SISMED]],TblDisponibilidad[],13,FALSE), 0)</f>
        <v>0</v>
      </c>
      <c r="J400">
        <f>IFERROR(VLOOKUP(Tabla1[[#This Row],[SISMED]],TblDisponibilidad[],14,FALSE), 0)</f>
        <v>0</v>
      </c>
      <c r="K400">
        <f>IFERROR(VLOOKUP(Tabla1[[#This Row],[SISMED]],TblDisponibilidad[],15,FALSE), 0)</f>
        <v>0</v>
      </c>
      <c r="L400">
        <f>IFERROR(VLOOKUP(Tabla1[[#This Row],[SISMED]],TblDisponibilidad[],16,FALSE), 0)</f>
        <v>0</v>
      </c>
      <c r="M400">
        <f>IFERROR(VLOOKUP(Tabla1[[#This Row],[SISMED]],TblDisponibilidad[],17,FALSE), 0)</f>
        <v>0</v>
      </c>
      <c r="N400">
        <f>IFERROR(VLOOKUP(Tabla1[[#This Row],[SISMED]],TblDisponibilidad[],18,FALSE), 0)</f>
        <v>0</v>
      </c>
      <c r="O400">
        <f>IFERROR(VLOOKUP(Tabla1[[#This Row],[SISMED]],TblDisponibilidad[],19,FALSE), 0)</f>
        <v>0</v>
      </c>
      <c r="P400">
        <f>IFERROR(VLOOKUP(Tabla1[[#This Row],[SISMED]],TblDisponibilidad[],20,FALSE), 0)</f>
        <v>0</v>
      </c>
      <c r="Q400">
        <f>IFERROR(VLOOKUP(Tabla1[[#This Row],[SISMED]],TblDisponibilidad[],21,FALSE), 0)</f>
        <v>0</v>
      </c>
      <c r="R400">
        <f>IFERROR(VLOOKUP(Tabla1[[#This Row],[SISMED]],TblDisponibilidad[],22,FALSE), 0)</f>
        <v>0</v>
      </c>
      <c r="S400" s="15">
        <f>IFERROR(VLOOKUP(Tabla1[[#This Row],[SISMED]],TblDisponibilidad[],23,FALSE), 0)</f>
        <v>0</v>
      </c>
    </row>
    <row r="401" spans="1:19" x14ac:dyDescent="0.3">
      <c r="A401" s="15" t="s">
        <v>431</v>
      </c>
      <c r="B401" t="str">
        <f>IFERROR(VLOOKUP(Tabla1[[#This Row],[SISMED]],TblDisponibilidad[],2,FALSE), "")</f>
        <v/>
      </c>
      <c r="C401">
        <f>IFERROR(VLOOKUP(Tabla1[[#This Row],[SISMED]],TblDisponibilidad[],7,FALSE), 0)</f>
        <v>0</v>
      </c>
      <c r="D401">
        <f>IFERROR(VLOOKUP(Tabla1[[#This Row],[SISMED]],TblDisponibilidad[],8,FALSE), 0)</f>
        <v>0</v>
      </c>
      <c r="E401">
        <f>IFERROR(VLOOKUP(Tabla1[[#This Row],[SISMED]],TblDisponibilidad[],9,FALSE), 0)</f>
        <v>0</v>
      </c>
      <c r="F401">
        <f>IFERROR(VLOOKUP(Tabla1[[#This Row],[SISMED]],TblDisponibilidad[],10,FALSE), 0)</f>
        <v>0</v>
      </c>
      <c r="G401">
        <f>IFERROR(VLOOKUP(Tabla1[[#This Row],[SISMED]],TblDisponibilidad[],11,FALSE), 0)</f>
        <v>0</v>
      </c>
      <c r="H401">
        <f>IFERROR(VLOOKUP(Tabla1[[#This Row],[SISMED]],TblDisponibilidad[],12,FALSE), 0)</f>
        <v>0</v>
      </c>
      <c r="I401">
        <f>IFERROR(VLOOKUP(Tabla1[[#This Row],[SISMED]],TblDisponibilidad[],13,FALSE), 0)</f>
        <v>0</v>
      </c>
      <c r="J401">
        <f>IFERROR(VLOOKUP(Tabla1[[#This Row],[SISMED]],TblDisponibilidad[],14,FALSE), 0)</f>
        <v>0</v>
      </c>
      <c r="K401">
        <f>IFERROR(VLOOKUP(Tabla1[[#This Row],[SISMED]],TblDisponibilidad[],15,FALSE), 0)</f>
        <v>0</v>
      </c>
      <c r="L401">
        <f>IFERROR(VLOOKUP(Tabla1[[#This Row],[SISMED]],TblDisponibilidad[],16,FALSE), 0)</f>
        <v>0</v>
      </c>
      <c r="M401">
        <f>IFERROR(VLOOKUP(Tabla1[[#This Row],[SISMED]],TblDisponibilidad[],17,FALSE), 0)</f>
        <v>0</v>
      </c>
      <c r="N401">
        <f>IFERROR(VLOOKUP(Tabla1[[#This Row],[SISMED]],TblDisponibilidad[],18,FALSE), 0)</f>
        <v>0</v>
      </c>
      <c r="O401">
        <f>IFERROR(VLOOKUP(Tabla1[[#This Row],[SISMED]],TblDisponibilidad[],19,FALSE), 0)</f>
        <v>0</v>
      </c>
      <c r="P401">
        <f>IFERROR(VLOOKUP(Tabla1[[#This Row],[SISMED]],TblDisponibilidad[],20,FALSE), 0)</f>
        <v>0</v>
      </c>
      <c r="Q401">
        <f>IFERROR(VLOOKUP(Tabla1[[#This Row],[SISMED]],TblDisponibilidad[],21,FALSE), 0)</f>
        <v>0</v>
      </c>
      <c r="R401">
        <f>IFERROR(VLOOKUP(Tabla1[[#This Row],[SISMED]],TblDisponibilidad[],22,FALSE), 0)</f>
        <v>0</v>
      </c>
      <c r="S401" s="15">
        <f>IFERROR(VLOOKUP(Tabla1[[#This Row],[SISMED]],TblDisponibilidad[],23,FALSE), 0)</f>
        <v>0</v>
      </c>
    </row>
    <row r="402" spans="1:19" x14ac:dyDescent="0.3">
      <c r="A402" s="15" t="s">
        <v>432</v>
      </c>
      <c r="B402" t="str">
        <f>IFERROR(VLOOKUP(Tabla1[[#This Row],[SISMED]],TblDisponibilidad[],2,FALSE), "")</f>
        <v/>
      </c>
      <c r="C402">
        <f>IFERROR(VLOOKUP(Tabla1[[#This Row],[SISMED]],TblDisponibilidad[],7,FALSE), 0)</f>
        <v>0</v>
      </c>
      <c r="D402">
        <f>IFERROR(VLOOKUP(Tabla1[[#This Row],[SISMED]],TblDisponibilidad[],8,FALSE), 0)</f>
        <v>0</v>
      </c>
      <c r="E402">
        <f>IFERROR(VLOOKUP(Tabla1[[#This Row],[SISMED]],TblDisponibilidad[],9,FALSE), 0)</f>
        <v>0</v>
      </c>
      <c r="F402">
        <f>IFERROR(VLOOKUP(Tabla1[[#This Row],[SISMED]],TblDisponibilidad[],10,FALSE), 0)</f>
        <v>0</v>
      </c>
      <c r="G402">
        <f>IFERROR(VLOOKUP(Tabla1[[#This Row],[SISMED]],TblDisponibilidad[],11,FALSE), 0)</f>
        <v>0</v>
      </c>
      <c r="H402">
        <f>IFERROR(VLOOKUP(Tabla1[[#This Row],[SISMED]],TblDisponibilidad[],12,FALSE), 0)</f>
        <v>0</v>
      </c>
      <c r="I402">
        <f>IFERROR(VLOOKUP(Tabla1[[#This Row],[SISMED]],TblDisponibilidad[],13,FALSE), 0)</f>
        <v>0</v>
      </c>
      <c r="J402">
        <f>IFERROR(VLOOKUP(Tabla1[[#This Row],[SISMED]],TblDisponibilidad[],14,FALSE), 0)</f>
        <v>0</v>
      </c>
      <c r="K402">
        <f>IFERROR(VLOOKUP(Tabla1[[#This Row],[SISMED]],TblDisponibilidad[],15,FALSE), 0)</f>
        <v>0</v>
      </c>
      <c r="L402">
        <f>IFERROR(VLOOKUP(Tabla1[[#This Row],[SISMED]],TblDisponibilidad[],16,FALSE), 0)</f>
        <v>0</v>
      </c>
      <c r="M402">
        <f>IFERROR(VLOOKUP(Tabla1[[#This Row],[SISMED]],TblDisponibilidad[],17,FALSE), 0)</f>
        <v>0</v>
      </c>
      <c r="N402">
        <f>IFERROR(VLOOKUP(Tabla1[[#This Row],[SISMED]],TblDisponibilidad[],18,FALSE), 0)</f>
        <v>0</v>
      </c>
      <c r="O402">
        <f>IFERROR(VLOOKUP(Tabla1[[#This Row],[SISMED]],TblDisponibilidad[],19,FALSE), 0)</f>
        <v>0</v>
      </c>
      <c r="P402">
        <f>IFERROR(VLOOKUP(Tabla1[[#This Row],[SISMED]],TblDisponibilidad[],20,FALSE), 0)</f>
        <v>0</v>
      </c>
      <c r="Q402">
        <f>IFERROR(VLOOKUP(Tabla1[[#This Row],[SISMED]],TblDisponibilidad[],21,FALSE), 0)</f>
        <v>0</v>
      </c>
      <c r="R402">
        <f>IFERROR(VLOOKUP(Tabla1[[#This Row],[SISMED]],TblDisponibilidad[],22,FALSE), 0)</f>
        <v>0</v>
      </c>
      <c r="S402" s="15">
        <f>IFERROR(VLOOKUP(Tabla1[[#This Row],[SISMED]],TblDisponibilidad[],23,FALSE), 0)</f>
        <v>0</v>
      </c>
    </row>
    <row r="403" spans="1:19" x14ac:dyDescent="0.3">
      <c r="A403" s="15" t="s">
        <v>433</v>
      </c>
      <c r="B403" t="str">
        <f>IFERROR(VLOOKUP(Tabla1[[#This Row],[SISMED]],TblDisponibilidad[],2,FALSE), "")</f>
        <v/>
      </c>
      <c r="C403">
        <f>IFERROR(VLOOKUP(Tabla1[[#This Row],[SISMED]],TblDisponibilidad[],7,FALSE), 0)</f>
        <v>0</v>
      </c>
      <c r="D403">
        <f>IFERROR(VLOOKUP(Tabla1[[#This Row],[SISMED]],TblDisponibilidad[],8,FALSE), 0)</f>
        <v>0</v>
      </c>
      <c r="E403">
        <f>IFERROR(VLOOKUP(Tabla1[[#This Row],[SISMED]],TblDisponibilidad[],9,FALSE), 0)</f>
        <v>0</v>
      </c>
      <c r="F403">
        <f>IFERROR(VLOOKUP(Tabla1[[#This Row],[SISMED]],TblDisponibilidad[],10,FALSE), 0)</f>
        <v>0</v>
      </c>
      <c r="G403">
        <f>IFERROR(VLOOKUP(Tabla1[[#This Row],[SISMED]],TblDisponibilidad[],11,FALSE), 0)</f>
        <v>0</v>
      </c>
      <c r="H403">
        <f>IFERROR(VLOOKUP(Tabla1[[#This Row],[SISMED]],TblDisponibilidad[],12,FALSE), 0)</f>
        <v>0</v>
      </c>
      <c r="I403">
        <f>IFERROR(VLOOKUP(Tabla1[[#This Row],[SISMED]],TblDisponibilidad[],13,FALSE), 0)</f>
        <v>0</v>
      </c>
      <c r="J403">
        <f>IFERROR(VLOOKUP(Tabla1[[#This Row],[SISMED]],TblDisponibilidad[],14,FALSE), 0)</f>
        <v>0</v>
      </c>
      <c r="K403">
        <f>IFERROR(VLOOKUP(Tabla1[[#This Row],[SISMED]],TblDisponibilidad[],15,FALSE), 0)</f>
        <v>0</v>
      </c>
      <c r="L403">
        <f>IFERROR(VLOOKUP(Tabla1[[#This Row],[SISMED]],TblDisponibilidad[],16,FALSE), 0)</f>
        <v>0</v>
      </c>
      <c r="M403">
        <f>IFERROR(VLOOKUP(Tabla1[[#This Row],[SISMED]],TblDisponibilidad[],17,FALSE), 0)</f>
        <v>0</v>
      </c>
      <c r="N403">
        <f>IFERROR(VLOOKUP(Tabla1[[#This Row],[SISMED]],TblDisponibilidad[],18,FALSE), 0)</f>
        <v>0</v>
      </c>
      <c r="O403">
        <f>IFERROR(VLOOKUP(Tabla1[[#This Row],[SISMED]],TblDisponibilidad[],19,FALSE), 0)</f>
        <v>0</v>
      </c>
      <c r="P403">
        <f>IFERROR(VLOOKUP(Tabla1[[#This Row],[SISMED]],TblDisponibilidad[],20,FALSE), 0)</f>
        <v>0</v>
      </c>
      <c r="Q403">
        <f>IFERROR(VLOOKUP(Tabla1[[#This Row],[SISMED]],TblDisponibilidad[],21,FALSE), 0)</f>
        <v>0</v>
      </c>
      <c r="R403">
        <f>IFERROR(VLOOKUP(Tabla1[[#This Row],[SISMED]],TblDisponibilidad[],22,FALSE), 0)</f>
        <v>0</v>
      </c>
      <c r="S403" s="15">
        <f>IFERROR(VLOOKUP(Tabla1[[#This Row],[SISMED]],TblDisponibilidad[],23,FALSE), 0)</f>
        <v>0</v>
      </c>
    </row>
    <row r="404" spans="1:19" x14ac:dyDescent="0.3">
      <c r="A404" s="15" t="s">
        <v>434</v>
      </c>
      <c r="B404" t="str">
        <f>IFERROR(VLOOKUP(Tabla1[[#This Row],[SISMED]],TblDisponibilidad[],2,FALSE), "")</f>
        <v/>
      </c>
      <c r="C404">
        <f>IFERROR(VLOOKUP(Tabla1[[#This Row],[SISMED]],TblDisponibilidad[],7,FALSE), 0)</f>
        <v>0</v>
      </c>
      <c r="D404">
        <f>IFERROR(VLOOKUP(Tabla1[[#This Row],[SISMED]],TblDisponibilidad[],8,FALSE), 0)</f>
        <v>0</v>
      </c>
      <c r="E404">
        <f>IFERROR(VLOOKUP(Tabla1[[#This Row],[SISMED]],TblDisponibilidad[],9,FALSE), 0)</f>
        <v>0</v>
      </c>
      <c r="F404">
        <f>IFERROR(VLOOKUP(Tabla1[[#This Row],[SISMED]],TblDisponibilidad[],10,FALSE), 0)</f>
        <v>0</v>
      </c>
      <c r="G404">
        <f>IFERROR(VLOOKUP(Tabla1[[#This Row],[SISMED]],TblDisponibilidad[],11,FALSE), 0)</f>
        <v>0</v>
      </c>
      <c r="H404">
        <f>IFERROR(VLOOKUP(Tabla1[[#This Row],[SISMED]],TblDisponibilidad[],12,FALSE), 0)</f>
        <v>0</v>
      </c>
      <c r="I404">
        <f>IFERROR(VLOOKUP(Tabla1[[#This Row],[SISMED]],TblDisponibilidad[],13,FALSE), 0)</f>
        <v>0</v>
      </c>
      <c r="J404">
        <f>IFERROR(VLOOKUP(Tabla1[[#This Row],[SISMED]],TblDisponibilidad[],14,FALSE), 0)</f>
        <v>0</v>
      </c>
      <c r="K404">
        <f>IFERROR(VLOOKUP(Tabla1[[#This Row],[SISMED]],TblDisponibilidad[],15,FALSE), 0)</f>
        <v>0</v>
      </c>
      <c r="L404">
        <f>IFERROR(VLOOKUP(Tabla1[[#This Row],[SISMED]],TblDisponibilidad[],16,FALSE), 0)</f>
        <v>0</v>
      </c>
      <c r="M404">
        <f>IFERROR(VLOOKUP(Tabla1[[#This Row],[SISMED]],TblDisponibilidad[],17,FALSE), 0)</f>
        <v>0</v>
      </c>
      <c r="N404">
        <f>IFERROR(VLOOKUP(Tabla1[[#This Row],[SISMED]],TblDisponibilidad[],18,FALSE), 0)</f>
        <v>0</v>
      </c>
      <c r="O404">
        <f>IFERROR(VLOOKUP(Tabla1[[#This Row],[SISMED]],TblDisponibilidad[],19,FALSE), 0)</f>
        <v>0</v>
      </c>
      <c r="P404">
        <f>IFERROR(VLOOKUP(Tabla1[[#This Row],[SISMED]],TblDisponibilidad[],20,FALSE), 0)</f>
        <v>0</v>
      </c>
      <c r="Q404">
        <f>IFERROR(VLOOKUP(Tabla1[[#This Row],[SISMED]],TblDisponibilidad[],21,FALSE), 0)</f>
        <v>0</v>
      </c>
      <c r="R404">
        <f>IFERROR(VLOOKUP(Tabla1[[#This Row],[SISMED]],TblDisponibilidad[],22,FALSE), 0)</f>
        <v>0</v>
      </c>
      <c r="S404" s="15">
        <f>IFERROR(VLOOKUP(Tabla1[[#This Row],[SISMED]],TblDisponibilidad[],23,FALSE), 0)</f>
        <v>0</v>
      </c>
    </row>
    <row r="405" spans="1:19" x14ac:dyDescent="0.3">
      <c r="A405" s="15" t="s">
        <v>435</v>
      </c>
      <c r="B405" t="str">
        <f>IFERROR(VLOOKUP(Tabla1[[#This Row],[SISMED]],TblDisponibilidad[],2,FALSE), "")</f>
        <v/>
      </c>
      <c r="C405">
        <f>IFERROR(VLOOKUP(Tabla1[[#This Row],[SISMED]],TblDisponibilidad[],7,FALSE), 0)</f>
        <v>0</v>
      </c>
      <c r="D405">
        <f>IFERROR(VLOOKUP(Tabla1[[#This Row],[SISMED]],TblDisponibilidad[],8,FALSE), 0)</f>
        <v>0</v>
      </c>
      <c r="E405">
        <f>IFERROR(VLOOKUP(Tabla1[[#This Row],[SISMED]],TblDisponibilidad[],9,FALSE), 0)</f>
        <v>0</v>
      </c>
      <c r="F405">
        <f>IFERROR(VLOOKUP(Tabla1[[#This Row],[SISMED]],TblDisponibilidad[],10,FALSE), 0)</f>
        <v>0</v>
      </c>
      <c r="G405">
        <f>IFERROR(VLOOKUP(Tabla1[[#This Row],[SISMED]],TblDisponibilidad[],11,FALSE), 0)</f>
        <v>0</v>
      </c>
      <c r="H405">
        <f>IFERROR(VLOOKUP(Tabla1[[#This Row],[SISMED]],TblDisponibilidad[],12,FALSE), 0)</f>
        <v>0</v>
      </c>
      <c r="I405">
        <f>IFERROR(VLOOKUP(Tabla1[[#This Row],[SISMED]],TblDisponibilidad[],13,FALSE), 0)</f>
        <v>0</v>
      </c>
      <c r="J405">
        <f>IFERROR(VLOOKUP(Tabla1[[#This Row],[SISMED]],TblDisponibilidad[],14,FALSE), 0)</f>
        <v>0</v>
      </c>
      <c r="K405">
        <f>IFERROR(VLOOKUP(Tabla1[[#This Row],[SISMED]],TblDisponibilidad[],15,FALSE), 0)</f>
        <v>0</v>
      </c>
      <c r="L405">
        <f>IFERROR(VLOOKUP(Tabla1[[#This Row],[SISMED]],TblDisponibilidad[],16,FALSE), 0)</f>
        <v>0</v>
      </c>
      <c r="M405">
        <f>IFERROR(VLOOKUP(Tabla1[[#This Row],[SISMED]],TblDisponibilidad[],17,FALSE), 0)</f>
        <v>0</v>
      </c>
      <c r="N405">
        <f>IFERROR(VLOOKUP(Tabla1[[#This Row],[SISMED]],TblDisponibilidad[],18,FALSE), 0)</f>
        <v>0</v>
      </c>
      <c r="O405">
        <f>IFERROR(VLOOKUP(Tabla1[[#This Row],[SISMED]],TblDisponibilidad[],19,FALSE), 0)</f>
        <v>0</v>
      </c>
      <c r="P405">
        <f>IFERROR(VLOOKUP(Tabla1[[#This Row],[SISMED]],TblDisponibilidad[],20,FALSE), 0)</f>
        <v>0</v>
      </c>
      <c r="Q405">
        <f>IFERROR(VLOOKUP(Tabla1[[#This Row],[SISMED]],TblDisponibilidad[],21,FALSE), 0)</f>
        <v>0</v>
      </c>
      <c r="R405">
        <f>IFERROR(VLOOKUP(Tabla1[[#This Row],[SISMED]],TblDisponibilidad[],22,FALSE), 0)</f>
        <v>0</v>
      </c>
      <c r="S405" s="15">
        <f>IFERROR(VLOOKUP(Tabla1[[#This Row],[SISMED]],TblDisponibilidad[],23,FALSE), 0)</f>
        <v>0</v>
      </c>
    </row>
    <row r="406" spans="1:19" x14ac:dyDescent="0.3">
      <c r="A406" s="15" t="s">
        <v>436</v>
      </c>
      <c r="B406" t="str">
        <f>IFERROR(VLOOKUP(Tabla1[[#This Row],[SISMED]],TblDisponibilidad[],2,FALSE), "")</f>
        <v/>
      </c>
      <c r="C406">
        <f>IFERROR(VLOOKUP(Tabla1[[#This Row],[SISMED]],TblDisponibilidad[],7,FALSE), 0)</f>
        <v>0</v>
      </c>
      <c r="D406">
        <f>IFERROR(VLOOKUP(Tabla1[[#This Row],[SISMED]],TblDisponibilidad[],8,FALSE), 0)</f>
        <v>0</v>
      </c>
      <c r="E406">
        <f>IFERROR(VLOOKUP(Tabla1[[#This Row],[SISMED]],TblDisponibilidad[],9,FALSE), 0)</f>
        <v>0</v>
      </c>
      <c r="F406">
        <f>IFERROR(VLOOKUP(Tabla1[[#This Row],[SISMED]],TblDisponibilidad[],10,FALSE), 0)</f>
        <v>0</v>
      </c>
      <c r="G406">
        <f>IFERROR(VLOOKUP(Tabla1[[#This Row],[SISMED]],TblDisponibilidad[],11,FALSE), 0)</f>
        <v>0</v>
      </c>
      <c r="H406">
        <f>IFERROR(VLOOKUP(Tabla1[[#This Row],[SISMED]],TblDisponibilidad[],12,FALSE), 0)</f>
        <v>0</v>
      </c>
      <c r="I406">
        <f>IFERROR(VLOOKUP(Tabla1[[#This Row],[SISMED]],TblDisponibilidad[],13,FALSE), 0)</f>
        <v>0</v>
      </c>
      <c r="J406">
        <f>IFERROR(VLOOKUP(Tabla1[[#This Row],[SISMED]],TblDisponibilidad[],14,FALSE), 0)</f>
        <v>0</v>
      </c>
      <c r="K406">
        <f>IFERROR(VLOOKUP(Tabla1[[#This Row],[SISMED]],TblDisponibilidad[],15,FALSE), 0)</f>
        <v>0</v>
      </c>
      <c r="L406">
        <f>IFERROR(VLOOKUP(Tabla1[[#This Row],[SISMED]],TblDisponibilidad[],16,FALSE), 0)</f>
        <v>0</v>
      </c>
      <c r="M406">
        <f>IFERROR(VLOOKUP(Tabla1[[#This Row],[SISMED]],TblDisponibilidad[],17,FALSE), 0)</f>
        <v>0</v>
      </c>
      <c r="N406">
        <f>IFERROR(VLOOKUP(Tabla1[[#This Row],[SISMED]],TblDisponibilidad[],18,FALSE), 0)</f>
        <v>0</v>
      </c>
      <c r="O406">
        <f>IFERROR(VLOOKUP(Tabla1[[#This Row],[SISMED]],TblDisponibilidad[],19,FALSE), 0)</f>
        <v>0</v>
      </c>
      <c r="P406">
        <f>IFERROR(VLOOKUP(Tabla1[[#This Row],[SISMED]],TblDisponibilidad[],20,FALSE), 0)</f>
        <v>0</v>
      </c>
      <c r="Q406">
        <f>IFERROR(VLOOKUP(Tabla1[[#This Row],[SISMED]],TblDisponibilidad[],21,FALSE), 0)</f>
        <v>0</v>
      </c>
      <c r="R406">
        <f>IFERROR(VLOOKUP(Tabla1[[#This Row],[SISMED]],TblDisponibilidad[],22,FALSE), 0)</f>
        <v>0</v>
      </c>
      <c r="S406" s="15">
        <f>IFERROR(VLOOKUP(Tabla1[[#This Row],[SISMED]],TblDisponibilidad[],23,FALSE), 0)</f>
        <v>0</v>
      </c>
    </row>
    <row r="407" spans="1:19" x14ac:dyDescent="0.3">
      <c r="A407" s="15" t="s">
        <v>437</v>
      </c>
      <c r="B407" t="str">
        <f>IFERROR(VLOOKUP(Tabla1[[#This Row],[SISMED]],TblDisponibilidad[],2,FALSE), "")</f>
        <v/>
      </c>
      <c r="C407">
        <f>IFERROR(VLOOKUP(Tabla1[[#This Row],[SISMED]],TblDisponibilidad[],7,FALSE), 0)</f>
        <v>0</v>
      </c>
      <c r="D407">
        <f>IFERROR(VLOOKUP(Tabla1[[#This Row],[SISMED]],TblDisponibilidad[],8,FALSE), 0)</f>
        <v>0</v>
      </c>
      <c r="E407">
        <f>IFERROR(VLOOKUP(Tabla1[[#This Row],[SISMED]],TblDisponibilidad[],9,FALSE), 0)</f>
        <v>0</v>
      </c>
      <c r="F407">
        <f>IFERROR(VLOOKUP(Tabla1[[#This Row],[SISMED]],TblDisponibilidad[],10,FALSE), 0)</f>
        <v>0</v>
      </c>
      <c r="G407">
        <f>IFERROR(VLOOKUP(Tabla1[[#This Row],[SISMED]],TblDisponibilidad[],11,FALSE), 0)</f>
        <v>0</v>
      </c>
      <c r="H407">
        <f>IFERROR(VLOOKUP(Tabla1[[#This Row],[SISMED]],TblDisponibilidad[],12,FALSE), 0)</f>
        <v>0</v>
      </c>
      <c r="I407">
        <f>IFERROR(VLOOKUP(Tabla1[[#This Row],[SISMED]],TblDisponibilidad[],13,FALSE), 0)</f>
        <v>0</v>
      </c>
      <c r="J407">
        <f>IFERROR(VLOOKUP(Tabla1[[#This Row],[SISMED]],TblDisponibilidad[],14,FALSE), 0)</f>
        <v>0</v>
      </c>
      <c r="K407">
        <f>IFERROR(VLOOKUP(Tabla1[[#This Row],[SISMED]],TblDisponibilidad[],15,FALSE), 0)</f>
        <v>0</v>
      </c>
      <c r="L407">
        <f>IFERROR(VLOOKUP(Tabla1[[#This Row],[SISMED]],TblDisponibilidad[],16,FALSE), 0)</f>
        <v>0</v>
      </c>
      <c r="M407">
        <f>IFERROR(VLOOKUP(Tabla1[[#This Row],[SISMED]],TblDisponibilidad[],17,FALSE), 0)</f>
        <v>0</v>
      </c>
      <c r="N407">
        <f>IFERROR(VLOOKUP(Tabla1[[#This Row],[SISMED]],TblDisponibilidad[],18,FALSE), 0)</f>
        <v>0</v>
      </c>
      <c r="O407">
        <f>IFERROR(VLOOKUP(Tabla1[[#This Row],[SISMED]],TblDisponibilidad[],19,FALSE), 0)</f>
        <v>0</v>
      </c>
      <c r="P407">
        <f>IFERROR(VLOOKUP(Tabla1[[#This Row],[SISMED]],TblDisponibilidad[],20,FALSE), 0)</f>
        <v>0</v>
      </c>
      <c r="Q407">
        <f>IFERROR(VLOOKUP(Tabla1[[#This Row],[SISMED]],TblDisponibilidad[],21,FALSE), 0)</f>
        <v>0</v>
      </c>
      <c r="R407">
        <f>IFERROR(VLOOKUP(Tabla1[[#This Row],[SISMED]],TblDisponibilidad[],22,FALSE), 0)</f>
        <v>0</v>
      </c>
      <c r="S407" s="15">
        <f>IFERROR(VLOOKUP(Tabla1[[#This Row],[SISMED]],TblDisponibilidad[],23,FALSE), 0)</f>
        <v>0</v>
      </c>
    </row>
    <row r="408" spans="1:19" x14ac:dyDescent="0.3">
      <c r="A408" s="15" t="s">
        <v>438</v>
      </c>
      <c r="B408" t="str">
        <f>IFERROR(VLOOKUP(Tabla1[[#This Row],[SISMED]],TblDisponibilidad[],2,FALSE), "")</f>
        <v/>
      </c>
      <c r="C408">
        <f>IFERROR(VLOOKUP(Tabla1[[#This Row],[SISMED]],TblDisponibilidad[],7,FALSE), 0)</f>
        <v>0</v>
      </c>
      <c r="D408">
        <f>IFERROR(VLOOKUP(Tabla1[[#This Row],[SISMED]],TblDisponibilidad[],8,FALSE), 0)</f>
        <v>0</v>
      </c>
      <c r="E408">
        <f>IFERROR(VLOOKUP(Tabla1[[#This Row],[SISMED]],TblDisponibilidad[],9,FALSE), 0)</f>
        <v>0</v>
      </c>
      <c r="F408">
        <f>IFERROR(VLOOKUP(Tabla1[[#This Row],[SISMED]],TblDisponibilidad[],10,FALSE), 0)</f>
        <v>0</v>
      </c>
      <c r="G408">
        <f>IFERROR(VLOOKUP(Tabla1[[#This Row],[SISMED]],TblDisponibilidad[],11,FALSE), 0)</f>
        <v>0</v>
      </c>
      <c r="H408">
        <f>IFERROR(VLOOKUP(Tabla1[[#This Row],[SISMED]],TblDisponibilidad[],12,FALSE), 0)</f>
        <v>0</v>
      </c>
      <c r="I408">
        <f>IFERROR(VLOOKUP(Tabla1[[#This Row],[SISMED]],TblDisponibilidad[],13,FALSE), 0)</f>
        <v>0</v>
      </c>
      <c r="J408">
        <f>IFERROR(VLOOKUP(Tabla1[[#This Row],[SISMED]],TblDisponibilidad[],14,FALSE), 0)</f>
        <v>0</v>
      </c>
      <c r="K408">
        <f>IFERROR(VLOOKUP(Tabla1[[#This Row],[SISMED]],TblDisponibilidad[],15,FALSE), 0)</f>
        <v>0</v>
      </c>
      <c r="L408">
        <f>IFERROR(VLOOKUP(Tabla1[[#This Row],[SISMED]],TblDisponibilidad[],16,FALSE), 0)</f>
        <v>0</v>
      </c>
      <c r="M408">
        <f>IFERROR(VLOOKUP(Tabla1[[#This Row],[SISMED]],TblDisponibilidad[],17,FALSE), 0)</f>
        <v>0</v>
      </c>
      <c r="N408">
        <f>IFERROR(VLOOKUP(Tabla1[[#This Row],[SISMED]],TblDisponibilidad[],18,FALSE), 0)</f>
        <v>0</v>
      </c>
      <c r="O408">
        <f>IFERROR(VLOOKUP(Tabla1[[#This Row],[SISMED]],TblDisponibilidad[],19,FALSE), 0)</f>
        <v>0</v>
      </c>
      <c r="P408">
        <f>IFERROR(VLOOKUP(Tabla1[[#This Row],[SISMED]],TblDisponibilidad[],20,FALSE), 0)</f>
        <v>0</v>
      </c>
      <c r="Q408">
        <f>IFERROR(VLOOKUP(Tabla1[[#This Row],[SISMED]],TblDisponibilidad[],21,FALSE), 0)</f>
        <v>0</v>
      </c>
      <c r="R408">
        <f>IFERROR(VLOOKUP(Tabla1[[#This Row],[SISMED]],TblDisponibilidad[],22,FALSE), 0)</f>
        <v>0</v>
      </c>
      <c r="S408" s="15">
        <f>IFERROR(VLOOKUP(Tabla1[[#This Row],[SISMED]],TblDisponibilidad[],23,FALSE), 0)</f>
        <v>0</v>
      </c>
    </row>
    <row r="409" spans="1:19" x14ac:dyDescent="0.3">
      <c r="A409" s="15" t="s">
        <v>439</v>
      </c>
      <c r="B409" t="str">
        <f>IFERROR(VLOOKUP(Tabla1[[#This Row],[SISMED]],TblDisponibilidad[],2,FALSE), "")</f>
        <v/>
      </c>
      <c r="C409">
        <f>IFERROR(VLOOKUP(Tabla1[[#This Row],[SISMED]],TblDisponibilidad[],7,FALSE), 0)</f>
        <v>0</v>
      </c>
      <c r="D409">
        <f>IFERROR(VLOOKUP(Tabla1[[#This Row],[SISMED]],TblDisponibilidad[],8,FALSE), 0)</f>
        <v>0</v>
      </c>
      <c r="E409">
        <f>IFERROR(VLOOKUP(Tabla1[[#This Row],[SISMED]],TblDisponibilidad[],9,FALSE), 0)</f>
        <v>0</v>
      </c>
      <c r="F409">
        <f>IFERROR(VLOOKUP(Tabla1[[#This Row],[SISMED]],TblDisponibilidad[],10,FALSE), 0)</f>
        <v>0</v>
      </c>
      <c r="G409">
        <f>IFERROR(VLOOKUP(Tabla1[[#This Row],[SISMED]],TblDisponibilidad[],11,FALSE), 0)</f>
        <v>0</v>
      </c>
      <c r="H409">
        <f>IFERROR(VLOOKUP(Tabla1[[#This Row],[SISMED]],TblDisponibilidad[],12,FALSE), 0)</f>
        <v>0</v>
      </c>
      <c r="I409">
        <f>IFERROR(VLOOKUP(Tabla1[[#This Row],[SISMED]],TblDisponibilidad[],13,FALSE), 0)</f>
        <v>0</v>
      </c>
      <c r="J409">
        <f>IFERROR(VLOOKUP(Tabla1[[#This Row],[SISMED]],TblDisponibilidad[],14,FALSE), 0)</f>
        <v>0</v>
      </c>
      <c r="K409">
        <f>IFERROR(VLOOKUP(Tabla1[[#This Row],[SISMED]],TblDisponibilidad[],15,FALSE), 0)</f>
        <v>0</v>
      </c>
      <c r="L409">
        <f>IFERROR(VLOOKUP(Tabla1[[#This Row],[SISMED]],TblDisponibilidad[],16,FALSE), 0)</f>
        <v>0</v>
      </c>
      <c r="M409">
        <f>IFERROR(VLOOKUP(Tabla1[[#This Row],[SISMED]],TblDisponibilidad[],17,FALSE), 0)</f>
        <v>0</v>
      </c>
      <c r="N409">
        <f>IFERROR(VLOOKUP(Tabla1[[#This Row],[SISMED]],TblDisponibilidad[],18,FALSE), 0)</f>
        <v>0</v>
      </c>
      <c r="O409">
        <f>IFERROR(VLOOKUP(Tabla1[[#This Row],[SISMED]],TblDisponibilidad[],19,FALSE), 0)</f>
        <v>0</v>
      </c>
      <c r="P409">
        <f>IFERROR(VLOOKUP(Tabla1[[#This Row],[SISMED]],TblDisponibilidad[],20,FALSE), 0)</f>
        <v>0</v>
      </c>
      <c r="Q409">
        <f>IFERROR(VLOOKUP(Tabla1[[#This Row],[SISMED]],TblDisponibilidad[],21,FALSE), 0)</f>
        <v>0</v>
      </c>
      <c r="R409">
        <f>IFERROR(VLOOKUP(Tabla1[[#This Row],[SISMED]],TblDisponibilidad[],22,FALSE), 0)</f>
        <v>0</v>
      </c>
      <c r="S409" s="15">
        <f>IFERROR(VLOOKUP(Tabla1[[#This Row],[SISMED]],TblDisponibilidad[],23,FALSE), 0)</f>
        <v>0</v>
      </c>
    </row>
    <row r="410" spans="1:19" x14ac:dyDescent="0.3">
      <c r="A410" s="15" t="s">
        <v>440</v>
      </c>
      <c r="B410" t="str">
        <f>IFERROR(VLOOKUP(Tabla1[[#This Row],[SISMED]],TblDisponibilidad[],2,FALSE), "")</f>
        <v/>
      </c>
      <c r="C410">
        <f>IFERROR(VLOOKUP(Tabla1[[#This Row],[SISMED]],TblDisponibilidad[],7,FALSE), 0)</f>
        <v>0</v>
      </c>
      <c r="D410">
        <f>IFERROR(VLOOKUP(Tabla1[[#This Row],[SISMED]],TblDisponibilidad[],8,FALSE), 0)</f>
        <v>0</v>
      </c>
      <c r="E410">
        <f>IFERROR(VLOOKUP(Tabla1[[#This Row],[SISMED]],TblDisponibilidad[],9,FALSE), 0)</f>
        <v>0</v>
      </c>
      <c r="F410">
        <f>IFERROR(VLOOKUP(Tabla1[[#This Row],[SISMED]],TblDisponibilidad[],10,FALSE), 0)</f>
        <v>0</v>
      </c>
      <c r="G410">
        <f>IFERROR(VLOOKUP(Tabla1[[#This Row],[SISMED]],TblDisponibilidad[],11,FALSE), 0)</f>
        <v>0</v>
      </c>
      <c r="H410">
        <f>IFERROR(VLOOKUP(Tabla1[[#This Row],[SISMED]],TblDisponibilidad[],12,FALSE), 0)</f>
        <v>0</v>
      </c>
      <c r="I410">
        <f>IFERROR(VLOOKUP(Tabla1[[#This Row],[SISMED]],TblDisponibilidad[],13,FALSE), 0)</f>
        <v>0</v>
      </c>
      <c r="J410">
        <f>IFERROR(VLOOKUP(Tabla1[[#This Row],[SISMED]],TblDisponibilidad[],14,FALSE), 0)</f>
        <v>0</v>
      </c>
      <c r="K410">
        <f>IFERROR(VLOOKUP(Tabla1[[#This Row],[SISMED]],TblDisponibilidad[],15,FALSE), 0)</f>
        <v>0</v>
      </c>
      <c r="L410">
        <f>IFERROR(VLOOKUP(Tabla1[[#This Row],[SISMED]],TblDisponibilidad[],16,FALSE), 0)</f>
        <v>0</v>
      </c>
      <c r="M410">
        <f>IFERROR(VLOOKUP(Tabla1[[#This Row],[SISMED]],TblDisponibilidad[],17,FALSE), 0)</f>
        <v>0</v>
      </c>
      <c r="N410">
        <f>IFERROR(VLOOKUP(Tabla1[[#This Row],[SISMED]],TblDisponibilidad[],18,FALSE), 0)</f>
        <v>0</v>
      </c>
      <c r="O410">
        <f>IFERROR(VLOOKUP(Tabla1[[#This Row],[SISMED]],TblDisponibilidad[],19,FALSE), 0)</f>
        <v>0</v>
      </c>
      <c r="P410">
        <f>IFERROR(VLOOKUP(Tabla1[[#This Row],[SISMED]],TblDisponibilidad[],20,FALSE), 0)</f>
        <v>0</v>
      </c>
      <c r="Q410">
        <f>IFERROR(VLOOKUP(Tabla1[[#This Row],[SISMED]],TblDisponibilidad[],21,FALSE), 0)</f>
        <v>0</v>
      </c>
      <c r="R410">
        <f>IFERROR(VLOOKUP(Tabla1[[#This Row],[SISMED]],TblDisponibilidad[],22,FALSE), 0)</f>
        <v>0</v>
      </c>
      <c r="S410" s="15">
        <f>IFERROR(VLOOKUP(Tabla1[[#This Row],[SISMED]],TblDisponibilidad[],23,FALSE), 0)</f>
        <v>0</v>
      </c>
    </row>
    <row r="411" spans="1:19" x14ac:dyDescent="0.3">
      <c r="A411" s="15" t="s">
        <v>441</v>
      </c>
      <c r="B411" t="str">
        <f>IFERROR(VLOOKUP(Tabla1[[#This Row],[SISMED]],TblDisponibilidad[],2,FALSE), "")</f>
        <v/>
      </c>
      <c r="C411">
        <f>IFERROR(VLOOKUP(Tabla1[[#This Row],[SISMED]],TblDisponibilidad[],7,FALSE), 0)</f>
        <v>0</v>
      </c>
      <c r="D411">
        <f>IFERROR(VLOOKUP(Tabla1[[#This Row],[SISMED]],TblDisponibilidad[],8,FALSE), 0)</f>
        <v>0</v>
      </c>
      <c r="E411">
        <f>IFERROR(VLOOKUP(Tabla1[[#This Row],[SISMED]],TblDisponibilidad[],9,FALSE), 0)</f>
        <v>0</v>
      </c>
      <c r="F411">
        <f>IFERROR(VLOOKUP(Tabla1[[#This Row],[SISMED]],TblDisponibilidad[],10,FALSE), 0)</f>
        <v>0</v>
      </c>
      <c r="G411">
        <f>IFERROR(VLOOKUP(Tabla1[[#This Row],[SISMED]],TblDisponibilidad[],11,FALSE), 0)</f>
        <v>0</v>
      </c>
      <c r="H411">
        <f>IFERROR(VLOOKUP(Tabla1[[#This Row],[SISMED]],TblDisponibilidad[],12,FALSE), 0)</f>
        <v>0</v>
      </c>
      <c r="I411">
        <f>IFERROR(VLOOKUP(Tabla1[[#This Row],[SISMED]],TblDisponibilidad[],13,FALSE), 0)</f>
        <v>0</v>
      </c>
      <c r="J411">
        <f>IFERROR(VLOOKUP(Tabla1[[#This Row],[SISMED]],TblDisponibilidad[],14,FALSE), 0)</f>
        <v>0</v>
      </c>
      <c r="K411">
        <f>IFERROR(VLOOKUP(Tabla1[[#This Row],[SISMED]],TblDisponibilidad[],15,FALSE), 0)</f>
        <v>0</v>
      </c>
      <c r="L411">
        <f>IFERROR(VLOOKUP(Tabla1[[#This Row],[SISMED]],TblDisponibilidad[],16,FALSE), 0)</f>
        <v>0</v>
      </c>
      <c r="M411">
        <f>IFERROR(VLOOKUP(Tabla1[[#This Row],[SISMED]],TblDisponibilidad[],17,FALSE), 0)</f>
        <v>0</v>
      </c>
      <c r="N411">
        <f>IFERROR(VLOOKUP(Tabla1[[#This Row],[SISMED]],TblDisponibilidad[],18,FALSE), 0)</f>
        <v>0</v>
      </c>
      <c r="O411">
        <f>IFERROR(VLOOKUP(Tabla1[[#This Row],[SISMED]],TblDisponibilidad[],19,FALSE), 0)</f>
        <v>0</v>
      </c>
      <c r="P411">
        <f>IFERROR(VLOOKUP(Tabla1[[#This Row],[SISMED]],TblDisponibilidad[],20,FALSE), 0)</f>
        <v>0</v>
      </c>
      <c r="Q411">
        <f>IFERROR(VLOOKUP(Tabla1[[#This Row],[SISMED]],TblDisponibilidad[],21,FALSE), 0)</f>
        <v>0</v>
      </c>
      <c r="R411">
        <f>IFERROR(VLOOKUP(Tabla1[[#This Row],[SISMED]],TblDisponibilidad[],22,FALSE), 0)</f>
        <v>0</v>
      </c>
      <c r="S411" s="15">
        <f>IFERROR(VLOOKUP(Tabla1[[#This Row],[SISMED]],TblDisponibilidad[],23,FALSE), 0)</f>
        <v>0</v>
      </c>
    </row>
    <row r="412" spans="1:19" x14ac:dyDescent="0.3">
      <c r="A412" s="15" t="s">
        <v>442</v>
      </c>
      <c r="B412" t="str">
        <f>IFERROR(VLOOKUP(Tabla1[[#This Row],[SISMED]],TblDisponibilidad[],2,FALSE), "")</f>
        <v/>
      </c>
      <c r="C412">
        <f>IFERROR(VLOOKUP(Tabla1[[#This Row],[SISMED]],TblDisponibilidad[],7,FALSE), 0)</f>
        <v>0</v>
      </c>
      <c r="D412">
        <f>IFERROR(VLOOKUP(Tabla1[[#This Row],[SISMED]],TblDisponibilidad[],8,FALSE), 0)</f>
        <v>0</v>
      </c>
      <c r="E412">
        <f>IFERROR(VLOOKUP(Tabla1[[#This Row],[SISMED]],TblDisponibilidad[],9,FALSE), 0)</f>
        <v>0</v>
      </c>
      <c r="F412">
        <f>IFERROR(VLOOKUP(Tabla1[[#This Row],[SISMED]],TblDisponibilidad[],10,FALSE), 0)</f>
        <v>0</v>
      </c>
      <c r="G412">
        <f>IFERROR(VLOOKUP(Tabla1[[#This Row],[SISMED]],TblDisponibilidad[],11,FALSE), 0)</f>
        <v>0</v>
      </c>
      <c r="H412">
        <f>IFERROR(VLOOKUP(Tabla1[[#This Row],[SISMED]],TblDisponibilidad[],12,FALSE), 0)</f>
        <v>0</v>
      </c>
      <c r="I412">
        <f>IFERROR(VLOOKUP(Tabla1[[#This Row],[SISMED]],TblDisponibilidad[],13,FALSE), 0)</f>
        <v>0</v>
      </c>
      <c r="J412">
        <f>IFERROR(VLOOKUP(Tabla1[[#This Row],[SISMED]],TblDisponibilidad[],14,FALSE), 0)</f>
        <v>0</v>
      </c>
      <c r="K412">
        <f>IFERROR(VLOOKUP(Tabla1[[#This Row],[SISMED]],TblDisponibilidad[],15,FALSE), 0)</f>
        <v>0</v>
      </c>
      <c r="L412">
        <f>IFERROR(VLOOKUP(Tabla1[[#This Row],[SISMED]],TblDisponibilidad[],16,FALSE), 0)</f>
        <v>0</v>
      </c>
      <c r="M412">
        <f>IFERROR(VLOOKUP(Tabla1[[#This Row],[SISMED]],TblDisponibilidad[],17,FALSE), 0)</f>
        <v>0</v>
      </c>
      <c r="N412">
        <f>IFERROR(VLOOKUP(Tabla1[[#This Row],[SISMED]],TblDisponibilidad[],18,FALSE), 0)</f>
        <v>0</v>
      </c>
      <c r="O412">
        <f>IFERROR(VLOOKUP(Tabla1[[#This Row],[SISMED]],TblDisponibilidad[],19,FALSE), 0)</f>
        <v>0</v>
      </c>
      <c r="P412">
        <f>IFERROR(VLOOKUP(Tabla1[[#This Row],[SISMED]],TblDisponibilidad[],20,FALSE), 0)</f>
        <v>0</v>
      </c>
      <c r="Q412">
        <f>IFERROR(VLOOKUP(Tabla1[[#This Row],[SISMED]],TblDisponibilidad[],21,FALSE), 0)</f>
        <v>0</v>
      </c>
      <c r="R412">
        <f>IFERROR(VLOOKUP(Tabla1[[#This Row],[SISMED]],TblDisponibilidad[],22,FALSE), 0)</f>
        <v>0</v>
      </c>
      <c r="S412" s="15">
        <f>IFERROR(VLOOKUP(Tabla1[[#This Row],[SISMED]],TblDisponibilidad[],23,FALSE), 0)</f>
        <v>0</v>
      </c>
    </row>
    <row r="413" spans="1:19" x14ac:dyDescent="0.3">
      <c r="A413" s="15" t="s">
        <v>443</v>
      </c>
      <c r="B413" t="str">
        <f>IFERROR(VLOOKUP(Tabla1[[#This Row],[SISMED]],TblDisponibilidad[],2,FALSE), "")</f>
        <v/>
      </c>
      <c r="C413">
        <f>IFERROR(VLOOKUP(Tabla1[[#This Row],[SISMED]],TblDisponibilidad[],7,FALSE), 0)</f>
        <v>0</v>
      </c>
      <c r="D413">
        <f>IFERROR(VLOOKUP(Tabla1[[#This Row],[SISMED]],TblDisponibilidad[],8,FALSE), 0)</f>
        <v>0</v>
      </c>
      <c r="E413">
        <f>IFERROR(VLOOKUP(Tabla1[[#This Row],[SISMED]],TblDisponibilidad[],9,FALSE), 0)</f>
        <v>0</v>
      </c>
      <c r="F413">
        <f>IFERROR(VLOOKUP(Tabla1[[#This Row],[SISMED]],TblDisponibilidad[],10,FALSE), 0)</f>
        <v>0</v>
      </c>
      <c r="G413">
        <f>IFERROR(VLOOKUP(Tabla1[[#This Row],[SISMED]],TblDisponibilidad[],11,FALSE), 0)</f>
        <v>0</v>
      </c>
      <c r="H413">
        <f>IFERROR(VLOOKUP(Tabla1[[#This Row],[SISMED]],TblDisponibilidad[],12,FALSE), 0)</f>
        <v>0</v>
      </c>
      <c r="I413">
        <f>IFERROR(VLOOKUP(Tabla1[[#This Row],[SISMED]],TblDisponibilidad[],13,FALSE), 0)</f>
        <v>0</v>
      </c>
      <c r="J413">
        <f>IFERROR(VLOOKUP(Tabla1[[#This Row],[SISMED]],TblDisponibilidad[],14,FALSE), 0)</f>
        <v>0</v>
      </c>
      <c r="K413">
        <f>IFERROR(VLOOKUP(Tabla1[[#This Row],[SISMED]],TblDisponibilidad[],15,FALSE), 0)</f>
        <v>0</v>
      </c>
      <c r="L413">
        <f>IFERROR(VLOOKUP(Tabla1[[#This Row],[SISMED]],TblDisponibilidad[],16,FALSE), 0)</f>
        <v>0</v>
      </c>
      <c r="M413">
        <f>IFERROR(VLOOKUP(Tabla1[[#This Row],[SISMED]],TblDisponibilidad[],17,FALSE), 0)</f>
        <v>0</v>
      </c>
      <c r="N413">
        <f>IFERROR(VLOOKUP(Tabla1[[#This Row],[SISMED]],TblDisponibilidad[],18,FALSE), 0)</f>
        <v>0</v>
      </c>
      <c r="O413">
        <f>IFERROR(VLOOKUP(Tabla1[[#This Row],[SISMED]],TblDisponibilidad[],19,FALSE), 0)</f>
        <v>0</v>
      </c>
      <c r="P413">
        <f>IFERROR(VLOOKUP(Tabla1[[#This Row],[SISMED]],TblDisponibilidad[],20,FALSE), 0)</f>
        <v>0</v>
      </c>
      <c r="Q413">
        <f>IFERROR(VLOOKUP(Tabla1[[#This Row],[SISMED]],TblDisponibilidad[],21,FALSE), 0)</f>
        <v>0</v>
      </c>
      <c r="R413">
        <f>IFERROR(VLOOKUP(Tabla1[[#This Row],[SISMED]],TblDisponibilidad[],22,FALSE), 0)</f>
        <v>0</v>
      </c>
      <c r="S413" s="15">
        <f>IFERROR(VLOOKUP(Tabla1[[#This Row],[SISMED]],TblDisponibilidad[],23,FALSE), 0)</f>
        <v>0</v>
      </c>
    </row>
    <row r="414" spans="1:19" x14ac:dyDescent="0.3">
      <c r="A414" s="15" t="s">
        <v>444</v>
      </c>
      <c r="B414" t="str">
        <f>IFERROR(VLOOKUP(Tabla1[[#This Row],[SISMED]],TblDisponibilidad[],2,FALSE), "")</f>
        <v/>
      </c>
      <c r="C414">
        <f>IFERROR(VLOOKUP(Tabla1[[#This Row],[SISMED]],TblDisponibilidad[],7,FALSE), 0)</f>
        <v>0</v>
      </c>
      <c r="D414">
        <f>IFERROR(VLOOKUP(Tabla1[[#This Row],[SISMED]],TblDisponibilidad[],8,FALSE), 0)</f>
        <v>0</v>
      </c>
      <c r="E414">
        <f>IFERROR(VLOOKUP(Tabla1[[#This Row],[SISMED]],TblDisponibilidad[],9,FALSE), 0)</f>
        <v>0</v>
      </c>
      <c r="F414">
        <f>IFERROR(VLOOKUP(Tabla1[[#This Row],[SISMED]],TblDisponibilidad[],10,FALSE), 0)</f>
        <v>0</v>
      </c>
      <c r="G414">
        <f>IFERROR(VLOOKUP(Tabla1[[#This Row],[SISMED]],TblDisponibilidad[],11,FALSE), 0)</f>
        <v>0</v>
      </c>
      <c r="H414">
        <f>IFERROR(VLOOKUP(Tabla1[[#This Row],[SISMED]],TblDisponibilidad[],12,FALSE), 0)</f>
        <v>0</v>
      </c>
      <c r="I414">
        <f>IFERROR(VLOOKUP(Tabla1[[#This Row],[SISMED]],TblDisponibilidad[],13,FALSE), 0)</f>
        <v>0</v>
      </c>
      <c r="J414">
        <f>IFERROR(VLOOKUP(Tabla1[[#This Row],[SISMED]],TblDisponibilidad[],14,FALSE), 0)</f>
        <v>0</v>
      </c>
      <c r="K414">
        <f>IFERROR(VLOOKUP(Tabla1[[#This Row],[SISMED]],TblDisponibilidad[],15,FALSE), 0)</f>
        <v>0</v>
      </c>
      <c r="L414">
        <f>IFERROR(VLOOKUP(Tabla1[[#This Row],[SISMED]],TblDisponibilidad[],16,FALSE), 0)</f>
        <v>0</v>
      </c>
      <c r="M414">
        <f>IFERROR(VLOOKUP(Tabla1[[#This Row],[SISMED]],TblDisponibilidad[],17,FALSE), 0)</f>
        <v>0</v>
      </c>
      <c r="N414">
        <f>IFERROR(VLOOKUP(Tabla1[[#This Row],[SISMED]],TblDisponibilidad[],18,FALSE), 0)</f>
        <v>0</v>
      </c>
      <c r="O414">
        <f>IFERROR(VLOOKUP(Tabla1[[#This Row],[SISMED]],TblDisponibilidad[],19,FALSE), 0)</f>
        <v>0</v>
      </c>
      <c r="P414">
        <f>IFERROR(VLOOKUP(Tabla1[[#This Row],[SISMED]],TblDisponibilidad[],20,FALSE), 0)</f>
        <v>0</v>
      </c>
      <c r="Q414">
        <f>IFERROR(VLOOKUP(Tabla1[[#This Row],[SISMED]],TblDisponibilidad[],21,FALSE), 0)</f>
        <v>0</v>
      </c>
      <c r="R414">
        <f>IFERROR(VLOOKUP(Tabla1[[#This Row],[SISMED]],TblDisponibilidad[],22,FALSE), 0)</f>
        <v>0</v>
      </c>
      <c r="S414" s="15">
        <f>IFERROR(VLOOKUP(Tabla1[[#This Row],[SISMED]],TblDisponibilidad[],23,FALSE), 0)</f>
        <v>0</v>
      </c>
    </row>
    <row r="415" spans="1:19" x14ac:dyDescent="0.3">
      <c r="A415" s="15" t="s">
        <v>445</v>
      </c>
      <c r="B415" t="str">
        <f>IFERROR(VLOOKUP(Tabla1[[#This Row],[SISMED]],TblDisponibilidad[],2,FALSE), "")</f>
        <v/>
      </c>
      <c r="C415">
        <f>IFERROR(VLOOKUP(Tabla1[[#This Row],[SISMED]],TblDisponibilidad[],7,FALSE), 0)</f>
        <v>0</v>
      </c>
      <c r="D415">
        <f>IFERROR(VLOOKUP(Tabla1[[#This Row],[SISMED]],TblDisponibilidad[],8,FALSE), 0)</f>
        <v>0</v>
      </c>
      <c r="E415">
        <f>IFERROR(VLOOKUP(Tabla1[[#This Row],[SISMED]],TblDisponibilidad[],9,FALSE), 0)</f>
        <v>0</v>
      </c>
      <c r="F415">
        <f>IFERROR(VLOOKUP(Tabla1[[#This Row],[SISMED]],TblDisponibilidad[],10,FALSE), 0)</f>
        <v>0</v>
      </c>
      <c r="G415">
        <f>IFERROR(VLOOKUP(Tabla1[[#This Row],[SISMED]],TblDisponibilidad[],11,FALSE), 0)</f>
        <v>0</v>
      </c>
      <c r="H415">
        <f>IFERROR(VLOOKUP(Tabla1[[#This Row],[SISMED]],TblDisponibilidad[],12,FALSE), 0)</f>
        <v>0</v>
      </c>
      <c r="I415">
        <f>IFERROR(VLOOKUP(Tabla1[[#This Row],[SISMED]],TblDisponibilidad[],13,FALSE), 0)</f>
        <v>0</v>
      </c>
      <c r="J415">
        <f>IFERROR(VLOOKUP(Tabla1[[#This Row],[SISMED]],TblDisponibilidad[],14,FALSE), 0)</f>
        <v>0</v>
      </c>
      <c r="K415">
        <f>IFERROR(VLOOKUP(Tabla1[[#This Row],[SISMED]],TblDisponibilidad[],15,FALSE), 0)</f>
        <v>0</v>
      </c>
      <c r="L415">
        <f>IFERROR(VLOOKUP(Tabla1[[#This Row],[SISMED]],TblDisponibilidad[],16,FALSE), 0)</f>
        <v>0</v>
      </c>
      <c r="M415">
        <f>IFERROR(VLOOKUP(Tabla1[[#This Row],[SISMED]],TblDisponibilidad[],17,FALSE), 0)</f>
        <v>0</v>
      </c>
      <c r="N415">
        <f>IFERROR(VLOOKUP(Tabla1[[#This Row],[SISMED]],TblDisponibilidad[],18,FALSE), 0)</f>
        <v>0</v>
      </c>
      <c r="O415">
        <f>IFERROR(VLOOKUP(Tabla1[[#This Row],[SISMED]],TblDisponibilidad[],19,FALSE), 0)</f>
        <v>0</v>
      </c>
      <c r="P415">
        <f>IFERROR(VLOOKUP(Tabla1[[#This Row],[SISMED]],TblDisponibilidad[],20,FALSE), 0)</f>
        <v>0</v>
      </c>
      <c r="Q415">
        <f>IFERROR(VLOOKUP(Tabla1[[#This Row],[SISMED]],TblDisponibilidad[],21,FALSE), 0)</f>
        <v>0</v>
      </c>
      <c r="R415">
        <f>IFERROR(VLOOKUP(Tabla1[[#This Row],[SISMED]],TblDisponibilidad[],22,FALSE), 0)</f>
        <v>0</v>
      </c>
      <c r="S415" s="15">
        <f>IFERROR(VLOOKUP(Tabla1[[#This Row],[SISMED]],TblDisponibilidad[],23,FALSE), 0)</f>
        <v>0</v>
      </c>
    </row>
    <row r="416" spans="1:19" x14ac:dyDescent="0.3">
      <c r="A416" s="15" t="s">
        <v>446</v>
      </c>
      <c r="B416" t="str">
        <f>IFERROR(VLOOKUP(Tabla1[[#This Row],[SISMED]],TblDisponibilidad[],2,FALSE), "")</f>
        <v/>
      </c>
      <c r="C416">
        <f>IFERROR(VLOOKUP(Tabla1[[#This Row],[SISMED]],TblDisponibilidad[],7,FALSE), 0)</f>
        <v>0</v>
      </c>
      <c r="D416">
        <f>IFERROR(VLOOKUP(Tabla1[[#This Row],[SISMED]],TblDisponibilidad[],8,FALSE), 0)</f>
        <v>0</v>
      </c>
      <c r="E416">
        <f>IFERROR(VLOOKUP(Tabla1[[#This Row],[SISMED]],TblDisponibilidad[],9,FALSE), 0)</f>
        <v>0</v>
      </c>
      <c r="F416">
        <f>IFERROR(VLOOKUP(Tabla1[[#This Row],[SISMED]],TblDisponibilidad[],10,FALSE), 0)</f>
        <v>0</v>
      </c>
      <c r="G416">
        <f>IFERROR(VLOOKUP(Tabla1[[#This Row],[SISMED]],TblDisponibilidad[],11,FALSE), 0)</f>
        <v>0</v>
      </c>
      <c r="H416">
        <f>IFERROR(VLOOKUP(Tabla1[[#This Row],[SISMED]],TblDisponibilidad[],12,FALSE), 0)</f>
        <v>0</v>
      </c>
      <c r="I416">
        <f>IFERROR(VLOOKUP(Tabla1[[#This Row],[SISMED]],TblDisponibilidad[],13,FALSE), 0)</f>
        <v>0</v>
      </c>
      <c r="J416">
        <f>IFERROR(VLOOKUP(Tabla1[[#This Row],[SISMED]],TblDisponibilidad[],14,FALSE), 0)</f>
        <v>0</v>
      </c>
      <c r="K416">
        <f>IFERROR(VLOOKUP(Tabla1[[#This Row],[SISMED]],TblDisponibilidad[],15,FALSE), 0)</f>
        <v>0</v>
      </c>
      <c r="L416">
        <f>IFERROR(VLOOKUP(Tabla1[[#This Row],[SISMED]],TblDisponibilidad[],16,FALSE), 0)</f>
        <v>0</v>
      </c>
      <c r="M416">
        <f>IFERROR(VLOOKUP(Tabla1[[#This Row],[SISMED]],TblDisponibilidad[],17,FALSE), 0)</f>
        <v>0</v>
      </c>
      <c r="N416">
        <f>IFERROR(VLOOKUP(Tabla1[[#This Row],[SISMED]],TblDisponibilidad[],18,FALSE), 0)</f>
        <v>0</v>
      </c>
      <c r="O416">
        <f>IFERROR(VLOOKUP(Tabla1[[#This Row],[SISMED]],TblDisponibilidad[],19,FALSE), 0)</f>
        <v>0</v>
      </c>
      <c r="P416">
        <f>IFERROR(VLOOKUP(Tabla1[[#This Row],[SISMED]],TblDisponibilidad[],20,FALSE), 0)</f>
        <v>0</v>
      </c>
      <c r="Q416">
        <f>IFERROR(VLOOKUP(Tabla1[[#This Row],[SISMED]],TblDisponibilidad[],21,FALSE), 0)</f>
        <v>0</v>
      </c>
      <c r="R416">
        <f>IFERROR(VLOOKUP(Tabla1[[#This Row],[SISMED]],TblDisponibilidad[],22,FALSE), 0)</f>
        <v>0</v>
      </c>
      <c r="S416" s="15">
        <f>IFERROR(VLOOKUP(Tabla1[[#This Row],[SISMED]],TblDisponibilidad[],23,FALSE), 0)</f>
        <v>0</v>
      </c>
    </row>
    <row r="417" spans="1:19" x14ac:dyDescent="0.3">
      <c r="A417" s="15" t="s">
        <v>447</v>
      </c>
      <c r="B417" t="str">
        <f>IFERROR(VLOOKUP(Tabla1[[#This Row],[SISMED]],TblDisponibilidad[],2,FALSE), "")</f>
        <v/>
      </c>
      <c r="C417">
        <f>IFERROR(VLOOKUP(Tabla1[[#This Row],[SISMED]],TblDisponibilidad[],7,FALSE), 0)</f>
        <v>0</v>
      </c>
      <c r="D417">
        <f>IFERROR(VLOOKUP(Tabla1[[#This Row],[SISMED]],TblDisponibilidad[],8,FALSE), 0)</f>
        <v>0</v>
      </c>
      <c r="E417">
        <f>IFERROR(VLOOKUP(Tabla1[[#This Row],[SISMED]],TblDisponibilidad[],9,FALSE), 0)</f>
        <v>0</v>
      </c>
      <c r="F417">
        <f>IFERROR(VLOOKUP(Tabla1[[#This Row],[SISMED]],TblDisponibilidad[],10,FALSE), 0)</f>
        <v>0</v>
      </c>
      <c r="G417">
        <f>IFERROR(VLOOKUP(Tabla1[[#This Row],[SISMED]],TblDisponibilidad[],11,FALSE), 0)</f>
        <v>0</v>
      </c>
      <c r="H417">
        <f>IFERROR(VLOOKUP(Tabla1[[#This Row],[SISMED]],TblDisponibilidad[],12,FALSE), 0)</f>
        <v>0</v>
      </c>
      <c r="I417">
        <f>IFERROR(VLOOKUP(Tabla1[[#This Row],[SISMED]],TblDisponibilidad[],13,FALSE), 0)</f>
        <v>0</v>
      </c>
      <c r="J417">
        <f>IFERROR(VLOOKUP(Tabla1[[#This Row],[SISMED]],TblDisponibilidad[],14,FALSE), 0)</f>
        <v>0</v>
      </c>
      <c r="K417">
        <f>IFERROR(VLOOKUP(Tabla1[[#This Row],[SISMED]],TblDisponibilidad[],15,FALSE), 0)</f>
        <v>0</v>
      </c>
      <c r="L417">
        <f>IFERROR(VLOOKUP(Tabla1[[#This Row],[SISMED]],TblDisponibilidad[],16,FALSE), 0)</f>
        <v>0</v>
      </c>
      <c r="M417">
        <f>IFERROR(VLOOKUP(Tabla1[[#This Row],[SISMED]],TblDisponibilidad[],17,FALSE), 0)</f>
        <v>0</v>
      </c>
      <c r="N417">
        <f>IFERROR(VLOOKUP(Tabla1[[#This Row],[SISMED]],TblDisponibilidad[],18,FALSE), 0)</f>
        <v>0</v>
      </c>
      <c r="O417">
        <f>IFERROR(VLOOKUP(Tabla1[[#This Row],[SISMED]],TblDisponibilidad[],19,FALSE), 0)</f>
        <v>0</v>
      </c>
      <c r="P417">
        <f>IFERROR(VLOOKUP(Tabla1[[#This Row],[SISMED]],TblDisponibilidad[],20,FALSE), 0)</f>
        <v>0</v>
      </c>
      <c r="Q417">
        <f>IFERROR(VLOOKUP(Tabla1[[#This Row],[SISMED]],TblDisponibilidad[],21,FALSE), 0)</f>
        <v>0</v>
      </c>
      <c r="R417">
        <f>IFERROR(VLOOKUP(Tabla1[[#This Row],[SISMED]],TblDisponibilidad[],22,FALSE), 0)</f>
        <v>0</v>
      </c>
      <c r="S417" s="15">
        <f>IFERROR(VLOOKUP(Tabla1[[#This Row],[SISMED]],TblDisponibilidad[],23,FALSE), 0)</f>
        <v>0</v>
      </c>
    </row>
    <row r="418" spans="1:19" x14ac:dyDescent="0.3">
      <c r="A418" s="15" t="s">
        <v>448</v>
      </c>
      <c r="B418" t="str">
        <f>IFERROR(VLOOKUP(Tabla1[[#This Row],[SISMED]],TblDisponibilidad[],2,FALSE), "")</f>
        <v/>
      </c>
      <c r="C418">
        <f>IFERROR(VLOOKUP(Tabla1[[#This Row],[SISMED]],TblDisponibilidad[],7,FALSE), 0)</f>
        <v>0</v>
      </c>
      <c r="D418">
        <f>IFERROR(VLOOKUP(Tabla1[[#This Row],[SISMED]],TblDisponibilidad[],8,FALSE), 0)</f>
        <v>0</v>
      </c>
      <c r="E418">
        <f>IFERROR(VLOOKUP(Tabla1[[#This Row],[SISMED]],TblDisponibilidad[],9,FALSE), 0)</f>
        <v>0</v>
      </c>
      <c r="F418">
        <f>IFERROR(VLOOKUP(Tabla1[[#This Row],[SISMED]],TblDisponibilidad[],10,FALSE), 0)</f>
        <v>0</v>
      </c>
      <c r="G418">
        <f>IFERROR(VLOOKUP(Tabla1[[#This Row],[SISMED]],TblDisponibilidad[],11,FALSE), 0)</f>
        <v>0</v>
      </c>
      <c r="H418">
        <f>IFERROR(VLOOKUP(Tabla1[[#This Row],[SISMED]],TblDisponibilidad[],12,FALSE), 0)</f>
        <v>0</v>
      </c>
      <c r="I418">
        <f>IFERROR(VLOOKUP(Tabla1[[#This Row],[SISMED]],TblDisponibilidad[],13,FALSE), 0)</f>
        <v>0</v>
      </c>
      <c r="J418">
        <f>IFERROR(VLOOKUP(Tabla1[[#This Row],[SISMED]],TblDisponibilidad[],14,FALSE), 0)</f>
        <v>0</v>
      </c>
      <c r="K418">
        <f>IFERROR(VLOOKUP(Tabla1[[#This Row],[SISMED]],TblDisponibilidad[],15,FALSE), 0)</f>
        <v>0</v>
      </c>
      <c r="L418">
        <f>IFERROR(VLOOKUP(Tabla1[[#This Row],[SISMED]],TblDisponibilidad[],16,FALSE), 0)</f>
        <v>0</v>
      </c>
      <c r="M418">
        <f>IFERROR(VLOOKUP(Tabla1[[#This Row],[SISMED]],TblDisponibilidad[],17,FALSE), 0)</f>
        <v>0</v>
      </c>
      <c r="N418">
        <f>IFERROR(VLOOKUP(Tabla1[[#This Row],[SISMED]],TblDisponibilidad[],18,FALSE), 0)</f>
        <v>0</v>
      </c>
      <c r="O418">
        <f>IFERROR(VLOOKUP(Tabla1[[#This Row],[SISMED]],TblDisponibilidad[],19,FALSE), 0)</f>
        <v>0</v>
      </c>
      <c r="P418">
        <f>IFERROR(VLOOKUP(Tabla1[[#This Row],[SISMED]],TblDisponibilidad[],20,FALSE), 0)</f>
        <v>0</v>
      </c>
      <c r="Q418">
        <f>IFERROR(VLOOKUP(Tabla1[[#This Row],[SISMED]],TblDisponibilidad[],21,FALSE), 0)</f>
        <v>0</v>
      </c>
      <c r="R418">
        <f>IFERROR(VLOOKUP(Tabla1[[#This Row],[SISMED]],TblDisponibilidad[],22,FALSE), 0)</f>
        <v>0</v>
      </c>
      <c r="S418" s="15">
        <f>IFERROR(VLOOKUP(Tabla1[[#This Row],[SISMED]],TblDisponibilidad[],23,FALSE), 0)</f>
        <v>0</v>
      </c>
    </row>
    <row r="419" spans="1:19" x14ac:dyDescent="0.3">
      <c r="A419" s="15" t="s">
        <v>449</v>
      </c>
      <c r="B419" t="str">
        <f>IFERROR(VLOOKUP(Tabla1[[#This Row],[SISMED]],TblDisponibilidad[],2,FALSE), "")</f>
        <v/>
      </c>
      <c r="C419">
        <f>IFERROR(VLOOKUP(Tabla1[[#This Row],[SISMED]],TblDisponibilidad[],7,FALSE), 0)</f>
        <v>0</v>
      </c>
      <c r="D419">
        <f>IFERROR(VLOOKUP(Tabla1[[#This Row],[SISMED]],TblDisponibilidad[],8,FALSE), 0)</f>
        <v>0</v>
      </c>
      <c r="E419">
        <f>IFERROR(VLOOKUP(Tabla1[[#This Row],[SISMED]],TblDisponibilidad[],9,FALSE), 0)</f>
        <v>0</v>
      </c>
      <c r="F419">
        <f>IFERROR(VLOOKUP(Tabla1[[#This Row],[SISMED]],TblDisponibilidad[],10,FALSE), 0)</f>
        <v>0</v>
      </c>
      <c r="G419">
        <f>IFERROR(VLOOKUP(Tabla1[[#This Row],[SISMED]],TblDisponibilidad[],11,FALSE), 0)</f>
        <v>0</v>
      </c>
      <c r="H419">
        <f>IFERROR(VLOOKUP(Tabla1[[#This Row],[SISMED]],TblDisponibilidad[],12,FALSE), 0)</f>
        <v>0</v>
      </c>
      <c r="I419">
        <f>IFERROR(VLOOKUP(Tabla1[[#This Row],[SISMED]],TblDisponibilidad[],13,FALSE), 0)</f>
        <v>0</v>
      </c>
      <c r="J419">
        <f>IFERROR(VLOOKUP(Tabla1[[#This Row],[SISMED]],TblDisponibilidad[],14,FALSE), 0)</f>
        <v>0</v>
      </c>
      <c r="K419">
        <f>IFERROR(VLOOKUP(Tabla1[[#This Row],[SISMED]],TblDisponibilidad[],15,FALSE), 0)</f>
        <v>0</v>
      </c>
      <c r="L419">
        <f>IFERROR(VLOOKUP(Tabla1[[#This Row],[SISMED]],TblDisponibilidad[],16,FALSE), 0)</f>
        <v>0</v>
      </c>
      <c r="M419">
        <f>IFERROR(VLOOKUP(Tabla1[[#This Row],[SISMED]],TblDisponibilidad[],17,FALSE), 0)</f>
        <v>0</v>
      </c>
      <c r="N419">
        <f>IFERROR(VLOOKUP(Tabla1[[#This Row],[SISMED]],TblDisponibilidad[],18,FALSE), 0)</f>
        <v>0</v>
      </c>
      <c r="O419">
        <f>IFERROR(VLOOKUP(Tabla1[[#This Row],[SISMED]],TblDisponibilidad[],19,FALSE), 0)</f>
        <v>0</v>
      </c>
      <c r="P419">
        <f>IFERROR(VLOOKUP(Tabla1[[#This Row],[SISMED]],TblDisponibilidad[],20,FALSE), 0)</f>
        <v>0</v>
      </c>
      <c r="Q419">
        <f>IFERROR(VLOOKUP(Tabla1[[#This Row],[SISMED]],TblDisponibilidad[],21,FALSE), 0)</f>
        <v>0</v>
      </c>
      <c r="R419">
        <f>IFERROR(VLOOKUP(Tabla1[[#This Row],[SISMED]],TblDisponibilidad[],22,FALSE), 0)</f>
        <v>0</v>
      </c>
      <c r="S419" s="15">
        <f>IFERROR(VLOOKUP(Tabla1[[#This Row],[SISMED]],TblDisponibilidad[],23,FALSE), 0)</f>
        <v>0</v>
      </c>
    </row>
    <row r="420" spans="1:19" x14ac:dyDescent="0.3">
      <c r="A420" s="15" t="s">
        <v>450</v>
      </c>
      <c r="B420" t="str">
        <f>IFERROR(VLOOKUP(Tabla1[[#This Row],[SISMED]],TblDisponibilidad[],2,FALSE), "")</f>
        <v/>
      </c>
      <c r="C420">
        <f>IFERROR(VLOOKUP(Tabla1[[#This Row],[SISMED]],TblDisponibilidad[],7,FALSE), 0)</f>
        <v>0</v>
      </c>
      <c r="D420">
        <f>IFERROR(VLOOKUP(Tabla1[[#This Row],[SISMED]],TblDisponibilidad[],8,FALSE), 0)</f>
        <v>0</v>
      </c>
      <c r="E420">
        <f>IFERROR(VLOOKUP(Tabla1[[#This Row],[SISMED]],TblDisponibilidad[],9,FALSE), 0)</f>
        <v>0</v>
      </c>
      <c r="F420">
        <f>IFERROR(VLOOKUP(Tabla1[[#This Row],[SISMED]],TblDisponibilidad[],10,FALSE), 0)</f>
        <v>0</v>
      </c>
      <c r="G420">
        <f>IFERROR(VLOOKUP(Tabla1[[#This Row],[SISMED]],TblDisponibilidad[],11,FALSE), 0)</f>
        <v>0</v>
      </c>
      <c r="H420">
        <f>IFERROR(VLOOKUP(Tabla1[[#This Row],[SISMED]],TblDisponibilidad[],12,FALSE), 0)</f>
        <v>0</v>
      </c>
      <c r="I420">
        <f>IFERROR(VLOOKUP(Tabla1[[#This Row],[SISMED]],TblDisponibilidad[],13,FALSE), 0)</f>
        <v>0</v>
      </c>
      <c r="J420">
        <f>IFERROR(VLOOKUP(Tabla1[[#This Row],[SISMED]],TblDisponibilidad[],14,FALSE), 0)</f>
        <v>0</v>
      </c>
      <c r="K420">
        <f>IFERROR(VLOOKUP(Tabla1[[#This Row],[SISMED]],TblDisponibilidad[],15,FALSE), 0)</f>
        <v>0</v>
      </c>
      <c r="L420">
        <f>IFERROR(VLOOKUP(Tabla1[[#This Row],[SISMED]],TblDisponibilidad[],16,FALSE), 0)</f>
        <v>0</v>
      </c>
      <c r="M420">
        <f>IFERROR(VLOOKUP(Tabla1[[#This Row],[SISMED]],TblDisponibilidad[],17,FALSE), 0)</f>
        <v>0</v>
      </c>
      <c r="N420">
        <f>IFERROR(VLOOKUP(Tabla1[[#This Row],[SISMED]],TblDisponibilidad[],18,FALSE), 0)</f>
        <v>0</v>
      </c>
      <c r="O420">
        <f>IFERROR(VLOOKUP(Tabla1[[#This Row],[SISMED]],TblDisponibilidad[],19,FALSE), 0)</f>
        <v>0</v>
      </c>
      <c r="P420">
        <f>IFERROR(VLOOKUP(Tabla1[[#This Row],[SISMED]],TblDisponibilidad[],20,FALSE), 0)</f>
        <v>0</v>
      </c>
      <c r="Q420">
        <f>IFERROR(VLOOKUP(Tabla1[[#This Row],[SISMED]],TblDisponibilidad[],21,FALSE), 0)</f>
        <v>0</v>
      </c>
      <c r="R420">
        <f>IFERROR(VLOOKUP(Tabla1[[#This Row],[SISMED]],TblDisponibilidad[],22,FALSE), 0)</f>
        <v>0</v>
      </c>
      <c r="S420" s="15">
        <f>IFERROR(VLOOKUP(Tabla1[[#This Row],[SISMED]],TblDisponibilidad[],23,FALSE), 0)</f>
        <v>0</v>
      </c>
    </row>
    <row r="421" spans="1:19" x14ac:dyDescent="0.3">
      <c r="A421" s="15" t="s">
        <v>451</v>
      </c>
      <c r="B421" t="str">
        <f>IFERROR(VLOOKUP(Tabla1[[#This Row],[SISMED]],TblDisponibilidad[],2,FALSE), "")</f>
        <v/>
      </c>
      <c r="C421">
        <f>IFERROR(VLOOKUP(Tabla1[[#This Row],[SISMED]],TblDisponibilidad[],7,FALSE), 0)</f>
        <v>0</v>
      </c>
      <c r="D421">
        <f>IFERROR(VLOOKUP(Tabla1[[#This Row],[SISMED]],TblDisponibilidad[],8,FALSE), 0)</f>
        <v>0</v>
      </c>
      <c r="E421">
        <f>IFERROR(VLOOKUP(Tabla1[[#This Row],[SISMED]],TblDisponibilidad[],9,FALSE), 0)</f>
        <v>0</v>
      </c>
      <c r="F421">
        <f>IFERROR(VLOOKUP(Tabla1[[#This Row],[SISMED]],TblDisponibilidad[],10,FALSE), 0)</f>
        <v>0</v>
      </c>
      <c r="G421">
        <f>IFERROR(VLOOKUP(Tabla1[[#This Row],[SISMED]],TblDisponibilidad[],11,FALSE), 0)</f>
        <v>0</v>
      </c>
      <c r="H421">
        <f>IFERROR(VLOOKUP(Tabla1[[#This Row],[SISMED]],TblDisponibilidad[],12,FALSE), 0)</f>
        <v>0</v>
      </c>
      <c r="I421">
        <f>IFERROR(VLOOKUP(Tabla1[[#This Row],[SISMED]],TblDisponibilidad[],13,FALSE), 0)</f>
        <v>0</v>
      </c>
      <c r="J421">
        <f>IFERROR(VLOOKUP(Tabla1[[#This Row],[SISMED]],TblDisponibilidad[],14,FALSE), 0)</f>
        <v>0</v>
      </c>
      <c r="K421">
        <f>IFERROR(VLOOKUP(Tabla1[[#This Row],[SISMED]],TblDisponibilidad[],15,FALSE), 0)</f>
        <v>0</v>
      </c>
      <c r="L421">
        <f>IFERROR(VLOOKUP(Tabla1[[#This Row],[SISMED]],TblDisponibilidad[],16,FALSE), 0)</f>
        <v>0</v>
      </c>
      <c r="M421">
        <f>IFERROR(VLOOKUP(Tabla1[[#This Row],[SISMED]],TblDisponibilidad[],17,FALSE), 0)</f>
        <v>0</v>
      </c>
      <c r="N421">
        <f>IFERROR(VLOOKUP(Tabla1[[#This Row],[SISMED]],TblDisponibilidad[],18,FALSE), 0)</f>
        <v>0</v>
      </c>
      <c r="O421">
        <f>IFERROR(VLOOKUP(Tabla1[[#This Row],[SISMED]],TblDisponibilidad[],19,FALSE), 0)</f>
        <v>0</v>
      </c>
      <c r="P421">
        <f>IFERROR(VLOOKUP(Tabla1[[#This Row],[SISMED]],TblDisponibilidad[],20,FALSE), 0)</f>
        <v>0</v>
      </c>
      <c r="Q421">
        <f>IFERROR(VLOOKUP(Tabla1[[#This Row],[SISMED]],TblDisponibilidad[],21,FALSE), 0)</f>
        <v>0</v>
      </c>
      <c r="R421">
        <f>IFERROR(VLOOKUP(Tabla1[[#This Row],[SISMED]],TblDisponibilidad[],22,FALSE), 0)</f>
        <v>0</v>
      </c>
      <c r="S421" s="15">
        <f>IFERROR(VLOOKUP(Tabla1[[#This Row],[SISMED]],TblDisponibilidad[],23,FALSE), 0)</f>
        <v>0</v>
      </c>
    </row>
    <row r="422" spans="1:19" x14ac:dyDescent="0.3">
      <c r="A422" s="15" t="s">
        <v>452</v>
      </c>
      <c r="B422" t="str">
        <f>IFERROR(VLOOKUP(Tabla1[[#This Row],[SISMED]],TblDisponibilidad[],2,FALSE), "")</f>
        <v/>
      </c>
      <c r="C422">
        <f>IFERROR(VLOOKUP(Tabla1[[#This Row],[SISMED]],TblDisponibilidad[],7,FALSE), 0)</f>
        <v>0</v>
      </c>
      <c r="D422">
        <f>IFERROR(VLOOKUP(Tabla1[[#This Row],[SISMED]],TblDisponibilidad[],8,FALSE), 0)</f>
        <v>0</v>
      </c>
      <c r="E422">
        <f>IFERROR(VLOOKUP(Tabla1[[#This Row],[SISMED]],TblDisponibilidad[],9,FALSE), 0)</f>
        <v>0</v>
      </c>
      <c r="F422">
        <f>IFERROR(VLOOKUP(Tabla1[[#This Row],[SISMED]],TblDisponibilidad[],10,FALSE), 0)</f>
        <v>0</v>
      </c>
      <c r="G422">
        <f>IFERROR(VLOOKUP(Tabla1[[#This Row],[SISMED]],TblDisponibilidad[],11,FALSE), 0)</f>
        <v>0</v>
      </c>
      <c r="H422">
        <f>IFERROR(VLOOKUP(Tabla1[[#This Row],[SISMED]],TblDisponibilidad[],12,FALSE), 0)</f>
        <v>0</v>
      </c>
      <c r="I422">
        <f>IFERROR(VLOOKUP(Tabla1[[#This Row],[SISMED]],TblDisponibilidad[],13,FALSE), 0)</f>
        <v>0</v>
      </c>
      <c r="J422">
        <f>IFERROR(VLOOKUP(Tabla1[[#This Row],[SISMED]],TblDisponibilidad[],14,FALSE), 0)</f>
        <v>0</v>
      </c>
      <c r="K422">
        <f>IFERROR(VLOOKUP(Tabla1[[#This Row],[SISMED]],TblDisponibilidad[],15,FALSE), 0)</f>
        <v>0</v>
      </c>
      <c r="L422">
        <f>IFERROR(VLOOKUP(Tabla1[[#This Row],[SISMED]],TblDisponibilidad[],16,FALSE), 0)</f>
        <v>0</v>
      </c>
      <c r="M422">
        <f>IFERROR(VLOOKUP(Tabla1[[#This Row],[SISMED]],TblDisponibilidad[],17,FALSE), 0)</f>
        <v>0</v>
      </c>
      <c r="N422">
        <f>IFERROR(VLOOKUP(Tabla1[[#This Row],[SISMED]],TblDisponibilidad[],18,FALSE), 0)</f>
        <v>0</v>
      </c>
      <c r="O422">
        <f>IFERROR(VLOOKUP(Tabla1[[#This Row],[SISMED]],TblDisponibilidad[],19,FALSE), 0)</f>
        <v>0</v>
      </c>
      <c r="P422">
        <f>IFERROR(VLOOKUP(Tabla1[[#This Row],[SISMED]],TblDisponibilidad[],20,FALSE), 0)</f>
        <v>0</v>
      </c>
      <c r="Q422">
        <f>IFERROR(VLOOKUP(Tabla1[[#This Row],[SISMED]],TblDisponibilidad[],21,FALSE), 0)</f>
        <v>0</v>
      </c>
      <c r="R422">
        <f>IFERROR(VLOOKUP(Tabla1[[#This Row],[SISMED]],TblDisponibilidad[],22,FALSE), 0)</f>
        <v>0</v>
      </c>
      <c r="S422" s="15">
        <f>IFERROR(VLOOKUP(Tabla1[[#This Row],[SISMED]],TblDisponibilidad[],23,FALSE), 0)</f>
        <v>0</v>
      </c>
    </row>
    <row r="423" spans="1:19" x14ac:dyDescent="0.3">
      <c r="A423" s="15" t="s">
        <v>453</v>
      </c>
      <c r="B423" t="str">
        <f>IFERROR(VLOOKUP(Tabla1[[#This Row],[SISMED]],TblDisponibilidad[],2,FALSE), "")</f>
        <v/>
      </c>
      <c r="C423">
        <f>IFERROR(VLOOKUP(Tabla1[[#This Row],[SISMED]],TblDisponibilidad[],7,FALSE), 0)</f>
        <v>0</v>
      </c>
      <c r="D423">
        <f>IFERROR(VLOOKUP(Tabla1[[#This Row],[SISMED]],TblDisponibilidad[],8,FALSE), 0)</f>
        <v>0</v>
      </c>
      <c r="E423">
        <f>IFERROR(VLOOKUP(Tabla1[[#This Row],[SISMED]],TblDisponibilidad[],9,FALSE), 0)</f>
        <v>0</v>
      </c>
      <c r="F423">
        <f>IFERROR(VLOOKUP(Tabla1[[#This Row],[SISMED]],TblDisponibilidad[],10,FALSE), 0)</f>
        <v>0</v>
      </c>
      <c r="G423">
        <f>IFERROR(VLOOKUP(Tabla1[[#This Row],[SISMED]],TblDisponibilidad[],11,FALSE), 0)</f>
        <v>0</v>
      </c>
      <c r="H423">
        <f>IFERROR(VLOOKUP(Tabla1[[#This Row],[SISMED]],TblDisponibilidad[],12,FALSE), 0)</f>
        <v>0</v>
      </c>
      <c r="I423">
        <f>IFERROR(VLOOKUP(Tabla1[[#This Row],[SISMED]],TblDisponibilidad[],13,FALSE), 0)</f>
        <v>0</v>
      </c>
      <c r="J423">
        <f>IFERROR(VLOOKUP(Tabla1[[#This Row],[SISMED]],TblDisponibilidad[],14,FALSE), 0)</f>
        <v>0</v>
      </c>
      <c r="K423">
        <f>IFERROR(VLOOKUP(Tabla1[[#This Row],[SISMED]],TblDisponibilidad[],15,FALSE), 0)</f>
        <v>0</v>
      </c>
      <c r="L423">
        <f>IFERROR(VLOOKUP(Tabla1[[#This Row],[SISMED]],TblDisponibilidad[],16,FALSE), 0)</f>
        <v>0</v>
      </c>
      <c r="M423">
        <f>IFERROR(VLOOKUP(Tabla1[[#This Row],[SISMED]],TblDisponibilidad[],17,FALSE), 0)</f>
        <v>0</v>
      </c>
      <c r="N423">
        <f>IFERROR(VLOOKUP(Tabla1[[#This Row],[SISMED]],TblDisponibilidad[],18,FALSE), 0)</f>
        <v>0</v>
      </c>
      <c r="O423">
        <f>IFERROR(VLOOKUP(Tabla1[[#This Row],[SISMED]],TblDisponibilidad[],19,FALSE), 0)</f>
        <v>0</v>
      </c>
      <c r="P423">
        <f>IFERROR(VLOOKUP(Tabla1[[#This Row],[SISMED]],TblDisponibilidad[],20,FALSE), 0)</f>
        <v>0</v>
      </c>
      <c r="Q423">
        <f>IFERROR(VLOOKUP(Tabla1[[#This Row],[SISMED]],TblDisponibilidad[],21,FALSE), 0)</f>
        <v>0</v>
      </c>
      <c r="R423">
        <f>IFERROR(VLOOKUP(Tabla1[[#This Row],[SISMED]],TblDisponibilidad[],22,FALSE), 0)</f>
        <v>0</v>
      </c>
      <c r="S423" s="15">
        <f>IFERROR(VLOOKUP(Tabla1[[#This Row],[SISMED]],TblDisponibilidad[],23,FALSE), 0)</f>
        <v>0</v>
      </c>
    </row>
    <row r="424" spans="1:19" x14ac:dyDescent="0.3">
      <c r="A424" s="15" t="s">
        <v>454</v>
      </c>
      <c r="B424" t="str">
        <f>IFERROR(VLOOKUP(Tabla1[[#This Row],[SISMED]],TblDisponibilidad[],2,FALSE), "")</f>
        <v/>
      </c>
      <c r="C424">
        <f>IFERROR(VLOOKUP(Tabla1[[#This Row],[SISMED]],TblDisponibilidad[],7,FALSE), 0)</f>
        <v>0</v>
      </c>
      <c r="D424">
        <f>IFERROR(VLOOKUP(Tabla1[[#This Row],[SISMED]],TblDisponibilidad[],8,FALSE), 0)</f>
        <v>0</v>
      </c>
      <c r="E424">
        <f>IFERROR(VLOOKUP(Tabla1[[#This Row],[SISMED]],TblDisponibilidad[],9,FALSE), 0)</f>
        <v>0</v>
      </c>
      <c r="F424">
        <f>IFERROR(VLOOKUP(Tabla1[[#This Row],[SISMED]],TblDisponibilidad[],10,FALSE), 0)</f>
        <v>0</v>
      </c>
      <c r="G424">
        <f>IFERROR(VLOOKUP(Tabla1[[#This Row],[SISMED]],TblDisponibilidad[],11,FALSE), 0)</f>
        <v>0</v>
      </c>
      <c r="H424">
        <f>IFERROR(VLOOKUP(Tabla1[[#This Row],[SISMED]],TblDisponibilidad[],12,FALSE), 0)</f>
        <v>0</v>
      </c>
      <c r="I424">
        <f>IFERROR(VLOOKUP(Tabla1[[#This Row],[SISMED]],TblDisponibilidad[],13,FALSE), 0)</f>
        <v>0</v>
      </c>
      <c r="J424">
        <f>IFERROR(VLOOKUP(Tabla1[[#This Row],[SISMED]],TblDisponibilidad[],14,FALSE), 0)</f>
        <v>0</v>
      </c>
      <c r="K424">
        <f>IFERROR(VLOOKUP(Tabla1[[#This Row],[SISMED]],TblDisponibilidad[],15,FALSE), 0)</f>
        <v>0</v>
      </c>
      <c r="L424">
        <f>IFERROR(VLOOKUP(Tabla1[[#This Row],[SISMED]],TblDisponibilidad[],16,FALSE), 0)</f>
        <v>0</v>
      </c>
      <c r="M424">
        <f>IFERROR(VLOOKUP(Tabla1[[#This Row],[SISMED]],TblDisponibilidad[],17,FALSE), 0)</f>
        <v>0</v>
      </c>
      <c r="N424">
        <f>IFERROR(VLOOKUP(Tabla1[[#This Row],[SISMED]],TblDisponibilidad[],18,FALSE), 0)</f>
        <v>0</v>
      </c>
      <c r="O424">
        <f>IFERROR(VLOOKUP(Tabla1[[#This Row],[SISMED]],TblDisponibilidad[],19,FALSE), 0)</f>
        <v>0</v>
      </c>
      <c r="P424">
        <f>IFERROR(VLOOKUP(Tabla1[[#This Row],[SISMED]],TblDisponibilidad[],20,FALSE), 0)</f>
        <v>0</v>
      </c>
      <c r="Q424">
        <f>IFERROR(VLOOKUP(Tabla1[[#This Row],[SISMED]],TblDisponibilidad[],21,FALSE), 0)</f>
        <v>0</v>
      </c>
      <c r="R424">
        <f>IFERROR(VLOOKUP(Tabla1[[#This Row],[SISMED]],TblDisponibilidad[],22,FALSE), 0)</f>
        <v>0</v>
      </c>
      <c r="S424" s="15">
        <f>IFERROR(VLOOKUP(Tabla1[[#This Row],[SISMED]],TblDisponibilidad[],23,FALSE), 0)</f>
        <v>0</v>
      </c>
    </row>
    <row r="425" spans="1:19" x14ac:dyDescent="0.3">
      <c r="A425" s="15" t="s">
        <v>455</v>
      </c>
      <c r="B425" t="str">
        <f>IFERROR(VLOOKUP(Tabla1[[#This Row],[SISMED]],TblDisponibilidad[],2,FALSE), "")</f>
        <v/>
      </c>
      <c r="C425">
        <f>IFERROR(VLOOKUP(Tabla1[[#This Row],[SISMED]],TblDisponibilidad[],7,FALSE), 0)</f>
        <v>0</v>
      </c>
      <c r="D425">
        <f>IFERROR(VLOOKUP(Tabla1[[#This Row],[SISMED]],TblDisponibilidad[],8,FALSE), 0)</f>
        <v>0</v>
      </c>
      <c r="E425">
        <f>IFERROR(VLOOKUP(Tabla1[[#This Row],[SISMED]],TblDisponibilidad[],9,FALSE), 0)</f>
        <v>0</v>
      </c>
      <c r="F425">
        <f>IFERROR(VLOOKUP(Tabla1[[#This Row],[SISMED]],TblDisponibilidad[],10,FALSE), 0)</f>
        <v>0</v>
      </c>
      <c r="G425">
        <f>IFERROR(VLOOKUP(Tabla1[[#This Row],[SISMED]],TblDisponibilidad[],11,FALSE), 0)</f>
        <v>0</v>
      </c>
      <c r="H425">
        <f>IFERROR(VLOOKUP(Tabla1[[#This Row],[SISMED]],TblDisponibilidad[],12,FALSE), 0)</f>
        <v>0</v>
      </c>
      <c r="I425">
        <f>IFERROR(VLOOKUP(Tabla1[[#This Row],[SISMED]],TblDisponibilidad[],13,FALSE), 0)</f>
        <v>0</v>
      </c>
      <c r="J425">
        <f>IFERROR(VLOOKUP(Tabla1[[#This Row],[SISMED]],TblDisponibilidad[],14,FALSE), 0)</f>
        <v>0</v>
      </c>
      <c r="K425">
        <f>IFERROR(VLOOKUP(Tabla1[[#This Row],[SISMED]],TblDisponibilidad[],15,FALSE), 0)</f>
        <v>0</v>
      </c>
      <c r="L425">
        <f>IFERROR(VLOOKUP(Tabla1[[#This Row],[SISMED]],TblDisponibilidad[],16,FALSE), 0)</f>
        <v>0</v>
      </c>
      <c r="M425">
        <f>IFERROR(VLOOKUP(Tabla1[[#This Row],[SISMED]],TblDisponibilidad[],17,FALSE), 0)</f>
        <v>0</v>
      </c>
      <c r="N425">
        <f>IFERROR(VLOOKUP(Tabla1[[#This Row],[SISMED]],TblDisponibilidad[],18,FALSE), 0)</f>
        <v>0</v>
      </c>
      <c r="O425">
        <f>IFERROR(VLOOKUP(Tabla1[[#This Row],[SISMED]],TblDisponibilidad[],19,FALSE), 0)</f>
        <v>0</v>
      </c>
      <c r="P425">
        <f>IFERROR(VLOOKUP(Tabla1[[#This Row],[SISMED]],TblDisponibilidad[],20,FALSE), 0)</f>
        <v>0</v>
      </c>
      <c r="Q425">
        <f>IFERROR(VLOOKUP(Tabla1[[#This Row],[SISMED]],TblDisponibilidad[],21,FALSE), 0)</f>
        <v>0</v>
      </c>
      <c r="R425">
        <f>IFERROR(VLOOKUP(Tabla1[[#This Row],[SISMED]],TblDisponibilidad[],22,FALSE), 0)</f>
        <v>0</v>
      </c>
      <c r="S425" s="15">
        <f>IFERROR(VLOOKUP(Tabla1[[#This Row],[SISMED]],TblDisponibilidad[],23,FALSE), 0)</f>
        <v>0</v>
      </c>
    </row>
    <row r="426" spans="1:19" x14ac:dyDescent="0.3">
      <c r="A426" s="15" t="s">
        <v>456</v>
      </c>
      <c r="B426" t="str">
        <f>IFERROR(VLOOKUP(Tabla1[[#This Row],[SISMED]],TblDisponibilidad[],2,FALSE), "")</f>
        <v/>
      </c>
      <c r="C426">
        <f>IFERROR(VLOOKUP(Tabla1[[#This Row],[SISMED]],TblDisponibilidad[],7,FALSE), 0)</f>
        <v>0</v>
      </c>
      <c r="D426">
        <f>IFERROR(VLOOKUP(Tabla1[[#This Row],[SISMED]],TblDisponibilidad[],8,FALSE), 0)</f>
        <v>0</v>
      </c>
      <c r="E426">
        <f>IFERROR(VLOOKUP(Tabla1[[#This Row],[SISMED]],TblDisponibilidad[],9,FALSE), 0)</f>
        <v>0</v>
      </c>
      <c r="F426">
        <f>IFERROR(VLOOKUP(Tabla1[[#This Row],[SISMED]],TblDisponibilidad[],10,FALSE), 0)</f>
        <v>0</v>
      </c>
      <c r="G426">
        <f>IFERROR(VLOOKUP(Tabla1[[#This Row],[SISMED]],TblDisponibilidad[],11,FALSE), 0)</f>
        <v>0</v>
      </c>
      <c r="H426">
        <f>IFERROR(VLOOKUP(Tabla1[[#This Row],[SISMED]],TblDisponibilidad[],12,FALSE), 0)</f>
        <v>0</v>
      </c>
      <c r="I426">
        <f>IFERROR(VLOOKUP(Tabla1[[#This Row],[SISMED]],TblDisponibilidad[],13,FALSE), 0)</f>
        <v>0</v>
      </c>
      <c r="J426">
        <f>IFERROR(VLOOKUP(Tabla1[[#This Row],[SISMED]],TblDisponibilidad[],14,FALSE), 0)</f>
        <v>0</v>
      </c>
      <c r="K426">
        <f>IFERROR(VLOOKUP(Tabla1[[#This Row],[SISMED]],TblDisponibilidad[],15,FALSE), 0)</f>
        <v>0</v>
      </c>
      <c r="L426">
        <f>IFERROR(VLOOKUP(Tabla1[[#This Row],[SISMED]],TblDisponibilidad[],16,FALSE), 0)</f>
        <v>0</v>
      </c>
      <c r="M426">
        <f>IFERROR(VLOOKUP(Tabla1[[#This Row],[SISMED]],TblDisponibilidad[],17,FALSE), 0)</f>
        <v>0</v>
      </c>
      <c r="N426">
        <f>IFERROR(VLOOKUP(Tabla1[[#This Row],[SISMED]],TblDisponibilidad[],18,FALSE), 0)</f>
        <v>0</v>
      </c>
      <c r="O426">
        <f>IFERROR(VLOOKUP(Tabla1[[#This Row],[SISMED]],TblDisponibilidad[],19,FALSE), 0)</f>
        <v>0</v>
      </c>
      <c r="P426">
        <f>IFERROR(VLOOKUP(Tabla1[[#This Row],[SISMED]],TblDisponibilidad[],20,FALSE), 0)</f>
        <v>0</v>
      </c>
      <c r="Q426">
        <f>IFERROR(VLOOKUP(Tabla1[[#This Row],[SISMED]],TblDisponibilidad[],21,FALSE), 0)</f>
        <v>0</v>
      </c>
      <c r="R426">
        <f>IFERROR(VLOOKUP(Tabla1[[#This Row],[SISMED]],TblDisponibilidad[],22,FALSE), 0)</f>
        <v>0</v>
      </c>
      <c r="S426" s="15">
        <f>IFERROR(VLOOKUP(Tabla1[[#This Row],[SISMED]],TblDisponibilidad[],23,FALSE), 0)</f>
        <v>0</v>
      </c>
    </row>
    <row r="427" spans="1:19" x14ac:dyDescent="0.3">
      <c r="A427" s="15" t="s">
        <v>457</v>
      </c>
      <c r="B427" t="str">
        <f>IFERROR(VLOOKUP(Tabla1[[#This Row],[SISMED]],TblDisponibilidad[],2,FALSE), "")</f>
        <v/>
      </c>
      <c r="C427">
        <f>IFERROR(VLOOKUP(Tabla1[[#This Row],[SISMED]],TblDisponibilidad[],7,FALSE), 0)</f>
        <v>0</v>
      </c>
      <c r="D427">
        <f>IFERROR(VLOOKUP(Tabla1[[#This Row],[SISMED]],TblDisponibilidad[],8,FALSE), 0)</f>
        <v>0</v>
      </c>
      <c r="E427">
        <f>IFERROR(VLOOKUP(Tabla1[[#This Row],[SISMED]],TblDisponibilidad[],9,FALSE), 0)</f>
        <v>0</v>
      </c>
      <c r="F427">
        <f>IFERROR(VLOOKUP(Tabla1[[#This Row],[SISMED]],TblDisponibilidad[],10,FALSE), 0)</f>
        <v>0</v>
      </c>
      <c r="G427">
        <f>IFERROR(VLOOKUP(Tabla1[[#This Row],[SISMED]],TblDisponibilidad[],11,FALSE), 0)</f>
        <v>0</v>
      </c>
      <c r="H427">
        <f>IFERROR(VLOOKUP(Tabla1[[#This Row],[SISMED]],TblDisponibilidad[],12,FALSE), 0)</f>
        <v>0</v>
      </c>
      <c r="I427">
        <f>IFERROR(VLOOKUP(Tabla1[[#This Row],[SISMED]],TblDisponibilidad[],13,FALSE), 0)</f>
        <v>0</v>
      </c>
      <c r="J427">
        <f>IFERROR(VLOOKUP(Tabla1[[#This Row],[SISMED]],TblDisponibilidad[],14,FALSE), 0)</f>
        <v>0</v>
      </c>
      <c r="K427">
        <f>IFERROR(VLOOKUP(Tabla1[[#This Row],[SISMED]],TblDisponibilidad[],15,FALSE), 0)</f>
        <v>0</v>
      </c>
      <c r="L427">
        <f>IFERROR(VLOOKUP(Tabla1[[#This Row],[SISMED]],TblDisponibilidad[],16,FALSE), 0)</f>
        <v>0</v>
      </c>
      <c r="M427">
        <f>IFERROR(VLOOKUP(Tabla1[[#This Row],[SISMED]],TblDisponibilidad[],17,FALSE), 0)</f>
        <v>0</v>
      </c>
      <c r="N427">
        <f>IFERROR(VLOOKUP(Tabla1[[#This Row],[SISMED]],TblDisponibilidad[],18,FALSE), 0)</f>
        <v>0</v>
      </c>
      <c r="O427">
        <f>IFERROR(VLOOKUP(Tabla1[[#This Row],[SISMED]],TblDisponibilidad[],19,FALSE), 0)</f>
        <v>0</v>
      </c>
      <c r="P427">
        <f>IFERROR(VLOOKUP(Tabla1[[#This Row],[SISMED]],TblDisponibilidad[],20,FALSE), 0)</f>
        <v>0</v>
      </c>
      <c r="Q427">
        <f>IFERROR(VLOOKUP(Tabla1[[#This Row],[SISMED]],TblDisponibilidad[],21,FALSE), 0)</f>
        <v>0</v>
      </c>
      <c r="R427">
        <f>IFERROR(VLOOKUP(Tabla1[[#This Row],[SISMED]],TblDisponibilidad[],22,FALSE), 0)</f>
        <v>0</v>
      </c>
      <c r="S427" s="15">
        <f>IFERROR(VLOOKUP(Tabla1[[#This Row],[SISMED]],TblDisponibilidad[],23,FALSE), 0)</f>
        <v>0</v>
      </c>
    </row>
    <row r="428" spans="1:19" x14ac:dyDescent="0.3">
      <c r="A428" s="15" t="s">
        <v>458</v>
      </c>
      <c r="B428" t="str">
        <f>IFERROR(VLOOKUP(Tabla1[[#This Row],[SISMED]],TblDisponibilidad[],2,FALSE), "")</f>
        <v/>
      </c>
      <c r="C428">
        <f>IFERROR(VLOOKUP(Tabla1[[#This Row],[SISMED]],TblDisponibilidad[],7,FALSE), 0)</f>
        <v>0</v>
      </c>
      <c r="D428">
        <f>IFERROR(VLOOKUP(Tabla1[[#This Row],[SISMED]],TblDisponibilidad[],8,FALSE), 0)</f>
        <v>0</v>
      </c>
      <c r="E428">
        <f>IFERROR(VLOOKUP(Tabla1[[#This Row],[SISMED]],TblDisponibilidad[],9,FALSE), 0)</f>
        <v>0</v>
      </c>
      <c r="F428">
        <f>IFERROR(VLOOKUP(Tabla1[[#This Row],[SISMED]],TblDisponibilidad[],10,FALSE), 0)</f>
        <v>0</v>
      </c>
      <c r="G428">
        <f>IFERROR(VLOOKUP(Tabla1[[#This Row],[SISMED]],TblDisponibilidad[],11,FALSE), 0)</f>
        <v>0</v>
      </c>
      <c r="H428">
        <f>IFERROR(VLOOKUP(Tabla1[[#This Row],[SISMED]],TblDisponibilidad[],12,FALSE), 0)</f>
        <v>0</v>
      </c>
      <c r="I428">
        <f>IFERROR(VLOOKUP(Tabla1[[#This Row],[SISMED]],TblDisponibilidad[],13,FALSE), 0)</f>
        <v>0</v>
      </c>
      <c r="J428">
        <f>IFERROR(VLOOKUP(Tabla1[[#This Row],[SISMED]],TblDisponibilidad[],14,FALSE), 0)</f>
        <v>0</v>
      </c>
      <c r="K428">
        <f>IFERROR(VLOOKUP(Tabla1[[#This Row],[SISMED]],TblDisponibilidad[],15,FALSE), 0)</f>
        <v>0</v>
      </c>
      <c r="L428">
        <f>IFERROR(VLOOKUP(Tabla1[[#This Row],[SISMED]],TblDisponibilidad[],16,FALSE), 0)</f>
        <v>0</v>
      </c>
      <c r="M428">
        <f>IFERROR(VLOOKUP(Tabla1[[#This Row],[SISMED]],TblDisponibilidad[],17,FALSE), 0)</f>
        <v>0</v>
      </c>
      <c r="N428">
        <f>IFERROR(VLOOKUP(Tabla1[[#This Row],[SISMED]],TblDisponibilidad[],18,FALSE), 0)</f>
        <v>0</v>
      </c>
      <c r="O428">
        <f>IFERROR(VLOOKUP(Tabla1[[#This Row],[SISMED]],TblDisponibilidad[],19,FALSE), 0)</f>
        <v>0</v>
      </c>
      <c r="P428">
        <f>IFERROR(VLOOKUP(Tabla1[[#This Row],[SISMED]],TblDisponibilidad[],20,FALSE), 0)</f>
        <v>0</v>
      </c>
      <c r="Q428">
        <f>IFERROR(VLOOKUP(Tabla1[[#This Row],[SISMED]],TblDisponibilidad[],21,FALSE), 0)</f>
        <v>0</v>
      </c>
      <c r="R428">
        <f>IFERROR(VLOOKUP(Tabla1[[#This Row],[SISMED]],TblDisponibilidad[],22,FALSE), 0)</f>
        <v>0</v>
      </c>
      <c r="S428" s="15">
        <f>IFERROR(VLOOKUP(Tabla1[[#This Row],[SISMED]],TblDisponibilidad[],23,FALSE), 0)</f>
        <v>0</v>
      </c>
    </row>
    <row r="429" spans="1:19" x14ac:dyDescent="0.3">
      <c r="A429" s="15" t="s">
        <v>459</v>
      </c>
      <c r="B429" t="str">
        <f>IFERROR(VLOOKUP(Tabla1[[#This Row],[SISMED]],TblDisponibilidad[],2,FALSE), "")</f>
        <v/>
      </c>
      <c r="C429">
        <f>IFERROR(VLOOKUP(Tabla1[[#This Row],[SISMED]],TblDisponibilidad[],7,FALSE), 0)</f>
        <v>0</v>
      </c>
      <c r="D429">
        <f>IFERROR(VLOOKUP(Tabla1[[#This Row],[SISMED]],TblDisponibilidad[],8,FALSE), 0)</f>
        <v>0</v>
      </c>
      <c r="E429">
        <f>IFERROR(VLOOKUP(Tabla1[[#This Row],[SISMED]],TblDisponibilidad[],9,FALSE), 0)</f>
        <v>0</v>
      </c>
      <c r="F429">
        <f>IFERROR(VLOOKUP(Tabla1[[#This Row],[SISMED]],TblDisponibilidad[],10,FALSE), 0)</f>
        <v>0</v>
      </c>
      <c r="G429">
        <f>IFERROR(VLOOKUP(Tabla1[[#This Row],[SISMED]],TblDisponibilidad[],11,FALSE), 0)</f>
        <v>0</v>
      </c>
      <c r="H429">
        <f>IFERROR(VLOOKUP(Tabla1[[#This Row],[SISMED]],TblDisponibilidad[],12,FALSE), 0)</f>
        <v>0</v>
      </c>
      <c r="I429">
        <f>IFERROR(VLOOKUP(Tabla1[[#This Row],[SISMED]],TblDisponibilidad[],13,FALSE), 0)</f>
        <v>0</v>
      </c>
      <c r="J429">
        <f>IFERROR(VLOOKUP(Tabla1[[#This Row],[SISMED]],TblDisponibilidad[],14,FALSE), 0)</f>
        <v>0</v>
      </c>
      <c r="K429">
        <f>IFERROR(VLOOKUP(Tabla1[[#This Row],[SISMED]],TblDisponibilidad[],15,FALSE), 0)</f>
        <v>0</v>
      </c>
      <c r="L429">
        <f>IFERROR(VLOOKUP(Tabla1[[#This Row],[SISMED]],TblDisponibilidad[],16,FALSE), 0)</f>
        <v>0</v>
      </c>
      <c r="M429">
        <f>IFERROR(VLOOKUP(Tabla1[[#This Row],[SISMED]],TblDisponibilidad[],17,FALSE), 0)</f>
        <v>0</v>
      </c>
      <c r="N429">
        <f>IFERROR(VLOOKUP(Tabla1[[#This Row],[SISMED]],TblDisponibilidad[],18,FALSE), 0)</f>
        <v>0</v>
      </c>
      <c r="O429">
        <f>IFERROR(VLOOKUP(Tabla1[[#This Row],[SISMED]],TblDisponibilidad[],19,FALSE), 0)</f>
        <v>0</v>
      </c>
      <c r="P429">
        <f>IFERROR(VLOOKUP(Tabla1[[#This Row],[SISMED]],TblDisponibilidad[],20,FALSE), 0)</f>
        <v>0</v>
      </c>
      <c r="Q429">
        <f>IFERROR(VLOOKUP(Tabla1[[#This Row],[SISMED]],TblDisponibilidad[],21,FALSE), 0)</f>
        <v>0</v>
      </c>
      <c r="R429">
        <f>IFERROR(VLOOKUP(Tabla1[[#This Row],[SISMED]],TblDisponibilidad[],22,FALSE), 0)</f>
        <v>0</v>
      </c>
      <c r="S429" s="15">
        <f>IFERROR(VLOOKUP(Tabla1[[#This Row],[SISMED]],TblDisponibilidad[],23,FALSE), 0)</f>
        <v>0</v>
      </c>
    </row>
    <row r="430" spans="1:19" x14ac:dyDescent="0.3">
      <c r="A430" s="15" t="s">
        <v>460</v>
      </c>
      <c r="B430" t="str">
        <f>IFERROR(VLOOKUP(Tabla1[[#This Row],[SISMED]],TblDisponibilidad[],2,FALSE), "")</f>
        <v/>
      </c>
      <c r="C430">
        <f>IFERROR(VLOOKUP(Tabla1[[#This Row],[SISMED]],TblDisponibilidad[],7,FALSE), 0)</f>
        <v>0</v>
      </c>
      <c r="D430">
        <f>IFERROR(VLOOKUP(Tabla1[[#This Row],[SISMED]],TblDisponibilidad[],8,FALSE), 0)</f>
        <v>0</v>
      </c>
      <c r="E430">
        <f>IFERROR(VLOOKUP(Tabla1[[#This Row],[SISMED]],TblDisponibilidad[],9,FALSE), 0)</f>
        <v>0</v>
      </c>
      <c r="F430">
        <f>IFERROR(VLOOKUP(Tabla1[[#This Row],[SISMED]],TblDisponibilidad[],10,FALSE), 0)</f>
        <v>0</v>
      </c>
      <c r="G430">
        <f>IFERROR(VLOOKUP(Tabla1[[#This Row],[SISMED]],TblDisponibilidad[],11,FALSE), 0)</f>
        <v>0</v>
      </c>
      <c r="H430">
        <f>IFERROR(VLOOKUP(Tabla1[[#This Row],[SISMED]],TblDisponibilidad[],12,FALSE), 0)</f>
        <v>0</v>
      </c>
      <c r="I430">
        <f>IFERROR(VLOOKUP(Tabla1[[#This Row],[SISMED]],TblDisponibilidad[],13,FALSE), 0)</f>
        <v>0</v>
      </c>
      <c r="J430">
        <f>IFERROR(VLOOKUP(Tabla1[[#This Row],[SISMED]],TblDisponibilidad[],14,FALSE), 0)</f>
        <v>0</v>
      </c>
      <c r="K430">
        <f>IFERROR(VLOOKUP(Tabla1[[#This Row],[SISMED]],TblDisponibilidad[],15,FALSE), 0)</f>
        <v>0</v>
      </c>
      <c r="L430">
        <f>IFERROR(VLOOKUP(Tabla1[[#This Row],[SISMED]],TblDisponibilidad[],16,FALSE), 0)</f>
        <v>0</v>
      </c>
      <c r="M430">
        <f>IFERROR(VLOOKUP(Tabla1[[#This Row],[SISMED]],TblDisponibilidad[],17,FALSE), 0)</f>
        <v>0</v>
      </c>
      <c r="N430">
        <f>IFERROR(VLOOKUP(Tabla1[[#This Row],[SISMED]],TblDisponibilidad[],18,FALSE), 0)</f>
        <v>0</v>
      </c>
      <c r="O430">
        <f>IFERROR(VLOOKUP(Tabla1[[#This Row],[SISMED]],TblDisponibilidad[],19,FALSE), 0)</f>
        <v>0</v>
      </c>
      <c r="P430">
        <f>IFERROR(VLOOKUP(Tabla1[[#This Row],[SISMED]],TblDisponibilidad[],20,FALSE), 0)</f>
        <v>0</v>
      </c>
      <c r="Q430">
        <f>IFERROR(VLOOKUP(Tabla1[[#This Row],[SISMED]],TblDisponibilidad[],21,FALSE), 0)</f>
        <v>0</v>
      </c>
      <c r="R430">
        <f>IFERROR(VLOOKUP(Tabla1[[#This Row],[SISMED]],TblDisponibilidad[],22,FALSE), 0)</f>
        <v>0</v>
      </c>
      <c r="S430" s="15">
        <f>IFERROR(VLOOKUP(Tabla1[[#This Row],[SISMED]],TblDisponibilidad[],23,FALSE), 0)</f>
        <v>0</v>
      </c>
    </row>
    <row r="431" spans="1:19" x14ac:dyDescent="0.3">
      <c r="A431" s="15" t="s">
        <v>461</v>
      </c>
      <c r="B431" t="str">
        <f>IFERROR(VLOOKUP(Tabla1[[#This Row],[SISMED]],TblDisponibilidad[],2,FALSE), "")</f>
        <v/>
      </c>
      <c r="C431">
        <f>IFERROR(VLOOKUP(Tabla1[[#This Row],[SISMED]],TblDisponibilidad[],7,FALSE), 0)</f>
        <v>0</v>
      </c>
      <c r="D431">
        <f>IFERROR(VLOOKUP(Tabla1[[#This Row],[SISMED]],TblDisponibilidad[],8,FALSE), 0)</f>
        <v>0</v>
      </c>
      <c r="E431">
        <f>IFERROR(VLOOKUP(Tabla1[[#This Row],[SISMED]],TblDisponibilidad[],9,FALSE), 0)</f>
        <v>0</v>
      </c>
      <c r="F431">
        <f>IFERROR(VLOOKUP(Tabla1[[#This Row],[SISMED]],TblDisponibilidad[],10,FALSE), 0)</f>
        <v>0</v>
      </c>
      <c r="G431">
        <f>IFERROR(VLOOKUP(Tabla1[[#This Row],[SISMED]],TblDisponibilidad[],11,FALSE), 0)</f>
        <v>0</v>
      </c>
      <c r="H431">
        <f>IFERROR(VLOOKUP(Tabla1[[#This Row],[SISMED]],TblDisponibilidad[],12,FALSE), 0)</f>
        <v>0</v>
      </c>
      <c r="I431">
        <f>IFERROR(VLOOKUP(Tabla1[[#This Row],[SISMED]],TblDisponibilidad[],13,FALSE), 0)</f>
        <v>0</v>
      </c>
      <c r="J431">
        <f>IFERROR(VLOOKUP(Tabla1[[#This Row],[SISMED]],TblDisponibilidad[],14,FALSE), 0)</f>
        <v>0</v>
      </c>
      <c r="K431">
        <f>IFERROR(VLOOKUP(Tabla1[[#This Row],[SISMED]],TblDisponibilidad[],15,FALSE), 0)</f>
        <v>0</v>
      </c>
      <c r="L431">
        <f>IFERROR(VLOOKUP(Tabla1[[#This Row],[SISMED]],TblDisponibilidad[],16,FALSE), 0)</f>
        <v>0</v>
      </c>
      <c r="M431">
        <f>IFERROR(VLOOKUP(Tabla1[[#This Row],[SISMED]],TblDisponibilidad[],17,FALSE), 0)</f>
        <v>0</v>
      </c>
      <c r="N431">
        <f>IFERROR(VLOOKUP(Tabla1[[#This Row],[SISMED]],TblDisponibilidad[],18,FALSE), 0)</f>
        <v>0</v>
      </c>
      <c r="O431">
        <f>IFERROR(VLOOKUP(Tabla1[[#This Row],[SISMED]],TblDisponibilidad[],19,FALSE), 0)</f>
        <v>0</v>
      </c>
      <c r="P431">
        <f>IFERROR(VLOOKUP(Tabla1[[#This Row],[SISMED]],TblDisponibilidad[],20,FALSE), 0)</f>
        <v>0</v>
      </c>
      <c r="Q431">
        <f>IFERROR(VLOOKUP(Tabla1[[#This Row],[SISMED]],TblDisponibilidad[],21,FALSE), 0)</f>
        <v>0</v>
      </c>
      <c r="R431">
        <f>IFERROR(VLOOKUP(Tabla1[[#This Row],[SISMED]],TblDisponibilidad[],22,FALSE), 0)</f>
        <v>0</v>
      </c>
      <c r="S431" s="15">
        <f>IFERROR(VLOOKUP(Tabla1[[#This Row],[SISMED]],TblDisponibilidad[],23,FALSE), 0)</f>
        <v>0</v>
      </c>
    </row>
    <row r="432" spans="1:19" x14ac:dyDescent="0.3">
      <c r="A432" s="15" t="s">
        <v>462</v>
      </c>
      <c r="B432" t="str">
        <f>IFERROR(VLOOKUP(Tabla1[[#This Row],[SISMED]],TblDisponibilidad[],2,FALSE), "")</f>
        <v/>
      </c>
      <c r="C432">
        <f>IFERROR(VLOOKUP(Tabla1[[#This Row],[SISMED]],TblDisponibilidad[],7,FALSE), 0)</f>
        <v>0</v>
      </c>
      <c r="D432">
        <f>IFERROR(VLOOKUP(Tabla1[[#This Row],[SISMED]],TblDisponibilidad[],8,FALSE), 0)</f>
        <v>0</v>
      </c>
      <c r="E432">
        <f>IFERROR(VLOOKUP(Tabla1[[#This Row],[SISMED]],TblDisponibilidad[],9,FALSE), 0)</f>
        <v>0</v>
      </c>
      <c r="F432">
        <f>IFERROR(VLOOKUP(Tabla1[[#This Row],[SISMED]],TblDisponibilidad[],10,FALSE), 0)</f>
        <v>0</v>
      </c>
      <c r="G432">
        <f>IFERROR(VLOOKUP(Tabla1[[#This Row],[SISMED]],TblDisponibilidad[],11,FALSE), 0)</f>
        <v>0</v>
      </c>
      <c r="H432">
        <f>IFERROR(VLOOKUP(Tabla1[[#This Row],[SISMED]],TblDisponibilidad[],12,FALSE), 0)</f>
        <v>0</v>
      </c>
      <c r="I432">
        <f>IFERROR(VLOOKUP(Tabla1[[#This Row],[SISMED]],TblDisponibilidad[],13,FALSE), 0)</f>
        <v>0</v>
      </c>
      <c r="J432">
        <f>IFERROR(VLOOKUP(Tabla1[[#This Row],[SISMED]],TblDisponibilidad[],14,FALSE), 0)</f>
        <v>0</v>
      </c>
      <c r="K432">
        <f>IFERROR(VLOOKUP(Tabla1[[#This Row],[SISMED]],TblDisponibilidad[],15,FALSE), 0)</f>
        <v>0</v>
      </c>
      <c r="L432">
        <f>IFERROR(VLOOKUP(Tabla1[[#This Row],[SISMED]],TblDisponibilidad[],16,FALSE), 0)</f>
        <v>0</v>
      </c>
      <c r="M432">
        <f>IFERROR(VLOOKUP(Tabla1[[#This Row],[SISMED]],TblDisponibilidad[],17,FALSE), 0)</f>
        <v>0</v>
      </c>
      <c r="N432">
        <f>IFERROR(VLOOKUP(Tabla1[[#This Row],[SISMED]],TblDisponibilidad[],18,FALSE), 0)</f>
        <v>0</v>
      </c>
      <c r="O432">
        <f>IFERROR(VLOOKUP(Tabla1[[#This Row],[SISMED]],TblDisponibilidad[],19,FALSE), 0)</f>
        <v>0</v>
      </c>
      <c r="P432">
        <f>IFERROR(VLOOKUP(Tabla1[[#This Row],[SISMED]],TblDisponibilidad[],20,FALSE), 0)</f>
        <v>0</v>
      </c>
      <c r="Q432">
        <f>IFERROR(VLOOKUP(Tabla1[[#This Row],[SISMED]],TblDisponibilidad[],21,FALSE), 0)</f>
        <v>0</v>
      </c>
      <c r="R432">
        <f>IFERROR(VLOOKUP(Tabla1[[#This Row],[SISMED]],TblDisponibilidad[],22,FALSE), 0)</f>
        <v>0</v>
      </c>
      <c r="S432" s="15">
        <f>IFERROR(VLOOKUP(Tabla1[[#This Row],[SISMED]],TblDisponibilidad[],23,FALSE), 0)</f>
        <v>0</v>
      </c>
    </row>
    <row r="433" spans="1:19" x14ac:dyDescent="0.3">
      <c r="A433" s="15" t="s">
        <v>463</v>
      </c>
      <c r="B433" t="str">
        <f>IFERROR(VLOOKUP(Tabla1[[#This Row],[SISMED]],TblDisponibilidad[],2,FALSE), "")</f>
        <v/>
      </c>
      <c r="C433">
        <f>IFERROR(VLOOKUP(Tabla1[[#This Row],[SISMED]],TblDisponibilidad[],7,FALSE), 0)</f>
        <v>0</v>
      </c>
      <c r="D433">
        <f>IFERROR(VLOOKUP(Tabla1[[#This Row],[SISMED]],TblDisponibilidad[],8,FALSE), 0)</f>
        <v>0</v>
      </c>
      <c r="E433">
        <f>IFERROR(VLOOKUP(Tabla1[[#This Row],[SISMED]],TblDisponibilidad[],9,FALSE), 0)</f>
        <v>0</v>
      </c>
      <c r="F433">
        <f>IFERROR(VLOOKUP(Tabla1[[#This Row],[SISMED]],TblDisponibilidad[],10,FALSE), 0)</f>
        <v>0</v>
      </c>
      <c r="G433">
        <f>IFERROR(VLOOKUP(Tabla1[[#This Row],[SISMED]],TblDisponibilidad[],11,FALSE), 0)</f>
        <v>0</v>
      </c>
      <c r="H433">
        <f>IFERROR(VLOOKUP(Tabla1[[#This Row],[SISMED]],TblDisponibilidad[],12,FALSE), 0)</f>
        <v>0</v>
      </c>
      <c r="I433">
        <f>IFERROR(VLOOKUP(Tabla1[[#This Row],[SISMED]],TblDisponibilidad[],13,FALSE), 0)</f>
        <v>0</v>
      </c>
      <c r="J433">
        <f>IFERROR(VLOOKUP(Tabla1[[#This Row],[SISMED]],TblDisponibilidad[],14,FALSE), 0)</f>
        <v>0</v>
      </c>
      <c r="K433">
        <f>IFERROR(VLOOKUP(Tabla1[[#This Row],[SISMED]],TblDisponibilidad[],15,FALSE), 0)</f>
        <v>0</v>
      </c>
      <c r="L433">
        <f>IFERROR(VLOOKUP(Tabla1[[#This Row],[SISMED]],TblDisponibilidad[],16,FALSE), 0)</f>
        <v>0</v>
      </c>
      <c r="M433">
        <f>IFERROR(VLOOKUP(Tabla1[[#This Row],[SISMED]],TblDisponibilidad[],17,FALSE), 0)</f>
        <v>0</v>
      </c>
      <c r="N433">
        <f>IFERROR(VLOOKUP(Tabla1[[#This Row],[SISMED]],TblDisponibilidad[],18,FALSE), 0)</f>
        <v>0</v>
      </c>
      <c r="O433">
        <f>IFERROR(VLOOKUP(Tabla1[[#This Row],[SISMED]],TblDisponibilidad[],19,FALSE), 0)</f>
        <v>0</v>
      </c>
      <c r="P433">
        <f>IFERROR(VLOOKUP(Tabla1[[#This Row],[SISMED]],TblDisponibilidad[],20,FALSE), 0)</f>
        <v>0</v>
      </c>
      <c r="Q433">
        <f>IFERROR(VLOOKUP(Tabla1[[#This Row],[SISMED]],TblDisponibilidad[],21,FALSE), 0)</f>
        <v>0</v>
      </c>
      <c r="R433">
        <f>IFERROR(VLOOKUP(Tabla1[[#This Row],[SISMED]],TblDisponibilidad[],22,FALSE), 0)</f>
        <v>0</v>
      </c>
      <c r="S433" s="15">
        <f>IFERROR(VLOOKUP(Tabla1[[#This Row],[SISMED]],TblDisponibilidad[],23,FALSE), 0)</f>
        <v>0</v>
      </c>
    </row>
    <row r="434" spans="1:19" x14ac:dyDescent="0.3">
      <c r="A434" s="15" t="s">
        <v>464</v>
      </c>
      <c r="B434" t="str">
        <f>IFERROR(VLOOKUP(Tabla1[[#This Row],[SISMED]],TblDisponibilidad[],2,FALSE), "")</f>
        <v/>
      </c>
      <c r="C434">
        <f>IFERROR(VLOOKUP(Tabla1[[#This Row],[SISMED]],TblDisponibilidad[],7,FALSE), 0)</f>
        <v>0</v>
      </c>
      <c r="D434">
        <f>IFERROR(VLOOKUP(Tabla1[[#This Row],[SISMED]],TblDisponibilidad[],8,FALSE), 0)</f>
        <v>0</v>
      </c>
      <c r="E434">
        <f>IFERROR(VLOOKUP(Tabla1[[#This Row],[SISMED]],TblDisponibilidad[],9,FALSE), 0)</f>
        <v>0</v>
      </c>
      <c r="F434">
        <f>IFERROR(VLOOKUP(Tabla1[[#This Row],[SISMED]],TblDisponibilidad[],10,FALSE), 0)</f>
        <v>0</v>
      </c>
      <c r="G434">
        <f>IFERROR(VLOOKUP(Tabla1[[#This Row],[SISMED]],TblDisponibilidad[],11,FALSE), 0)</f>
        <v>0</v>
      </c>
      <c r="H434">
        <f>IFERROR(VLOOKUP(Tabla1[[#This Row],[SISMED]],TblDisponibilidad[],12,FALSE), 0)</f>
        <v>0</v>
      </c>
      <c r="I434">
        <f>IFERROR(VLOOKUP(Tabla1[[#This Row],[SISMED]],TblDisponibilidad[],13,FALSE), 0)</f>
        <v>0</v>
      </c>
      <c r="J434">
        <f>IFERROR(VLOOKUP(Tabla1[[#This Row],[SISMED]],TblDisponibilidad[],14,FALSE), 0)</f>
        <v>0</v>
      </c>
      <c r="K434">
        <f>IFERROR(VLOOKUP(Tabla1[[#This Row],[SISMED]],TblDisponibilidad[],15,FALSE), 0)</f>
        <v>0</v>
      </c>
      <c r="L434">
        <f>IFERROR(VLOOKUP(Tabla1[[#This Row],[SISMED]],TblDisponibilidad[],16,FALSE), 0)</f>
        <v>0</v>
      </c>
      <c r="M434">
        <f>IFERROR(VLOOKUP(Tabla1[[#This Row],[SISMED]],TblDisponibilidad[],17,FALSE), 0)</f>
        <v>0</v>
      </c>
      <c r="N434">
        <f>IFERROR(VLOOKUP(Tabla1[[#This Row],[SISMED]],TblDisponibilidad[],18,FALSE), 0)</f>
        <v>0</v>
      </c>
      <c r="O434">
        <f>IFERROR(VLOOKUP(Tabla1[[#This Row],[SISMED]],TblDisponibilidad[],19,FALSE), 0)</f>
        <v>0</v>
      </c>
      <c r="P434">
        <f>IFERROR(VLOOKUP(Tabla1[[#This Row],[SISMED]],TblDisponibilidad[],20,FALSE), 0)</f>
        <v>0</v>
      </c>
      <c r="Q434">
        <f>IFERROR(VLOOKUP(Tabla1[[#This Row],[SISMED]],TblDisponibilidad[],21,FALSE), 0)</f>
        <v>0</v>
      </c>
      <c r="R434">
        <f>IFERROR(VLOOKUP(Tabla1[[#This Row],[SISMED]],TblDisponibilidad[],22,FALSE), 0)</f>
        <v>0</v>
      </c>
      <c r="S434" s="15">
        <f>IFERROR(VLOOKUP(Tabla1[[#This Row],[SISMED]],TblDisponibilidad[],23,FALSE), 0)</f>
        <v>0</v>
      </c>
    </row>
    <row r="435" spans="1:19" x14ac:dyDescent="0.3">
      <c r="A435" s="15" t="s">
        <v>465</v>
      </c>
      <c r="B435" t="str">
        <f>IFERROR(VLOOKUP(Tabla1[[#This Row],[SISMED]],TblDisponibilidad[],2,FALSE), "")</f>
        <v/>
      </c>
      <c r="C435">
        <f>IFERROR(VLOOKUP(Tabla1[[#This Row],[SISMED]],TblDisponibilidad[],7,FALSE), 0)</f>
        <v>0</v>
      </c>
      <c r="D435">
        <f>IFERROR(VLOOKUP(Tabla1[[#This Row],[SISMED]],TblDisponibilidad[],8,FALSE), 0)</f>
        <v>0</v>
      </c>
      <c r="E435">
        <f>IFERROR(VLOOKUP(Tabla1[[#This Row],[SISMED]],TblDisponibilidad[],9,FALSE), 0)</f>
        <v>0</v>
      </c>
      <c r="F435">
        <f>IFERROR(VLOOKUP(Tabla1[[#This Row],[SISMED]],TblDisponibilidad[],10,FALSE), 0)</f>
        <v>0</v>
      </c>
      <c r="G435">
        <f>IFERROR(VLOOKUP(Tabla1[[#This Row],[SISMED]],TblDisponibilidad[],11,FALSE), 0)</f>
        <v>0</v>
      </c>
      <c r="H435">
        <f>IFERROR(VLOOKUP(Tabla1[[#This Row],[SISMED]],TblDisponibilidad[],12,FALSE), 0)</f>
        <v>0</v>
      </c>
      <c r="I435">
        <f>IFERROR(VLOOKUP(Tabla1[[#This Row],[SISMED]],TblDisponibilidad[],13,FALSE), 0)</f>
        <v>0</v>
      </c>
      <c r="J435">
        <f>IFERROR(VLOOKUP(Tabla1[[#This Row],[SISMED]],TblDisponibilidad[],14,FALSE), 0)</f>
        <v>0</v>
      </c>
      <c r="K435">
        <f>IFERROR(VLOOKUP(Tabla1[[#This Row],[SISMED]],TblDisponibilidad[],15,FALSE), 0)</f>
        <v>0</v>
      </c>
      <c r="L435">
        <f>IFERROR(VLOOKUP(Tabla1[[#This Row],[SISMED]],TblDisponibilidad[],16,FALSE), 0)</f>
        <v>0</v>
      </c>
      <c r="M435">
        <f>IFERROR(VLOOKUP(Tabla1[[#This Row],[SISMED]],TblDisponibilidad[],17,FALSE), 0)</f>
        <v>0</v>
      </c>
      <c r="N435">
        <f>IFERROR(VLOOKUP(Tabla1[[#This Row],[SISMED]],TblDisponibilidad[],18,FALSE), 0)</f>
        <v>0</v>
      </c>
      <c r="O435">
        <f>IFERROR(VLOOKUP(Tabla1[[#This Row],[SISMED]],TblDisponibilidad[],19,FALSE), 0)</f>
        <v>0</v>
      </c>
      <c r="P435">
        <f>IFERROR(VLOOKUP(Tabla1[[#This Row],[SISMED]],TblDisponibilidad[],20,FALSE), 0)</f>
        <v>0</v>
      </c>
      <c r="Q435">
        <f>IFERROR(VLOOKUP(Tabla1[[#This Row],[SISMED]],TblDisponibilidad[],21,FALSE), 0)</f>
        <v>0</v>
      </c>
      <c r="R435">
        <f>IFERROR(VLOOKUP(Tabla1[[#This Row],[SISMED]],TblDisponibilidad[],22,FALSE), 0)</f>
        <v>0</v>
      </c>
      <c r="S435" s="15">
        <f>IFERROR(VLOOKUP(Tabla1[[#This Row],[SISMED]],TblDisponibilidad[],23,FALSE), 0)</f>
        <v>0</v>
      </c>
    </row>
    <row r="436" spans="1:19" x14ac:dyDescent="0.3">
      <c r="A436" s="15" t="s">
        <v>466</v>
      </c>
      <c r="B436" t="str">
        <f>IFERROR(VLOOKUP(Tabla1[[#This Row],[SISMED]],TblDisponibilidad[],2,FALSE), "")</f>
        <v/>
      </c>
      <c r="C436">
        <f>IFERROR(VLOOKUP(Tabla1[[#This Row],[SISMED]],TblDisponibilidad[],7,FALSE), 0)</f>
        <v>0</v>
      </c>
      <c r="D436">
        <f>IFERROR(VLOOKUP(Tabla1[[#This Row],[SISMED]],TblDisponibilidad[],8,FALSE), 0)</f>
        <v>0</v>
      </c>
      <c r="E436">
        <f>IFERROR(VLOOKUP(Tabla1[[#This Row],[SISMED]],TblDisponibilidad[],9,FALSE), 0)</f>
        <v>0</v>
      </c>
      <c r="F436">
        <f>IFERROR(VLOOKUP(Tabla1[[#This Row],[SISMED]],TblDisponibilidad[],10,FALSE), 0)</f>
        <v>0</v>
      </c>
      <c r="G436">
        <f>IFERROR(VLOOKUP(Tabla1[[#This Row],[SISMED]],TblDisponibilidad[],11,FALSE), 0)</f>
        <v>0</v>
      </c>
      <c r="H436">
        <f>IFERROR(VLOOKUP(Tabla1[[#This Row],[SISMED]],TblDisponibilidad[],12,FALSE), 0)</f>
        <v>0</v>
      </c>
      <c r="I436">
        <f>IFERROR(VLOOKUP(Tabla1[[#This Row],[SISMED]],TblDisponibilidad[],13,FALSE), 0)</f>
        <v>0</v>
      </c>
      <c r="J436">
        <f>IFERROR(VLOOKUP(Tabla1[[#This Row],[SISMED]],TblDisponibilidad[],14,FALSE), 0)</f>
        <v>0</v>
      </c>
      <c r="K436">
        <f>IFERROR(VLOOKUP(Tabla1[[#This Row],[SISMED]],TblDisponibilidad[],15,FALSE), 0)</f>
        <v>0</v>
      </c>
      <c r="L436">
        <f>IFERROR(VLOOKUP(Tabla1[[#This Row],[SISMED]],TblDisponibilidad[],16,FALSE), 0)</f>
        <v>0</v>
      </c>
      <c r="M436">
        <f>IFERROR(VLOOKUP(Tabla1[[#This Row],[SISMED]],TblDisponibilidad[],17,FALSE), 0)</f>
        <v>0</v>
      </c>
      <c r="N436">
        <f>IFERROR(VLOOKUP(Tabla1[[#This Row],[SISMED]],TblDisponibilidad[],18,FALSE), 0)</f>
        <v>0</v>
      </c>
      <c r="O436">
        <f>IFERROR(VLOOKUP(Tabla1[[#This Row],[SISMED]],TblDisponibilidad[],19,FALSE), 0)</f>
        <v>0</v>
      </c>
      <c r="P436">
        <f>IFERROR(VLOOKUP(Tabla1[[#This Row],[SISMED]],TblDisponibilidad[],20,FALSE), 0)</f>
        <v>0</v>
      </c>
      <c r="Q436">
        <f>IFERROR(VLOOKUP(Tabla1[[#This Row],[SISMED]],TblDisponibilidad[],21,FALSE), 0)</f>
        <v>0</v>
      </c>
      <c r="R436">
        <f>IFERROR(VLOOKUP(Tabla1[[#This Row],[SISMED]],TblDisponibilidad[],22,FALSE), 0)</f>
        <v>0</v>
      </c>
      <c r="S436" s="15">
        <f>IFERROR(VLOOKUP(Tabla1[[#This Row],[SISMED]],TblDisponibilidad[],23,FALSE), 0)</f>
        <v>0</v>
      </c>
    </row>
    <row r="437" spans="1:19" x14ac:dyDescent="0.3">
      <c r="A437" s="15" t="s">
        <v>467</v>
      </c>
      <c r="B437" t="str">
        <f>IFERROR(VLOOKUP(Tabla1[[#This Row],[SISMED]],TblDisponibilidad[],2,FALSE), "")</f>
        <v/>
      </c>
      <c r="C437">
        <f>IFERROR(VLOOKUP(Tabla1[[#This Row],[SISMED]],TblDisponibilidad[],7,FALSE), 0)</f>
        <v>0</v>
      </c>
      <c r="D437">
        <f>IFERROR(VLOOKUP(Tabla1[[#This Row],[SISMED]],TblDisponibilidad[],8,FALSE), 0)</f>
        <v>0</v>
      </c>
      <c r="E437">
        <f>IFERROR(VLOOKUP(Tabla1[[#This Row],[SISMED]],TblDisponibilidad[],9,FALSE), 0)</f>
        <v>0</v>
      </c>
      <c r="F437">
        <f>IFERROR(VLOOKUP(Tabla1[[#This Row],[SISMED]],TblDisponibilidad[],10,FALSE), 0)</f>
        <v>0</v>
      </c>
      <c r="G437">
        <f>IFERROR(VLOOKUP(Tabla1[[#This Row],[SISMED]],TblDisponibilidad[],11,FALSE), 0)</f>
        <v>0</v>
      </c>
      <c r="H437">
        <f>IFERROR(VLOOKUP(Tabla1[[#This Row],[SISMED]],TblDisponibilidad[],12,FALSE), 0)</f>
        <v>0</v>
      </c>
      <c r="I437">
        <f>IFERROR(VLOOKUP(Tabla1[[#This Row],[SISMED]],TblDisponibilidad[],13,FALSE), 0)</f>
        <v>0</v>
      </c>
      <c r="J437">
        <f>IFERROR(VLOOKUP(Tabla1[[#This Row],[SISMED]],TblDisponibilidad[],14,FALSE), 0)</f>
        <v>0</v>
      </c>
      <c r="K437">
        <f>IFERROR(VLOOKUP(Tabla1[[#This Row],[SISMED]],TblDisponibilidad[],15,FALSE), 0)</f>
        <v>0</v>
      </c>
      <c r="L437">
        <f>IFERROR(VLOOKUP(Tabla1[[#This Row],[SISMED]],TblDisponibilidad[],16,FALSE), 0)</f>
        <v>0</v>
      </c>
      <c r="M437">
        <f>IFERROR(VLOOKUP(Tabla1[[#This Row],[SISMED]],TblDisponibilidad[],17,FALSE), 0)</f>
        <v>0</v>
      </c>
      <c r="N437">
        <f>IFERROR(VLOOKUP(Tabla1[[#This Row],[SISMED]],TblDisponibilidad[],18,FALSE), 0)</f>
        <v>0</v>
      </c>
      <c r="O437">
        <f>IFERROR(VLOOKUP(Tabla1[[#This Row],[SISMED]],TblDisponibilidad[],19,FALSE), 0)</f>
        <v>0</v>
      </c>
      <c r="P437">
        <f>IFERROR(VLOOKUP(Tabla1[[#This Row],[SISMED]],TblDisponibilidad[],20,FALSE), 0)</f>
        <v>0</v>
      </c>
      <c r="Q437">
        <f>IFERROR(VLOOKUP(Tabla1[[#This Row],[SISMED]],TblDisponibilidad[],21,FALSE), 0)</f>
        <v>0</v>
      </c>
      <c r="R437">
        <f>IFERROR(VLOOKUP(Tabla1[[#This Row],[SISMED]],TblDisponibilidad[],22,FALSE), 0)</f>
        <v>0</v>
      </c>
      <c r="S437" s="15">
        <f>IFERROR(VLOOKUP(Tabla1[[#This Row],[SISMED]],TblDisponibilidad[],23,FALSE), 0)</f>
        <v>0</v>
      </c>
    </row>
    <row r="438" spans="1:19" x14ac:dyDescent="0.3">
      <c r="A438" s="15" t="s">
        <v>468</v>
      </c>
      <c r="B438" t="str">
        <f>IFERROR(VLOOKUP(Tabla1[[#This Row],[SISMED]],TblDisponibilidad[],2,FALSE), "")</f>
        <v/>
      </c>
      <c r="C438">
        <f>IFERROR(VLOOKUP(Tabla1[[#This Row],[SISMED]],TblDisponibilidad[],7,FALSE), 0)</f>
        <v>0</v>
      </c>
      <c r="D438">
        <f>IFERROR(VLOOKUP(Tabla1[[#This Row],[SISMED]],TblDisponibilidad[],8,FALSE), 0)</f>
        <v>0</v>
      </c>
      <c r="E438">
        <f>IFERROR(VLOOKUP(Tabla1[[#This Row],[SISMED]],TblDisponibilidad[],9,FALSE), 0)</f>
        <v>0</v>
      </c>
      <c r="F438">
        <f>IFERROR(VLOOKUP(Tabla1[[#This Row],[SISMED]],TblDisponibilidad[],10,FALSE), 0)</f>
        <v>0</v>
      </c>
      <c r="G438">
        <f>IFERROR(VLOOKUP(Tabla1[[#This Row],[SISMED]],TblDisponibilidad[],11,FALSE), 0)</f>
        <v>0</v>
      </c>
      <c r="H438">
        <f>IFERROR(VLOOKUP(Tabla1[[#This Row],[SISMED]],TblDisponibilidad[],12,FALSE), 0)</f>
        <v>0</v>
      </c>
      <c r="I438">
        <f>IFERROR(VLOOKUP(Tabla1[[#This Row],[SISMED]],TblDisponibilidad[],13,FALSE), 0)</f>
        <v>0</v>
      </c>
      <c r="J438">
        <f>IFERROR(VLOOKUP(Tabla1[[#This Row],[SISMED]],TblDisponibilidad[],14,FALSE), 0)</f>
        <v>0</v>
      </c>
      <c r="K438">
        <f>IFERROR(VLOOKUP(Tabla1[[#This Row],[SISMED]],TblDisponibilidad[],15,FALSE), 0)</f>
        <v>0</v>
      </c>
      <c r="L438">
        <f>IFERROR(VLOOKUP(Tabla1[[#This Row],[SISMED]],TblDisponibilidad[],16,FALSE), 0)</f>
        <v>0</v>
      </c>
      <c r="M438">
        <f>IFERROR(VLOOKUP(Tabla1[[#This Row],[SISMED]],TblDisponibilidad[],17,FALSE), 0)</f>
        <v>0</v>
      </c>
      <c r="N438">
        <f>IFERROR(VLOOKUP(Tabla1[[#This Row],[SISMED]],TblDisponibilidad[],18,FALSE), 0)</f>
        <v>0</v>
      </c>
      <c r="O438">
        <f>IFERROR(VLOOKUP(Tabla1[[#This Row],[SISMED]],TblDisponibilidad[],19,FALSE), 0)</f>
        <v>0</v>
      </c>
      <c r="P438">
        <f>IFERROR(VLOOKUP(Tabla1[[#This Row],[SISMED]],TblDisponibilidad[],20,FALSE), 0)</f>
        <v>0</v>
      </c>
      <c r="Q438">
        <f>IFERROR(VLOOKUP(Tabla1[[#This Row],[SISMED]],TblDisponibilidad[],21,FALSE), 0)</f>
        <v>0</v>
      </c>
      <c r="R438">
        <f>IFERROR(VLOOKUP(Tabla1[[#This Row],[SISMED]],TblDisponibilidad[],22,FALSE), 0)</f>
        <v>0</v>
      </c>
      <c r="S438" s="15">
        <f>IFERROR(VLOOKUP(Tabla1[[#This Row],[SISMED]],TblDisponibilidad[],23,FALSE), 0)</f>
        <v>0</v>
      </c>
    </row>
    <row r="439" spans="1:19" x14ac:dyDescent="0.3">
      <c r="A439" s="15" t="s">
        <v>469</v>
      </c>
      <c r="B439" t="str">
        <f>IFERROR(VLOOKUP(Tabla1[[#This Row],[SISMED]],TblDisponibilidad[],2,FALSE), "")</f>
        <v/>
      </c>
      <c r="C439">
        <f>IFERROR(VLOOKUP(Tabla1[[#This Row],[SISMED]],TblDisponibilidad[],7,FALSE), 0)</f>
        <v>0</v>
      </c>
      <c r="D439">
        <f>IFERROR(VLOOKUP(Tabla1[[#This Row],[SISMED]],TblDisponibilidad[],8,FALSE), 0)</f>
        <v>0</v>
      </c>
      <c r="E439">
        <f>IFERROR(VLOOKUP(Tabla1[[#This Row],[SISMED]],TblDisponibilidad[],9,FALSE), 0)</f>
        <v>0</v>
      </c>
      <c r="F439">
        <f>IFERROR(VLOOKUP(Tabla1[[#This Row],[SISMED]],TblDisponibilidad[],10,FALSE), 0)</f>
        <v>0</v>
      </c>
      <c r="G439">
        <f>IFERROR(VLOOKUP(Tabla1[[#This Row],[SISMED]],TblDisponibilidad[],11,FALSE), 0)</f>
        <v>0</v>
      </c>
      <c r="H439">
        <f>IFERROR(VLOOKUP(Tabla1[[#This Row],[SISMED]],TblDisponibilidad[],12,FALSE), 0)</f>
        <v>0</v>
      </c>
      <c r="I439">
        <f>IFERROR(VLOOKUP(Tabla1[[#This Row],[SISMED]],TblDisponibilidad[],13,FALSE), 0)</f>
        <v>0</v>
      </c>
      <c r="J439">
        <f>IFERROR(VLOOKUP(Tabla1[[#This Row],[SISMED]],TblDisponibilidad[],14,FALSE), 0)</f>
        <v>0</v>
      </c>
      <c r="K439">
        <f>IFERROR(VLOOKUP(Tabla1[[#This Row],[SISMED]],TblDisponibilidad[],15,FALSE), 0)</f>
        <v>0</v>
      </c>
      <c r="L439">
        <f>IFERROR(VLOOKUP(Tabla1[[#This Row],[SISMED]],TblDisponibilidad[],16,FALSE), 0)</f>
        <v>0</v>
      </c>
      <c r="M439">
        <f>IFERROR(VLOOKUP(Tabla1[[#This Row],[SISMED]],TblDisponibilidad[],17,FALSE), 0)</f>
        <v>0</v>
      </c>
      <c r="N439">
        <f>IFERROR(VLOOKUP(Tabla1[[#This Row],[SISMED]],TblDisponibilidad[],18,FALSE), 0)</f>
        <v>0</v>
      </c>
      <c r="O439">
        <f>IFERROR(VLOOKUP(Tabla1[[#This Row],[SISMED]],TblDisponibilidad[],19,FALSE), 0)</f>
        <v>0</v>
      </c>
      <c r="P439">
        <f>IFERROR(VLOOKUP(Tabla1[[#This Row],[SISMED]],TblDisponibilidad[],20,FALSE), 0)</f>
        <v>0</v>
      </c>
      <c r="Q439">
        <f>IFERROR(VLOOKUP(Tabla1[[#This Row],[SISMED]],TblDisponibilidad[],21,FALSE), 0)</f>
        <v>0</v>
      </c>
      <c r="R439">
        <f>IFERROR(VLOOKUP(Tabla1[[#This Row],[SISMED]],TblDisponibilidad[],22,FALSE), 0)</f>
        <v>0</v>
      </c>
      <c r="S439" s="15">
        <f>IFERROR(VLOOKUP(Tabla1[[#This Row],[SISMED]],TblDisponibilidad[],23,FALSE), 0)</f>
        <v>0</v>
      </c>
    </row>
    <row r="440" spans="1:19" x14ac:dyDescent="0.3">
      <c r="A440" s="15" t="s">
        <v>470</v>
      </c>
      <c r="B440" t="str">
        <f>IFERROR(VLOOKUP(Tabla1[[#This Row],[SISMED]],TblDisponibilidad[],2,FALSE), "")</f>
        <v/>
      </c>
      <c r="C440">
        <f>IFERROR(VLOOKUP(Tabla1[[#This Row],[SISMED]],TblDisponibilidad[],7,FALSE), 0)</f>
        <v>0</v>
      </c>
      <c r="D440">
        <f>IFERROR(VLOOKUP(Tabla1[[#This Row],[SISMED]],TblDisponibilidad[],8,FALSE), 0)</f>
        <v>0</v>
      </c>
      <c r="E440">
        <f>IFERROR(VLOOKUP(Tabla1[[#This Row],[SISMED]],TblDisponibilidad[],9,FALSE), 0)</f>
        <v>0</v>
      </c>
      <c r="F440">
        <f>IFERROR(VLOOKUP(Tabla1[[#This Row],[SISMED]],TblDisponibilidad[],10,FALSE), 0)</f>
        <v>0</v>
      </c>
      <c r="G440">
        <f>IFERROR(VLOOKUP(Tabla1[[#This Row],[SISMED]],TblDisponibilidad[],11,FALSE), 0)</f>
        <v>0</v>
      </c>
      <c r="H440">
        <f>IFERROR(VLOOKUP(Tabla1[[#This Row],[SISMED]],TblDisponibilidad[],12,FALSE), 0)</f>
        <v>0</v>
      </c>
      <c r="I440">
        <f>IFERROR(VLOOKUP(Tabla1[[#This Row],[SISMED]],TblDisponibilidad[],13,FALSE), 0)</f>
        <v>0</v>
      </c>
      <c r="J440">
        <f>IFERROR(VLOOKUP(Tabla1[[#This Row],[SISMED]],TblDisponibilidad[],14,FALSE), 0)</f>
        <v>0</v>
      </c>
      <c r="K440">
        <f>IFERROR(VLOOKUP(Tabla1[[#This Row],[SISMED]],TblDisponibilidad[],15,FALSE), 0)</f>
        <v>0</v>
      </c>
      <c r="L440">
        <f>IFERROR(VLOOKUP(Tabla1[[#This Row],[SISMED]],TblDisponibilidad[],16,FALSE), 0)</f>
        <v>0</v>
      </c>
      <c r="M440">
        <f>IFERROR(VLOOKUP(Tabla1[[#This Row],[SISMED]],TblDisponibilidad[],17,FALSE), 0)</f>
        <v>0</v>
      </c>
      <c r="N440">
        <f>IFERROR(VLOOKUP(Tabla1[[#This Row],[SISMED]],TblDisponibilidad[],18,FALSE), 0)</f>
        <v>0</v>
      </c>
      <c r="O440">
        <f>IFERROR(VLOOKUP(Tabla1[[#This Row],[SISMED]],TblDisponibilidad[],19,FALSE), 0)</f>
        <v>0</v>
      </c>
      <c r="P440">
        <f>IFERROR(VLOOKUP(Tabla1[[#This Row],[SISMED]],TblDisponibilidad[],20,FALSE), 0)</f>
        <v>0</v>
      </c>
      <c r="Q440">
        <f>IFERROR(VLOOKUP(Tabla1[[#This Row],[SISMED]],TblDisponibilidad[],21,FALSE), 0)</f>
        <v>0</v>
      </c>
      <c r="R440">
        <f>IFERROR(VLOOKUP(Tabla1[[#This Row],[SISMED]],TblDisponibilidad[],22,FALSE), 0)</f>
        <v>0</v>
      </c>
      <c r="S440" s="15">
        <f>IFERROR(VLOOKUP(Tabla1[[#This Row],[SISMED]],TblDisponibilidad[],23,FALSE), 0)</f>
        <v>0</v>
      </c>
    </row>
    <row r="441" spans="1:19" x14ac:dyDescent="0.3">
      <c r="A441" s="15" t="s">
        <v>471</v>
      </c>
      <c r="B441" t="str">
        <f>IFERROR(VLOOKUP(Tabla1[[#This Row],[SISMED]],TblDisponibilidad[],2,FALSE), "")</f>
        <v/>
      </c>
      <c r="C441">
        <f>IFERROR(VLOOKUP(Tabla1[[#This Row],[SISMED]],TblDisponibilidad[],7,FALSE), 0)</f>
        <v>0</v>
      </c>
      <c r="D441">
        <f>IFERROR(VLOOKUP(Tabla1[[#This Row],[SISMED]],TblDisponibilidad[],8,FALSE), 0)</f>
        <v>0</v>
      </c>
      <c r="E441">
        <f>IFERROR(VLOOKUP(Tabla1[[#This Row],[SISMED]],TblDisponibilidad[],9,FALSE), 0)</f>
        <v>0</v>
      </c>
      <c r="F441">
        <f>IFERROR(VLOOKUP(Tabla1[[#This Row],[SISMED]],TblDisponibilidad[],10,FALSE), 0)</f>
        <v>0</v>
      </c>
      <c r="G441">
        <f>IFERROR(VLOOKUP(Tabla1[[#This Row],[SISMED]],TblDisponibilidad[],11,FALSE), 0)</f>
        <v>0</v>
      </c>
      <c r="H441">
        <f>IFERROR(VLOOKUP(Tabla1[[#This Row],[SISMED]],TblDisponibilidad[],12,FALSE), 0)</f>
        <v>0</v>
      </c>
      <c r="I441">
        <f>IFERROR(VLOOKUP(Tabla1[[#This Row],[SISMED]],TblDisponibilidad[],13,FALSE), 0)</f>
        <v>0</v>
      </c>
      <c r="J441">
        <f>IFERROR(VLOOKUP(Tabla1[[#This Row],[SISMED]],TblDisponibilidad[],14,FALSE), 0)</f>
        <v>0</v>
      </c>
      <c r="K441">
        <f>IFERROR(VLOOKUP(Tabla1[[#This Row],[SISMED]],TblDisponibilidad[],15,FALSE), 0)</f>
        <v>0</v>
      </c>
      <c r="L441">
        <f>IFERROR(VLOOKUP(Tabla1[[#This Row],[SISMED]],TblDisponibilidad[],16,FALSE), 0)</f>
        <v>0</v>
      </c>
      <c r="M441">
        <f>IFERROR(VLOOKUP(Tabla1[[#This Row],[SISMED]],TblDisponibilidad[],17,FALSE), 0)</f>
        <v>0</v>
      </c>
      <c r="N441">
        <f>IFERROR(VLOOKUP(Tabla1[[#This Row],[SISMED]],TblDisponibilidad[],18,FALSE), 0)</f>
        <v>0</v>
      </c>
      <c r="O441">
        <f>IFERROR(VLOOKUP(Tabla1[[#This Row],[SISMED]],TblDisponibilidad[],19,FALSE), 0)</f>
        <v>0</v>
      </c>
      <c r="P441">
        <f>IFERROR(VLOOKUP(Tabla1[[#This Row],[SISMED]],TblDisponibilidad[],20,FALSE), 0)</f>
        <v>0</v>
      </c>
      <c r="Q441">
        <f>IFERROR(VLOOKUP(Tabla1[[#This Row],[SISMED]],TblDisponibilidad[],21,FALSE), 0)</f>
        <v>0</v>
      </c>
      <c r="R441">
        <f>IFERROR(VLOOKUP(Tabla1[[#This Row],[SISMED]],TblDisponibilidad[],22,FALSE), 0)</f>
        <v>0</v>
      </c>
      <c r="S441" s="15">
        <f>IFERROR(VLOOKUP(Tabla1[[#This Row],[SISMED]],TblDisponibilidad[],23,FALSE), 0)</f>
        <v>0</v>
      </c>
    </row>
    <row r="442" spans="1:19" x14ac:dyDescent="0.3">
      <c r="A442" s="15" t="s">
        <v>472</v>
      </c>
      <c r="B442" t="str">
        <f>IFERROR(VLOOKUP(Tabla1[[#This Row],[SISMED]],TblDisponibilidad[],2,FALSE), "")</f>
        <v/>
      </c>
      <c r="C442">
        <f>IFERROR(VLOOKUP(Tabla1[[#This Row],[SISMED]],TblDisponibilidad[],7,FALSE), 0)</f>
        <v>0</v>
      </c>
      <c r="D442">
        <f>IFERROR(VLOOKUP(Tabla1[[#This Row],[SISMED]],TblDisponibilidad[],8,FALSE), 0)</f>
        <v>0</v>
      </c>
      <c r="E442">
        <f>IFERROR(VLOOKUP(Tabla1[[#This Row],[SISMED]],TblDisponibilidad[],9,FALSE), 0)</f>
        <v>0</v>
      </c>
      <c r="F442">
        <f>IFERROR(VLOOKUP(Tabla1[[#This Row],[SISMED]],TblDisponibilidad[],10,FALSE), 0)</f>
        <v>0</v>
      </c>
      <c r="G442">
        <f>IFERROR(VLOOKUP(Tabla1[[#This Row],[SISMED]],TblDisponibilidad[],11,FALSE), 0)</f>
        <v>0</v>
      </c>
      <c r="H442">
        <f>IFERROR(VLOOKUP(Tabla1[[#This Row],[SISMED]],TblDisponibilidad[],12,FALSE), 0)</f>
        <v>0</v>
      </c>
      <c r="I442">
        <f>IFERROR(VLOOKUP(Tabla1[[#This Row],[SISMED]],TblDisponibilidad[],13,FALSE), 0)</f>
        <v>0</v>
      </c>
      <c r="J442">
        <f>IFERROR(VLOOKUP(Tabla1[[#This Row],[SISMED]],TblDisponibilidad[],14,FALSE), 0)</f>
        <v>0</v>
      </c>
      <c r="K442">
        <f>IFERROR(VLOOKUP(Tabla1[[#This Row],[SISMED]],TblDisponibilidad[],15,FALSE), 0)</f>
        <v>0</v>
      </c>
      <c r="L442">
        <f>IFERROR(VLOOKUP(Tabla1[[#This Row],[SISMED]],TblDisponibilidad[],16,FALSE), 0)</f>
        <v>0</v>
      </c>
      <c r="M442">
        <f>IFERROR(VLOOKUP(Tabla1[[#This Row],[SISMED]],TblDisponibilidad[],17,FALSE), 0)</f>
        <v>0</v>
      </c>
      <c r="N442">
        <f>IFERROR(VLOOKUP(Tabla1[[#This Row],[SISMED]],TblDisponibilidad[],18,FALSE), 0)</f>
        <v>0</v>
      </c>
      <c r="O442">
        <f>IFERROR(VLOOKUP(Tabla1[[#This Row],[SISMED]],TblDisponibilidad[],19,FALSE), 0)</f>
        <v>0</v>
      </c>
      <c r="P442">
        <f>IFERROR(VLOOKUP(Tabla1[[#This Row],[SISMED]],TblDisponibilidad[],20,FALSE), 0)</f>
        <v>0</v>
      </c>
      <c r="Q442">
        <f>IFERROR(VLOOKUP(Tabla1[[#This Row],[SISMED]],TblDisponibilidad[],21,FALSE), 0)</f>
        <v>0</v>
      </c>
      <c r="R442">
        <f>IFERROR(VLOOKUP(Tabla1[[#This Row],[SISMED]],TblDisponibilidad[],22,FALSE), 0)</f>
        <v>0</v>
      </c>
      <c r="S442" s="15">
        <f>IFERROR(VLOOKUP(Tabla1[[#This Row],[SISMED]],TblDisponibilidad[],23,FALSE), 0)</f>
        <v>0</v>
      </c>
    </row>
    <row r="443" spans="1:19" x14ac:dyDescent="0.3">
      <c r="A443" s="15" t="s">
        <v>473</v>
      </c>
      <c r="B443" t="str">
        <f>IFERROR(VLOOKUP(Tabla1[[#This Row],[SISMED]],TblDisponibilidad[],2,FALSE), "")</f>
        <v/>
      </c>
      <c r="C443">
        <f>IFERROR(VLOOKUP(Tabla1[[#This Row],[SISMED]],TblDisponibilidad[],7,FALSE), 0)</f>
        <v>0</v>
      </c>
      <c r="D443">
        <f>IFERROR(VLOOKUP(Tabla1[[#This Row],[SISMED]],TblDisponibilidad[],8,FALSE), 0)</f>
        <v>0</v>
      </c>
      <c r="E443">
        <f>IFERROR(VLOOKUP(Tabla1[[#This Row],[SISMED]],TblDisponibilidad[],9,FALSE), 0)</f>
        <v>0</v>
      </c>
      <c r="F443">
        <f>IFERROR(VLOOKUP(Tabla1[[#This Row],[SISMED]],TblDisponibilidad[],10,FALSE), 0)</f>
        <v>0</v>
      </c>
      <c r="G443">
        <f>IFERROR(VLOOKUP(Tabla1[[#This Row],[SISMED]],TblDisponibilidad[],11,FALSE), 0)</f>
        <v>0</v>
      </c>
      <c r="H443">
        <f>IFERROR(VLOOKUP(Tabla1[[#This Row],[SISMED]],TblDisponibilidad[],12,FALSE), 0)</f>
        <v>0</v>
      </c>
      <c r="I443">
        <f>IFERROR(VLOOKUP(Tabla1[[#This Row],[SISMED]],TblDisponibilidad[],13,FALSE), 0)</f>
        <v>0</v>
      </c>
      <c r="J443">
        <f>IFERROR(VLOOKUP(Tabla1[[#This Row],[SISMED]],TblDisponibilidad[],14,FALSE), 0)</f>
        <v>0</v>
      </c>
      <c r="K443">
        <f>IFERROR(VLOOKUP(Tabla1[[#This Row],[SISMED]],TblDisponibilidad[],15,FALSE), 0)</f>
        <v>0</v>
      </c>
      <c r="L443">
        <f>IFERROR(VLOOKUP(Tabla1[[#This Row],[SISMED]],TblDisponibilidad[],16,FALSE), 0)</f>
        <v>0</v>
      </c>
      <c r="M443">
        <f>IFERROR(VLOOKUP(Tabla1[[#This Row],[SISMED]],TblDisponibilidad[],17,FALSE), 0)</f>
        <v>0</v>
      </c>
      <c r="N443">
        <f>IFERROR(VLOOKUP(Tabla1[[#This Row],[SISMED]],TblDisponibilidad[],18,FALSE), 0)</f>
        <v>0</v>
      </c>
      <c r="O443">
        <f>IFERROR(VLOOKUP(Tabla1[[#This Row],[SISMED]],TblDisponibilidad[],19,FALSE), 0)</f>
        <v>0</v>
      </c>
      <c r="P443">
        <f>IFERROR(VLOOKUP(Tabla1[[#This Row],[SISMED]],TblDisponibilidad[],20,FALSE), 0)</f>
        <v>0</v>
      </c>
      <c r="Q443">
        <f>IFERROR(VLOOKUP(Tabla1[[#This Row],[SISMED]],TblDisponibilidad[],21,FALSE), 0)</f>
        <v>0</v>
      </c>
      <c r="R443">
        <f>IFERROR(VLOOKUP(Tabla1[[#This Row],[SISMED]],TblDisponibilidad[],22,FALSE), 0)</f>
        <v>0</v>
      </c>
      <c r="S443" s="15">
        <f>IFERROR(VLOOKUP(Tabla1[[#This Row],[SISMED]],TblDisponibilidad[],23,FALSE), 0)</f>
        <v>0</v>
      </c>
    </row>
    <row r="444" spans="1:19" x14ac:dyDescent="0.3">
      <c r="A444" s="15" t="s">
        <v>474</v>
      </c>
      <c r="B444" t="str">
        <f>IFERROR(VLOOKUP(Tabla1[[#This Row],[SISMED]],TblDisponibilidad[],2,FALSE), "")</f>
        <v/>
      </c>
      <c r="C444">
        <f>IFERROR(VLOOKUP(Tabla1[[#This Row],[SISMED]],TblDisponibilidad[],7,FALSE), 0)</f>
        <v>0</v>
      </c>
      <c r="D444">
        <f>IFERROR(VLOOKUP(Tabla1[[#This Row],[SISMED]],TblDisponibilidad[],8,FALSE), 0)</f>
        <v>0</v>
      </c>
      <c r="E444">
        <f>IFERROR(VLOOKUP(Tabla1[[#This Row],[SISMED]],TblDisponibilidad[],9,FALSE), 0)</f>
        <v>0</v>
      </c>
      <c r="F444">
        <f>IFERROR(VLOOKUP(Tabla1[[#This Row],[SISMED]],TblDisponibilidad[],10,FALSE), 0)</f>
        <v>0</v>
      </c>
      <c r="G444">
        <f>IFERROR(VLOOKUP(Tabla1[[#This Row],[SISMED]],TblDisponibilidad[],11,FALSE), 0)</f>
        <v>0</v>
      </c>
      <c r="H444">
        <f>IFERROR(VLOOKUP(Tabla1[[#This Row],[SISMED]],TblDisponibilidad[],12,FALSE), 0)</f>
        <v>0</v>
      </c>
      <c r="I444">
        <f>IFERROR(VLOOKUP(Tabla1[[#This Row],[SISMED]],TblDisponibilidad[],13,FALSE), 0)</f>
        <v>0</v>
      </c>
      <c r="J444">
        <f>IFERROR(VLOOKUP(Tabla1[[#This Row],[SISMED]],TblDisponibilidad[],14,FALSE), 0)</f>
        <v>0</v>
      </c>
      <c r="K444">
        <f>IFERROR(VLOOKUP(Tabla1[[#This Row],[SISMED]],TblDisponibilidad[],15,FALSE), 0)</f>
        <v>0</v>
      </c>
      <c r="L444">
        <f>IFERROR(VLOOKUP(Tabla1[[#This Row],[SISMED]],TblDisponibilidad[],16,FALSE), 0)</f>
        <v>0</v>
      </c>
      <c r="M444">
        <f>IFERROR(VLOOKUP(Tabla1[[#This Row],[SISMED]],TblDisponibilidad[],17,FALSE), 0)</f>
        <v>0</v>
      </c>
      <c r="N444">
        <f>IFERROR(VLOOKUP(Tabla1[[#This Row],[SISMED]],TblDisponibilidad[],18,FALSE), 0)</f>
        <v>0</v>
      </c>
      <c r="O444">
        <f>IFERROR(VLOOKUP(Tabla1[[#This Row],[SISMED]],TblDisponibilidad[],19,FALSE), 0)</f>
        <v>0</v>
      </c>
      <c r="P444">
        <f>IFERROR(VLOOKUP(Tabla1[[#This Row],[SISMED]],TblDisponibilidad[],20,FALSE), 0)</f>
        <v>0</v>
      </c>
      <c r="Q444">
        <f>IFERROR(VLOOKUP(Tabla1[[#This Row],[SISMED]],TblDisponibilidad[],21,FALSE), 0)</f>
        <v>0</v>
      </c>
      <c r="R444">
        <f>IFERROR(VLOOKUP(Tabla1[[#This Row],[SISMED]],TblDisponibilidad[],22,FALSE), 0)</f>
        <v>0</v>
      </c>
      <c r="S444" s="15">
        <f>IFERROR(VLOOKUP(Tabla1[[#This Row],[SISMED]],TblDisponibilidad[],23,FALSE), 0)</f>
        <v>0</v>
      </c>
    </row>
    <row r="445" spans="1:19" x14ac:dyDescent="0.3">
      <c r="A445" s="15" t="s">
        <v>475</v>
      </c>
      <c r="B445" t="str">
        <f>IFERROR(VLOOKUP(Tabla1[[#This Row],[SISMED]],TblDisponibilidad[],2,FALSE), "")</f>
        <v/>
      </c>
      <c r="C445">
        <f>IFERROR(VLOOKUP(Tabla1[[#This Row],[SISMED]],TblDisponibilidad[],7,FALSE), 0)</f>
        <v>0</v>
      </c>
      <c r="D445">
        <f>IFERROR(VLOOKUP(Tabla1[[#This Row],[SISMED]],TblDisponibilidad[],8,FALSE), 0)</f>
        <v>0</v>
      </c>
      <c r="E445">
        <f>IFERROR(VLOOKUP(Tabla1[[#This Row],[SISMED]],TblDisponibilidad[],9,FALSE), 0)</f>
        <v>0</v>
      </c>
      <c r="F445">
        <f>IFERROR(VLOOKUP(Tabla1[[#This Row],[SISMED]],TblDisponibilidad[],10,FALSE), 0)</f>
        <v>0</v>
      </c>
      <c r="G445">
        <f>IFERROR(VLOOKUP(Tabla1[[#This Row],[SISMED]],TblDisponibilidad[],11,FALSE), 0)</f>
        <v>0</v>
      </c>
      <c r="H445">
        <f>IFERROR(VLOOKUP(Tabla1[[#This Row],[SISMED]],TblDisponibilidad[],12,FALSE), 0)</f>
        <v>0</v>
      </c>
      <c r="I445">
        <f>IFERROR(VLOOKUP(Tabla1[[#This Row],[SISMED]],TblDisponibilidad[],13,FALSE), 0)</f>
        <v>0</v>
      </c>
      <c r="J445">
        <f>IFERROR(VLOOKUP(Tabla1[[#This Row],[SISMED]],TblDisponibilidad[],14,FALSE), 0)</f>
        <v>0</v>
      </c>
      <c r="K445">
        <f>IFERROR(VLOOKUP(Tabla1[[#This Row],[SISMED]],TblDisponibilidad[],15,FALSE), 0)</f>
        <v>0</v>
      </c>
      <c r="L445">
        <f>IFERROR(VLOOKUP(Tabla1[[#This Row],[SISMED]],TblDisponibilidad[],16,FALSE), 0)</f>
        <v>0</v>
      </c>
      <c r="M445">
        <f>IFERROR(VLOOKUP(Tabla1[[#This Row],[SISMED]],TblDisponibilidad[],17,FALSE), 0)</f>
        <v>0</v>
      </c>
      <c r="N445">
        <f>IFERROR(VLOOKUP(Tabla1[[#This Row],[SISMED]],TblDisponibilidad[],18,FALSE), 0)</f>
        <v>0</v>
      </c>
      <c r="O445">
        <f>IFERROR(VLOOKUP(Tabla1[[#This Row],[SISMED]],TblDisponibilidad[],19,FALSE), 0)</f>
        <v>0</v>
      </c>
      <c r="P445">
        <f>IFERROR(VLOOKUP(Tabla1[[#This Row],[SISMED]],TblDisponibilidad[],20,FALSE), 0)</f>
        <v>0</v>
      </c>
      <c r="Q445">
        <f>IFERROR(VLOOKUP(Tabla1[[#This Row],[SISMED]],TblDisponibilidad[],21,FALSE), 0)</f>
        <v>0</v>
      </c>
      <c r="R445">
        <f>IFERROR(VLOOKUP(Tabla1[[#This Row],[SISMED]],TblDisponibilidad[],22,FALSE), 0)</f>
        <v>0</v>
      </c>
      <c r="S445" s="15">
        <f>IFERROR(VLOOKUP(Tabla1[[#This Row],[SISMED]],TblDisponibilidad[],23,FALSE), 0)</f>
        <v>0</v>
      </c>
    </row>
    <row r="446" spans="1:19" x14ac:dyDescent="0.3">
      <c r="A446" s="15" t="s">
        <v>476</v>
      </c>
      <c r="B446" t="str">
        <f>IFERROR(VLOOKUP(Tabla1[[#This Row],[SISMED]],TblDisponibilidad[],2,FALSE), "")</f>
        <v/>
      </c>
      <c r="C446">
        <f>IFERROR(VLOOKUP(Tabla1[[#This Row],[SISMED]],TblDisponibilidad[],7,FALSE), 0)</f>
        <v>0</v>
      </c>
      <c r="D446">
        <f>IFERROR(VLOOKUP(Tabla1[[#This Row],[SISMED]],TblDisponibilidad[],8,FALSE), 0)</f>
        <v>0</v>
      </c>
      <c r="E446">
        <f>IFERROR(VLOOKUP(Tabla1[[#This Row],[SISMED]],TblDisponibilidad[],9,FALSE), 0)</f>
        <v>0</v>
      </c>
      <c r="F446">
        <f>IFERROR(VLOOKUP(Tabla1[[#This Row],[SISMED]],TblDisponibilidad[],10,FALSE), 0)</f>
        <v>0</v>
      </c>
      <c r="G446">
        <f>IFERROR(VLOOKUP(Tabla1[[#This Row],[SISMED]],TblDisponibilidad[],11,FALSE), 0)</f>
        <v>0</v>
      </c>
      <c r="H446">
        <f>IFERROR(VLOOKUP(Tabla1[[#This Row],[SISMED]],TblDisponibilidad[],12,FALSE), 0)</f>
        <v>0</v>
      </c>
      <c r="I446">
        <f>IFERROR(VLOOKUP(Tabla1[[#This Row],[SISMED]],TblDisponibilidad[],13,FALSE), 0)</f>
        <v>0</v>
      </c>
      <c r="J446">
        <f>IFERROR(VLOOKUP(Tabla1[[#This Row],[SISMED]],TblDisponibilidad[],14,FALSE), 0)</f>
        <v>0</v>
      </c>
      <c r="K446">
        <f>IFERROR(VLOOKUP(Tabla1[[#This Row],[SISMED]],TblDisponibilidad[],15,FALSE), 0)</f>
        <v>0</v>
      </c>
      <c r="L446">
        <f>IFERROR(VLOOKUP(Tabla1[[#This Row],[SISMED]],TblDisponibilidad[],16,FALSE), 0)</f>
        <v>0</v>
      </c>
      <c r="M446">
        <f>IFERROR(VLOOKUP(Tabla1[[#This Row],[SISMED]],TblDisponibilidad[],17,FALSE), 0)</f>
        <v>0</v>
      </c>
      <c r="N446">
        <f>IFERROR(VLOOKUP(Tabla1[[#This Row],[SISMED]],TblDisponibilidad[],18,FALSE), 0)</f>
        <v>0</v>
      </c>
      <c r="O446">
        <f>IFERROR(VLOOKUP(Tabla1[[#This Row],[SISMED]],TblDisponibilidad[],19,FALSE), 0)</f>
        <v>0</v>
      </c>
      <c r="P446">
        <f>IFERROR(VLOOKUP(Tabla1[[#This Row],[SISMED]],TblDisponibilidad[],20,FALSE), 0)</f>
        <v>0</v>
      </c>
      <c r="Q446">
        <f>IFERROR(VLOOKUP(Tabla1[[#This Row],[SISMED]],TblDisponibilidad[],21,FALSE), 0)</f>
        <v>0</v>
      </c>
      <c r="R446">
        <f>IFERROR(VLOOKUP(Tabla1[[#This Row],[SISMED]],TblDisponibilidad[],22,FALSE), 0)</f>
        <v>0</v>
      </c>
      <c r="S446" s="15">
        <f>IFERROR(VLOOKUP(Tabla1[[#This Row],[SISMED]],TblDisponibilidad[],23,FALSE), 0)</f>
        <v>0</v>
      </c>
    </row>
    <row r="447" spans="1:19" x14ac:dyDescent="0.3">
      <c r="A447" s="15" t="s">
        <v>477</v>
      </c>
      <c r="B447" t="str">
        <f>IFERROR(VLOOKUP(Tabla1[[#This Row],[SISMED]],TblDisponibilidad[],2,FALSE), "")</f>
        <v/>
      </c>
      <c r="C447">
        <f>IFERROR(VLOOKUP(Tabla1[[#This Row],[SISMED]],TblDisponibilidad[],7,FALSE), 0)</f>
        <v>0</v>
      </c>
      <c r="D447">
        <f>IFERROR(VLOOKUP(Tabla1[[#This Row],[SISMED]],TblDisponibilidad[],8,FALSE), 0)</f>
        <v>0</v>
      </c>
      <c r="E447">
        <f>IFERROR(VLOOKUP(Tabla1[[#This Row],[SISMED]],TblDisponibilidad[],9,FALSE), 0)</f>
        <v>0</v>
      </c>
      <c r="F447">
        <f>IFERROR(VLOOKUP(Tabla1[[#This Row],[SISMED]],TblDisponibilidad[],10,FALSE), 0)</f>
        <v>0</v>
      </c>
      <c r="G447">
        <f>IFERROR(VLOOKUP(Tabla1[[#This Row],[SISMED]],TblDisponibilidad[],11,FALSE), 0)</f>
        <v>0</v>
      </c>
      <c r="H447">
        <f>IFERROR(VLOOKUP(Tabla1[[#This Row],[SISMED]],TblDisponibilidad[],12,FALSE), 0)</f>
        <v>0</v>
      </c>
      <c r="I447">
        <f>IFERROR(VLOOKUP(Tabla1[[#This Row],[SISMED]],TblDisponibilidad[],13,FALSE), 0)</f>
        <v>0</v>
      </c>
      <c r="J447">
        <f>IFERROR(VLOOKUP(Tabla1[[#This Row],[SISMED]],TblDisponibilidad[],14,FALSE), 0)</f>
        <v>0</v>
      </c>
      <c r="K447">
        <f>IFERROR(VLOOKUP(Tabla1[[#This Row],[SISMED]],TblDisponibilidad[],15,FALSE), 0)</f>
        <v>0</v>
      </c>
      <c r="L447">
        <f>IFERROR(VLOOKUP(Tabla1[[#This Row],[SISMED]],TblDisponibilidad[],16,FALSE), 0)</f>
        <v>0</v>
      </c>
      <c r="M447">
        <f>IFERROR(VLOOKUP(Tabla1[[#This Row],[SISMED]],TblDisponibilidad[],17,FALSE), 0)</f>
        <v>0</v>
      </c>
      <c r="N447">
        <f>IFERROR(VLOOKUP(Tabla1[[#This Row],[SISMED]],TblDisponibilidad[],18,FALSE), 0)</f>
        <v>0</v>
      </c>
      <c r="O447">
        <f>IFERROR(VLOOKUP(Tabla1[[#This Row],[SISMED]],TblDisponibilidad[],19,FALSE), 0)</f>
        <v>0</v>
      </c>
      <c r="P447">
        <f>IFERROR(VLOOKUP(Tabla1[[#This Row],[SISMED]],TblDisponibilidad[],20,FALSE), 0)</f>
        <v>0</v>
      </c>
      <c r="Q447">
        <f>IFERROR(VLOOKUP(Tabla1[[#This Row],[SISMED]],TblDisponibilidad[],21,FALSE), 0)</f>
        <v>0</v>
      </c>
      <c r="R447">
        <f>IFERROR(VLOOKUP(Tabla1[[#This Row],[SISMED]],TblDisponibilidad[],22,FALSE), 0)</f>
        <v>0</v>
      </c>
      <c r="S447" s="15">
        <f>IFERROR(VLOOKUP(Tabla1[[#This Row],[SISMED]],TblDisponibilidad[],23,FALSE), 0)</f>
        <v>0</v>
      </c>
    </row>
    <row r="448" spans="1:19" x14ac:dyDescent="0.3">
      <c r="A448" s="15" t="s">
        <v>478</v>
      </c>
      <c r="B448" t="str">
        <f>IFERROR(VLOOKUP(Tabla1[[#This Row],[SISMED]],TblDisponibilidad[],2,FALSE), "")</f>
        <v/>
      </c>
      <c r="C448">
        <f>IFERROR(VLOOKUP(Tabla1[[#This Row],[SISMED]],TblDisponibilidad[],7,FALSE), 0)</f>
        <v>0</v>
      </c>
      <c r="D448">
        <f>IFERROR(VLOOKUP(Tabla1[[#This Row],[SISMED]],TblDisponibilidad[],8,FALSE), 0)</f>
        <v>0</v>
      </c>
      <c r="E448">
        <f>IFERROR(VLOOKUP(Tabla1[[#This Row],[SISMED]],TblDisponibilidad[],9,FALSE), 0)</f>
        <v>0</v>
      </c>
      <c r="F448">
        <f>IFERROR(VLOOKUP(Tabla1[[#This Row],[SISMED]],TblDisponibilidad[],10,FALSE), 0)</f>
        <v>0</v>
      </c>
      <c r="G448">
        <f>IFERROR(VLOOKUP(Tabla1[[#This Row],[SISMED]],TblDisponibilidad[],11,FALSE), 0)</f>
        <v>0</v>
      </c>
      <c r="H448">
        <f>IFERROR(VLOOKUP(Tabla1[[#This Row],[SISMED]],TblDisponibilidad[],12,FALSE), 0)</f>
        <v>0</v>
      </c>
      <c r="I448">
        <f>IFERROR(VLOOKUP(Tabla1[[#This Row],[SISMED]],TblDisponibilidad[],13,FALSE), 0)</f>
        <v>0</v>
      </c>
      <c r="J448">
        <f>IFERROR(VLOOKUP(Tabla1[[#This Row],[SISMED]],TblDisponibilidad[],14,FALSE), 0)</f>
        <v>0</v>
      </c>
      <c r="K448">
        <f>IFERROR(VLOOKUP(Tabla1[[#This Row],[SISMED]],TblDisponibilidad[],15,FALSE), 0)</f>
        <v>0</v>
      </c>
      <c r="L448">
        <f>IFERROR(VLOOKUP(Tabla1[[#This Row],[SISMED]],TblDisponibilidad[],16,FALSE), 0)</f>
        <v>0</v>
      </c>
      <c r="M448">
        <f>IFERROR(VLOOKUP(Tabla1[[#This Row],[SISMED]],TblDisponibilidad[],17,FALSE), 0)</f>
        <v>0</v>
      </c>
      <c r="N448">
        <f>IFERROR(VLOOKUP(Tabla1[[#This Row],[SISMED]],TblDisponibilidad[],18,FALSE), 0)</f>
        <v>0</v>
      </c>
      <c r="O448">
        <f>IFERROR(VLOOKUP(Tabla1[[#This Row],[SISMED]],TblDisponibilidad[],19,FALSE), 0)</f>
        <v>0</v>
      </c>
      <c r="P448">
        <f>IFERROR(VLOOKUP(Tabla1[[#This Row],[SISMED]],TblDisponibilidad[],20,FALSE), 0)</f>
        <v>0</v>
      </c>
      <c r="Q448">
        <f>IFERROR(VLOOKUP(Tabla1[[#This Row],[SISMED]],TblDisponibilidad[],21,FALSE), 0)</f>
        <v>0</v>
      </c>
      <c r="R448">
        <f>IFERROR(VLOOKUP(Tabla1[[#This Row],[SISMED]],TblDisponibilidad[],22,FALSE), 0)</f>
        <v>0</v>
      </c>
      <c r="S448" s="15">
        <f>IFERROR(VLOOKUP(Tabla1[[#This Row],[SISMED]],TblDisponibilidad[],23,FALSE), 0)</f>
        <v>0</v>
      </c>
    </row>
    <row r="449" spans="1:19" x14ac:dyDescent="0.3">
      <c r="A449" s="15" t="s">
        <v>479</v>
      </c>
      <c r="B449" t="str">
        <f>IFERROR(VLOOKUP(Tabla1[[#This Row],[SISMED]],TblDisponibilidad[],2,FALSE), "")</f>
        <v/>
      </c>
      <c r="C449">
        <f>IFERROR(VLOOKUP(Tabla1[[#This Row],[SISMED]],TblDisponibilidad[],7,FALSE), 0)</f>
        <v>0</v>
      </c>
      <c r="D449">
        <f>IFERROR(VLOOKUP(Tabla1[[#This Row],[SISMED]],TblDisponibilidad[],8,FALSE), 0)</f>
        <v>0</v>
      </c>
      <c r="E449">
        <f>IFERROR(VLOOKUP(Tabla1[[#This Row],[SISMED]],TblDisponibilidad[],9,FALSE), 0)</f>
        <v>0</v>
      </c>
      <c r="F449">
        <f>IFERROR(VLOOKUP(Tabla1[[#This Row],[SISMED]],TblDisponibilidad[],10,FALSE), 0)</f>
        <v>0</v>
      </c>
      <c r="G449">
        <f>IFERROR(VLOOKUP(Tabla1[[#This Row],[SISMED]],TblDisponibilidad[],11,FALSE), 0)</f>
        <v>0</v>
      </c>
      <c r="H449">
        <f>IFERROR(VLOOKUP(Tabla1[[#This Row],[SISMED]],TblDisponibilidad[],12,FALSE), 0)</f>
        <v>0</v>
      </c>
      <c r="I449">
        <f>IFERROR(VLOOKUP(Tabla1[[#This Row],[SISMED]],TblDisponibilidad[],13,FALSE), 0)</f>
        <v>0</v>
      </c>
      <c r="J449">
        <f>IFERROR(VLOOKUP(Tabla1[[#This Row],[SISMED]],TblDisponibilidad[],14,FALSE), 0)</f>
        <v>0</v>
      </c>
      <c r="K449">
        <f>IFERROR(VLOOKUP(Tabla1[[#This Row],[SISMED]],TblDisponibilidad[],15,FALSE), 0)</f>
        <v>0</v>
      </c>
      <c r="L449">
        <f>IFERROR(VLOOKUP(Tabla1[[#This Row],[SISMED]],TblDisponibilidad[],16,FALSE), 0)</f>
        <v>0</v>
      </c>
      <c r="M449">
        <f>IFERROR(VLOOKUP(Tabla1[[#This Row],[SISMED]],TblDisponibilidad[],17,FALSE), 0)</f>
        <v>0</v>
      </c>
      <c r="N449">
        <f>IFERROR(VLOOKUP(Tabla1[[#This Row],[SISMED]],TblDisponibilidad[],18,FALSE), 0)</f>
        <v>0</v>
      </c>
      <c r="O449">
        <f>IFERROR(VLOOKUP(Tabla1[[#This Row],[SISMED]],TblDisponibilidad[],19,FALSE), 0)</f>
        <v>0</v>
      </c>
      <c r="P449">
        <f>IFERROR(VLOOKUP(Tabla1[[#This Row],[SISMED]],TblDisponibilidad[],20,FALSE), 0)</f>
        <v>0</v>
      </c>
      <c r="Q449">
        <f>IFERROR(VLOOKUP(Tabla1[[#This Row],[SISMED]],TblDisponibilidad[],21,FALSE), 0)</f>
        <v>0</v>
      </c>
      <c r="R449">
        <f>IFERROR(VLOOKUP(Tabla1[[#This Row],[SISMED]],TblDisponibilidad[],22,FALSE), 0)</f>
        <v>0</v>
      </c>
      <c r="S449" s="15">
        <f>IFERROR(VLOOKUP(Tabla1[[#This Row],[SISMED]],TblDisponibilidad[],23,FALSE), 0)</f>
        <v>0</v>
      </c>
    </row>
    <row r="450" spans="1:19" x14ac:dyDescent="0.3">
      <c r="A450" s="15" t="s">
        <v>480</v>
      </c>
      <c r="B450" t="str">
        <f>IFERROR(VLOOKUP(Tabla1[[#This Row],[SISMED]],TblDisponibilidad[],2,FALSE), "")</f>
        <v/>
      </c>
      <c r="C450">
        <f>IFERROR(VLOOKUP(Tabla1[[#This Row],[SISMED]],TblDisponibilidad[],7,FALSE), 0)</f>
        <v>0</v>
      </c>
      <c r="D450">
        <f>IFERROR(VLOOKUP(Tabla1[[#This Row],[SISMED]],TblDisponibilidad[],8,FALSE), 0)</f>
        <v>0</v>
      </c>
      <c r="E450">
        <f>IFERROR(VLOOKUP(Tabla1[[#This Row],[SISMED]],TblDisponibilidad[],9,FALSE), 0)</f>
        <v>0</v>
      </c>
      <c r="F450">
        <f>IFERROR(VLOOKUP(Tabla1[[#This Row],[SISMED]],TblDisponibilidad[],10,FALSE), 0)</f>
        <v>0</v>
      </c>
      <c r="G450">
        <f>IFERROR(VLOOKUP(Tabla1[[#This Row],[SISMED]],TblDisponibilidad[],11,FALSE), 0)</f>
        <v>0</v>
      </c>
      <c r="H450">
        <f>IFERROR(VLOOKUP(Tabla1[[#This Row],[SISMED]],TblDisponibilidad[],12,FALSE), 0)</f>
        <v>0</v>
      </c>
      <c r="I450">
        <f>IFERROR(VLOOKUP(Tabla1[[#This Row],[SISMED]],TblDisponibilidad[],13,FALSE), 0)</f>
        <v>0</v>
      </c>
      <c r="J450">
        <f>IFERROR(VLOOKUP(Tabla1[[#This Row],[SISMED]],TblDisponibilidad[],14,FALSE), 0)</f>
        <v>0</v>
      </c>
      <c r="K450">
        <f>IFERROR(VLOOKUP(Tabla1[[#This Row],[SISMED]],TblDisponibilidad[],15,FALSE), 0)</f>
        <v>0</v>
      </c>
      <c r="L450">
        <f>IFERROR(VLOOKUP(Tabla1[[#This Row],[SISMED]],TblDisponibilidad[],16,FALSE), 0)</f>
        <v>0</v>
      </c>
      <c r="M450">
        <f>IFERROR(VLOOKUP(Tabla1[[#This Row],[SISMED]],TblDisponibilidad[],17,FALSE), 0)</f>
        <v>0</v>
      </c>
      <c r="N450">
        <f>IFERROR(VLOOKUP(Tabla1[[#This Row],[SISMED]],TblDisponibilidad[],18,FALSE), 0)</f>
        <v>0</v>
      </c>
      <c r="O450">
        <f>IFERROR(VLOOKUP(Tabla1[[#This Row],[SISMED]],TblDisponibilidad[],19,FALSE), 0)</f>
        <v>0</v>
      </c>
      <c r="P450">
        <f>IFERROR(VLOOKUP(Tabla1[[#This Row],[SISMED]],TblDisponibilidad[],20,FALSE), 0)</f>
        <v>0</v>
      </c>
      <c r="Q450">
        <f>IFERROR(VLOOKUP(Tabla1[[#This Row],[SISMED]],TblDisponibilidad[],21,FALSE), 0)</f>
        <v>0</v>
      </c>
      <c r="R450">
        <f>IFERROR(VLOOKUP(Tabla1[[#This Row],[SISMED]],TblDisponibilidad[],22,FALSE), 0)</f>
        <v>0</v>
      </c>
      <c r="S450" s="15">
        <f>IFERROR(VLOOKUP(Tabla1[[#This Row],[SISMED]],TblDisponibilidad[],23,FALSE), 0)</f>
        <v>0</v>
      </c>
    </row>
    <row r="451" spans="1:19" x14ac:dyDescent="0.3">
      <c r="A451" s="15" t="s">
        <v>481</v>
      </c>
      <c r="B451" t="str">
        <f>IFERROR(VLOOKUP(Tabla1[[#This Row],[SISMED]],TblDisponibilidad[],2,FALSE), "")</f>
        <v/>
      </c>
      <c r="C451">
        <f>IFERROR(VLOOKUP(Tabla1[[#This Row],[SISMED]],TblDisponibilidad[],7,FALSE), 0)</f>
        <v>0</v>
      </c>
      <c r="D451">
        <f>IFERROR(VLOOKUP(Tabla1[[#This Row],[SISMED]],TblDisponibilidad[],8,FALSE), 0)</f>
        <v>0</v>
      </c>
      <c r="E451">
        <f>IFERROR(VLOOKUP(Tabla1[[#This Row],[SISMED]],TblDisponibilidad[],9,FALSE), 0)</f>
        <v>0</v>
      </c>
      <c r="F451">
        <f>IFERROR(VLOOKUP(Tabla1[[#This Row],[SISMED]],TblDisponibilidad[],10,FALSE), 0)</f>
        <v>0</v>
      </c>
      <c r="G451">
        <f>IFERROR(VLOOKUP(Tabla1[[#This Row],[SISMED]],TblDisponibilidad[],11,FALSE), 0)</f>
        <v>0</v>
      </c>
      <c r="H451">
        <f>IFERROR(VLOOKUP(Tabla1[[#This Row],[SISMED]],TblDisponibilidad[],12,FALSE), 0)</f>
        <v>0</v>
      </c>
      <c r="I451">
        <f>IFERROR(VLOOKUP(Tabla1[[#This Row],[SISMED]],TblDisponibilidad[],13,FALSE), 0)</f>
        <v>0</v>
      </c>
      <c r="J451">
        <f>IFERROR(VLOOKUP(Tabla1[[#This Row],[SISMED]],TblDisponibilidad[],14,FALSE), 0)</f>
        <v>0</v>
      </c>
      <c r="K451">
        <f>IFERROR(VLOOKUP(Tabla1[[#This Row],[SISMED]],TblDisponibilidad[],15,FALSE), 0)</f>
        <v>0</v>
      </c>
      <c r="L451">
        <f>IFERROR(VLOOKUP(Tabla1[[#This Row],[SISMED]],TblDisponibilidad[],16,FALSE), 0)</f>
        <v>0</v>
      </c>
      <c r="M451">
        <f>IFERROR(VLOOKUP(Tabla1[[#This Row],[SISMED]],TblDisponibilidad[],17,FALSE), 0)</f>
        <v>0</v>
      </c>
      <c r="N451">
        <f>IFERROR(VLOOKUP(Tabla1[[#This Row],[SISMED]],TblDisponibilidad[],18,FALSE), 0)</f>
        <v>0</v>
      </c>
      <c r="O451">
        <f>IFERROR(VLOOKUP(Tabla1[[#This Row],[SISMED]],TblDisponibilidad[],19,FALSE), 0)</f>
        <v>0</v>
      </c>
      <c r="P451">
        <f>IFERROR(VLOOKUP(Tabla1[[#This Row],[SISMED]],TblDisponibilidad[],20,FALSE), 0)</f>
        <v>0</v>
      </c>
      <c r="Q451">
        <f>IFERROR(VLOOKUP(Tabla1[[#This Row],[SISMED]],TblDisponibilidad[],21,FALSE), 0)</f>
        <v>0</v>
      </c>
      <c r="R451">
        <f>IFERROR(VLOOKUP(Tabla1[[#This Row],[SISMED]],TblDisponibilidad[],22,FALSE), 0)</f>
        <v>0</v>
      </c>
      <c r="S451" s="15">
        <f>IFERROR(VLOOKUP(Tabla1[[#This Row],[SISMED]],TblDisponibilidad[],23,FALSE), 0)</f>
        <v>0</v>
      </c>
    </row>
    <row r="452" spans="1:19" x14ac:dyDescent="0.3">
      <c r="A452" s="15" t="s">
        <v>482</v>
      </c>
      <c r="B452" t="str">
        <f>IFERROR(VLOOKUP(Tabla1[[#This Row],[SISMED]],TblDisponibilidad[],2,FALSE), "")</f>
        <v/>
      </c>
      <c r="C452">
        <f>IFERROR(VLOOKUP(Tabla1[[#This Row],[SISMED]],TblDisponibilidad[],7,FALSE), 0)</f>
        <v>0</v>
      </c>
      <c r="D452">
        <f>IFERROR(VLOOKUP(Tabla1[[#This Row],[SISMED]],TblDisponibilidad[],8,FALSE), 0)</f>
        <v>0</v>
      </c>
      <c r="E452">
        <f>IFERROR(VLOOKUP(Tabla1[[#This Row],[SISMED]],TblDisponibilidad[],9,FALSE), 0)</f>
        <v>0</v>
      </c>
      <c r="F452">
        <f>IFERROR(VLOOKUP(Tabla1[[#This Row],[SISMED]],TblDisponibilidad[],10,FALSE), 0)</f>
        <v>0</v>
      </c>
      <c r="G452">
        <f>IFERROR(VLOOKUP(Tabla1[[#This Row],[SISMED]],TblDisponibilidad[],11,FALSE), 0)</f>
        <v>0</v>
      </c>
      <c r="H452">
        <f>IFERROR(VLOOKUP(Tabla1[[#This Row],[SISMED]],TblDisponibilidad[],12,FALSE), 0)</f>
        <v>0</v>
      </c>
      <c r="I452">
        <f>IFERROR(VLOOKUP(Tabla1[[#This Row],[SISMED]],TblDisponibilidad[],13,FALSE), 0)</f>
        <v>0</v>
      </c>
      <c r="J452">
        <f>IFERROR(VLOOKUP(Tabla1[[#This Row],[SISMED]],TblDisponibilidad[],14,FALSE), 0)</f>
        <v>0</v>
      </c>
      <c r="K452">
        <f>IFERROR(VLOOKUP(Tabla1[[#This Row],[SISMED]],TblDisponibilidad[],15,FALSE), 0)</f>
        <v>0</v>
      </c>
      <c r="L452">
        <f>IFERROR(VLOOKUP(Tabla1[[#This Row],[SISMED]],TblDisponibilidad[],16,FALSE), 0)</f>
        <v>0</v>
      </c>
      <c r="M452">
        <f>IFERROR(VLOOKUP(Tabla1[[#This Row],[SISMED]],TblDisponibilidad[],17,FALSE), 0)</f>
        <v>0</v>
      </c>
      <c r="N452">
        <f>IFERROR(VLOOKUP(Tabla1[[#This Row],[SISMED]],TblDisponibilidad[],18,FALSE), 0)</f>
        <v>0</v>
      </c>
      <c r="O452">
        <f>IFERROR(VLOOKUP(Tabla1[[#This Row],[SISMED]],TblDisponibilidad[],19,FALSE), 0)</f>
        <v>0</v>
      </c>
      <c r="P452">
        <f>IFERROR(VLOOKUP(Tabla1[[#This Row],[SISMED]],TblDisponibilidad[],20,FALSE), 0)</f>
        <v>0</v>
      </c>
      <c r="Q452">
        <f>IFERROR(VLOOKUP(Tabla1[[#This Row],[SISMED]],TblDisponibilidad[],21,FALSE), 0)</f>
        <v>0</v>
      </c>
      <c r="R452">
        <f>IFERROR(VLOOKUP(Tabla1[[#This Row],[SISMED]],TblDisponibilidad[],22,FALSE), 0)</f>
        <v>0</v>
      </c>
      <c r="S452" s="15">
        <f>IFERROR(VLOOKUP(Tabla1[[#This Row],[SISMED]],TblDisponibilidad[],23,FALSE), 0)</f>
        <v>0</v>
      </c>
    </row>
    <row r="453" spans="1:19" x14ac:dyDescent="0.3">
      <c r="A453" s="15" t="s">
        <v>483</v>
      </c>
      <c r="B453" t="str">
        <f>IFERROR(VLOOKUP(Tabla1[[#This Row],[SISMED]],TblDisponibilidad[],2,FALSE), "")</f>
        <v/>
      </c>
      <c r="C453">
        <f>IFERROR(VLOOKUP(Tabla1[[#This Row],[SISMED]],TblDisponibilidad[],7,FALSE), 0)</f>
        <v>0</v>
      </c>
      <c r="D453">
        <f>IFERROR(VLOOKUP(Tabla1[[#This Row],[SISMED]],TblDisponibilidad[],8,FALSE), 0)</f>
        <v>0</v>
      </c>
      <c r="E453">
        <f>IFERROR(VLOOKUP(Tabla1[[#This Row],[SISMED]],TblDisponibilidad[],9,FALSE), 0)</f>
        <v>0</v>
      </c>
      <c r="F453">
        <f>IFERROR(VLOOKUP(Tabla1[[#This Row],[SISMED]],TblDisponibilidad[],10,FALSE), 0)</f>
        <v>0</v>
      </c>
      <c r="G453">
        <f>IFERROR(VLOOKUP(Tabla1[[#This Row],[SISMED]],TblDisponibilidad[],11,FALSE), 0)</f>
        <v>0</v>
      </c>
      <c r="H453">
        <f>IFERROR(VLOOKUP(Tabla1[[#This Row],[SISMED]],TblDisponibilidad[],12,FALSE), 0)</f>
        <v>0</v>
      </c>
      <c r="I453">
        <f>IFERROR(VLOOKUP(Tabla1[[#This Row],[SISMED]],TblDisponibilidad[],13,FALSE), 0)</f>
        <v>0</v>
      </c>
      <c r="J453">
        <f>IFERROR(VLOOKUP(Tabla1[[#This Row],[SISMED]],TblDisponibilidad[],14,FALSE), 0)</f>
        <v>0</v>
      </c>
      <c r="K453">
        <f>IFERROR(VLOOKUP(Tabla1[[#This Row],[SISMED]],TblDisponibilidad[],15,FALSE), 0)</f>
        <v>0</v>
      </c>
      <c r="L453">
        <f>IFERROR(VLOOKUP(Tabla1[[#This Row],[SISMED]],TblDisponibilidad[],16,FALSE), 0)</f>
        <v>0</v>
      </c>
      <c r="M453">
        <f>IFERROR(VLOOKUP(Tabla1[[#This Row],[SISMED]],TblDisponibilidad[],17,FALSE), 0)</f>
        <v>0</v>
      </c>
      <c r="N453">
        <f>IFERROR(VLOOKUP(Tabla1[[#This Row],[SISMED]],TblDisponibilidad[],18,FALSE), 0)</f>
        <v>0</v>
      </c>
      <c r="O453">
        <f>IFERROR(VLOOKUP(Tabla1[[#This Row],[SISMED]],TblDisponibilidad[],19,FALSE), 0)</f>
        <v>0</v>
      </c>
      <c r="P453">
        <f>IFERROR(VLOOKUP(Tabla1[[#This Row],[SISMED]],TblDisponibilidad[],20,FALSE), 0)</f>
        <v>0</v>
      </c>
      <c r="Q453">
        <f>IFERROR(VLOOKUP(Tabla1[[#This Row],[SISMED]],TblDisponibilidad[],21,FALSE), 0)</f>
        <v>0</v>
      </c>
      <c r="R453">
        <f>IFERROR(VLOOKUP(Tabla1[[#This Row],[SISMED]],TblDisponibilidad[],22,FALSE), 0)</f>
        <v>0</v>
      </c>
      <c r="S453" s="15">
        <f>IFERROR(VLOOKUP(Tabla1[[#This Row],[SISMED]],TblDisponibilidad[],23,FALSE), 0)</f>
        <v>0</v>
      </c>
    </row>
    <row r="454" spans="1:19" x14ac:dyDescent="0.3">
      <c r="A454" s="15" t="s">
        <v>484</v>
      </c>
      <c r="B454" t="str">
        <f>IFERROR(VLOOKUP(Tabla1[[#This Row],[SISMED]],TblDisponibilidad[],2,FALSE), "")</f>
        <v/>
      </c>
      <c r="C454">
        <f>IFERROR(VLOOKUP(Tabla1[[#This Row],[SISMED]],TblDisponibilidad[],7,FALSE), 0)</f>
        <v>0</v>
      </c>
      <c r="D454">
        <f>IFERROR(VLOOKUP(Tabla1[[#This Row],[SISMED]],TblDisponibilidad[],8,FALSE), 0)</f>
        <v>0</v>
      </c>
      <c r="E454">
        <f>IFERROR(VLOOKUP(Tabla1[[#This Row],[SISMED]],TblDisponibilidad[],9,FALSE), 0)</f>
        <v>0</v>
      </c>
      <c r="F454">
        <f>IFERROR(VLOOKUP(Tabla1[[#This Row],[SISMED]],TblDisponibilidad[],10,FALSE), 0)</f>
        <v>0</v>
      </c>
      <c r="G454">
        <f>IFERROR(VLOOKUP(Tabla1[[#This Row],[SISMED]],TblDisponibilidad[],11,FALSE), 0)</f>
        <v>0</v>
      </c>
      <c r="H454">
        <f>IFERROR(VLOOKUP(Tabla1[[#This Row],[SISMED]],TblDisponibilidad[],12,FALSE), 0)</f>
        <v>0</v>
      </c>
      <c r="I454">
        <f>IFERROR(VLOOKUP(Tabla1[[#This Row],[SISMED]],TblDisponibilidad[],13,FALSE), 0)</f>
        <v>0</v>
      </c>
      <c r="J454">
        <f>IFERROR(VLOOKUP(Tabla1[[#This Row],[SISMED]],TblDisponibilidad[],14,FALSE), 0)</f>
        <v>0</v>
      </c>
      <c r="K454">
        <f>IFERROR(VLOOKUP(Tabla1[[#This Row],[SISMED]],TblDisponibilidad[],15,FALSE), 0)</f>
        <v>0</v>
      </c>
      <c r="L454">
        <f>IFERROR(VLOOKUP(Tabla1[[#This Row],[SISMED]],TblDisponibilidad[],16,FALSE), 0)</f>
        <v>0</v>
      </c>
      <c r="M454">
        <f>IFERROR(VLOOKUP(Tabla1[[#This Row],[SISMED]],TblDisponibilidad[],17,FALSE), 0)</f>
        <v>0</v>
      </c>
      <c r="N454">
        <f>IFERROR(VLOOKUP(Tabla1[[#This Row],[SISMED]],TblDisponibilidad[],18,FALSE), 0)</f>
        <v>0</v>
      </c>
      <c r="O454">
        <f>IFERROR(VLOOKUP(Tabla1[[#This Row],[SISMED]],TblDisponibilidad[],19,FALSE), 0)</f>
        <v>0</v>
      </c>
      <c r="P454">
        <f>IFERROR(VLOOKUP(Tabla1[[#This Row],[SISMED]],TblDisponibilidad[],20,FALSE), 0)</f>
        <v>0</v>
      </c>
      <c r="Q454">
        <f>IFERROR(VLOOKUP(Tabla1[[#This Row],[SISMED]],TblDisponibilidad[],21,FALSE), 0)</f>
        <v>0</v>
      </c>
      <c r="R454">
        <f>IFERROR(VLOOKUP(Tabla1[[#This Row],[SISMED]],TblDisponibilidad[],22,FALSE), 0)</f>
        <v>0</v>
      </c>
      <c r="S454" s="15">
        <f>IFERROR(VLOOKUP(Tabla1[[#This Row],[SISMED]],TblDisponibilidad[],23,FALSE), 0)</f>
        <v>0</v>
      </c>
    </row>
    <row r="455" spans="1:19" x14ac:dyDescent="0.3">
      <c r="A455" s="15" t="s">
        <v>485</v>
      </c>
      <c r="B455" t="str">
        <f>IFERROR(VLOOKUP(Tabla1[[#This Row],[SISMED]],TblDisponibilidad[],2,FALSE), "")</f>
        <v/>
      </c>
      <c r="C455">
        <f>IFERROR(VLOOKUP(Tabla1[[#This Row],[SISMED]],TblDisponibilidad[],7,FALSE), 0)</f>
        <v>0</v>
      </c>
      <c r="D455">
        <f>IFERROR(VLOOKUP(Tabla1[[#This Row],[SISMED]],TblDisponibilidad[],8,FALSE), 0)</f>
        <v>0</v>
      </c>
      <c r="E455">
        <f>IFERROR(VLOOKUP(Tabla1[[#This Row],[SISMED]],TblDisponibilidad[],9,FALSE), 0)</f>
        <v>0</v>
      </c>
      <c r="F455">
        <f>IFERROR(VLOOKUP(Tabla1[[#This Row],[SISMED]],TblDisponibilidad[],10,FALSE), 0)</f>
        <v>0</v>
      </c>
      <c r="G455">
        <f>IFERROR(VLOOKUP(Tabla1[[#This Row],[SISMED]],TblDisponibilidad[],11,FALSE), 0)</f>
        <v>0</v>
      </c>
      <c r="H455">
        <f>IFERROR(VLOOKUP(Tabla1[[#This Row],[SISMED]],TblDisponibilidad[],12,FALSE), 0)</f>
        <v>0</v>
      </c>
      <c r="I455">
        <f>IFERROR(VLOOKUP(Tabla1[[#This Row],[SISMED]],TblDisponibilidad[],13,FALSE), 0)</f>
        <v>0</v>
      </c>
      <c r="J455">
        <f>IFERROR(VLOOKUP(Tabla1[[#This Row],[SISMED]],TblDisponibilidad[],14,FALSE), 0)</f>
        <v>0</v>
      </c>
      <c r="K455">
        <f>IFERROR(VLOOKUP(Tabla1[[#This Row],[SISMED]],TblDisponibilidad[],15,FALSE), 0)</f>
        <v>0</v>
      </c>
      <c r="L455">
        <f>IFERROR(VLOOKUP(Tabla1[[#This Row],[SISMED]],TblDisponibilidad[],16,FALSE), 0)</f>
        <v>0</v>
      </c>
      <c r="M455">
        <f>IFERROR(VLOOKUP(Tabla1[[#This Row],[SISMED]],TblDisponibilidad[],17,FALSE), 0)</f>
        <v>0</v>
      </c>
      <c r="N455">
        <f>IFERROR(VLOOKUP(Tabla1[[#This Row],[SISMED]],TblDisponibilidad[],18,FALSE), 0)</f>
        <v>0</v>
      </c>
      <c r="O455">
        <f>IFERROR(VLOOKUP(Tabla1[[#This Row],[SISMED]],TblDisponibilidad[],19,FALSE), 0)</f>
        <v>0</v>
      </c>
      <c r="P455">
        <f>IFERROR(VLOOKUP(Tabla1[[#This Row],[SISMED]],TblDisponibilidad[],20,FALSE), 0)</f>
        <v>0</v>
      </c>
      <c r="Q455">
        <f>IFERROR(VLOOKUP(Tabla1[[#This Row],[SISMED]],TblDisponibilidad[],21,FALSE), 0)</f>
        <v>0</v>
      </c>
      <c r="R455">
        <f>IFERROR(VLOOKUP(Tabla1[[#This Row],[SISMED]],TblDisponibilidad[],22,FALSE), 0)</f>
        <v>0</v>
      </c>
      <c r="S455" s="15">
        <f>IFERROR(VLOOKUP(Tabla1[[#This Row],[SISMED]],TblDisponibilidad[],23,FALSE), 0)</f>
        <v>0</v>
      </c>
    </row>
    <row r="456" spans="1:19" x14ac:dyDescent="0.3">
      <c r="A456" s="15" t="s">
        <v>486</v>
      </c>
      <c r="B456" t="str">
        <f>IFERROR(VLOOKUP(Tabla1[[#This Row],[SISMED]],TblDisponibilidad[],2,FALSE), "")</f>
        <v/>
      </c>
      <c r="C456">
        <f>IFERROR(VLOOKUP(Tabla1[[#This Row],[SISMED]],TblDisponibilidad[],7,FALSE), 0)</f>
        <v>0</v>
      </c>
      <c r="D456">
        <f>IFERROR(VLOOKUP(Tabla1[[#This Row],[SISMED]],TblDisponibilidad[],8,FALSE), 0)</f>
        <v>0</v>
      </c>
      <c r="E456">
        <f>IFERROR(VLOOKUP(Tabla1[[#This Row],[SISMED]],TblDisponibilidad[],9,FALSE), 0)</f>
        <v>0</v>
      </c>
      <c r="F456">
        <f>IFERROR(VLOOKUP(Tabla1[[#This Row],[SISMED]],TblDisponibilidad[],10,FALSE), 0)</f>
        <v>0</v>
      </c>
      <c r="G456">
        <f>IFERROR(VLOOKUP(Tabla1[[#This Row],[SISMED]],TblDisponibilidad[],11,FALSE), 0)</f>
        <v>0</v>
      </c>
      <c r="H456">
        <f>IFERROR(VLOOKUP(Tabla1[[#This Row],[SISMED]],TblDisponibilidad[],12,FALSE), 0)</f>
        <v>0</v>
      </c>
      <c r="I456">
        <f>IFERROR(VLOOKUP(Tabla1[[#This Row],[SISMED]],TblDisponibilidad[],13,FALSE), 0)</f>
        <v>0</v>
      </c>
      <c r="J456">
        <f>IFERROR(VLOOKUP(Tabla1[[#This Row],[SISMED]],TblDisponibilidad[],14,FALSE), 0)</f>
        <v>0</v>
      </c>
      <c r="K456">
        <f>IFERROR(VLOOKUP(Tabla1[[#This Row],[SISMED]],TblDisponibilidad[],15,FALSE), 0)</f>
        <v>0</v>
      </c>
      <c r="L456">
        <f>IFERROR(VLOOKUP(Tabla1[[#This Row],[SISMED]],TblDisponibilidad[],16,FALSE), 0)</f>
        <v>0</v>
      </c>
      <c r="M456">
        <f>IFERROR(VLOOKUP(Tabla1[[#This Row],[SISMED]],TblDisponibilidad[],17,FALSE), 0)</f>
        <v>0</v>
      </c>
      <c r="N456">
        <f>IFERROR(VLOOKUP(Tabla1[[#This Row],[SISMED]],TblDisponibilidad[],18,FALSE), 0)</f>
        <v>0</v>
      </c>
      <c r="O456">
        <f>IFERROR(VLOOKUP(Tabla1[[#This Row],[SISMED]],TblDisponibilidad[],19,FALSE), 0)</f>
        <v>0</v>
      </c>
      <c r="P456">
        <f>IFERROR(VLOOKUP(Tabla1[[#This Row],[SISMED]],TblDisponibilidad[],20,FALSE), 0)</f>
        <v>0</v>
      </c>
      <c r="Q456">
        <f>IFERROR(VLOOKUP(Tabla1[[#This Row],[SISMED]],TblDisponibilidad[],21,FALSE), 0)</f>
        <v>0</v>
      </c>
      <c r="R456">
        <f>IFERROR(VLOOKUP(Tabla1[[#This Row],[SISMED]],TblDisponibilidad[],22,FALSE), 0)</f>
        <v>0</v>
      </c>
      <c r="S456" s="15">
        <f>IFERROR(VLOOKUP(Tabla1[[#This Row],[SISMED]],TblDisponibilidad[],23,FALSE), 0)</f>
        <v>0</v>
      </c>
    </row>
    <row r="457" spans="1:19" x14ac:dyDescent="0.3">
      <c r="A457" s="15" t="s">
        <v>487</v>
      </c>
      <c r="B457" t="str">
        <f>IFERROR(VLOOKUP(Tabla1[[#This Row],[SISMED]],TblDisponibilidad[],2,FALSE), "")</f>
        <v/>
      </c>
      <c r="C457">
        <f>IFERROR(VLOOKUP(Tabla1[[#This Row],[SISMED]],TblDisponibilidad[],7,FALSE), 0)</f>
        <v>0</v>
      </c>
      <c r="D457">
        <f>IFERROR(VLOOKUP(Tabla1[[#This Row],[SISMED]],TblDisponibilidad[],8,FALSE), 0)</f>
        <v>0</v>
      </c>
      <c r="E457">
        <f>IFERROR(VLOOKUP(Tabla1[[#This Row],[SISMED]],TblDisponibilidad[],9,FALSE), 0)</f>
        <v>0</v>
      </c>
      <c r="F457">
        <f>IFERROR(VLOOKUP(Tabla1[[#This Row],[SISMED]],TblDisponibilidad[],10,FALSE), 0)</f>
        <v>0</v>
      </c>
      <c r="G457">
        <f>IFERROR(VLOOKUP(Tabla1[[#This Row],[SISMED]],TblDisponibilidad[],11,FALSE), 0)</f>
        <v>0</v>
      </c>
      <c r="H457">
        <f>IFERROR(VLOOKUP(Tabla1[[#This Row],[SISMED]],TblDisponibilidad[],12,FALSE), 0)</f>
        <v>0</v>
      </c>
      <c r="I457">
        <f>IFERROR(VLOOKUP(Tabla1[[#This Row],[SISMED]],TblDisponibilidad[],13,FALSE), 0)</f>
        <v>0</v>
      </c>
      <c r="J457">
        <f>IFERROR(VLOOKUP(Tabla1[[#This Row],[SISMED]],TblDisponibilidad[],14,FALSE), 0)</f>
        <v>0</v>
      </c>
      <c r="K457">
        <f>IFERROR(VLOOKUP(Tabla1[[#This Row],[SISMED]],TblDisponibilidad[],15,FALSE), 0)</f>
        <v>0</v>
      </c>
      <c r="L457">
        <f>IFERROR(VLOOKUP(Tabla1[[#This Row],[SISMED]],TblDisponibilidad[],16,FALSE), 0)</f>
        <v>0</v>
      </c>
      <c r="M457">
        <f>IFERROR(VLOOKUP(Tabla1[[#This Row],[SISMED]],TblDisponibilidad[],17,FALSE), 0)</f>
        <v>0</v>
      </c>
      <c r="N457">
        <f>IFERROR(VLOOKUP(Tabla1[[#This Row],[SISMED]],TblDisponibilidad[],18,FALSE), 0)</f>
        <v>0</v>
      </c>
      <c r="O457">
        <f>IFERROR(VLOOKUP(Tabla1[[#This Row],[SISMED]],TblDisponibilidad[],19,FALSE), 0)</f>
        <v>0</v>
      </c>
      <c r="P457">
        <f>IFERROR(VLOOKUP(Tabla1[[#This Row],[SISMED]],TblDisponibilidad[],20,FALSE), 0)</f>
        <v>0</v>
      </c>
      <c r="Q457">
        <f>IFERROR(VLOOKUP(Tabla1[[#This Row],[SISMED]],TblDisponibilidad[],21,FALSE), 0)</f>
        <v>0</v>
      </c>
      <c r="R457">
        <f>IFERROR(VLOOKUP(Tabla1[[#This Row],[SISMED]],TblDisponibilidad[],22,FALSE), 0)</f>
        <v>0</v>
      </c>
      <c r="S457" s="15">
        <f>IFERROR(VLOOKUP(Tabla1[[#This Row],[SISMED]],TblDisponibilidad[],23,FALSE), 0)</f>
        <v>0</v>
      </c>
    </row>
    <row r="458" spans="1:19" x14ac:dyDescent="0.3">
      <c r="A458" s="15" t="s">
        <v>488</v>
      </c>
      <c r="B458" t="str">
        <f>IFERROR(VLOOKUP(Tabla1[[#This Row],[SISMED]],TblDisponibilidad[],2,FALSE), "")</f>
        <v/>
      </c>
      <c r="C458">
        <f>IFERROR(VLOOKUP(Tabla1[[#This Row],[SISMED]],TblDisponibilidad[],7,FALSE), 0)</f>
        <v>0</v>
      </c>
      <c r="D458">
        <f>IFERROR(VLOOKUP(Tabla1[[#This Row],[SISMED]],TblDisponibilidad[],8,FALSE), 0)</f>
        <v>0</v>
      </c>
      <c r="E458">
        <f>IFERROR(VLOOKUP(Tabla1[[#This Row],[SISMED]],TblDisponibilidad[],9,FALSE), 0)</f>
        <v>0</v>
      </c>
      <c r="F458">
        <f>IFERROR(VLOOKUP(Tabla1[[#This Row],[SISMED]],TblDisponibilidad[],10,FALSE), 0)</f>
        <v>0</v>
      </c>
      <c r="G458">
        <f>IFERROR(VLOOKUP(Tabla1[[#This Row],[SISMED]],TblDisponibilidad[],11,FALSE), 0)</f>
        <v>0</v>
      </c>
      <c r="H458">
        <f>IFERROR(VLOOKUP(Tabla1[[#This Row],[SISMED]],TblDisponibilidad[],12,FALSE), 0)</f>
        <v>0</v>
      </c>
      <c r="I458">
        <f>IFERROR(VLOOKUP(Tabla1[[#This Row],[SISMED]],TblDisponibilidad[],13,FALSE), 0)</f>
        <v>0</v>
      </c>
      <c r="J458">
        <f>IFERROR(VLOOKUP(Tabla1[[#This Row],[SISMED]],TblDisponibilidad[],14,FALSE), 0)</f>
        <v>0</v>
      </c>
      <c r="K458">
        <f>IFERROR(VLOOKUP(Tabla1[[#This Row],[SISMED]],TblDisponibilidad[],15,FALSE), 0)</f>
        <v>0</v>
      </c>
      <c r="L458">
        <f>IFERROR(VLOOKUP(Tabla1[[#This Row],[SISMED]],TblDisponibilidad[],16,FALSE), 0)</f>
        <v>0</v>
      </c>
      <c r="M458">
        <f>IFERROR(VLOOKUP(Tabla1[[#This Row],[SISMED]],TblDisponibilidad[],17,FALSE), 0)</f>
        <v>0</v>
      </c>
      <c r="N458">
        <f>IFERROR(VLOOKUP(Tabla1[[#This Row],[SISMED]],TblDisponibilidad[],18,FALSE), 0)</f>
        <v>0</v>
      </c>
      <c r="O458">
        <f>IFERROR(VLOOKUP(Tabla1[[#This Row],[SISMED]],TblDisponibilidad[],19,FALSE), 0)</f>
        <v>0</v>
      </c>
      <c r="P458">
        <f>IFERROR(VLOOKUP(Tabla1[[#This Row],[SISMED]],TblDisponibilidad[],20,FALSE), 0)</f>
        <v>0</v>
      </c>
      <c r="Q458">
        <f>IFERROR(VLOOKUP(Tabla1[[#This Row],[SISMED]],TblDisponibilidad[],21,FALSE), 0)</f>
        <v>0</v>
      </c>
      <c r="R458">
        <f>IFERROR(VLOOKUP(Tabla1[[#This Row],[SISMED]],TblDisponibilidad[],22,FALSE), 0)</f>
        <v>0</v>
      </c>
      <c r="S458" s="15">
        <f>IFERROR(VLOOKUP(Tabla1[[#This Row],[SISMED]],TblDisponibilidad[],23,FALSE), 0)</f>
        <v>0</v>
      </c>
    </row>
    <row r="459" spans="1:19" x14ac:dyDescent="0.3">
      <c r="A459" s="15" t="s">
        <v>489</v>
      </c>
      <c r="B459" t="str">
        <f>IFERROR(VLOOKUP(Tabla1[[#This Row],[SISMED]],TblDisponibilidad[],2,FALSE), "")</f>
        <v/>
      </c>
      <c r="C459">
        <f>IFERROR(VLOOKUP(Tabla1[[#This Row],[SISMED]],TblDisponibilidad[],7,FALSE), 0)</f>
        <v>0</v>
      </c>
      <c r="D459">
        <f>IFERROR(VLOOKUP(Tabla1[[#This Row],[SISMED]],TblDisponibilidad[],8,FALSE), 0)</f>
        <v>0</v>
      </c>
      <c r="E459">
        <f>IFERROR(VLOOKUP(Tabla1[[#This Row],[SISMED]],TblDisponibilidad[],9,FALSE), 0)</f>
        <v>0</v>
      </c>
      <c r="F459">
        <f>IFERROR(VLOOKUP(Tabla1[[#This Row],[SISMED]],TblDisponibilidad[],10,FALSE), 0)</f>
        <v>0</v>
      </c>
      <c r="G459">
        <f>IFERROR(VLOOKUP(Tabla1[[#This Row],[SISMED]],TblDisponibilidad[],11,FALSE), 0)</f>
        <v>0</v>
      </c>
      <c r="H459">
        <f>IFERROR(VLOOKUP(Tabla1[[#This Row],[SISMED]],TblDisponibilidad[],12,FALSE), 0)</f>
        <v>0</v>
      </c>
      <c r="I459">
        <f>IFERROR(VLOOKUP(Tabla1[[#This Row],[SISMED]],TblDisponibilidad[],13,FALSE), 0)</f>
        <v>0</v>
      </c>
      <c r="J459">
        <f>IFERROR(VLOOKUP(Tabla1[[#This Row],[SISMED]],TblDisponibilidad[],14,FALSE), 0)</f>
        <v>0</v>
      </c>
      <c r="K459">
        <f>IFERROR(VLOOKUP(Tabla1[[#This Row],[SISMED]],TblDisponibilidad[],15,FALSE), 0)</f>
        <v>0</v>
      </c>
      <c r="L459">
        <f>IFERROR(VLOOKUP(Tabla1[[#This Row],[SISMED]],TblDisponibilidad[],16,FALSE), 0)</f>
        <v>0</v>
      </c>
      <c r="M459">
        <f>IFERROR(VLOOKUP(Tabla1[[#This Row],[SISMED]],TblDisponibilidad[],17,FALSE), 0)</f>
        <v>0</v>
      </c>
      <c r="N459">
        <f>IFERROR(VLOOKUP(Tabla1[[#This Row],[SISMED]],TblDisponibilidad[],18,FALSE), 0)</f>
        <v>0</v>
      </c>
      <c r="O459">
        <f>IFERROR(VLOOKUP(Tabla1[[#This Row],[SISMED]],TblDisponibilidad[],19,FALSE), 0)</f>
        <v>0</v>
      </c>
      <c r="P459">
        <f>IFERROR(VLOOKUP(Tabla1[[#This Row],[SISMED]],TblDisponibilidad[],20,FALSE), 0)</f>
        <v>0</v>
      </c>
      <c r="Q459">
        <f>IFERROR(VLOOKUP(Tabla1[[#This Row],[SISMED]],TblDisponibilidad[],21,FALSE), 0)</f>
        <v>0</v>
      </c>
      <c r="R459">
        <f>IFERROR(VLOOKUP(Tabla1[[#This Row],[SISMED]],TblDisponibilidad[],22,FALSE), 0)</f>
        <v>0</v>
      </c>
      <c r="S459" s="15">
        <f>IFERROR(VLOOKUP(Tabla1[[#This Row],[SISMED]],TblDisponibilidad[],23,FALSE), 0)</f>
        <v>0</v>
      </c>
    </row>
    <row r="460" spans="1:19" x14ac:dyDescent="0.3">
      <c r="A460" s="15" t="s">
        <v>490</v>
      </c>
      <c r="B460" t="str">
        <f>IFERROR(VLOOKUP(Tabla1[[#This Row],[SISMED]],TblDisponibilidad[],2,FALSE), "")</f>
        <v/>
      </c>
      <c r="C460">
        <f>IFERROR(VLOOKUP(Tabla1[[#This Row],[SISMED]],TblDisponibilidad[],7,FALSE), 0)</f>
        <v>0</v>
      </c>
      <c r="D460">
        <f>IFERROR(VLOOKUP(Tabla1[[#This Row],[SISMED]],TblDisponibilidad[],8,FALSE), 0)</f>
        <v>0</v>
      </c>
      <c r="E460">
        <f>IFERROR(VLOOKUP(Tabla1[[#This Row],[SISMED]],TblDisponibilidad[],9,FALSE), 0)</f>
        <v>0</v>
      </c>
      <c r="F460">
        <f>IFERROR(VLOOKUP(Tabla1[[#This Row],[SISMED]],TblDisponibilidad[],10,FALSE), 0)</f>
        <v>0</v>
      </c>
      <c r="G460">
        <f>IFERROR(VLOOKUP(Tabla1[[#This Row],[SISMED]],TblDisponibilidad[],11,FALSE), 0)</f>
        <v>0</v>
      </c>
      <c r="H460">
        <f>IFERROR(VLOOKUP(Tabla1[[#This Row],[SISMED]],TblDisponibilidad[],12,FALSE), 0)</f>
        <v>0</v>
      </c>
      <c r="I460">
        <f>IFERROR(VLOOKUP(Tabla1[[#This Row],[SISMED]],TblDisponibilidad[],13,FALSE), 0)</f>
        <v>0</v>
      </c>
      <c r="J460">
        <f>IFERROR(VLOOKUP(Tabla1[[#This Row],[SISMED]],TblDisponibilidad[],14,FALSE), 0)</f>
        <v>0</v>
      </c>
      <c r="K460">
        <f>IFERROR(VLOOKUP(Tabla1[[#This Row],[SISMED]],TblDisponibilidad[],15,FALSE), 0)</f>
        <v>0</v>
      </c>
      <c r="L460">
        <f>IFERROR(VLOOKUP(Tabla1[[#This Row],[SISMED]],TblDisponibilidad[],16,FALSE), 0)</f>
        <v>0</v>
      </c>
      <c r="M460">
        <f>IFERROR(VLOOKUP(Tabla1[[#This Row],[SISMED]],TblDisponibilidad[],17,FALSE), 0)</f>
        <v>0</v>
      </c>
      <c r="N460">
        <f>IFERROR(VLOOKUP(Tabla1[[#This Row],[SISMED]],TblDisponibilidad[],18,FALSE), 0)</f>
        <v>0</v>
      </c>
      <c r="O460">
        <f>IFERROR(VLOOKUP(Tabla1[[#This Row],[SISMED]],TblDisponibilidad[],19,FALSE), 0)</f>
        <v>0</v>
      </c>
      <c r="P460">
        <f>IFERROR(VLOOKUP(Tabla1[[#This Row],[SISMED]],TblDisponibilidad[],20,FALSE), 0)</f>
        <v>0</v>
      </c>
      <c r="Q460">
        <f>IFERROR(VLOOKUP(Tabla1[[#This Row],[SISMED]],TblDisponibilidad[],21,FALSE), 0)</f>
        <v>0</v>
      </c>
      <c r="R460">
        <f>IFERROR(VLOOKUP(Tabla1[[#This Row],[SISMED]],TblDisponibilidad[],22,FALSE), 0)</f>
        <v>0</v>
      </c>
      <c r="S460" s="15">
        <f>IFERROR(VLOOKUP(Tabla1[[#This Row],[SISMED]],TblDisponibilidad[],23,FALSE), 0)</f>
        <v>0</v>
      </c>
    </row>
    <row r="461" spans="1:19" x14ac:dyDescent="0.3">
      <c r="A461" s="15" t="s">
        <v>491</v>
      </c>
      <c r="B461" t="str">
        <f>IFERROR(VLOOKUP(Tabla1[[#This Row],[SISMED]],TblDisponibilidad[],2,FALSE), "")</f>
        <v/>
      </c>
      <c r="C461">
        <f>IFERROR(VLOOKUP(Tabla1[[#This Row],[SISMED]],TblDisponibilidad[],7,FALSE), 0)</f>
        <v>0</v>
      </c>
      <c r="D461">
        <f>IFERROR(VLOOKUP(Tabla1[[#This Row],[SISMED]],TblDisponibilidad[],8,FALSE), 0)</f>
        <v>0</v>
      </c>
      <c r="E461">
        <f>IFERROR(VLOOKUP(Tabla1[[#This Row],[SISMED]],TblDisponibilidad[],9,FALSE), 0)</f>
        <v>0</v>
      </c>
      <c r="F461">
        <f>IFERROR(VLOOKUP(Tabla1[[#This Row],[SISMED]],TblDisponibilidad[],10,FALSE), 0)</f>
        <v>0</v>
      </c>
      <c r="G461">
        <f>IFERROR(VLOOKUP(Tabla1[[#This Row],[SISMED]],TblDisponibilidad[],11,FALSE), 0)</f>
        <v>0</v>
      </c>
      <c r="H461">
        <f>IFERROR(VLOOKUP(Tabla1[[#This Row],[SISMED]],TblDisponibilidad[],12,FALSE), 0)</f>
        <v>0</v>
      </c>
      <c r="I461">
        <f>IFERROR(VLOOKUP(Tabla1[[#This Row],[SISMED]],TblDisponibilidad[],13,FALSE), 0)</f>
        <v>0</v>
      </c>
      <c r="J461">
        <f>IFERROR(VLOOKUP(Tabla1[[#This Row],[SISMED]],TblDisponibilidad[],14,FALSE), 0)</f>
        <v>0</v>
      </c>
      <c r="K461">
        <f>IFERROR(VLOOKUP(Tabla1[[#This Row],[SISMED]],TblDisponibilidad[],15,FALSE), 0)</f>
        <v>0</v>
      </c>
      <c r="L461">
        <f>IFERROR(VLOOKUP(Tabla1[[#This Row],[SISMED]],TblDisponibilidad[],16,FALSE), 0)</f>
        <v>0</v>
      </c>
      <c r="M461">
        <f>IFERROR(VLOOKUP(Tabla1[[#This Row],[SISMED]],TblDisponibilidad[],17,FALSE), 0)</f>
        <v>0</v>
      </c>
      <c r="N461">
        <f>IFERROR(VLOOKUP(Tabla1[[#This Row],[SISMED]],TblDisponibilidad[],18,FALSE), 0)</f>
        <v>0</v>
      </c>
      <c r="O461">
        <f>IFERROR(VLOOKUP(Tabla1[[#This Row],[SISMED]],TblDisponibilidad[],19,FALSE), 0)</f>
        <v>0</v>
      </c>
      <c r="P461">
        <f>IFERROR(VLOOKUP(Tabla1[[#This Row],[SISMED]],TblDisponibilidad[],20,FALSE), 0)</f>
        <v>0</v>
      </c>
      <c r="Q461">
        <f>IFERROR(VLOOKUP(Tabla1[[#This Row],[SISMED]],TblDisponibilidad[],21,FALSE), 0)</f>
        <v>0</v>
      </c>
      <c r="R461">
        <f>IFERROR(VLOOKUP(Tabla1[[#This Row],[SISMED]],TblDisponibilidad[],22,FALSE), 0)</f>
        <v>0</v>
      </c>
      <c r="S461" s="15">
        <f>IFERROR(VLOOKUP(Tabla1[[#This Row],[SISMED]],TblDisponibilidad[],23,FALSE), 0)</f>
        <v>0</v>
      </c>
    </row>
    <row r="462" spans="1:19" x14ac:dyDescent="0.3">
      <c r="A462" s="15" t="s">
        <v>492</v>
      </c>
      <c r="B462" t="str">
        <f>IFERROR(VLOOKUP(Tabla1[[#This Row],[SISMED]],TblDisponibilidad[],2,FALSE), "")</f>
        <v/>
      </c>
      <c r="C462">
        <f>IFERROR(VLOOKUP(Tabla1[[#This Row],[SISMED]],TblDisponibilidad[],7,FALSE), 0)</f>
        <v>0</v>
      </c>
      <c r="D462">
        <f>IFERROR(VLOOKUP(Tabla1[[#This Row],[SISMED]],TblDisponibilidad[],8,FALSE), 0)</f>
        <v>0</v>
      </c>
      <c r="E462">
        <f>IFERROR(VLOOKUP(Tabla1[[#This Row],[SISMED]],TblDisponibilidad[],9,FALSE), 0)</f>
        <v>0</v>
      </c>
      <c r="F462">
        <f>IFERROR(VLOOKUP(Tabla1[[#This Row],[SISMED]],TblDisponibilidad[],10,FALSE), 0)</f>
        <v>0</v>
      </c>
      <c r="G462">
        <f>IFERROR(VLOOKUP(Tabla1[[#This Row],[SISMED]],TblDisponibilidad[],11,FALSE), 0)</f>
        <v>0</v>
      </c>
      <c r="H462">
        <f>IFERROR(VLOOKUP(Tabla1[[#This Row],[SISMED]],TblDisponibilidad[],12,FALSE), 0)</f>
        <v>0</v>
      </c>
      <c r="I462">
        <f>IFERROR(VLOOKUP(Tabla1[[#This Row],[SISMED]],TblDisponibilidad[],13,FALSE), 0)</f>
        <v>0</v>
      </c>
      <c r="J462">
        <f>IFERROR(VLOOKUP(Tabla1[[#This Row],[SISMED]],TblDisponibilidad[],14,FALSE), 0)</f>
        <v>0</v>
      </c>
      <c r="K462">
        <f>IFERROR(VLOOKUP(Tabla1[[#This Row],[SISMED]],TblDisponibilidad[],15,FALSE), 0)</f>
        <v>0</v>
      </c>
      <c r="L462">
        <f>IFERROR(VLOOKUP(Tabla1[[#This Row],[SISMED]],TblDisponibilidad[],16,FALSE), 0)</f>
        <v>0</v>
      </c>
      <c r="M462">
        <f>IFERROR(VLOOKUP(Tabla1[[#This Row],[SISMED]],TblDisponibilidad[],17,FALSE), 0)</f>
        <v>0</v>
      </c>
      <c r="N462">
        <f>IFERROR(VLOOKUP(Tabla1[[#This Row],[SISMED]],TblDisponibilidad[],18,FALSE), 0)</f>
        <v>0</v>
      </c>
      <c r="O462">
        <f>IFERROR(VLOOKUP(Tabla1[[#This Row],[SISMED]],TblDisponibilidad[],19,FALSE), 0)</f>
        <v>0</v>
      </c>
      <c r="P462">
        <f>IFERROR(VLOOKUP(Tabla1[[#This Row],[SISMED]],TblDisponibilidad[],20,FALSE), 0)</f>
        <v>0</v>
      </c>
      <c r="Q462">
        <f>IFERROR(VLOOKUP(Tabla1[[#This Row],[SISMED]],TblDisponibilidad[],21,FALSE), 0)</f>
        <v>0</v>
      </c>
      <c r="R462">
        <f>IFERROR(VLOOKUP(Tabla1[[#This Row],[SISMED]],TblDisponibilidad[],22,FALSE), 0)</f>
        <v>0</v>
      </c>
      <c r="S462" s="15">
        <f>IFERROR(VLOOKUP(Tabla1[[#This Row],[SISMED]],TblDisponibilidad[],23,FALSE), 0)</f>
        <v>0</v>
      </c>
    </row>
    <row r="463" spans="1:19" x14ac:dyDescent="0.3">
      <c r="A463" s="15" t="s">
        <v>493</v>
      </c>
      <c r="B463" t="str">
        <f>IFERROR(VLOOKUP(Tabla1[[#This Row],[SISMED]],TblDisponibilidad[],2,FALSE), "")</f>
        <v/>
      </c>
      <c r="C463">
        <f>IFERROR(VLOOKUP(Tabla1[[#This Row],[SISMED]],TblDisponibilidad[],7,FALSE), 0)</f>
        <v>0</v>
      </c>
      <c r="D463">
        <f>IFERROR(VLOOKUP(Tabla1[[#This Row],[SISMED]],TblDisponibilidad[],8,FALSE), 0)</f>
        <v>0</v>
      </c>
      <c r="E463">
        <f>IFERROR(VLOOKUP(Tabla1[[#This Row],[SISMED]],TblDisponibilidad[],9,FALSE), 0)</f>
        <v>0</v>
      </c>
      <c r="F463">
        <f>IFERROR(VLOOKUP(Tabla1[[#This Row],[SISMED]],TblDisponibilidad[],10,FALSE), 0)</f>
        <v>0</v>
      </c>
      <c r="G463">
        <f>IFERROR(VLOOKUP(Tabla1[[#This Row],[SISMED]],TblDisponibilidad[],11,FALSE), 0)</f>
        <v>0</v>
      </c>
      <c r="H463">
        <f>IFERROR(VLOOKUP(Tabla1[[#This Row],[SISMED]],TblDisponibilidad[],12,FALSE), 0)</f>
        <v>0</v>
      </c>
      <c r="I463">
        <f>IFERROR(VLOOKUP(Tabla1[[#This Row],[SISMED]],TblDisponibilidad[],13,FALSE), 0)</f>
        <v>0</v>
      </c>
      <c r="J463">
        <f>IFERROR(VLOOKUP(Tabla1[[#This Row],[SISMED]],TblDisponibilidad[],14,FALSE), 0)</f>
        <v>0</v>
      </c>
      <c r="K463">
        <f>IFERROR(VLOOKUP(Tabla1[[#This Row],[SISMED]],TblDisponibilidad[],15,FALSE), 0)</f>
        <v>0</v>
      </c>
      <c r="L463">
        <f>IFERROR(VLOOKUP(Tabla1[[#This Row],[SISMED]],TblDisponibilidad[],16,FALSE), 0)</f>
        <v>0</v>
      </c>
      <c r="M463">
        <f>IFERROR(VLOOKUP(Tabla1[[#This Row],[SISMED]],TblDisponibilidad[],17,FALSE), 0)</f>
        <v>0</v>
      </c>
      <c r="N463">
        <f>IFERROR(VLOOKUP(Tabla1[[#This Row],[SISMED]],TblDisponibilidad[],18,FALSE), 0)</f>
        <v>0</v>
      </c>
      <c r="O463">
        <f>IFERROR(VLOOKUP(Tabla1[[#This Row],[SISMED]],TblDisponibilidad[],19,FALSE), 0)</f>
        <v>0</v>
      </c>
      <c r="P463">
        <f>IFERROR(VLOOKUP(Tabla1[[#This Row],[SISMED]],TblDisponibilidad[],20,FALSE), 0)</f>
        <v>0</v>
      </c>
      <c r="Q463">
        <f>IFERROR(VLOOKUP(Tabla1[[#This Row],[SISMED]],TblDisponibilidad[],21,FALSE), 0)</f>
        <v>0</v>
      </c>
      <c r="R463">
        <f>IFERROR(VLOOKUP(Tabla1[[#This Row],[SISMED]],TblDisponibilidad[],22,FALSE), 0)</f>
        <v>0</v>
      </c>
      <c r="S463" s="15">
        <f>IFERROR(VLOOKUP(Tabla1[[#This Row],[SISMED]],TblDisponibilidad[],23,FALSE), 0)</f>
        <v>0</v>
      </c>
    </row>
    <row r="464" spans="1:19" x14ac:dyDescent="0.3">
      <c r="A464" s="15" t="s">
        <v>494</v>
      </c>
      <c r="B464" t="str">
        <f>IFERROR(VLOOKUP(Tabla1[[#This Row],[SISMED]],TblDisponibilidad[],2,FALSE), "")</f>
        <v/>
      </c>
      <c r="C464">
        <f>IFERROR(VLOOKUP(Tabla1[[#This Row],[SISMED]],TblDisponibilidad[],7,FALSE), 0)</f>
        <v>0</v>
      </c>
      <c r="D464">
        <f>IFERROR(VLOOKUP(Tabla1[[#This Row],[SISMED]],TblDisponibilidad[],8,FALSE), 0)</f>
        <v>0</v>
      </c>
      <c r="E464">
        <f>IFERROR(VLOOKUP(Tabla1[[#This Row],[SISMED]],TblDisponibilidad[],9,FALSE), 0)</f>
        <v>0</v>
      </c>
      <c r="F464">
        <f>IFERROR(VLOOKUP(Tabla1[[#This Row],[SISMED]],TblDisponibilidad[],10,FALSE), 0)</f>
        <v>0</v>
      </c>
      <c r="G464">
        <f>IFERROR(VLOOKUP(Tabla1[[#This Row],[SISMED]],TblDisponibilidad[],11,FALSE), 0)</f>
        <v>0</v>
      </c>
      <c r="H464">
        <f>IFERROR(VLOOKUP(Tabla1[[#This Row],[SISMED]],TblDisponibilidad[],12,FALSE), 0)</f>
        <v>0</v>
      </c>
      <c r="I464">
        <f>IFERROR(VLOOKUP(Tabla1[[#This Row],[SISMED]],TblDisponibilidad[],13,FALSE), 0)</f>
        <v>0</v>
      </c>
      <c r="J464">
        <f>IFERROR(VLOOKUP(Tabla1[[#This Row],[SISMED]],TblDisponibilidad[],14,FALSE), 0)</f>
        <v>0</v>
      </c>
      <c r="K464">
        <f>IFERROR(VLOOKUP(Tabla1[[#This Row],[SISMED]],TblDisponibilidad[],15,FALSE), 0)</f>
        <v>0</v>
      </c>
      <c r="L464">
        <f>IFERROR(VLOOKUP(Tabla1[[#This Row],[SISMED]],TblDisponibilidad[],16,FALSE), 0)</f>
        <v>0</v>
      </c>
      <c r="M464">
        <f>IFERROR(VLOOKUP(Tabla1[[#This Row],[SISMED]],TblDisponibilidad[],17,FALSE), 0)</f>
        <v>0</v>
      </c>
      <c r="N464">
        <f>IFERROR(VLOOKUP(Tabla1[[#This Row],[SISMED]],TblDisponibilidad[],18,FALSE), 0)</f>
        <v>0</v>
      </c>
      <c r="O464">
        <f>IFERROR(VLOOKUP(Tabla1[[#This Row],[SISMED]],TblDisponibilidad[],19,FALSE), 0)</f>
        <v>0</v>
      </c>
      <c r="P464">
        <f>IFERROR(VLOOKUP(Tabla1[[#This Row],[SISMED]],TblDisponibilidad[],20,FALSE), 0)</f>
        <v>0</v>
      </c>
      <c r="Q464">
        <f>IFERROR(VLOOKUP(Tabla1[[#This Row],[SISMED]],TblDisponibilidad[],21,FALSE), 0)</f>
        <v>0</v>
      </c>
      <c r="R464">
        <f>IFERROR(VLOOKUP(Tabla1[[#This Row],[SISMED]],TblDisponibilidad[],22,FALSE), 0)</f>
        <v>0</v>
      </c>
      <c r="S464" s="15">
        <f>IFERROR(VLOOKUP(Tabla1[[#This Row],[SISMED]],TblDisponibilidad[],23,FALSE), 0)</f>
        <v>0</v>
      </c>
    </row>
    <row r="465" spans="1:19" x14ac:dyDescent="0.3">
      <c r="A465" s="15" t="s">
        <v>495</v>
      </c>
      <c r="B465" t="str">
        <f>IFERROR(VLOOKUP(Tabla1[[#This Row],[SISMED]],TblDisponibilidad[],2,FALSE), "")</f>
        <v/>
      </c>
      <c r="C465">
        <f>IFERROR(VLOOKUP(Tabla1[[#This Row],[SISMED]],TblDisponibilidad[],7,FALSE), 0)</f>
        <v>0</v>
      </c>
      <c r="D465">
        <f>IFERROR(VLOOKUP(Tabla1[[#This Row],[SISMED]],TblDisponibilidad[],8,FALSE), 0)</f>
        <v>0</v>
      </c>
      <c r="E465">
        <f>IFERROR(VLOOKUP(Tabla1[[#This Row],[SISMED]],TblDisponibilidad[],9,FALSE), 0)</f>
        <v>0</v>
      </c>
      <c r="F465">
        <f>IFERROR(VLOOKUP(Tabla1[[#This Row],[SISMED]],TblDisponibilidad[],10,FALSE), 0)</f>
        <v>0</v>
      </c>
      <c r="G465">
        <f>IFERROR(VLOOKUP(Tabla1[[#This Row],[SISMED]],TblDisponibilidad[],11,FALSE), 0)</f>
        <v>0</v>
      </c>
      <c r="H465">
        <f>IFERROR(VLOOKUP(Tabla1[[#This Row],[SISMED]],TblDisponibilidad[],12,FALSE), 0)</f>
        <v>0</v>
      </c>
      <c r="I465">
        <f>IFERROR(VLOOKUP(Tabla1[[#This Row],[SISMED]],TblDisponibilidad[],13,FALSE), 0)</f>
        <v>0</v>
      </c>
      <c r="J465">
        <f>IFERROR(VLOOKUP(Tabla1[[#This Row],[SISMED]],TblDisponibilidad[],14,FALSE), 0)</f>
        <v>0</v>
      </c>
      <c r="K465">
        <f>IFERROR(VLOOKUP(Tabla1[[#This Row],[SISMED]],TblDisponibilidad[],15,FALSE), 0)</f>
        <v>0</v>
      </c>
      <c r="L465">
        <f>IFERROR(VLOOKUP(Tabla1[[#This Row],[SISMED]],TblDisponibilidad[],16,FALSE), 0)</f>
        <v>0</v>
      </c>
      <c r="M465">
        <f>IFERROR(VLOOKUP(Tabla1[[#This Row],[SISMED]],TblDisponibilidad[],17,FALSE), 0)</f>
        <v>0</v>
      </c>
      <c r="N465">
        <f>IFERROR(VLOOKUP(Tabla1[[#This Row],[SISMED]],TblDisponibilidad[],18,FALSE), 0)</f>
        <v>0</v>
      </c>
      <c r="O465">
        <f>IFERROR(VLOOKUP(Tabla1[[#This Row],[SISMED]],TblDisponibilidad[],19,FALSE), 0)</f>
        <v>0</v>
      </c>
      <c r="P465">
        <f>IFERROR(VLOOKUP(Tabla1[[#This Row],[SISMED]],TblDisponibilidad[],20,FALSE), 0)</f>
        <v>0</v>
      </c>
      <c r="Q465">
        <f>IFERROR(VLOOKUP(Tabla1[[#This Row],[SISMED]],TblDisponibilidad[],21,FALSE), 0)</f>
        <v>0</v>
      </c>
      <c r="R465">
        <f>IFERROR(VLOOKUP(Tabla1[[#This Row],[SISMED]],TblDisponibilidad[],22,FALSE), 0)</f>
        <v>0</v>
      </c>
      <c r="S465" s="15">
        <f>IFERROR(VLOOKUP(Tabla1[[#This Row],[SISMED]],TblDisponibilidad[],23,FALSE), 0)</f>
        <v>0</v>
      </c>
    </row>
    <row r="466" spans="1:19" x14ac:dyDescent="0.3">
      <c r="A466" s="15" t="s">
        <v>496</v>
      </c>
      <c r="B466" t="str">
        <f>IFERROR(VLOOKUP(Tabla1[[#This Row],[SISMED]],TblDisponibilidad[],2,FALSE), "")</f>
        <v/>
      </c>
      <c r="C466">
        <f>IFERROR(VLOOKUP(Tabla1[[#This Row],[SISMED]],TblDisponibilidad[],7,FALSE), 0)</f>
        <v>0</v>
      </c>
      <c r="D466">
        <f>IFERROR(VLOOKUP(Tabla1[[#This Row],[SISMED]],TblDisponibilidad[],8,FALSE), 0)</f>
        <v>0</v>
      </c>
      <c r="E466">
        <f>IFERROR(VLOOKUP(Tabla1[[#This Row],[SISMED]],TblDisponibilidad[],9,FALSE), 0)</f>
        <v>0</v>
      </c>
      <c r="F466">
        <f>IFERROR(VLOOKUP(Tabla1[[#This Row],[SISMED]],TblDisponibilidad[],10,FALSE), 0)</f>
        <v>0</v>
      </c>
      <c r="G466">
        <f>IFERROR(VLOOKUP(Tabla1[[#This Row],[SISMED]],TblDisponibilidad[],11,FALSE), 0)</f>
        <v>0</v>
      </c>
      <c r="H466">
        <f>IFERROR(VLOOKUP(Tabla1[[#This Row],[SISMED]],TblDisponibilidad[],12,FALSE), 0)</f>
        <v>0</v>
      </c>
      <c r="I466">
        <f>IFERROR(VLOOKUP(Tabla1[[#This Row],[SISMED]],TblDisponibilidad[],13,FALSE), 0)</f>
        <v>0</v>
      </c>
      <c r="J466">
        <f>IFERROR(VLOOKUP(Tabla1[[#This Row],[SISMED]],TblDisponibilidad[],14,FALSE), 0)</f>
        <v>0</v>
      </c>
      <c r="K466">
        <f>IFERROR(VLOOKUP(Tabla1[[#This Row],[SISMED]],TblDisponibilidad[],15,FALSE), 0)</f>
        <v>0</v>
      </c>
      <c r="L466">
        <f>IFERROR(VLOOKUP(Tabla1[[#This Row],[SISMED]],TblDisponibilidad[],16,FALSE), 0)</f>
        <v>0</v>
      </c>
      <c r="M466">
        <f>IFERROR(VLOOKUP(Tabla1[[#This Row],[SISMED]],TblDisponibilidad[],17,FALSE), 0)</f>
        <v>0</v>
      </c>
      <c r="N466">
        <f>IFERROR(VLOOKUP(Tabla1[[#This Row],[SISMED]],TblDisponibilidad[],18,FALSE), 0)</f>
        <v>0</v>
      </c>
      <c r="O466">
        <f>IFERROR(VLOOKUP(Tabla1[[#This Row],[SISMED]],TblDisponibilidad[],19,FALSE), 0)</f>
        <v>0</v>
      </c>
      <c r="P466">
        <f>IFERROR(VLOOKUP(Tabla1[[#This Row],[SISMED]],TblDisponibilidad[],20,FALSE), 0)</f>
        <v>0</v>
      </c>
      <c r="Q466">
        <f>IFERROR(VLOOKUP(Tabla1[[#This Row],[SISMED]],TblDisponibilidad[],21,FALSE), 0)</f>
        <v>0</v>
      </c>
      <c r="R466">
        <f>IFERROR(VLOOKUP(Tabla1[[#This Row],[SISMED]],TblDisponibilidad[],22,FALSE), 0)</f>
        <v>0</v>
      </c>
      <c r="S466" s="15">
        <f>IFERROR(VLOOKUP(Tabla1[[#This Row],[SISMED]],TblDisponibilidad[],23,FALSE), 0)</f>
        <v>0</v>
      </c>
    </row>
    <row r="467" spans="1:19" x14ac:dyDescent="0.3">
      <c r="A467" s="15" t="s">
        <v>497</v>
      </c>
      <c r="B467" t="str">
        <f>IFERROR(VLOOKUP(Tabla1[[#This Row],[SISMED]],TblDisponibilidad[],2,FALSE), "")</f>
        <v/>
      </c>
      <c r="C467">
        <f>IFERROR(VLOOKUP(Tabla1[[#This Row],[SISMED]],TblDisponibilidad[],7,FALSE), 0)</f>
        <v>0</v>
      </c>
      <c r="D467">
        <f>IFERROR(VLOOKUP(Tabla1[[#This Row],[SISMED]],TblDisponibilidad[],8,FALSE), 0)</f>
        <v>0</v>
      </c>
      <c r="E467">
        <f>IFERROR(VLOOKUP(Tabla1[[#This Row],[SISMED]],TblDisponibilidad[],9,FALSE), 0)</f>
        <v>0</v>
      </c>
      <c r="F467">
        <f>IFERROR(VLOOKUP(Tabla1[[#This Row],[SISMED]],TblDisponibilidad[],10,FALSE), 0)</f>
        <v>0</v>
      </c>
      <c r="G467">
        <f>IFERROR(VLOOKUP(Tabla1[[#This Row],[SISMED]],TblDisponibilidad[],11,FALSE), 0)</f>
        <v>0</v>
      </c>
      <c r="H467">
        <f>IFERROR(VLOOKUP(Tabla1[[#This Row],[SISMED]],TblDisponibilidad[],12,FALSE), 0)</f>
        <v>0</v>
      </c>
      <c r="I467">
        <f>IFERROR(VLOOKUP(Tabla1[[#This Row],[SISMED]],TblDisponibilidad[],13,FALSE), 0)</f>
        <v>0</v>
      </c>
      <c r="J467">
        <f>IFERROR(VLOOKUP(Tabla1[[#This Row],[SISMED]],TblDisponibilidad[],14,FALSE), 0)</f>
        <v>0</v>
      </c>
      <c r="K467">
        <f>IFERROR(VLOOKUP(Tabla1[[#This Row],[SISMED]],TblDisponibilidad[],15,FALSE), 0)</f>
        <v>0</v>
      </c>
      <c r="L467">
        <f>IFERROR(VLOOKUP(Tabla1[[#This Row],[SISMED]],TblDisponibilidad[],16,FALSE), 0)</f>
        <v>0</v>
      </c>
      <c r="M467">
        <f>IFERROR(VLOOKUP(Tabla1[[#This Row],[SISMED]],TblDisponibilidad[],17,FALSE), 0)</f>
        <v>0</v>
      </c>
      <c r="N467">
        <f>IFERROR(VLOOKUP(Tabla1[[#This Row],[SISMED]],TblDisponibilidad[],18,FALSE), 0)</f>
        <v>0</v>
      </c>
      <c r="O467">
        <f>IFERROR(VLOOKUP(Tabla1[[#This Row],[SISMED]],TblDisponibilidad[],19,FALSE), 0)</f>
        <v>0</v>
      </c>
      <c r="P467">
        <f>IFERROR(VLOOKUP(Tabla1[[#This Row],[SISMED]],TblDisponibilidad[],20,FALSE), 0)</f>
        <v>0</v>
      </c>
      <c r="Q467">
        <f>IFERROR(VLOOKUP(Tabla1[[#This Row],[SISMED]],TblDisponibilidad[],21,FALSE), 0)</f>
        <v>0</v>
      </c>
      <c r="R467">
        <f>IFERROR(VLOOKUP(Tabla1[[#This Row],[SISMED]],TblDisponibilidad[],22,FALSE), 0)</f>
        <v>0</v>
      </c>
      <c r="S467" s="15">
        <f>IFERROR(VLOOKUP(Tabla1[[#This Row],[SISMED]],TblDisponibilidad[],23,FALSE), 0)</f>
        <v>0</v>
      </c>
    </row>
    <row r="468" spans="1:19" x14ac:dyDescent="0.3">
      <c r="A468" s="15" t="s">
        <v>498</v>
      </c>
      <c r="B468" t="str">
        <f>IFERROR(VLOOKUP(Tabla1[[#This Row],[SISMED]],TblDisponibilidad[],2,FALSE), "")</f>
        <v/>
      </c>
      <c r="C468">
        <f>IFERROR(VLOOKUP(Tabla1[[#This Row],[SISMED]],TblDisponibilidad[],7,FALSE), 0)</f>
        <v>0</v>
      </c>
      <c r="D468">
        <f>IFERROR(VLOOKUP(Tabla1[[#This Row],[SISMED]],TblDisponibilidad[],8,FALSE), 0)</f>
        <v>0</v>
      </c>
      <c r="E468">
        <f>IFERROR(VLOOKUP(Tabla1[[#This Row],[SISMED]],TblDisponibilidad[],9,FALSE), 0)</f>
        <v>0</v>
      </c>
      <c r="F468">
        <f>IFERROR(VLOOKUP(Tabla1[[#This Row],[SISMED]],TblDisponibilidad[],10,FALSE), 0)</f>
        <v>0</v>
      </c>
      <c r="G468">
        <f>IFERROR(VLOOKUP(Tabla1[[#This Row],[SISMED]],TblDisponibilidad[],11,FALSE), 0)</f>
        <v>0</v>
      </c>
      <c r="H468">
        <f>IFERROR(VLOOKUP(Tabla1[[#This Row],[SISMED]],TblDisponibilidad[],12,FALSE), 0)</f>
        <v>0</v>
      </c>
      <c r="I468">
        <f>IFERROR(VLOOKUP(Tabla1[[#This Row],[SISMED]],TblDisponibilidad[],13,FALSE), 0)</f>
        <v>0</v>
      </c>
      <c r="J468">
        <f>IFERROR(VLOOKUP(Tabla1[[#This Row],[SISMED]],TblDisponibilidad[],14,FALSE), 0)</f>
        <v>0</v>
      </c>
      <c r="K468">
        <f>IFERROR(VLOOKUP(Tabla1[[#This Row],[SISMED]],TblDisponibilidad[],15,FALSE), 0)</f>
        <v>0</v>
      </c>
      <c r="L468">
        <f>IFERROR(VLOOKUP(Tabla1[[#This Row],[SISMED]],TblDisponibilidad[],16,FALSE), 0)</f>
        <v>0</v>
      </c>
      <c r="M468">
        <f>IFERROR(VLOOKUP(Tabla1[[#This Row],[SISMED]],TblDisponibilidad[],17,FALSE), 0)</f>
        <v>0</v>
      </c>
      <c r="N468">
        <f>IFERROR(VLOOKUP(Tabla1[[#This Row],[SISMED]],TblDisponibilidad[],18,FALSE), 0)</f>
        <v>0</v>
      </c>
      <c r="O468">
        <f>IFERROR(VLOOKUP(Tabla1[[#This Row],[SISMED]],TblDisponibilidad[],19,FALSE), 0)</f>
        <v>0</v>
      </c>
      <c r="P468">
        <f>IFERROR(VLOOKUP(Tabla1[[#This Row],[SISMED]],TblDisponibilidad[],20,FALSE), 0)</f>
        <v>0</v>
      </c>
      <c r="Q468">
        <f>IFERROR(VLOOKUP(Tabla1[[#This Row],[SISMED]],TblDisponibilidad[],21,FALSE), 0)</f>
        <v>0</v>
      </c>
      <c r="R468">
        <f>IFERROR(VLOOKUP(Tabla1[[#This Row],[SISMED]],TblDisponibilidad[],22,FALSE), 0)</f>
        <v>0</v>
      </c>
      <c r="S468" s="15">
        <f>IFERROR(VLOOKUP(Tabla1[[#This Row],[SISMED]],TblDisponibilidad[],23,FALSE), 0)</f>
        <v>0</v>
      </c>
    </row>
    <row r="469" spans="1:19" x14ac:dyDescent="0.3">
      <c r="A469" s="15" t="s">
        <v>499</v>
      </c>
      <c r="B469" t="str">
        <f>IFERROR(VLOOKUP(Tabla1[[#This Row],[SISMED]],TblDisponibilidad[],2,FALSE), "")</f>
        <v/>
      </c>
      <c r="C469">
        <f>IFERROR(VLOOKUP(Tabla1[[#This Row],[SISMED]],TblDisponibilidad[],7,FALSE), 0)</f>
        <v>0</v>
      </c>
      <c r="D469">
        <f>IFERROR(VLOOKUP(Tabla1[[#This Row],[SISMED]],TblDisponibilidad[],8,FALSE), 0)</f>
        <v>0</v>
      </c>
      <c r="E469">
        <f>IFERROR(VLOOKUP(Tabla1[[#This Row],[SISMED]],TblDisponibilidad[],9,FALSE), 0)</f>
        <v>0</v>
      </c>
      <c r="F469">
        <f>IFERROR(VLOOKUP(Tabla1[[#This Row],[SISMED]],TblDisponibilidad[],10,FALSE), 0)</f>
        <v>0</v>
      </c>
      <c r="G469">
        <f>IFERROR(VLOOKUP(Tabla1[[#This Row],[SISMED]],TblDisponibilidad[],11,FALSE), 0)</f>
        <v>0</v>
      </c>
      <c r="H469">
        <f>IFERROR(VLOOKUP(Tabla1[[#This Row],[SISMED]],TblDisponibilidad[],12,FALSE), 0)</f>
        <v>0</v>
      </c>
      <c r="I469">
        <f>IFERROR(VLOOKUP(Tabla1[[#This Row],[SISMED]],TblDisponibilidad[],13,FALSE), 0)</f>
        <v>0</v>
      </c>
      <c r="J469">
        <f>IFERROR(VLOOKUP(Tabla1[[#This Row],[SISMED]],TblDisponibilidad[],14,FALSE), 0)</f>
        <v>0</v>
      </c>
      <c r="K469">
        <f>IFERROR(VLOOKUP(Tabla1[[#This Row],[SISMED]],TblDisponibilidad[],15,FALSE), 0)</f>
        <v>0</v>
      </c>
      <c r="L469">
        <f>IFERROR(VLOOKUP(Tabla1[[#This Row],[SISMED]],TblDisponibilidad[],16,FALSE), 0)</f>
        <v>0</v>
      </c>
      <c r="M469">
        <f>IFERROR(VLOOKUP(Tabla1[[#This Row],[SISMED]],TblDisponibilidad[],17,FALSE), 0)</f>
        <v>0</v>
      </c>
      <c r="N469">
        <f>IFERROR(VLOOKUP(Tabla1[[#This Row],[SISMED]],TblDisponibilidad[],18,FALSE), 0)</f>
        <v>0</v>
      </c>
      <c r="O469">
        <f>IFERROR(VLOOKUP(Tabla1[[#This Row],[SISMED]],TblDisponibilidad[],19,FALSE), 0)</f>
        <v>0</v>
      </c>
      <c r="P469">
        <f>IFERROR(VLOOKUP(Tabla1[[#This Row],[SISMED]],TblDisponibilidad[],20,FALSE), 0)</f>
        <v>0</v>
      </c>
      <c r="Q469">
        <f>IFERROR(VLOOKUP(Tabla1[[#This Row],[SISMED]],TblDisponibilidad[],21,FALSE), 0)</f>
        <v>0</v>
      </c>
      <c r="R469">
        <f>IFERROR(VLOOKUP(Tabla1[[#This Row],[SISMED]],TblDisponibilidad[],22,FALSE), 0)</f>
        <v>0</v>
      </c>
      <c r="S469" s="15">
        <f>IFERROR(VLOOKUP(Tabla1[[#This Row],[SISMED]],TblDisponibilidad[],23,FALSE), 0)</f>
        <v>0</v>
      </c>
    </row>
    <row r="470" spans="1:19" x14ac:dyDescent="0.3">
      <c r="A470" s="15" t="s">
        <v>500</v>
      </c>
      <c r="B470" t="str">
        <f>IFERROR(VLOOKUP(Tabla1[[#This Row],[SISMED]],TblDisponibilidad[],2,FALSE), "")</f>
        <v/>
      </c>
      <c r="C470">
        <f>IFERROR(VLOOKUP(Tabla1[[#This Row],[SISMED]],TblDisponibilidad[],7,FALSE), 0)</f>
        <v>0</v>
      </c>
      <c r="D470">
        <f>IFERROR(VLOOKUP(Tabla1[[#This Row],[SISMED]],TblDisponibilidad[],8,FALSE), 0)</f>
        <v>0</v>
      </c>
      <c r="E470">
        <f>IFERROR(VLOOKUP(Tabla1[[#This Row],[SISMED]],TblDisponibilidad[],9,FALSE), 0)</f>
        <v>0</v>
      </c>
      <c r="F470">
        <f>IFERROR(VLOOKUP(Tabla1[[#This Row],[SISMED]],TblDisponibilidad[],10,FALSE), 0)</f>
        <v>0</v>
      </c>
      <c r="G470">
        <f>IFERROR(VLOOKUP(Tabla1[[#This Row],[SISMED]],TblDisponibilidad[],11,FALSE), 0)</f>
        <v>0</v>
      </c>
      <c r="H470">
        <f>IFERROR(VLOOKUP(Tabla1[[#This Row],[SISMED]],TblDisponibilidad[],12,FALSE), 0)</f>
        <v>0</v>
      </c>
      <c r="I470">
        <f>IFERROR(VLOOKUP(Tabla1[[#This Row],[SISMED]],TblDisponibilidad[],13,FALSE), 0)</f>
        <v>0</v>
      </c>
      <c r="J470">
        <f>IFERROR(VLOOKUP(Tabla1[[#This Row],[SISMED]],TblDisponibilidad[],14,FALSE), 0)</f>
        <v>0</v>
      </c>
      <c r="K470">
        <f>IFERROR(VLOOKUP(Tabla1[[#This Row],[SISMED]],TblDisponibilidad[],15,FALSE), 0)</f>
        <v>0</v>
      </c>
      <c r="L470">
        <f>IFERROR(VLOOKUP(Tabla1[[#This Row],[SISMED]],TblDisponibilidad[],16,FALSE), 0)</f>
        <v>0</v>
      </c>
      <c r="M470">
        <f>IFERROR(VLOOKUP(Tabla1[[#This Row],[SISMED]],TblDisponibilidad[],17,FALSE), 0)</f>
        <v>0</v>
      </c>
      <c r="N470">
        <f>IFERROR(VLOOKUP(Tabla1[[#This Row],[SISMED]],TblDisponibilidad[],18,FALSE), 0)</f>
        <v>0</v>
      </c>
      <c r="O470">
        <f>IFERROR(VLOOKUP(Tabla1[[#This Row],[SISMED]],TblDisponibilidad[],19,FALSE), 0)</f>
        <v>0</v>
      </c>
      <c r="P470">
        <f>IFERROR(VLOOKUP(Tabla1[[#This Row],[SISMED]],TblDisponibilidad[],20,FALSE), 0)</f>
        <v>0</v>
      </c>
      <c r="Q470">
        <f>IFERROR(VLOOKUP(Tabla1[[#This Row],[SISMED]],TblDisponibilidad[],21,FALSE), 0)</f>
        <v>0</v>
      </c>
      <c r="R470">
        <f>IFERROR(VLOOKUP(Tabla1[[#This Row],[SISMED]],TblDisponibilidad[],22,FALSE), 0)</f>
        <v>0</v>
      </c>
      <c r="S470" s="15">
        <f>IFERROR(VLOOKUP(Tabla1[[#This Row],[SISMED]],TblDisponibilidad[],23,FALSE), 0)</f>
        <v>0</v>
      </c>
    </row>
    <row r="471" spans="1:19" x14ac:dyDescent="0.3">
      <c r="A471" s="15" t="s">
        <v>501</v>
      </c>
      <c r="B471" t="str">
        <f>IFERROR(VLOOKUP(Tabla1[[#This Row],[SISMED]],TblDisponibilidad[],2,FALSE), "")</f>
        <v/>
      </c>
      <c r="C471">
        <f>IFERROR(VLOOKUP(Tabla1[[#This Row],[SISMED]],TblDisponibilidad[],7,FALSE), 0)</f>
        <v>0</v>
      </c>
      <c r="D471">
        <f>IFERROR(VLOOKUP(Tabla1[[#This Row],[SISMED]],TblDisponibilidad[],8,FALSE), 0)</f>
        <v>0</v>
      </c>
      <c r="E471">
        <f>IFERROR(VLOOKUP(Tabla1[[#This Row],[SISMED]],TblDisponibilidad[],9,FALSE), 0)</f>
        <v>0</v>
      </c>
      <c r="F471">
        <f>IFERROR(VLOOKUP(Tabla1[[#This Row],[SISMED]],TblDisponibilidad[],10,FALSE), 0)</f>
        <v>0</v>
      </c>
      <c r="G471">
        <f>IFERROR(VLOOKUP(Tabla1[[#This Row],[SISMED]],TblDisponibilidad[],11,FALSE), 0)</f>
        <v>0</v>
      </c>
      <c r="H471">
        <f>IFERROR(VLOOKUP(Tabla1[[#This Row],[SISMED]],TblDisponibilidad[],12,FALSE), 0)</f>
        <v>0</v>
      </c>
      <c r="I471">
        <f>IFERROR(VLOOKUP(Tabla1[[#This Row],[SISMED]],TblDisponibilidad[],13,FALSE), 0)</f>
        <v>0</v>
      </c>
      <c r="J471">
        <f>IFERROR(VLOOKUP(Tabla1[[#This Row],[SISMED]],TblDisponibilidad[],14,FALSE), 0)</f>
        <v>0</v>
      </c>
      <c r="K471">
        <f>IFERROR(VLOOKUP(Tabla1[[#This Row],[SISMED]],TblDisponibilidad[],15,FALSE), 0)</f>
        <v>0</v>
      </c>
      <c r="L471">
        <f>IFERROR(VLOOKUP(Tabla1[[#This Row],[SISMED]],TblDisponibilidad[],16,FALSE), 0)</f>
        <v>0</v>
      </c>
      <c r="M471">
        <f>IFERROR(VLOOKUP(Tabla1[[#This Row],[SISMED]],TblDisponibilidad[],17,FALSE), 0)</f>
        <v>0</v>
      </c>
      <c r="N471">
        <f>IFERROR(VLOOKUP(Tabla1[[#This Row],[SISMED]],TblDisponibilidad[],18,FALSE), 0)</f>
        <v>0</v>
      </c>
      <c r="O471">
        <f>IFERROR(VLOOKUP(Tabla1[[#This Row],[SISMED]],TblDisponibilidad[],19,FALSE), 0)</f>
        <v>0</v>
      </c>
      <c r="P471">
        <f>IFERROR(VLOOKUP(Tabla1[[#This Row],[SISMED]],TblDisponibilidad[],20,FALSE), 0)</f>
        <v>0</v>
      </c>
      <c r="Q471">
        <f>IFERROR(VLOOKUP(Tabla1[[#This Row],[SISMED]],TblDisponibilidad[],21,FALSE), 0)</f>
        <v>0</v>
      </c>
      <c r="R471">
        <f>IFERROR(VLOOKUP(Tabla1[[#This Row],[SISMED]],TblDisponibilidad[],22,FALSE), 0)</f>
        <v>0</v>
      </c>
      <c r="S471" s="15">
        <f>IFERROR(VLOOKUP(Tabla1[[#This Row],[SISMED]],TblDisponibilidad[],23,FALSE), 0)</f>
        <v>0</v>
      </c>
    </row>
    <row r="472" spans="1:19" x14ac:dyDescent="0.3">
      <c r="A472" s="15" t="s">
        <v>502</v>
      </c>
      <c r="B472" t="str">
        <f>IFERROR(VLOOKUP(Tabla1[[#This Row],[SISMED]],TblDisponibilidad[],2,FALSE), "")</f>
        <v/>
      </c>
      <c r="C472">
        <f>IFERROR(VLOOKUP(Tabla1[[#This Row],[SISMED]],TblDisponibilidad[],7,FALSE), 0)</f>
        <v>0</v>
      </c>
      <c r="D472">
        <f>IFERROR(VLOOKUP(Tabla1[[#This Row],[SISMED]],TblDisponibilidad[],8,FALSE), 0)</f>
        <v>0</v>
      </c>
      <c r="E472">
        <f>IFERROR(VLOOKUP(Tabla1[[#This Row],[SISMED]],TblDisponibilidad[],9,FALSE), 0)</f>
        <v>0</v>
      </c>
      <c r="F472">
        <f>IFERROR(VLOOKUP(Tabla1[[#This Row],[SISMED]],TblDisponibilidad[],10,FALSE), 0)</f>
        <v>0</v>
      </c>
      <c r="G472">
        <f>IFERROR(VLOOKUP(Tabla1[[#This Row],[SISMED]],TblDisponibilidad[],11,FALSE), 0)</f>
        <v>0</v>
      </c>
      <c r="H472">
        <f>IFERROR(VLOOKUP(Tabla1[[#This Row],[SISMED]],TblDisponibilidad[],12,FALSE), 0)</f>
        <v>0</v>
      </c>
      <c r="I472">
        <f>IFERROR(VLOOKUP(Tabla1[[#This Row],[SISMED]],TblDisponibilidad[],13,FALSE), 0)</f>
        <v>0</v>
      </c>
      <c r="J472">
        <f>IFERROR(VLOOKUP(Tabla1[[#This Row],[SISMED]],TblDisponibilidad[],14,FALSE), 0)</f>
        <v>0</v>
      </c>
      <c r="K472">
        <f>IFERROR(VLOOKUP(Tabla1[[#This Row],[SISMED]],TblDisponibilidad[],15,FALSE), 0)</f>
        <v>0</v>
      </c>
      <c r="L472">
        <f>IFERROR(VLOOKUP(Tabla1[[#This Row],[SISMED]],TblDisponibilidad[],16,FALSE), 0)</f>
        <v>0</v>
      </c>
      <c r="M472">
        <f>IFERROR(VLOOKUP(Tabla1[[#This Row],[SISMED]],TblDisponibilidad[],17,FALSE), 0)</f>
        <v>0</v>
      </c>
      <c r="N472">
        <f>IFERROR(VLOOKUP(Tabla1[[#This Row],[SISMED]],TblDisponibilidad[],18,FALSE), 0)</f>
        <v>0</v>
      </c>
      <c r="O472">
        <f>IFERROR(VLOOKUP(Tabla1[[#This Row],[SISMED]],TblDisponibilidad[],19,FALSE), 0)</f>
        <v>0</v>
      </c>
      <c r="P472">
        <f>IFERROR(VLOOKUP(Tabla1[[#This Row],[SISMED]],TblDisponibilidad[],20,FALSE), 0)</f>
        <v>0</v>
      </c>
      <c r="Q472">
        <f>IFERROR(VLOOKUP(Tabla1[[#This Row],[SISMED]],TblDisponibilidad[],21,FALSE), 0)</f>
        <v>0</v>
      </c>
      <c r="R472">
        <f>IFERROR(VLOOKUP(Tabla1[[#This Row],[SISMED]],TblDisponibilidad[],22,FALSE), 0)</f>
        <v>0</v>
      </c>
      <c r="S472" s="15">
        <f>IFERROR(VLOOKUP(Tabla1[[#This Row],[SISMED]],TblDisponibilidad[],23,FALSE), 0)</f>
        <v>0</v>
      </c>
    </row>
    <row r="473" spans="1:19" x14ac:dyDescent="0.3">
      <c r="A473" s="15" t="s">
        <v>503</v>
      </c>
      <c r="B473" t="str">
        <f>IFERROR(VLOOKUP(Tabla1[[#This Row],[SISMED]],TblDisponibilidad[],2,FALSE), "")</f>
        <v/>
      </c>
      <c r="C473">
        <f>IFERROR(VLOOKUP(Tabla1[[#This Row],[SISMED]],TblDisponibilidad[],7,FALSE), 0)</f>
        <v>0</v>
      </c>
      <c r="D473">
        <f>IFERROR(VLOOKUP(Tabla1[[#This Row],[SISMED]],TblDisponibilidad[],8,FALSE), 0)</f>
        <v>0</v>
      </c>
      <c r="E473">
        <f>IFERROR(VLOOKUP(Tabla1[[#This Row],[SISMED]],TblDisponibilidad[],9,FALSE), 0)</f>
        <v>0</v>
      </c>
      <c r="F473">
        <f>IFERROR(VLOOKUP(Tabla1[[#This Row],[SISMED]],TblDisponibilidad[],10,FALSE), 0)</f>
        <v>0</v>
      </c>
      <c r="G473">
        <f>IFERROR(VLOOKUP(Tabla1[[#This Row],[SISMED]],TblDisponibilidad[],11,FALSE), 0)</f>
        <v>0</v>
      </c>
      <c r="H473">
        <f>IFERROR(VLOOKUP(Tabla1[[#This Row],[SISMED]],TblDisponibilidad[],12,FALSE), 0)</f>
        <v>0</v>
      </c>
      <c r="I473">
        <f>IFERROR(VLOOKUP(Tabla1[[#This Row],[SISMED]],TblDisponibilidad[],13,FALSE), 0)</f>
        <v>0</v>
      </c>
      <c r="J473">
        <f>IFERROR(VLOOKUP(Tabla1[[#This Row],[SISMED]],TblDisponibilidad[],14,FALSE), 0)</f>
        <v>0</v>
      </c>
      <c r="K473">
        <f>IFERROR(VLOOKUP(Tabla1[[#This Row],[SISMED]],TblDisponibilidad[],15,FALSE), 0)</f>
        <v>0</v>
      </c>
      <c r="L473">
        <f>IFERROR(VLOOKUP(Tabla1[[#This Row],[SISMED]],TblDisponibilidad[],16,FALSE), 0)</f>
        <v>0</v>
      </c>
      <c r="M473">
        <f>IFERROR(VLOOKUP(Tabla1[[#This Row],[SISMED]],TblDisponibilidad[],17,FALSE), 0)</f>
        <v>0</v>
      </c>
      <c r="N473">
        <f>IFERROR(VLOOKUP(Tabla1[[#This Row],[SISMED]],TblDisponibilidad[],18,FALSE), 0)</f>
        <v>0</v>
      </c>
      <c r="O473">
        <f>IFERROR(VLOOKUP(Tabla1[[#This Row],[SISMED]],TblDisponibilidad[],19,FALSE), 0)</f>
        <v>0</v>
      </c>
      <c r="P473">
        <f>IFERROR(VLOOKUP(Tabla1[[#This Row],[SISMED]],TblDisponibilidad[],20,FALSE), 0)</f>
        <v>0</v>
      </c>
      <c r="Q473">
        <f>IFERROR(VLOOKUP(Tabla1[[#This Row],[SISMED]],TblDisponibilidad[],21,FALSE), 0)</f>
        <v>0</v>
      </c>
      <c r="R473">
        <f>IFERROR(VLOOKUP(Tabla1[[#This Row],[SISMED]],TblDisponibilidad[],22,FALSE), 0)</f>
        <v>0</v>
      </c>
      <c r="S473" s="15">
        <f>IFERROR(VLOOKUP(Tabla1[[#This Row],[SISMED]],TblDisponibilidad[],23,FALSE), 0)</f>
        <v>0</v>
      </c>
    </row>
    <row r="474" spans="1:19" x14ac:dyDescent="0.3">
      <c r="A474" s="15" t="s">
        <v>504</v>
      </c>
      <c r="B474" t="str">
        <f>IFERROR(VLOOKUP(Tabla1[[#This Row],[SISMED]],TblDisponibilidad[],2,FALSE), "")</f>
        <v/>
      </c>
      <c r="C474">
        <f>IFERROR(VLOOKUP(Tabla1[[#This Row],[SISMED]],TblDisponibilidad[],7,FALSE), 0)</f>
        <v>0</v>
      </c>
      <c r="D474">
        <f>IFERROR(VLOOKUP(Tabla1[[#This Row],[SISMED]],TblDisponibilidad[],8,FALSE), 0)</f>
        <v>0</v>
      </c>
      <c r="E474">
        <f>IFERROR(VLOOKUP(Tabla1[[#This Row],[SISMED]],TblDisponibilidad[],9,FALSE), 0)</f>
        <v>0</v>
      </c>
      <c r="F474">
        <f>IFERROR(VLOOKUP(Tabla1[[#This Row],[SISMED]],TblDisponibilidad[],10,FALSE), 0)</f>
        <v>0</v>
      </c>
      <c r="G474">
        <f>IFERROR(VLOOKUP(Tabla1[[#This Row],[SISMED]],TblDisponibilidad[],11,FALSE), 0)</f>
        <v>0</v>
      </c>
      <c r="H474">
        <f>IFERROR(VLOOKUP(Tabla1[[#This Row],[SISMED]],TblDisponibilidad[],12,FALSE), 0)</f>
        <v>0</v>
      </c>
      <c r="I474">
        <f>IFERROR(VLOOKUP(Tabla1[[#This Row],[SISMED]],TblDisponibilidad[],13,FALSE), 0)</f>
        <v>0</v>
      </c>
      <c r="J474">
        <f>IFERROR(VLOOKUP(Tabla1[[#This Row],[SISMED]],TblDisponibilidad[],14,FALSE), 0)</f>
        <v>0</v>
      </c>
      <c r="K474">
        <f>IFERROR(VLOOKUP(Tabla1[[#This Row],[SISMED]],TblDisponibilidad[],15,FALSE), 0)</f>
        <v>0</v>
      </c>
      <c r="L474">
        <f>IFERROR(VLOOKUP(Tabla1[[#This Row],[SISMED]],TblDisponibilidad[],16,FALSE), 0)</f>
        <v>0</v>
      </c>
      <c r="M474">
        <f>IFERROR(VLOOKUP(Tabla1[[#This Row],[SISMED]],TblDisponibilidad[],17,FALSE), 0)</f>
        <v>0</v>
      </c>
      <c r="N474">
        <f>IFERROR(VLOOKUP(Tabla1[[#This Row],[SISMED]],TblDisponibilidad[],18,FALSE), 0)</f>
        <v>0</v>
      </c>
      <c r="O474">
        <f>IFERROR(VLOOKUP(Tabla1[[#This Row],[SISMED]],TblDisponibilidad[],19,FALSE), 0)</f>
        <v>0</v>
      </c>
      <c r="P474">
        <f>IFERROR(VLOOKUP(Tabla1[[#This Row],[SISMED]],TblDisponibilidad[],20,FALSE), 0)</f>
        <v>0</v>
      </c>
      <c r="Q474">
        <f>IFERROR(VLOOKUP(Tabla1[[#This Row],[SISMED]],TblDisponibilidad[],21,FALSE), 0)</f>
        <v>0</v>
      </c>
      <c r="R474">
        <f>IFERROR(VLOOKUP(Tabla1[[#This Row],[SISMED]],TblDisponibilidad[],22,FALSE), 0)</f>
        <v>0</v>
      </c>
      <c r="S474" s="15">
        <f>IFERROR(VLOOKUP(Tabla1[[#This Row],[SISMED]],TblDisponibilidad[],23,FALSE), 0)</f>
        <v>0</v>
      </c>
    </row>
    <row r="475" spans="1:19" x14ac:dyDescent="0.3">
      <c r="A475" s="15" t="s">
        <v>505</v>
      </c>
      <c r="B475" t="str">
        <f>IFERROR(VLOOKUP(Tabla1[[#This Row],[SISMED]],TblDisponibilidad[],2,FALSE), "")</f>
        <v/>
      </c>
      <c r="C475">
        <f>IFERROR(VLOOKUP(Tabla1[[#This Row],[SISMED]],TblDisponibilidad[],7,FALSE), 0)</f>
        <v>0</v>
      </c>
      <c r="D475">
        <f>IFERROR(VLOOKUP(Tabla1[[#This Row],[SISMED]],TblDisponibilidad[],8,FALSE), 0)</f>
        <v>0</v>
      </c>
      <c r="E475">
        <f>IFERROR(VLOOKUP(Tabla1[[#This Row],[SISMED]],TblDisponibilidad[],9,FALSE), 0)</f>
        <v>0</v>
      </c>
      <c r="F475">
        <f>IFERROR(VLOOKUP(Tabla1[[#This Row],[SISMED]],TblDisponibilidad[],10,FALSE), 0)</f>
        <v>0</v>
      </c>
      <c r="G475">
        <f>IFERROR(VLOOKUP(Tabla1[[#This Row],[SISMED]],TblDisponibilidad[],11,FALSE), 0)</f>
        <v>0</v>
      </c>
      <c r="H475">
        <f>IFERROR(VLOOKUP(Tabla1[[#This Row],[SISMED]],TblDisponibilidad[],12,FALSE), 0)</f>
        <v>0</v>
      </c>
      <c r="I475">
        <f>IFERROR(VLOOKUP(Tabla1[[#This Row],[SISMED]],TblDisponibilidad[],13,FALSE), 0)</f>
        <v>0</v>
      </c>
      <c r="J475">
        <f>IFERROR(VLOOKUP(Tabla1[[#This Row],[SISMED]],TblDisponibilidad[],14,FALSE), 0)</f>
        <v>0</v>
      </c>
      <c r="K475">
        <f>IFERROR(VLOOKUP(Tabla1[[#This Row],[SISMED]],TblDisponibilidad[],15,FALSE), 0)</f>
        <v>0</v>
      </c>
      <c r="L475">
        <f>IFERROR(VLOOKUP(Tabla1[[#This Row],[SISMED]],TblDisponibilidad[],16,FALSE), 0)</f>
        <v>0</v>
      </c>
      <c r="M475">
        <f>IFERROR(VLOOKUP(Tabla1[[#This Row],[SISMED]],TblDisponibilidad[],17,FALSE), 0)</f>
        <v>0</v>
      </c>
      <c r="N475">
        <f>IFERROR(VLOOKUP(Tabla1[[#This Row],[SISMED]],TblDisponibilidad[],18,FALSE), 0)</f>
        <v>0</v>
      </c>
      <c r="O475">
        <f>IFERROR(VLOOKUP(Tabla1[[#This Row],[SISMED]],TblDisponibilidad[],19,FALSE), 0)</f>
        <v>0</v>
      </c>
      <c r="P475">
        <f>IFERROR(VLOOKUP(Tabla1[[#This Row],[SISMED]],TblDisponibilidad[],20,FALSE), 0)</f>
        <v>0</v>
      </c>
      <c r="Q475">
        <f>IFERROR(VLOOKUP(Tabla1[[#This Row],[SISMED]],TblDisponibilidad[],21,FALSE), 0)</f>
        <v>0</v>
      </c>
      <c r="R475">
        <f>IFERROR(VLOOKUP(Tabla1[[#This Row],[SISMED]],TblDisponibilidad[],22,FALSE), 0)</f>
        <v>0</v>
      </c>
      <c r="S475" s="15">
        <f>IFERROR(VLOOKUP(Tabla1[[#This Row],[SISMED]],TblDisponibilidad[],23,FALSE), 0)</f>
        <v>0</v>
      </c>
    </row>
    <row r="476" spans="1:19" x14ac:dyDescent="0.3">
      <c r="A476" s="15" t="s">
        <v>506</v>
      </c>
      <c r="B476" t="str">
        <f>IFERROR(VLOOKUP(Tabla1[[#This Row],[SISMED]],TblDisponibilidad[],2,FALSE), "")</f>
        <v/>
      </c>
      <c r="C476">
        <f>IFERROR(VLOOKUP(Tabla1[[#This Row],[SISMED]],TblDisponibilidad[],7,FALSE), 0)</f>
        <v>0</v>
      </c>
      <c r="D476">
        <f>IFERROR(VLOOKUP(Tabla1[[#This Row],[SISMED]],TblDisponibilidad[],8,FALSE), 0)</f>
        <v>0</v>
      </c>
      <c r="E476">
        <f>IFERROR(VLOOKUP(Tabla1[[#This Row],[SISMED]],TblDisponibilidad[],9,FALSE), 0)</f>
        <v>0</v>
      </c>
      <c r="F476">
        <f>IFERROR(VLOOKUP(Tabla1[[#This Row],[SISMED]],TblDisponibilidad[],10,FALSE), 0)</f>
        <v>0</v>
      </c>
      <c r="G476">
        <f>IFERROR(VLOOKUP(Tabla1[[#This Row],[SISMED]],TblDisponibilidad[],11,FALSE), 0)</f>
        <v>0</v>
      </c>
      <c r="H476">
        <f>IFERROR(VLOOKUP(Tabla1[[#This Row],[SISMED]],TblDisponibilidad[],12,FALSE), 0)</f>
        <v>0</v>
      </c>
      <c r="I476">
        <f>IFERROR(VLOOKUP(Tabla1[[#This Row],[SISMED]],TblDisponibilidad[],13,FALSE), 0)</f>
        <v>0</v>
      </c>
      <c r="J476">
        <f>IFERROR(VLOOKUP(Tabla1[[#This Row],[SISMED]],TblDisponibilidad[],14,FALSE), 0)</f>
        <v>0</v>
      </c>
      <c r="K476">
        <f>IFERROR(VLOOKUP(Tabla1[[#This Row],[SISMED]],TblDisponibilidad[],15,FALSE), 0)</f>
        <v>0</v>
      </c>
      <c r="L476">
        <f>IFERROR(VLOOKUP(Tabla1[[#This Row],[SISMED]],TblDisponibilidad[],16,FALSE), 0)</f>
        <v>0</v>
      </c>
      <c r="M476">
        <f>IFERROR(VLOOKUP(Tabla1[[#This Row],[SISMED]],TblDisponibilidad[],17,FALSE), 0)</f>
        <v>0</v>
      </c>
      <c r="N476">
        <f>IFERROR(VLOOKUP(Tabla1[[#This Row],[SISMED]],TblDisponibilidad[],18,FALSE), 0)</f>
        <v>0</v>
      </c>
      <c r="O476">
        <f>IFERROR(VLOOKUP(Tabla1[[#This Row],[SISMED]],TblDisponibilidad[],19,FALSE), 0)</f>
        <v>0</v>
      </c>
      <c r="P476">
        <f>IFERROR(VLOOKUP(Tabla1[[#This Row],[SISMED]],TblDisponibilidad[],20,FALSE), 0)</f>
        <v>0</v>
      </c>
      <c r="Q476">
        <f>IFERROR(VLOOKUP(Tabla1[[#This Row],[SISMED]],TblDisponibilidad[],21,FALSE), 0)</f>
        <v>0</v>
      </c>
      <c r="R476">
        <f>IFERROR(VLOOKUP(Tabla1[[#This Row],[SISMED]],TblDisponibilidad[],22,FALSE), 0)</f>
        <v>0</v>
      </c>
      <c r="S476" s="15">
        <f>IFERROR(VLOOKUP(Tabla1[[#This Row],[SISMED]],TblDisponibilidad[],23,FALSE), 0)</f>
        <v>0</v>
      </c>
    </row>
    <row r="477" spans="1:19" x14ac:dyDescent="0.3">
      <c r="A477" s="15" t="s">
        <v>507</v>
      </c>
      <c r="B477" t="str">
        <f>IFERROR(VLOOKUP(Tabla1[[#This Row],[SISMED]],TblDisponibilidad[],2,FALSE), "")</f>
        <v/>
      </c>
      <c r="C477">
        <f>IFERROR(VLOOKUP(Tabla1[[#This Row],[SISMED]],TblDisponibilidad[],7,FALSE), 0)</f>
        <v>0</v>
      </c>
      <c r="D477">
        <f>IFERROR(VLOOKUP(Tabla1[[#This Row],[SISMED]],TblDisponibilidad[],8,FALSE), 0)</f>
        <v>0</v>
      </c>
      <c r="E477">
        <f>IFERROR(VLOOKUP(Tabla1[[#This Row],[SISMED]],TblDisponibilidad[],9,FALSE), 0)</f>
        <v>0</v>
      </c>
      <c r="F477">
        <f>IFERROR(VLOOKUP(Tabla1[[#This Row],[SISMED]],TblDisponibilidad[],10,FALSE), 0)</f>
        <v>0</v>
      </c>
      <c r="G477">
        <f>IFERROR(VLOOKUP(Tabla1[[#This Row],[SISMED]],TblDisponibilidad[],11,FALSE), 0)</f>
        <v>0</v>
      </c>
      <c r="H477">
        <f>IFERROR(VLOOKUP(Tabla1[[#This Row],[SISMED]],TblDisponibilidad[],12,FALSE), 0)</f>
        <v>0</v>
      </c>
      <c r="I477">
        <f>IFERROR(VLOOKUP(Tabla1[[#This Row],[SISMED]],TblDisponibilidad[],13,FALSE), 0)</f>
        <v>0</v>
      </c>
      <c r="J477">
        <f>IFERROR(VLOOKUP(Tabla1[[#This Row],[SISMED]],TblDisponibilidad[],14,FALSE), 0)</f>
        <v>0</v>
      </c>
      <c r="K477">
        <f>IFERROR(VLOOKUP(Tabla1[[#This Row],[SISMED]],TblDisponibilidad[],15,FALSE), 0)</f>
        <v>0</v>
      </c>
      <c r="L477">
        <f>IFERROR(VLOOKUP(Tabla1[[#This Row],[SISMED]],TblDisponibilidad[],16,FALSE), 0)</f>
        <v>0</v>
      </c>
      <c r="M477">
        <f>IFERROR(VLOOKUP(Tabla1[[#This Row],[SISMED]],TblDisponibilidad[],17,FALSE), 0)</f>
        <v>0</v>
      </c>
      <c r="N477">
        <f>IFERROR(VLOOKUP(Tabla1[[#This Row],[SISMED]],TblDisponibilidad[],18,FALSE), 0)</f>
        <v>0</v>
      </c>
      <c r="O477">
        <f>IFERROR(VLOOKUP(Tabla1[[#This Row],[SISMED]],TblDisponibilidad[],19,FALSE), 0)</f>
        <v>0</v>
      </c>
      <c r="P477">
        <f>IFERROR(VLOOKUP(Tabla1[[#This Row],[SISMED]],TblDisponibilidad[],20,FALSE), 0)</f>
        <v>0</v>
      </c>
      <c r="Q477">
        <f>IFERROR(VLOOKUP(Tabla1[[#This Row],[SISMED]],TblDisponibilidad[],21,FALSE), 0)</f>
        <v>0</v>
      </c>
      <c r="R477">
        <f>IFERROR(VLOOKUP(Tabla1[[#This Row],[SISMED]],TblDisponibilidad[],22,FALSE), 0)</f>
        <v>0</v>
      </c>
      <c r="S477" s="15">
        <f>IFERROR(VLOOKUP(Tabla1[[#This Row],[SISMED]],TblDisponibilidad[],23,FALSE), 0)</f>
        <v>0</v>
      </c>
    </row>
    <row r="478" spans="1:19" x14ac:dyDescent="0.3">
      <c r="A478" s="15" t="s">
        <v>508</v>
      </c>
      <c r="B478" t="str">
        <f>IFERROR(VLOOKUP(Tabla1[[#This Row],[SISMED]],TblDisponibilidad[],2,FALSE), "")</f>
        <v/>
      </c>
      <c r="C478">
        <f>IFERROR(VLOOKUP(Tabla1[[#This Row],[SISMED]],TblDisponibilidad[],7,FALSE), 0)</f>
        <v>0</v>
      </c>
      <c r="D478">
        <f>IFERROR(VLOOKUP(Tabla1[[#This Row],[SISMED]],TblDisponibilidad[],8,FALSE), 0)</f>
        <v>0</v>
      </c>
      <c r="E478">
        <f>IFERROR(VLOOKUP(Tabla1[[#This Row],[SISMED]],TblDisponibilidad[],9,FALSE), 0)</f>
        <v>0</v>
      </c>
      <c r="F478">
        <f>IFERROR(VLOOKUP(Tabla1[[#This Row],[SISMED]],TblDisponibilidad[],10,FALSE), 0)</f>
        <v>0</v>
      </c>
      <c r="G478">
        <f>IFERROR(VLOOKUP(Tabla1[[#This Row],[SISMED]],TblDisponibilidad[],11,FALSE), 0)</f>
        <v>0</v>
      </c>
      <c r="H478">
        <f>IFERROR(VLOOKUP(Tabla1[[#This Row],[SISMED]],TblDisponibilidad[],12,FALSE), 0)</f>
        <v>0</v>
      </c>
      <c r="I478">
        <f>IFERROR(VLOOKUP(Tabla1[[#This Row],[SISMED]],TblDisponibilidad[],13,FALSE), 0)</f>
        <v>0</v>
      </c>
      <c r="J478">
        <f>IFERROR(VLOOKUP(Tabla1[[#This Row],[SISMED]],TblDisponibilidad[],14,FALSE), 0)</f>
        <v>0</v>
      </c>
      <c r="K478">
        <f>IFERROR(VLOOKUP(Tabla1[[#This Row],[SISMED]],TblDisponibilidad[],15,FALSE), 0)</f>
        <v>0</v>
      </c>
      <c r="L478">
        <f>IFERROR(VLOOKUP(Tabla1[[#This Row],[SISMED]],TblDisponibilidad[],16,FALSE), 0)</f>
        <v>0</v>
      </c>
      <c r="M478">
        <f>IFERROR(VLOOKUP(Tabla1[[#This Row],[SISMED]],TblDisponibilidad[],17,FALSE), 0)</f>
        <v>0</v>
      </c>
      <c r="N478">
        <f>IFERROR(VLOOKUP(Tabla1[[#This Row],[SISMED]],TblDisponibilidad[],18,FALSE), 0)</f>
        <v>0</v>
      </c>
      <c r="O478">
        <f>IFERROR(VLOOKUP(Tabla1[[#This Row],[SISMED]],TblDisponibilidad[],19,FALSE), 0)</f>
        <v>0</v>
      </c>
      <c r="P478">
        <f>IFERROR(VLOOKUP(Tabla1[[#This Row],[SISMED]],TblDisponibilidad[],20,FALSE), 0)</f>
        <v>0</v>
      </c>
      <c r="Q478">
        <f>IFERROR(VLOOKUP(Tabla1[[#This Row],[SISMED]],TblDisponibilidad[],21,FALSE), 0)</f>
        <v>0</v>
      </c>
      <c r="R478">
        <f>IFERROR(VLOOKUP(Tabla1[[#This Row],[SISMED]],TblDisponibilidad[],22,FALSE), 0)</f>
        <v>0</v>
      </c>
      <c r="S478" s="15">
        <f>IFERROR(VLOOKUP(Tabla1[[#This Row],[SISMED]],TblDisponibilidad[],23,FALSE), 0)</f>
        <v>0</v>
      </c>
    </row>
    <row r="479" spans="1:19" x14ac:dyDescent="0.3">
      <c r="A479" s="15" t="s">
        <v>509</v>
      </c>
      <c r="B479" t="str">
        <f>IFERROR(VLOOKUP(Tabla1[[#This Row],[SISMED]],TblDisponibilidad[],2,FALSE), "")</f>
        <v/>
      </c>
      <c r="C479">
        <f>IFERROR(VLOOKUP(Tabla1[[#This Row],[SISMED]],TblDisponibilidad[],7,FALSE), 0)</f>
        <v>0</v>
      </c>
      <c r="D479">
        <f>IFERROR(VLOOKUP(Tabla1[[#This Row],[SISMED]],TblDisponibilidad[],8,FALSE), 0)</f>
        <v>0</v>
      </c>
      <c r="E479">
        <f>IFERROR(VLOOKUP(Tabla1[[#This Row],[SISMED]],TblDisponibilidad[],9,FALSE), 0)</f>
        <v>0</v>
      </c>
      <c r="F479">
        <f>IFERROR(VLOOKUP(Tabla1[[#This Row],[SISMED]],TblDisponibilidad[],10,FALSE), 0)</f>
        <v>0</v>
      </c>
      <c r="G479">
        <f>IFERROR(VLOOKUP(Tabla1[[#This Row],[SISMED]],TblDisponibilidad[],11,FALSE), 0)</f>
        <v>0</v>
      </c>
      <c r="H479">
        <f>IFERROR(VLOOKUP(Tabla1[[#This Row],[SISMED]],TblDisponibilidad[],12,FALSE), 0)</f>
        <v>0</v>
      </c>
      <c r="I479">
        <f>IFERROR(VLOOKUP(Tabla1[[#This Row],[SISMED]],TblDisponibilidad[],13,FALSE), 0)</f>
        <v>0</v>
      </c>
      <c r="J479">
        <f>IFERROR(VLOOKUP(Tabla1[[#This Row],[SISMED]],TblDisponibilidad[],14,FALSE), 0)</f>
        <v>0</v>
      </c>
      <c r="K479">
        <f>IFERROR(VLOOKUP(Tabla1[[#This Row],[SISMED]],TblDisponibilidad[],15,FALSE), 0)</f>
        <v>0</v>
      </c>
      <c r="L479">
        <f>IFERROR(VLOOKUP(Tabla1[[#This Row],[SISMED]],TblDisponibilidad[],16,FALSE), 0)</f>
        <v>0</v>
      </c>
      <c r="M479">
        <f>IFERROR(VLOOKUP(Tabla1[[#This Row],[SISMED]],TblDisponibilidad[],17,FALSE), 0)</f>
        <v>0</v>
      </c>
      <c r="N479">
        <f>IFERROR(VLOOKUP(Tabla1[[#This Row],[SISMED]],TblDisponibilidad[],18,FALSE), 0)</f>
        <v>0</v>
      </c>
      <c r="O479">
        <f>IFERROR(VLOOKUP(Tabla1[[#This Row],[SISMED]],TblDisponibilidad[],19,FALSE), 0)</f>
        <v>0</v>
      </c>
      <c r="P479">
        <f>IFERROR(VLOOKUP(Tabla1[[#This Row],[SISMED]],TblDisponibilidad[],20,FALSE), 0)</f>
        <v>0</v>
      </c>
      <c r="Q479">
        <f>IFERROR(VLOOKUP(Tabla1[[#This Row],[SISMED]],TblDisponibilidad[],21,FALSE), 0)</f>
        <v>0</v>
      </c>
      <c r="R479">
        <f>IFERROR(VLOOKUP(Tabla1[[#This Row],[SISMED]],TblDisponibilidad[],22,FALSE), 0)</f>
        <v>0</v>
      </c>
      <c r="S479" s="15">
        <f>IFERROR(VLOOKUP(Tabla1[[#This Row],[SISMED]],TblDisponibilidad[],23,FALSE), 0)</f>
        <v>0</v>
      </c>
    </row>
    <row r="480" spans="1:19" x14ac:dyDescent="0.3">
      <c r="A480" s="15" t="s">
        <v>510</v>
      </c>
      <c r="B480" t="str">
        <f>IFERROR(VLOOKUP(Tabla1[[#This Row],[SISMED]],TblDisponibilidad[],2,FALSE), "")</f>
        <v/>
      </c>
      <c r="C480">
        <f>IFERROR(VLOOKUP(Tabla1[[#This Row],[SISMED]],TblDisponibilidad[],7,FALSE), 0)</f>
        <v>0</v>
      </c>
      <c r="D480">
        <f>IFERROR(VLOOKUP(Tabla1[[#This Row],[SISMED]],TblDisponibilidad[],8,FALSE), 0)</f>
        <v>0</v>
      </c>
      <c r="E480">
        <f>IFERROR(VLOOKUP(Tabla1[[#This Row],[SISMED]],TblDisponibilidad[],9,FALSE), 0)</f>
        <v>0</v>
      </c>
      <c r="F480">
        <f>IFERROR(VLOOKUP(Tabla1[[#This Row],[SISMED]],TblDisponibilidad[],10,FALSE), 0)</f>
        <v>0</v>
      </c>
      <c r="G480">
        <f>IFERROR(VLOOKUP(Tabla1[[#This Row],[SISMED]],TblDisponibilidad[],11,FALSE), 0)</f>
        <v>0</v>
      </c>
      <c r="H480">
        <f>IFERROR(VLOOKUP(Tabla1[[#This Row],[SISMED]],TblDisponibilidad[],12,FALSE), 0)</f>
        <v>0</v>
      </c>
      <c r="I480">
        <f>IFERROR(VLOOKUP(Tabla1[[#This Row],[SISMED]],TblDisponibilidad[],13,FALSE), 0)</f>
        <v>0</v>
      </c>
      <c r="J480">
        <f>IFERROR(VLOOKUP(Tabla1[[#This Row],[SISMED]],TblDisponibilidad[],14,FALSE), 0)</f>
        <v>0</v>
      </c>
      <c r="K480">
        <f>IFERROR(VLOOKUP(Tabla1[[#This Row],[SISMED]],TblDisponibilidad[],15,FALSE), 0)</f>
        <v>0</v>
      </c>
      <c r="L480">
        <f>IFERROR(VLOOKUP(Tabla1[[#This Row],[SISMED]],TblDisponibilidad[],16,FALSE), 0)</f>
        <v>0</v>
      </c>
      <c r="M480">
        <f>IFERROR(VLOOKUP(Tabla1[[#This Row],[SISMED]],TblDisponibilidad[],17,FALSE), 0)</f>
        <v>0</v>
      </c>
      <c r="N480">
        <f>IFERROR(VLOOKUP(Tabla1[[#This Row],[SISMED]],TblDisponibilidad[],18,FALSE), 0)</f>
        <v>0</v>
      </c>
      <c r="O480">
        <f>IFERROR(VLOOKUP(Tabla1[[#This Row],[SISMED]],TblDisponibilidad[],19,FALSE), 0)</f>
        <v>0</v>
      </c>
      <c r="P480">
        <f>IFERROR(VLOOKUP(Tabla1[[#This Row],[SISMED]],TblDisponibilidad[],20,FALSE), 0)</f>
        <v>0</v>
      </c>
      <c r="Q480">
        <f>IFERROR(VLOOKUP(Tabla1[[#This Row],[SISMED]],TblDisponibilidad[],21,FALSE), 0)</f>
        <v>0</v>
      </c>
      <c r="R480">
        <f>IFERROR(VLOOKUP(Tabla1[[#This Row],[SISMED]],TblDisponibilidad[],22,FALSE), 0)</f>
        <v>0</v>
      </c>
      <c r="S480" s="15">
        <f>IFERROR(VLOOKUP(Tabla1[[#This Row],[SISMED]],TblDisponibilidad[],23,FALSE), 0)</f>
        <v>0</v>
      </c>
    </row>
    <row r="481" spans="1:19" x14ac:dyDescent="0.3">
      <c r="A481" s="15" t="s">
        <v>511</v>
      </c>
      <c r="B481" t="str">
        <f>IFERROR(VLOOKUP(Tabla1[[#This Row],[SISMED]],TblDisponibilidad[],2,FALSE), "")</f>
        <v/>
      </c>
      <c r="C481">
        <f>IFERROR(VLOOKUP(Tabla1[[#This Row],[SISMED]],TblDisponibilidad[],7,FALSE), 0)</f>
        <v>0</v>
      </c>
      <c r="D481">
        <f>IFERROR(VLOOKUP(Tabla1[[#This Row],[SISMED]],TblDisponibilidad[],8,FALSE), 0)</f>
        <v>0</v>
      </c>
      <c r="E481">
        <f>IFERROR(VLOOKUP(Tabla1[[#This Row],[SISMED]],TblDisponibilidad[],9,FALSE), 0)</f>
        <v>0</v>
      </c>
      <c r="F481">
        <f>IFERROR(VLOOKUP(Tabla1[[#This Row],[SISMED]],TblDisponibilidad[],10,FALSE), 0)</f>
        <v>0</v>
      </c>
      <c r="G481">
        <f>IFERROR(VLOOKUP(Tabla1[[#This Row],[SISMED]],TblDisponibilidad[],11,FALSE), 0)</f>
        <v>0</v>
      </c>
      <c r="H481">
        <f>IFERROR(VLOOKUP(Tabla1[[#This Row],[SISMED]],TblDisponibilidad[],12,FALSE), 0)</f>
        <v>0</v>
      </c>
      <c r="I481">
        <f>IFERROR(VLOOKUP(Tabla1[[#This Row],[SISMED]],TblDisponibilidad[],13,FALSE), 0)</f>
        <v>0</v>
      </c>
      <c r="J481">
        <f>IFERROR(VLOOKUP(Tabla1[[#This Row],[SISMED]],TblDisponibilidad[],14,FALSE), 0)</f>
        <v>0</v>
      </c>
      <c r="K481">
        <f>IFERROR(VLOOKUP(Tabla1[[#This Row],[SISMED]],TblDisponibilidad[],15,FALSE), 0)</f>
        <v>0</v>
      </c>
      <c r="L481">
        <f>IFERROR(VLOOKUP(Tabla1[[#This Row],[SISMED]],TblDisponibilidad[],16,FALSE), 0)</f>
        <v>0</v>
      </c>
      <c r="M481">
        <f>IFERROR(VLOOKUP(Tabla1[[#This Row],[SISMED]],TblDisponibilidad[],17,FALSE), 0)</f>
        <v>0</v>
      </c>
      <c r="N481">
        <f>IFERROR(VLOOKUP(Tabla1[[#This Row],[SISMED]],TblDisponibilidad[],18,FALSE), 0)</f>
        <v>0</v>
      </c>
      <c r="O481">
        <f>IFERROR(VLOOKUP(Tabla1[[#This Row],[SISMED]],TblDisponibilidad[],19,FALSE), 0)</f>
        <v>0</v>
      </c>
      <c r="P481">
        <f>IFERROR(VLOOKUP(Tabla1[[#This Row],[SISMED]],TblDisponibilidad[],20,FALSE), 0)</f>
        <v>0</v>
      </c>
      <c r="Q481">
        <f>IFERROR(VLOOKUP(Tabla1[[#This Row],[SISMED]],TblDisponibilidad[],21,FALSE), 0)</f>
        <v>0</v>
      </c>
      <c r="R481">
        <f>IFERROR(VLOOKUP(Tabla1[[#This Row],[SISMED]],TblDisponibilidad[],22,FALSE), 0)</f>
        <v>0</v>
      </c>
      <c r="S481" s="15">
        <f>IFERROR(VLOOKUP(Tabla1[[#This Row],[SISMED]],TblDisponibilidad[],23,FALSE), 0)</f>
        <v>0</v>
      </c>
    </row>
    <row r="482" spans="1:19" x14ac:dyDescent="0.3">
      <c r="A482" s="15" t="s">
        <v>512</v>
      </c>
      <c r="B482" t="str">
        <f>IFERROR(VLOOKUP(Tabla1[[#This Row],[SISMED]],TblDisponibilidad[],2,FALSE), "")</f>
        <v/>
      </c>
      <c r="C482">
        <f>IFERROR(VLOOKUP(Tabla1[[#This Row],[SISMED]],TblDisponibilidad[],7,FALSE), 0)</f>
        <v>0</v>
      </c>
      <c r="D482">
        <f>IFERROR(VLOOKUP(Tabla1[[#This Row],[SISMED]],TblDisponibilidad[],8,FALSE), 0)</f>
        <v>0</v>
      </c>
      <c r="E482">
        <f>IFERROR(VLOOKUP(Tabla1[[#This Row],[SISMED]],TblDisponibilidad[],9,FALSE), 0)</f>
        <v>0</v>
      </c>
      <c r="F482">
        <f>IFERROR(VLOOKUP(Tabla1[[#This Row],[SISMED]],TblDisponibilidad[],10,FALSE), 0)</f>
        <v>0</v>
      </c>
      <c r="G482">
        <f>IFERROR(VLOOKUP(Tabla1[[#This Row],[SISMED]],TblDisponibilidad[],11,FALSE), 0)</f>
        <v>0</v>
      </c>
      <c r="H482">
        <f>IFERROR(VLOOKUP(Tabla1[[#This Row],[SISMED]],TblDisponibilidad[],12,FALSE), 0)</f>
        <v>0</v>
      </c>
      <c r="I482">
        <f>IFERROR(VLOOKUP(Tabla1[[#This Row],[SISMED]],TblDisponibilidad[],13,FALSE), 0)</f>
        <v>0</v>
      </c>
      <c r="J482">
        <f>IFERROR(VLOOKUP(Tabla1[[#This Row],[SISMED]],TblDisponibilidad[],14,FALSE), 0)</f>
        <v>0</v>
      </c>
      <c r="K482">
        <f>IFERROR(VLOOKUP(Tabla1[[#This Row],[SISMED]],TblDisponibilidad[],15,FALSE), 0)</f>
        <v>0</v>
      </c>
      <c r="L482">
        <f>IFERROR(VLOOKUP(Tabla1[[#This Row],[SISMED]],TblDisponibilidad[],16,FALSE), 0)</f>
        <v>0</v>
      </c>
      <c r="M482">
        <f>IFERROR(VLOOKUP(Tabla1[[#This Row],[SISMED]],TblDisponibilidad[],17,FALSE), 0)</f>
        <v>0</v>
      </c>
      <c r="N482">
        <f>IFERROR(VLOOKUP(Tabla1[[#This Row],[SISMED]],TblDisponibilidad[],18,FALSE), 0)</f>
        <v>0</v>
      </c>
      <c r="O482">
        <f>IFERROR(VLOOKUP(Tabla1[[#This Row],[SISMED]],TblDisponibilidad[],19,FALSE), 0)</f>
        <v>0</v>
      </c>
      <c r="P482">
        <f>IFERROR(VLOOKUP(Tabla1[[#This Row],[SISMED]],TblDisponibilidad[],20,FALSE), 0)</f>
        <v>0</v>
      </c>
      <c r="Q482">
        <f>IFERROR(VLOOKUP(Tabla1[[#This Row],[SISMED]],TblDisponibilidad[],21,FALSE), 0)</f>
        <v>0</v>
      </c>
      <c r="R482">
        <f>IFERROR(VLOOKUP(Tabla1[[#This Row],[SISMED]],TblDisponibilidad[],22,FALSE), 0)</f>
        <v>0</v>
      </c>
      <c r="S482" s="15">
        <f>IFERROR(VLOOKUP(Tabla1[[#This Row],[SISMED]],TblDisponibilidad[],23,FALSE), 0)</f>
        <v>0</v>
      </c>
    </row>
    <row r="483" spans="1:19" x14ac:dyDescent="0.3">
      <c r="A483" s="15" t="s">
        <v>513</v>
      </c>
      <c r="B483" t="str">
        <f>IFERROR(VLOOKUP(Tabla1[[#This Row],[SISMED]],TblDisponibilidad[],2,FALSE), "")</f>
        <v/>
      </c>
      <c r="C483">
        <f>IFERROR(VLOOKUP(Tabla1[[#This Row],[SISMED]],TblDisponibilidad[],7,FALSE), 0)</f>
        <v>0</v>
      </c>
      <c r="D483">
        <f>IFERROR(VLOOKUP(Tabla1[[#This Row],[SISMED]],TblDisponibilidad[],8,FALSE), 0)</f>
        <v>0</v>
      </c>
      <c r="E483">
        <f>IFERROR(VLOOKUP(Tabla1[[#This Row],[SISMED]],TblDisponibilidad[],9,FALSE), 0)</f>
        <v>0</v>
      </c>
      <c r="F483">
        <f>IFERROR(VLOOKUP(Tabla1[[#This Row],[SISMED]],TblDisponibilidad[],10,FALSE), 0)</f>
        <v>0</v>
      </c>
      <c r="G483">
        <f>IFERROR(VLOOKUP(Tabla1[[#This Row],[SISMED]],TblDisponibilidad[],11,FALSE), 0)</f>
        <v>0</v>
      </c>
      <c r="H483">
        <f>IFERROR(VLOOKUP(Tabla1[[#This Row],[SISMED]],TblDisponibilidad[],12,FALSE), 0)</f>
        <v>0</v>
      </c>
      <c r="I483">
        <f>IFERROR(VLOOKUP(Tabla1[[#This Row],[SISMED]],TblDisponibilidad[],13,FALSE), 0)</f>
        <v>0</v>
      </c>
      <c r="J483">
        <f>IFERROR(VLOOKUP(Tabla1[[#This Row],[SISMED]],TblDisponibilidad[],14,FALSE), 0)</f>
        <v>0</v>
      </c>
      <c r="K483">
        <f>IFERROR(VLOOKUP(Tabla1[[#This Row],[SISMED]],TblDisponibilidad[],15,FALSE), 0)</f>
        <v>0</v>
      </c>
      <c r="L483">
        <f>IFERROR(VLOOKUP(Tabla1[[#This Row],[SISMED]],TblDisponibilidad[],16,FALSE), 0)</f>
        <v>0</v>
      </c>
      <c r="M483">
        <f>IFERROR(VLOOKUP(Tabla1[[#This Row],[SISMED]],TblDisponibilidad[],17,FALSE), 0)</f>
        <v>0</v>
      </c>
      <c r="N483">
        <f>IFERROR(VLOOKUP(Tabla1[[#This Row],[SISMED]],TblDisponibilidad[],18,FALSE), 0)</f>
        <v>0</v>
      </c>
      <c r="O483">
        <f>IFERROR(VLOOKUP(Tabla1[[#This Row],[SISMED]],TblDisponibilidad[],19,FALSE), 0)</f>
        <v>0</v>
      </c>
      <c r="P483">
        <f>IFERROR(VLOOKUP(Tabla1[[#This Row],[SISMED]],TblDisponibilidad[],20,FALSE), 0)</f>
        <v>0</v>
      </c>
      <c r="Q483">
        <f>IFERROR(VLOOKUP(Tabla1[[#This Row],[SISMED]],TblDisponibilidad[],21,FALSE), 0)</f>
        <v>0</v>
      </c>
      <c r="R483">
        <f>IFERROR(VLOOKUP(Tabla1[[#This Row],[SISMED]],TblDisponibilidad[],22,FALSE), 0)</f>
        <v>0</v>
      </c>
      <c r="S483" s="15">
        <f>IFERROR(VLOOKUP(Tabla1[[#This Row],[SISMED]],TblDisponibilidad[],23,FALSE), 0)</f>
        <v>0</v>
      </c>
    </row>
    <row r="484" spans="1:19" x14ac:dyDescent="0.3">
      <c r="A484" s="15" t="s">
        <v>514</v>
      </c>
      <c r="B484" t="str">
        <f>IFERROR(VLOOKUP(Tabla1[[#This Row],[SISMED]],TblDisponibilidad[],2,FALSE), "")</f>
        <v/>
      </c>
      <c r="C484">
        <f>IFERROR(VLOOKUP(Tabla1[[#This Row],[SISMED]],TblDisponibilidad[],7,FALSE), 0)</f>
        <v>0</v>
      </c>
      <c r="D484">
        <f>IFERROR(VLOOKUP(Tabla1[[#This Row],[SISMED]],TblDisponibilidad[],8,FALSE), 0)</f>
        <v>0</v>
      </c>
      <c r="E484">
        <f>IFERROR(VLOOKUP(Tabla1[[#This Row],[SISMED]],TblDisponibilidad[],9,FALSE), 0)</f>
        <v>0</v>
      </c>
      <c r="F484">
        <f>IFERROR(VLOOKUP(Tabla1[[#This Row],[SISMED]],TblDisponibilidad[],10,FALSE), 0)</f>
        <v>0</v>
      </c>
      <c r="G484">
        <f>IFERROR(VLOOKUP(Tabla1[[#This Row],[SISMED]],TblDisponibilidad[],11,FALSE), 0)</f>
        <v>0</v>
      </c>
      <c r="H484">
        <f>IFERROR(VLOOKUP(Tabla1[[#This Row],[SISMED]],TblDisponibilidad[],12,FALSE), 0)</f>
        <v>0</v>
      </c>
      <c r="I484">
        <f>IFERROR(VLOOKUP(Tabla1[[#This Row],[SISMED]],TblDisponibilidad[],13,FALSE), 0)</f>
        <v>0</v>
      </c>
      <c r="J484">
        <f>IFERROR(VLOOKUP(Tabla1[[#This Row],[SISMED]],TblDisponibilidad[],14,FALSE), 0)</f>
        <v>0</v>
      </c>
      <c r="K484">
        <f>IFERROR(VLOOKUP(Tabla1[[#This Row],[SISMED]],TblDisponibilidad[],15,FALSE), 0)</f>
        <v>0</v>
      </c>
      <c r="L484">
        <f>IFERROR(VLOOKUP(Tabla1[[#This Row],[SISMED]],TblDisponibilidad[],16,FALSE), 0)</f>
        <v>0</v>
      </c>
      <c r="M484">
        <f>IFERROR(VLOOKUP(Tabla1[[#This Row],[SISMED]],TblDisponibilidad[],17,FALSE), 0)</f>
        <v>0</v>
      </c>
      <c r="N484">
        <f>IFERROR(VLOOKUP(Tabla1[[#This Row],[SISMED]],TblDisponibilidad[],18,FALSE), 0)</f>
        <v>0</v>
      </c>
      <c r="O484">
        <f>IFERROR(VLOOKUP(Tabla1[[#This Row],[SISMED]],TblDisponibilidad[],19,FALSE), 0)</f>
        <v>0</v>
      </c>
      <c r="P484">
        <f>IFERROR(VLOOKUP(Tabla1[[#This Row],[SISMED]],TblDisponibilidad[],20,FALSE), 0)</f>
        <v>0</v>
      </c>
      <c r="Q484">
        <f>IFERROR(VLOOKUP(Tabla1[[#This Row],[SISMED]],TblDisponibilidad[],21,FALSE), 0)</f>
        <v>0</v>
      </c>
      <c r="R484">
        <f>IFERROR(VLOOKUP(Tabla1[[#This Row],[SISMED]],TblDisponibilidad[],22,FALSE), 0)</f>
        <v>0</v>
      </c>
      <c r="S484" s="15">
        <f>IFERROR(VLOOKUP(Tabla1[[#This Row],[SISMED]],TblDisponibilidad[],23,FALSE), 0)</f>
        <v>0</v>
      </c>
    </row>
    <row r="485" spans="1:19" x14ac:dyDescent="0.3">
      <c r="A485" s="15" t="s">
        <v>515</v>
      </c>
      <c r="B485" t="str">
        <f>IFERROR(VLOOKUP(Tabla1[[#This Row],[SISMED]],TblDisponibilidad[],2,FALSE), "")</f>
        <v/>
      </c>
      <c r="C485">
        <f>IFERROR(VLOOKUP(Tabla1[[#This Row],[SISMED]],TblDisponibilidad[],7,FALSE), 0)</f>
        <v>0</v>
      </c>
      <c r="D485">
        <f>IFERROR(VLOOKUP(Tabla1[[#This Row],[SISMED]],TblDisponibilidad[],8,FALSE), 0)</f>
        <v>0</v>
      </c>
      <c r="E485">
        <f>IFERROR(VLOOKUP(Tabla1[[#This Row],[SISMED]],TblDisponibilidad[],9,FALSE), 0)</f>
        <v>0</v>
      </c>
      <c r="F485">
        <f>IFERROR(VLOOKUP(Tabla1[[#This Row],[SISMED]],TblDisponibilidad[],10,FALSE), 0)</f>
        <v>0</v>
      </c>
      <c r="G485">
        <f>IFERROR(VLOOKUP(Tabla1[[#This Row],[SISMED]],TblDisponibilidad[],11,FALSE), 0)</f>
        <v>0</v>
      </c>
      <c r="H485">
        <f>IFERROR(VLOOKUP(Tabla1[[#This Row],[SISMED]],TblDisponibilidad[],12,FALSE), 0)</f>
        <v>0</v>
      </c>
      <c r="I485">
        <f>IFERROR(VLOOKUP(Tabla1[[#This Row],[SISMED]],TblDisponibilidad[],13,FALSE), 0)</f>
        <v>0</v>
      </c>
      <c r="J485">
        <f>IFERROR(VLOOKUP(Tabla1[[#This Row],[SISMED]],TblDisponibilidad[],14,FALSE), 0)</f>
        <v>0</v>
      </c>
      <c r="K485">
        <f>IFERROR(VLOOKUP(Tabla1[[#This Row],[SISMED]],TblDisponibilidad[],15,FALSE), 0)</f>
        <v>0</v>
      </c>
      <c r="L485">
        <f>IFERROR(VLOOKUP(Tabla1[[#This Row],[SISMED]],TblDisponibilidad[],16,FALSE), 0)</f>
        <v>0</v>
      </c>
      <c r="M485">
        <f>IFERROR(VLOOKUP(Tabla1[[#This Row],[SISMED]],TblDisponibilidad[],17,FALSE), 0)</f>
        <v>0</v>
      </c>
      <c r="N485">
        <f>IFERROR(VLOOKUP(Tabla1[[#This Row],[SISMED]],TblDisponibilidad[],18,FALSE), 0)</f>
        <v>0</v>
      </c>
      <c r="O485">
        <f>IFERROR(VLOOKUP(Tabla1[[#This Row],[SISMED]],TblDisponibilidad[],19,FALSE), 0)</f>
        <v>0</v>
      </c>
      <c r="P485">
        <f>IFERROR(VLOOKUP(Tabla1[[#This Row],[SISMED]],TblDisponibilidad[],20,FALSE), 0)</f>
        <v>0</v>
      </c>
      <c r="Q485">
        <f>IFERROR(VLOOKUP(Tabla1[[#This Row],[SISMED]],TblDisponibilidad[],21,FALSE), 0)</f>
        <v>0</v>
      </c>
      <c r="R485">
        <f>IFERROR(VLOOKUP(Tabla1[[#This Row],[SISMED]],TblDisponibilidad[],22,FALSE), 0)</f>
        <v>0</v>
      </c>
      <c r="S485" s="15">
        <f>IFERROR(VLOOKUP(Tabla1[[#This Row],[SISMED]],TblDisponibilidad[],23,FALSE), 0)</f>
        <v>0</v>
      </c>
    </row>
    <row r="486" spans="1:19" x14ac:dyDescent="0.3">
      <c r="A486" s="15" t="s">
        <v>516</v>
      </c>
      <c r="B486" t="str">
        <f>IFERROR(VLOOKUP(Tabla1[[#This Row],[SISMED]],TblDisponibilidad[],2,FALSE), "")</f>
        <v/>
      </c>
      <c r="C486">
        <f>IFERROR(VLOOKUP(Tabla1[[#This Row],[SISMED]],TblDisponibilidad[],7,FALSE), 0)</f>
        <v>0</v>
      </c>
      <c r="D486">
        <f>IFERROR(VLOOKUP(Tabla1[[#This Row],[SISMED]],TblDisponibilidad[],8,FALSE), 0)</f>
        <v>0</v>
      </c>
      <c r="E486">
        <f>IFERROR(VLOOKUP(Tabla1[[#This Row],[SISMED]],TblDisponibilidad[],9,FALSE), 0)</f>
        <v>0</v>
      </c>
      <c r="F486">
        <f>IFERROR(VLOOKUP(Tabla1[[#This Row],[SISMED]],TblDisponibilidad[],10,FALSE), 0)</f>
        <v>0</v>
      </c>
      <c r="G486">
        <f>IFERROR(VLOOKUP(Tabla1[[#This Row],[SISMED]],TblDisponibilidad[],11,FALSE), 0)</f>
        <v>0</v>
      </c>
      <c r="H486">
        <f>IFERROR(VLOOKUP(Tabla1[[#This Row],[SISMED]],TblDisponibilidad[],12,FALSE), 0)</f>
        <v>0</v>
      </c>
      <c r="I486">
        <f>IFERROR(VLOOKUP(Tabla1[[#This Row],[SISMED]],TblDisponibilidad[],13,FALSE), 0)</f>
        <v>0</v>
      </c>
      <c r="J486">
        <f>IFERROR(VLOOKUP(Tabla1[[#This Row],[SISMED]],TblDisponibilidad[],14,FALSE), 0)</f>
        <v>0</v>
      </c>
      <c r="K486">
        <f>IFERROR(VLOOKUP(Tabla1[[#This Row],[SISMED]],TblDisponibilidad[],15,FALSE), 0)</f>
        <v>0</v>
      </c>
      <c r="L486">
        <f>IFERROR(VLOOKUP(Tabla1[[#This Row],[SISMED]],TblDisponibilidad[],16,FALSE), 0)</f>
        <v>0</v>
      </c>
      <c r="M486">
        <f>IFERROR(VLOOKUP(Tabla1[[#This Row],[SISMED]],TblDisponibilidad[],17,FALSE), 0)</f>
        <v>0</v>
      </c>
      <c r="N486">
        <f>IFERROR(VLOOKUP(Tabla1[[#This Row],[SISMED]],TblDisponibilidad[],18,FALSE), 0)</f>
        <v>0</v>
      </c>
      <c r="O486">
        <f>IFERROR(VLOOKUP(Tabla1[[#This Row],[SISMED]],TblDisponibilidad[],19,FALSE), 0)</f>
        <v>0</v>
      </c>
      <c r="P486">
        <f>IFERROR(VLOOKUP(Tabla1[[#This Row],[SISMED]],TblDisponibilidad[],20,FALSE), 0)</f>
        <v>0</v>
      </c>
      <c r="Q486">
        <f>IFERROR(VLOOKUP(Tabla1[[#This Row],[SISMED]],TblDisponibilidad[],21,FALSE), 0)</f>
        <v>0</v>
      </c>
      <c r="R486">
        <f>IFERROR(VLOOKUP(Tabla1[[#This Row],[SISMED]],TblDisponibilidad[],22,FALSE), 0)</f>
        <v>0</v>
      </c>
      <c r="S486" s="15">
        <f>IFERROR(VLOOKUP(Tabla1[[#This Row],[SISMED]],TblDisponibilidad[],23,FALSE), 0)</f>
        <v>0</v>
      </c>
    </row>
    <row r="487" spans="1:19" x14ac:dyDescent="0.3">
      <c r="A487" s="15" t="s">
        <v>517</v>
      </c>
      <c r="B487" t="str">
        <f>IFERROR(VLOOKUP(Tabla1[[#This Row],[SISMED]],TblDisponibilidad[],2,FALSE), "")</f>
        <v/>
      </c>
      <c r="C487">
        <f>IFERROR(VLOOKUP(Tabla1[[#This Row],[SISMED]],TblDisponibilidad[],7,FALSE), 0)</f>
        <v>0</v>
      </c>
      <c r="D487">
        <f>IFERROR(VLOOKUP(Tabla1[[#This Row],[SISMED]],TblDisponibilidad[],8,FALSE), 0)</f>
        <v>0</v>
      </c>
      <c r="E487">
        <f>IFERROR(VLOOKUP(Tabla1[[#This Row],[SISMED]],TblDisponibilidad[],9,FALSE), 0)</f>
        <v>0</v>
      </c>
      <c r="F487">
        <f>IFERROR(VLOOKUP(Tabla1[[#This Row],[SISMED]],TblDisponibilidad[],10,FALSE), 0)</f>
        <v>0</v>
      </c>
      <c r="G487">
        <f>IFERROR(VLOOKUP(Tabla1[[#This Row],[SISMED]],TblDisponibilidad[],11,FALSE), 0)</f>
        <v>0</v>
      </c>
      <c r="H487">
        <f>IFERROR(VLOOKUP(Tabla1[[#This Row],[SISMED]],TblDisponibilidad[],12,FALSE), 0)</f>
        <v>0</v>
      </c>
      <c r="I487">
        <f>IFERROR(VLOOKUP(Tabla1[[#This Row],[SISMED]],TblDisponibilidad[],13,FALSE), 0)</f>
        <v>0</v>
      </c>
      <c r="J487">
        <f>IFERROR(VLOOKUP(Tabla1[[#This Row],[SISMED]],TblDisponibilidad[],14,FALSE), 0)</f>
        <v>0</v>
      </c>
      <c r="K487">
        <f>IFERROR(VLOOKUP(Tabla1[[#This Row],[SISMED]],TblDisponibilidad[],15,FALSE), 0)</f>
        <v>0</v>
      </c>
      <c r="L487">
        <f>IFERROR(VLOOKUP(Tabla1[[#This Row],[SISMED]],TblDisponibilidad[],16,FALSE), 0)</f>
        <v>0</v>
      </c>
      <c r="M487">
        <f>IFERROR(VLOOKUP(Tabla1[[#This Row],[SISMED]],TblDisponibilidad[],17,FALSE), 0)</f>
        <v>0</v>
      </c>
      <c r="N487">
        <f>IFERROR(VLOOKUP(Tabla1[[#This Row],[SISMED]],TblDisponibilidad[],18,FALSE), 0)</f>
        <v>0</v>
      </c>
      <c r="O487">
        <f>IFERROR(VLOOKUP(Tabla1[[#This Row],[SISMED]],TblDisponibilidad[],19,FALSE), 0)</f>
        <v>0</v>
      </c>
      <c r="P487">
        <f>IFERROR(VLOOKUP(Tabla1[[#This Row],[SISMED]],TblDisponibilidad[],20,FALSE), 0)</f>
        <v>0</v>
      </c>
      <c r="Q487">
        <f>IFERROR(VLOOKUP(Tabla1[[#This Row],[SISMED]],TblDisponibilidad[],21,FALSE), 0)</f>
        <v>0</v>
      </c>
      <c r="R487">
        <f>IFERROR(VLOOKUP(Tabla1[[#This Row],[SISMED]],TblDisponibilidad[],22,FALSE), 0)</f>
        <v>0</v>
      </c>
      <c r="S487" s="15">
        <f>IFERROR(VLOOKUP(Tabla1[[#This Row],[SISMED]],TblDisponibilidad[],23,FALSE), 0)</f>
        <v>0</v>
      </c>
    </row>
    <row r="488" spans="1:19" x14ac:dyDescent="0.3">
      <c r="A488" s="15" t="s">
        <v>518</v>
      </c>
      <c r="B488" t="str">
        <f>IFERROR(VLOOKUP(Tabla1[[#This Row],[SISMED]],TblDisponibilidad[],2,FALSE), "")</f>
        <v/>
      </c>
      <c r="C488">
        <f>IFERROR(VLOOKUP(Tabla1[[#This Row],[SISMED]],TblDisponibilidad[],7,FALSE), 0)</f>
        <v>0</v>
      </c>
      <c r="D488">
        <f>IFERROR(VLOOKUP(Tabla1[[#This Row],[SISMED]],TblDisponibilidad[],8,FALSE), 0)</f>
        <v>0</v>
      </c>
      <c r="E488">
        <f>IFERROR(VLOOKUP(Tabla1[[#This Row],[SISMED]],TblDisponibilidad[],9,FALSE), 0)</f>
        <v>0</v>
      </c>
      <c r="F488">
        <f>IFERROR(VLOOKUP(Tabla1[[#This Row],[SISMED]],TblDisponibilidad[],10,FALSE), 0)</f>
        <v>0</v>
      </c>
      <c r="G488">
        <f>IFERROR(VLOOKUP(Tabla1[[#This Row],[SISMED]],TblDisponibilidad[],11,FALSE), 0)</f>
        <v>0</v>
      </c>
      <c r="H488">
        <f>IFERROR(VLOOKUP(Tabla1[[#This Row],[SISMED]],TblDisponibilidad[],12,FALSE), 0)</f>
        <v>0</v>
      </c>
      <c r="I488">
        <f>IFERROR(VLOOKUP(Tabla1[[#This Row],[SISMED]],TblDisponibilidad[],13,FALSE), 0)</f>
        <v>0</v>
      </c>
      <c r="J488">
        <f>IFERROR(VLOOKUP(Tabla1[[#This Row],[SISMED]],TblDisponibilidad[],14,FALSE), 0)</f>
        <v>0</v>
      </c>
      <c r="K488">
        <f>IFERROR(VLOOKUP(Tabla1[[#This Row],[SISMED]],TblDisponibilidad[],15,FALSE), 0)</f>
        <v>0</v>
      </c>
      <c r="L488">
        <f>IFERROR(VLOOKUP(Tabla1[[#This Row],[SISMED]],TblDisponibilidad[],16,FALSE), 0)</f>
        <v>0</v>
      </c>
      <c r="M488">
        <f>IFERROR(VLOOKUP(Tabla1[[#This Row],[SISMED]],TblDisponibilidad[],17,FALSE), 0)</f>
        <v>0</v>
      </c>
      <c r="N488">
        <f>IFERROR(VLOOKUP(Tabla1[[#This Row],[SISMED]],TblDisponibilidad[],18,FALSE), 0)</f>
        <v>0</v>
      </c>
      <c r="O488">
        <f>IFERROR(VLOOKUP(Tabla1[[#This Row],[SISMED]],TblDisponibilidad[],19,FALSE), 0)</f>
        <v>0</v>
      </c>
      <c r="P488">
        <f>IFERROR(VLOOKUP(Tabla1[[#This Row],[SISMED]],TblDisponibilidad[],20,FALSE), 0)</f>
        <v>0</v>
      </c>
      <c r="Q488">
        <f>IFERROR(VLOOKUP(Tabla1[[#This Row],[SISMED]],TblDisponibilidad[],21,FALSE), 0)</f>
        <v>0</v>
      </c>
      <c r="R488">
        <f>IFERROR(VLOOKUP(Tabla1[[#This Row],[SISMED]],TblDisponibilidad[],22,FALSE), 0)</f>
        <v>0</v>
      </c>
      <c r="S488" s="15">
        <f>IFERROR(VLOOKUP(Tabla1[[#This Row],[SISMED]],TblDisponibilidad[],23,FALSE), 0)</f>
        <v>0</v>
      </c>
    </row>
    <row r="489" spans="1:19" x14ac:dyDescent="0.3">
      <c r="A489" s="15" t="s">
        <v>519</v>
      </c>
      <c r="B489" t="str">
        <f>IFERROR(VLOOKUP(Tabla1[[#This Row],[SISMED]],TblDisponibilidad[],2,FALSE), "")</f>
        <v/>
      </c>
      <c r="C489">
        <f>IFERROR(VLOOKUP(Tabla1[[#This Row],[SISMED]],TblDisponibilidad[],7,FALSE), 0)</f>
        <v>0</v>
      </c>
      <c r="D489">
        <f>IFERROR(VLOOKUP(Tabla1[[#This Row],[SISMED]],TblDisponibilidad[],8,FALSE), 0)</f>
        <v>0</v>
      </c>
      <c r="E489">
        <f>IFERROR(VLOOKUP(Tabla1[[#This Row],[SISMED]],TblDisponibilidad[],9,FALSE), 0)</f>
        <v>0</v>
      </c>
      <c r="F489">
        <f>IFERROR(VLOOKUP(Tabla1[[#This Row],[SISMED]],TblDisponibilidad[],10,FALSE), 0)</f>
        <v>0</v>
      </c>
      <c r="G489">
        <f>IFERROR(VLOOKUP(Tabla1[[#This Row],[SISMED]],TblDisponibilidad[],11,FALSE), 0)</f>
        <v>0</v>
      </c>
      <c r="H489">
        <f>IFERROR(VLOOKUP(Tabla1[[#This Row],[SISMED]],TblDisponibilidad[],12,FALSE), 0)</f>
        <v>0</v>
      </c>
      <c r="I489">
        <f>IFERROR(VLOOKUP(Tabla1[[#This Row],[SISMED]],TblDisponibilidad[],13,FALSE), 0)</f>
        <v>0</v>
      </c>
      <c r="J489">
        <f>IFERROR(VLOOKUP(Tabla1[[#This Row],[SISMED]],TblDisponibilidad[],14,FALSE), 0)</f>
        <v>0</v>
      </c>
      <c r="K489">
        <f>IFERROR(VLOOKUP(Tabla1[[#This Row],[SISMED]],TblDisponibilidad[],15,FALSE), 0)</f>
        <v>0</v>
      </c>
      <c r="L489">
        <f>IFERROR(VLOOKUP(Tabla1[[#This Row],[SISMED]],TblDisponibilidad[],16,FALSE), 0)</f>
        <v>0</v>
      </c>
      <c r="M489">
        <f>IFERROR(VLOOKUP(Tabla1[[#This Row],[SISMED]],TblDisponibilidad[],17,FALSE), 0)</f>
        <v>0</v>
      </c>
      <c r="N489">
        <f>IFERROR(VLOOKUP(Tabla1[[#This Row],[SISMED]],TblDisponibilidad[],18,FALSE), 0)</f>
        <v>0</v>
      </c>
      <c r="O489">
        <f>IFERROR(VLOOKUP(Tabla1[[#This Row],[SISMED]],TblDisponibilidad[],19,FALSE), 0)</f>
        <v>0</v>
      </c>
      <c r="P489">
        <f>IFERROR(VLOOKUP(Tabla1[[#This Row],[SISMED]],TblDisponibilidad[],20,FALSE), 0)</f>
        <v>0</v>
      </c>
      <c r="Q489">
        <f>IFERROR(VLOOKUP(Tabla1[[#This Row],[SISMED]],TblDisponibilidad[],21,FALSE), 0)</f>
        <v>0</v>
      </c>
      <c r="R489">
        <f>IFERROR(VLOOKUP(Tabla1[[#This Row],[SISMED]],TblDisponibilidad[],22,FALSE), 0)</f>
        <v>0</v>
      </c>
      <c r="S489" s="15">
        <f>IFERROR(VLOOKUP(Tabla1[[#This Row],[SISMED]],TblDisponibilidad[],23,FALSE), 0)</f>
        <v>0</v>
      </c>
    </row>
    <row r="490" spans="1:19" x14ac:dyDescent="0.3">
      <c r="A490" s="15" t="s">
        <v>520</v>
      </c>
      <c r="B490" t="str">
        <f>IFERROR(VLOOKUP(Tabla1[[#This Row],[SISMED]],TblDisponibilidad[],2,FALSE), "")</f>
        <v/>
      </c>
      <c r="C490">
        <f>IFERROR(VLOOKUP(Tabla1[[#This Row],[SISMED]],TblDisponibilidad[],7,FALSE), 0)</f>
        <v>0</v>
      </c>
      <c r="D490">
        <f>IFERROR(VLOOKUP(Tabla1[[#This Row],[SISMED]],TblDisponibilidad[],8,FALSE), 0)</f>
        <v>0</v>
      </c>
      <c r="E490">
        <f>IFERROR(VLOOKUP(Tabla1[[#This Row],[SISMED]],TblDisponibilidad[],9,FALSE), 0)</f>
        <v>0</v>
      </c>
      <c r="F490">
        <f>IFERROR(VLOOKUP(Tabla1[[#This Row],[SISMED]],TblDisponibilidad[],10,FALSE), 0)</f>
        <v>0</v>
      </c>
      <c r="G490">
        <f>IFERROR(VLOOKUP(Tabla1[[#This Row],[SISMED]],TblDisponibilidad[],11,FALSE), 0)</f>
        <v>0</v>
      </c>
      <c r="H490">
        <f>IFERROR(VLOOKUP(Tabla1[[#This Row],[SISMED]],TblDisponibilidad[],12,FALSE), 0)</f>
        <v>0</v>
      </c>
      <c r="I490">
        <f>IFERROR(VLOOKUP(Tabla1[[#This Row],[SISMED]],TblDisponibilidad[],13,FALSE), 0)</f>
        <v>0</v>
      </c>
      <c r="J490">
        <f>IFERROR(VLOOKUP(Tabla1[[#This Row],[SISMED]],TblDisponibilidad[],14,FALSE), 0)</f>
        <v>0</v>
      </c>
      <c r="K490">
        <f>IFERROR(VLOOKUP(Tabla1[[#This Row],[SISMED]],TblDisponibilidad[],15,FALSE), 0)</f>
        <v>0</v>
      </c>
      <c r="L490">
        <f>IFERROR(VLOOKUP(Tabla1[[#This Row],[SISMED]],TblDisponibilidad[],16,FALSE), 0)</f>
        <v>0</v>
      </c>
      <c r="M490">
        <f>IFERROR(VLOOKUP(Tabla1[[#This Row],[SISMED]],TblDisponibilidad[],17,FALSE), 0)</f>
        <v>0</v>
      </c>
      <c r="N490">
        <f>IFERROR(VLOOKUP(Tabla1[[#This Row],[SISMED]],TblDisponibilidad[],18,FALSE), 0)</f>
        <v>0</v>
      </c>
      <c r="O490">
        <f>IFERROR(VLOOKUP(Tabla1[[#This Row],[SISMED]],TblDisponibilidad[],19,FALSE), 0)</f>
        <v>0</v>
      </c>
      <c r="P490">
        <f>IFERROR(VLOOKUP(Tabla1[[#This Row],[SISMED]],TblDisponibilidad[],20,FALSE), 0)</f>
        <v>0</v>
      </c>
      <c r="Q490">
        <f>IFERROR(VLOOKUP(Tabla1[[#This Row],[SISMED]],TblDisponibilidad[],21,FALSE), 0)</f>
        <v>0</v>
      </c>
      <c r="R490">
        <f>IFERROR(VLOOKUP(Tabla1[[#This Row],[SISMED]],TblDisponibilidad[],22,FALSE), 0)</f>
        <v>0</v>
      </c>
      <c r="S490" s="15">
        <f>IFERROR(VLOOKUP(Tabla1[[#This Row],[SISMED]],TblDisponibilidad[],23,FALSE), 0)</f>
        <v>0</v>
      </c>
    </row>
    <row r="491" spans="1:19" x14ac:dyDescent="0.3">
      <c r="A491" s="15" t="s">
        <v>521</v>
      </c>
      <c r="B491" t="str">
        <f>IFERROR(VLOOKUP(Tabla1[[#This Row],[SISMED]],TblDisponibilidad[],2,FALSE), "")</f>
        <v/>
      </c>
      <c r="C491">
        <f>IFERROR(VLOOKUP(Tabla1[[#This Row],[SISMED]],TblDisponibilidad[],7,FALSE), 0)</f>
        <v>0</v>
      </c>
      <c r="D491">
        <f>IFERROR(VLOOKUP(Tabla1[[#This Row],[SISMED]],TblDisponibilidad[],8,FALSE), 0)</f>
        <v>0</v>
      </c>
      <c r="E491">
        <f>IFERROR(VLOOKUP(Tabla1[[#This Row],[SISMED]],TblDisponibilidad[],9,FALSE), 0)</f>
        <v>0</v>
      </c>
      <c r="F491">
        <f>IFERROR(VLOOKUP(Tabla1[[#This Row],[SISMED]],TblDisponibilidad[],10,FALSE), 0)</f>
        <v>0</v>
      </c>
      <c r="G491">
        <f>IFERROR(VLOOKUP(Tabla1[[#This Row],[SISMED]],TblDisponibilidad[],11,FALSE), 0)</f>
        <v>0</v>
      </c>
      <c r="H491">
        <f>IFERROR(VLOOKUP(Tabla1[[#This Row],[SISMED]],TblDisponibilidad[],12,FALSE), 0)</f>
        <v>0</v>
      </c>
      <c r="I491">
        <f>IFERROR(VLOOKUP(Tabla1[[#This Row],[SISMED]],TblDisponibilidad[],13,FALSE), 0)</f>
        <v>0</v>
      </c>
      <c r="J491">
        <f>IFERROR(VLOOKUP(Tabla1[[#This Row],[SISMED]],TblDisponibilidad[],14,FALSE), 0)</f>
        <v>0</v>
      </c>
      <c r="K491">
        <f>IFERROR(VLOOKUP(Tabla1[[#This Row],[SISMED]],TblDisponibilidad[],15,FALSE), 0)</f>
        <v>0</v>
      </c>
      <c r="L491">
        <f>IFERROR(VLOOKUP(Tabla1[[#This Row],[SISMED]],TblDisponibilidad[],16,FALSE), 0)</f>
        <v>0</v>
      </c>
      <c r="M491">
        <f>IFERROR(VLOOKUP(Tabla1[[#This Row],[SISMED]],TblDisponibilidad[],17,FALSE), 0)</f>
        <v>0</v>
      </c>
      <c r="N491">
        <f>IFERROR(VLOOKUP(Tabla1[[#This Row],[SISMED]],TblDisponibilidad[],18,FALSE), 0)</f>
        <v>0</v>
      </c>
      <c r="O491">
        <f>IFERROR(VLOOKUP(Tabla1[[#This Row],[SISMED]],TblDisponibilidad[],19,FALSE), 0)</f>
        <v>0</v>
      </c>
      <c r="P491">
        <f>IFERROR(VLOOKUP(Tabla1[[#This Row],[SISMED]],TblDisponibilidad[],20,FALSE), 0)</f>
        <v>0</v>
      </c>
      <c r="Q491">
        <f>IFERROR(VLOOKUP(Tabla1[[#This Row],[SISMED]],TblDisponibilidad[],21,FALSE), 0)</f>
        <v>0</v>
      </c>
      <c r="R491">
        <f>IFERROR(VLOOKUP(Tabla1[[#This Row],[SISMED]],TblDisponibilidad[],22,FALSE), 0)</f>
        <v>0</v>
      </c>
      <c r="S491" s="15">
        <f>IFERROR(VLOOKUP(Tabla1[[#This Row],[SISMED]],TblDisponibilidad[],23,FALSE), 0)</f>
        <v>0</v>
      </c>
    </row>
    <row r="492" spans="1:19" x14ac:dyDescent="0.3">
      <c r="A492" s="15" t="s">
        <v>522</v>
      </c>
      <c r="B492" t="str">
        <f>IFERROR(VLOOKUP(Tabla1[[#This Row],[SISMED]],TblDisponibilidad[],2,FALSE), "")</f>
        <v/>
      </c>
      <c r="C492">
        <f>IFERROR(VLOOKUP(Tabla1[[#This Row],[SISMED]],TblDisponibilidad[],7,FALSE), 0)</f>
        <v>0</v>
      </c>
      <c r="D492">
        <f>IFERROR(VLOOKUP(Tabla1[[#This Row],[SISMED]],TblDisponibilidad[],8,FALSE), 0)</f>
        <v>0</v>
      </c>
      <c r="E492">
        <f>IFERROR(VLOOKUP(Tabla1[[#This Row],[SISMED]],TblDisponibilidad[],9,FALSE), 0)</f>
        <v>0</v>
      </c>
      <c r="F492">
        <f>IFERROR(VLOOKUP(Tabla1[[#This Row],[SISMED]],TblDisponibilidad[],10,FALSE), 0)</f>
        <v>0</v>
      </c>
      <c r="G492">
        <f>IFERROR(VLOOKUP(Tabla1[[#This Row],[SISMED]],TblDisponibilidad[],11,FALSE), 0)</f>
        <v>0</v>
      </c>
      <c r="H492">
        <f>IFERROR(VLOOKUP(Tabla1[[#This Row],[SISMED]],TblDisponibilidad[],12,FALSE), 0)</f>
        <v>0</v>
      </c>
      <c r="I492">
        <f>IFERROR(VLOOKUP(Tabla1[[#This Row],[SISMED]],TblDisponibilidad[],13,FALSE), 0)</f>
        <v>0</v>
      </c>
      <c r="J492">
        <f>IFERROR(VLOOKUP(Tabla1[[#This Row],[SISMED]],TblDisponibilidad[],14,FALSE), 0)</f>
        <v>0</v>
      </c>
      <c r="K492">
        <f>IFERROR(VLOOKUP(Tabla1[[#This Row],[SISMED]],TblDisponibilidad[],15,FALSE), 0)</f>
        <v>0</v>
      </c>
      <c r="L492">
        <f>IFERROR(VLOOKUP(Tabla1[[#This Row],[SISMED]],TblDisponibilidad[],16,FALSE), 0)</f>
        <v>0</v>
      </c>
      <c r="M492">
        <f>IFERROR(VLOOKUP(Tabla1[[#This Row],[SISMED]],TblDisponibilidad[],17,FALSE), 0)</f>
        <v>0</v>
      </c>
      <c r="N492">
        <f>IFERROR(VLOOKUP(Tabla1[[#This Row],[SISMED]],TblDisponibilidad[],18,FALSE), 0)</f>
        <v>0</v>
      </c>
      <c r="O492">
        <f>IFERROR(VLOOKUP(Tabla1[[#This Row],[SISMED]],TblDisponibilidad[],19,FALSE), 0)</f>
        <v>0</v>
      </c>
      <c r="P492">
        <f>IFERROR(VLOOKUP(Tabla1[[#This Row],[SISMED]],TblDisponibilidad[],20,FALSE), 0)</f>
        <v>0</v>
      </c>
      <c r="Q492">
        <f>IFERROR(VLOOKUP(Tabla1[[#This Row],[SISMED]],TblDisponibilidad[],21,FALSE), 0)</f>
        <v>0</v>
      </c>
      <c r="R492">
        <f>IFERROR(VLOOKUP(Tabla1[[#This Row],[SISMED]],TblDisponibilidad[],22,FALSE), 0)</f>
        <v>0</v>
      </c>
      <c r="S492" s="15">
        <f>IFERROR(VLOOKUP(Tabla1[[#This Row],[SISMED]],TblDisponibilidad[],23,FALSE), 0)</f>
        <v>0</v>
      </c>
    </row>
    <row r="493" spans="1:19" x14ac:dyDescent="0.3">
      <c r="A493" s="15" t="s">
        <v>523</v>
      </c>
      <c r="B493" t="str">
        <f>IFERROR(VLOOKUP(Tabla1[[#This Row],[SISMED]],TblDisponibilidad[],2,FALSE), "")</f>
        <v/>
      </c>
      <c r="C493">
        <f>IFERROR(VLOOKUP(Tabla1[[#This Row],[SISMED]],TblDisponibilidad[],7,FALSE), 0)</f>
        <v>0</v>
      </c>
      <c r="D493">
        <f>IFERROR(VLOOKUP(Tabla1[[#This Row],[SISMED]],TblDisponibilidad[],8,FALSE), 0)</f>
        <v>0</v>
      </c>
      <c r="E493">
        <f>IFERROR(VLOOKUP(Tabla1[[#This Row],[SISMED]],TblDisponibilidad[],9,FALSE), 0)</f>
        <v>0</v>
      </c>
      <c r="F493">
        <f>IFERROR(VLOOKUP(Tabla1[[#This Row],[SISMED]],TblDisponibilidad[],10,FALSE), 0)</f>
        <v>0</v>
      </c>
      <c r="G493">
        <f>IFERROR(VLOOKUP(Tabla1[[#This Row],[SISMED]],TblDisponibilidad[],11,FALSE), 0)</f>
        <v>0</v>
      </c>
      <c r="H493">
        <f>IFERROR(VLOOKUP(Tabla1[[#This Row],[SISMED]],TblDisponibilidad[],12,FALSE), 0)</f>
        <v>0</v>
      </c>
      <c r="I493">
        <f>IFERROR(VLOOKUP(Tabla1[[#This Row],[SISMED]],TblDisponibilidad[],13,FALSE), 0)</f>
        <v>0</v>
      </c>
      <c r="J493">
        <f>IFERROR(VLOOKUP(Tabla1[[#This Row],[SISMED]],TblDisponibilidad[],14,FALSE), 0)</f>
        <v>0</v>
      </c>
      <c r="K493">
        <f>IFERROR(VLOOKUP(Tabla1[[#This Row],[SISMED]],TblDisponibilidad[],15,FALSE), 0)</f>
        <v>0</v>
      </c>
      <c r="L493">
        <f>IFERROR(VLOOKUP(Tabla1[[#This Row],[SISMED]],TblDisponibilidad[],16,FALSE), 0)</f>
        <v>0</v>
      </c>
      <c r="M493">
        <f>IFERROR(VLOOKUP(Tabla1[[#This Row],[SISMED]],TblDisponibilidad[],17,FALSE), 0)</f>
        <v>0</v>
      </c>
      <c r="N493">
        <f>IFERROR(VLOOKUP(Tabla1[[#This Row],[SISMED]],TblDisponibilidad[],18,FALSE), 0)</f>
        <v>0</v>
      </c>
      <c r="O493">
        <f>IFERROR(VLOOKUP(Tabla1[[#This Row],[SISMED]],TblDisponibilidad[],19,FALSE), 0)</f>
        <v>0</v>
      </c>
      <c r="P493">
        <f>IFERROR(VLOOKUP(Tabla1[[#This Row],[SISMED]],TblDisponibilidad[],20,FALSE), 0)</f>
        <v>0</v>
      </c>
      <c r="Q493">
        <f>IFERROR(VLOOKUP(Tabla1[[#This Row],[SISMED]],TblDisponibilidad[],21,FALSE), 0)</f>
        <v>0</v>
      </c>
      <c r="R493">
        <f>IFERROR(VLOOKUP(Tabla1[[#This Row],[SISMED]],TblDisponibilidad[],22,FALSE), 0)</f>
        <v>0</v>
      </c>
      <c r="S493" s="15">
        <f>IFERROR(VLOOKUP(Tabla1[[#This Row],[SISMED]],TblDisponibilidad[],23,FALSE), 0)</f>
        <v>0</v>
      </c>
    </row>
    <row r="494" spans="1:19" x14ac:dyDescent="0.3">
      <c r="A494" s="15" t="s">
        <v>524</v>
      </c>
      <c r="B494" t="str">
        <f>IFERROR(VLOOKUP(Tabla1[[#This Row],[SISMED]],TblDisponibilidad[],2,FALSE), "")</f>
        <v/>
      </c>
      <c r="C494">
        <f>IFERROR(VLOOKUP(Tabla1[[#This Row],[SISMED]],TblDisponibilidad[],7,FALSE), 0)</f>
        <v>0</v>
      </c>
      <c r="D494">
        <f>IFERROR(VLOOKUP(Tabla1[[#This Row],[SISMED]],TblDisponibilidad[],8,FALSE), 0)</f>
        <v>0</v>
      </c>
      <c r="E494">
        <f>IFERROR(VLOOKUP(Tabla1[[#This Row],[SISMED]],TblDisponibilidad[],9,FALSE), 0)</f>
        <v>0</v>
      </c>
      <c r="F494">
        <f>IFERROR(VLOOKUP(Tabla1[[#This Row],[SISMED]],TblDisponibilidad[],10,FALSE), 0)</f>
        <v>0</v>
      </c>
      <c r="G494">
        <f>IFERROR(VLOOKUP(Tabla1[[#This Row],[SISMED]],TblDisponibilidad[],11,FALSE), 0)</f>
        <v>0</v>
      </c>
      <c r="H494">
        <f>IFERROR(VLOOKUP(Tabla1[[#This Row],[SISMED]],TblDisponibilidad[],12,FALSE), 0)</f>
        <v>0</v>
      </c>
      <c r="I494">
        <f>IFERROR(VLOOKUP(Tabla1[[#This Row],[SISMED]],TblDisponibilidad[],13,FALSE), 0)</f>
        <v>0</v>
      </c>
      <c r="J494">
        <f>IFERROR(VLOOKUP(Tabla1[[#This Row],[SISMED]],TblDisponibilidad[],14,FALSE), 0)</f>
        <v>0</v>
      </c>
      <c r="K494">
        <f>IFERROR(VLOOKUP(Tabla1[[#This Row],[SISMED]],TblDisponibilidad[],15,FALSE), 0)</f>
        <v>0</v>
      </c>
      <c r="L494">
        <f>IFERROR(VLOOKUP(Tabla1[[#This Row],[SISMED]],TblDisponibilidad[],16,FALSE), 0)</f>
        <v>0</v>
      </c>
      <c r="M494">
        <f>IFERROR(VLOOKUP(Tabla1[[#This Row],[SISMED]],TblDisponibilidad[],17,FALSE), 0)</f>
        <v>0</v>
      </c>
      <c r="N494">
        <f>IFERROR(VLOOKUP(Tabla1[[#This Row],[SISMED]],TblDisponibilidad[],18,FALSE), 0)</f>
        <v>0</v>
      </c>
      <c r="O494">
        <f>IFERROR(VLOOKUP(Tabla1[[#This Row],[SISMED]],TblDisponibilidad[],19,FALSE), 0)</f>
        <v>0</v>
      </c>
      <c r="P494">
        <f>IFERROR(VLOOKUP(Tabla1[[#This Row],[SISMED]],TblDisponibilidad[],20,FALSE), 0)</f>
        <v>0</v>
      </c>
      <c r="Q494">
        <f>IFERROR(VLOOKUP(Tabla1[[#This Row],[SISMED]],TblDisponibilidad[],21,FALSE), 0)</f>
        <v>0</v>
      </c>
      <c r="R494">
        <f>IFERROR(VLOOKUP(Tabla1[[#This Row],[SISMED]],TblDisponibilidad[],22,FALSE), 0)</f>
        <v>0</v>
      </c>
      <c r="S494" s="15">
        <f>IFERROR(VLOOKUP(Tabla1[[#This Row],[SISMED]],TblDisponibilidad[],23,FALSE), 0)</f>
        <v>0</v>
      </c>
    </row>
    <row r="495" spans="1:19" x14ac:dyDescent="0.3">
      <c r="A495" s="15" t="s">
        <v>525</v>
      </c>
      <c r="B495" t="str">
        <f>IFERROR(VLOOKUP(Tabla1[[#This Row],[SISMED]],TblDisponibilidad[],2,FALSE), "")</f>
        <v/>
      </c>
      <c r="C495">
        <f>IFERROR(VLOOKUP(Tabla1[[#This Row],[SISMED]],TblDisponibilidad[],7,FALSE), 0)</f>
        <v>0</v>
      </c>
      <c r="D495">
        <f>IFERROR(VLOOKUP(Tabla1[[#This Row],[SISMED]],TblDisponibilidad[],8,FALSE), 0)</f>
        <v>0</v>
      </c>
      <c r="E495">
        <f>IFERROR(VLOOKUP(Tabla1[[#This Row],[SISMED]],TblDisponibilidad[],9,FALSE), 0)</f>
        <v>0</v>
      </c>
      <c r="F495">
        <f>IFERROR(VLOOKUP(Tabla1[[#This Row],[SISMED]],TblDisponibilidad[],10,FALSE), 0)</f>
        <v>0</v>
      </c>
      <c r="G495">
        <f>IFERROR(VLOOKUP(Tabla1[[#This Row],[SISMED]],TblDisponibilidad[],11,FALSE), 0)</f>
        <v>0</v>
      </c>
      <c r="H495">
        <f>IFERROR(VLOOKUP(Tabla1[[#This Row],[SISMED]],TblDisponibilidad[],12,FALSE), 0)</f>
        <v>0</v>
      </c>
      <c r="I495">
        <f>IFERROR(VLOOKUP(Tabla1[[#This Row],[SISMED]],TblDisponibilidad[],13,FALSE), 0)</f>
        <v>0</v>
      </c>
      <c r="J495">
        <f>IFERROR(VLOOKUP(Tabla1[[#This Row],[SISMED]],TblDisponibilidad[],14,FALSE), 0)</f>
        <v>0</v>
      </c>
      <c r="K495">
        <f>IFERROR(VLOOKUP(Tabla1[[#This Row],[SISMED]],TblDisponibilidad[],15,FALSE), 0)</f>
        <v>0</v>
      </c>
      <c r="L495">
        <f>IFERROR(VLOOKUP(Tabla1[[#This Row],[SISMED]],TblDisponibilidad[],16,FALSE), 0)</f>
        <v>0</v>
      </c>
      <c r="M495">
        <f>IFERROR(VLOOKUP(Tabla1[[#This Row],[SISMED]],TblDisponibilidad[],17,FALSE), 0)</f>
        <v>0</v>
      </c>
      <c r="N495">
        <f>IFERROR(VLOOKUP(Tabla1[[#This Row],[SISMED]],TblDisponibilidad[],18,FALSE), 0)</f>
        <v>0</v>
      </c>
      <c r="O495">
        <f>IFERROR(VLOOKUP(Tabla1[[#This Row],[SISMED]],TblDisponibilidad[],19,FALSE), 0)</f>
        <v>0</v>
      </c>
      <c r="P495">
        <f>IFERROR(VLOOKUP(Tabla1[[#This Row],[SISMED]],TblDisponibilidad[],20,FALSE), 0)</f>
        <v>0</v>
      </c>
      <c r="Q495">
        <f>IFERROR(VLOOKUP(Tabla1[[#This Row],[SISMED]],TblDisponibilidad[],21,FALSE), 0)</f>
        <v>0</v>
      </c>
      <c r="R495">
        <f>IFERROR(VLOOKUP(Tabla1[[#This Row],[SISMED]],TblDisponibilidad[],22,FALSE), 0)</f>
        <v>0</v>
      </c>
      <c r="S495" s="15">
        <f>IFERROR(VLOOKUP(Tabla1[[#This Row],[SISMED]],TblDisponibilidad[],23,FALSE), 0)</f>
        <v>0</v>
      </c>
    </row>
    <row r="496" spans="1:19" x14ac:dyDescent="0.3">
      <c r="A496" s="15" t="s">
        <v>526</v>
      </c>
      <c r="B496" t="str">
        <f>IFERROR(VLOOKUP(Tabla1[[#This Row],[SISMED]],TblDisponibilidad[],2,FALSE), "")</f>
        <v/>
      </c>
      <c r="C496">
        <f>IFERROR(VLOOKUP(Tabla1[[#This Row],[SISMED]],TblDisponibilidad[],7,FALSE), 0)</f>
        <v>0</v>
      </c>
      <c r="D496">
        <f>IFERROR(VLOOKUP(Tabla1[[#This Row],[SISMED]],TblDisponibilidad[],8,FALSE), 0)</f>
        <v>0</v>
      </c>
      <c r="E496">
        <f>IFERROR(VLOOKUP(Tabla1[[#This Row],[SISMED]],TblDisponibilidad[],9,FALSE), 0)</f>
        <v>0</v>
      </c>
      <c r="F496">
        <f>IFERROR(VLOOKUP(Tabla1[[#This Row],[SISMED]],TblDisponibilidad[],10,FALSE), 0)</f>
        <v>0</v>
      </c>
      <c r="G496">
        <f>IFERROR(VLOOKUP(Tabla1[[#This Row],[SISMED]],TblDisponibilidad[],11,FALSE), 0)</f>
        <v>0</v>
      </c>
      <c r="H496">
        <f>IFERROR(VLOOKUP(Tabla1[[#This Row],[SISMED]],TblDisponibilidad[],12,FALSE), 0)</f>
        <v>0</v>
      </c>
      <c r="I496">
        <f>IFERROR(VLOOKUP(Tabla1[[#This Row],[SISMED]],TblDisponibilidad[],13,FALSE), 0)</f>
        <v>0</v>
      </c>
      <c r="J496">
        <f>IFERROR(VLOOKUP(Tabla1[[#This Row],[SISMED]],TblDisponibilidad[],14,FALSE), 0)</f>
        <v>0</v>
      </c>
      <c r="K496">
        <f>IFERROR(VLOOKUP(Tabla1[[#This Row],[SISMED]],TblDisponibilidad[],15,FALSE), 0)</f>
        <v>0</v>
      </c>
      <c r="L496">
        <f>IFERROR(VLOOKUP(Tabla1[[#This Row],[SISMED]],TblDisponibilidad[],16,FALSE), 0)</f>
        <v>0</v>
      </c>
      <c r="M496">
        <f>IFERROR(VLOOKUP(Tabla1[[#This Row],[SISMED]],TblDisponibilidad[],17,FALSE), 0)</f>
        <v>0</v>
      </c>
      <c r="N496">
        <f>IFERROR(VLOOKUP(Tabla1[[#This Row],[SISMED]],TblDisponibilidad[],18,FALSE), 0)</f>
        <v>0</v>
      </c>
      <c r="O496">
        <f>IFERROR(VLOOKUP(Tabla1[[#This Row],[SISMED]],TblDisponibilidad[],19,FALSE), 0)</f>
        <v>0</v>
      </c>
      <c r="P496">
        <f>IFERROR(VLOOKUP(Tabla1[[#This Row],[SISMED]],TblDisponibilidad[],20,FALSE), 0)</f>
        <v>0</v>
      </c>
      <c r="Q496">
        <f>IFERROR(VLOOKUP(Tabla1[[#This Row],[SISMED]],TblDisponibilidad[],21,FALSE), 0)</f>
        <v>0</v>
      </c>
      <c r="R496">
        <f>IFERROR(VLOOKUP(Tabla1[[#This Row],[SISMED]],TblDisponibilidad[],22,FALSE), 0)</f>
        <v>0</v>
      </c>
      <c r="S496" s="15">
        <f>IFERROR(VLOOKUP(Tabla1[[#This Row],[SISMED]],TblDisponibilidad[],23,FALSE), 0)</f>
        <v>0</v>
      </c>
    </row>
    <row r="497" spans="1:19" x14ac:dyDescent="0.3">
      <c r="A497" s="15" t="s">
        <v>527</v>
      </c>
      <c r="B497" t="str">
        <f>IFERROR(VLOOKUP(Tabla1[[#This Row],[SISMED]],TblDisponibilidad[],2,FALSE), "")</f>
        <v/>
      </c>
      <c r="C497">
        <f>IFERROR(VLOOKUP(Tabla1[[#This Row],[SISMED]],TblDisponibilidad[],7,FALSE), 0)</f>
        <v>0</v>
      </c>
      <c r="D497">
        <f>IFERROR(VLOOKUP(Tabla1[[#This Row],[SISMED]],TblDisponibilidad[],8,FALSE), 0)</f>
        <v>0</v>
      </c>
      <c r="E497">
        <f>IFERROR(VLOOKUP(Tabla1[[#This Row],[SISMED]],TblDisponibilidad[],9,FALSE), 0)</f>
        <v>0</v>
      </c>
      <c r="F497">
        <f>IFERROR(VLOOKUP(Tabla1[[#This Row],[SISMED]],TblDisponibilidad[],10,FALSE), 0)</f>
        <v>0</v>
      </c>
      <c r="G497">
        <f>IFERROR(VLOOKUP(Tabla1[[#This Row],[SISMED]],TblDisponibilidad[],11,FALSE), 0)</f>
        <v>0</v>
      </c>
      <c r="H497">
        <f>IFERROR(VLOOKUP(Tabla1[[#This Row],[SISMED]],TblDisponibilidad[],12,FALSE), 0)</f>
        <v>0</v>
      </c>
      <c r="I497">
        <f>IFERROR(VLOOKUP(Tabla1[[#This Row],[SISMED]],TblDisponibilidad[],13,FALSE), 0)</f>
        <v>0</v>
      </c>
      <c r="J497">
        <f>IFERROR(VLOOKUP(Tabla1[[#This Row],[SISMED]],TblDisponibilidad[],14,FALSE), 0)</f>
        <v>0</v>
      </c>
      <c r="K497">
        <f>IFERROR(VLOOKUP(Tabla1[[#This Row],[SISMED]],TblDisponibilidad[],15,FALSE), 0)</f>
        <v>0</v>
      </c>
      <c r="L497">
        <f>IFERROR(VLOOKUP(Tabla1[[#This Row],[SISMED]],TblDisponibilidad[],16,FALSE), 0)</f>
        <v>0</v>
      </c>
      <c r="M497">
        <f>IFERROR(VLOOKUP(Tabla1[[#This Row],[SISMED]],TblDisponibilidad[],17,FALSE), 0)</f>
        <v>0</v>
      </c>
      <c r="N497">
        <f>IFERROR(VLOOKUP(Tabla1[[#This Row],[SISMED]],TblDisponibilidad[],18,FALSE), 0)</f>
        <v>0</v>
      </c>
      <c r="O497">
        <f>IFERROR(VLOOKUP(Tabla1[[#This Row],[SISMED]],TblDisponibilidad[],19,FALSE), 0)</f>
        <v>0</v>
      </c>
      <c r="P497">
        <f>IFERROR(VLOOKUP(Tabla1[[#This Row],[SISMED]],TblDisponibilidad[],20,FALSE), 0)</f>
        <v>0</v>
      </c>
      <c r="Q497">
        <f>IFERROR(VLOOKUP(Tabla1[[#This Row],[SISMED]],TblDisponibilidad[],21,FALSE), 0)</f>
        <v>0</v>
      </c>
      <c r="R497">
        <f>IFERROR(VLOOKUP(Tabla1[[#This Row],[SISMED]],TblDisponibilidad[],22,FALSE), 0)</f>
        <v>0</v>
      </c>
      <c r="S497" s="15">
        <f>IFERROR(VLOOKUP(Tabla1[[#This Row],[SISMED]],TblDisponibilidad[],23,FALSE), 0)</f>
        <v>0</v>
      </c>
    </row>
    <row r="498" spans="1:19" x14ac:dyDescent="0.3">
      <c r="A498" s="15" t="s">
        <v>528</v>
      </c>
      <c r="B498" t="str">
        <f>IFERROR(VLOOKUP(Tabla1[[#This Row],[SISMED]],TblDisponibilidad[],2,FALSE), "")</f>
        <v/>
      </c>
      <c r="C498">
        <f>IFERROR(VLOOKUP(Tabla1[[#This Row],[SISMED]],TblDisponibilidad[],7,FALSE), 0)</f>
        <v>0</v>
      </c>
      <c r="D498">
        <f>IFERROR(VLOOKUP(Tabla1[[#This Row],[SISMED]],TblDisponibilidad[],8,FALSE), 0)</f>
        <v>0</v>
      </c>
      <c r="E498">
        <f>IFERROR(VLOOKUP(Tabla1[[#This Row],[SISMED]],TblDisponibilidad[],9,FALSE), 0)</f>
        <v>0</v>
      </c>
      <c r="F498">
        <f>IFERROR(VLOOKUP(Tabla1[[#This Row],[SISMED]],TblDisponibilidad[],10,FALSE), 0)</f>
        <v>0</v>
      </c>
      <c r="G498">
        <f>IFERROR(VLOOKUP(Tabla1[[#This Row],[SISMED]],TblDisponibilidad[],11,FALSE), 0)</f>
        <v>0</v>
      </c>
      <c r="H498">
        <f>IFERROR(VLOOKUP(Tabla1[[#This Row],[SISMED]],TblDisponibilidad[],12,FALSE), 0)</f>
        <v>0</v>
      </c>
      <c r="I498">
        <f>IFERROR(VLOOKUP(Tabla1[[#This Row],[SISMED]],TblDisponibilidad[],13,FALSE), 0)</f>
        <v>0</v>
      </c>
      <c r="J498">
        <f>IFERROR(VLOOKUP(Tabla1[[#This Row],[SISMED]],TblDisponibilidad[],14,FALSE), 0)</f>
        <v>0</v>
      </c>
      <c r="K498">
        <f>IFERROR(VLOOKUP(Tabla1[[#This Row],[SISMED]],TblDisponibilidad[],15,FALSE), 0)</f>
        <v>0</v>
      </c>
      <c r="L498">
        <f>IFERROR(VLOOKUP(Tabla1[[#This Row],[SISMED]],TblDisponibilidad[],16,FALSE), 0)</f>
        <v>0</v>
      </c>
      <c r="M498">
        <f>IFERROR(VLOOKUP(Tabla1[[#This Row],[SISMED]],TblDisponibilidad[],17,FALSE), 0)</f>
        <v>0</v>
      </c>
      <c r="N498">
        <f>IFERROR(VLOOKUP(Tabla1[[#This Row],[SISMED]],TblDisponibilidad[],18,FALSE), 0)</f>
        <v>0</v>
      </c>
      <c r="O498">
        <f>IFERROR(VLOOKUP(Tabla1[[#This Row],[SISMED]],TblDisponibilidad[],19,FALSE), 0)</f>
        <v>0</v>
      </c>
      <c r="P498">
        <f>IFERROR(VLOOKUP(Tabla1[[#This Row],[SISMED]],TblDisponibilidad[],20,FALSE), 0)</f>
        <v>0</v>
      </c>
      <c r="Q498">
        <f>IFERROR(VLOOKUP(Tabla1[[#This Row],[SISMED]],TblDisponibilidad[],21,FALSE), 0)</f>
        <v>0</v>
      </c>
      <c r="R498">
        <f>IFERROR(VLOOKUP(Tabla1[[#This Row],[SISMED]],TblDisponibilidad[],22,FALSE), 0)</f>
        <v>0</v>
      </c>
      <c r="S498" s="15">
        <f>IFERROR(VLOOKUP(Tabla1[[#This Row],[SISMED]],TblDisponibilidad[],23,FALSE), 0)</f>
        <v>0</v>
      </c>
    </row>
    <row r="499" spans="1:19" x14ac:dyDescent="0.3">
      <c r="A499" s="15" t="s">
        <v>529</v>
      </c>
      <c r="B499" t="str">
        <f>IFERROR(VLOOKUP(Tabla1[[#This Row],[SISMED]],TblDisponibilidad[],2,FALSE), "")</f>
        <v/>
      </c>
      <c r="C499">
        <f>IFERROR(VLOOKUP(Tabla1[[#This Row],[SISMED]],TblDisponibilidad[],7,FALSE), 0)</f>
        <v>0</v>
      </c>
      <c r="D499">
        <f>IFERROR(VLOOKUP(Tabla1[[#This Row],[SISMED]],TblDisponibilidad[],8,FALSE), 0)</f>
        <v>0</v>
      </c>
      <c r="E499">
        <f>IFERROR(VLOOKUP(Tabla1[[#This Row],[SISMED]],TblDisponibilidad[],9,FALSE), 0)</f>
        <v>0</v>
      </c>
      <c r="F499">
        <f>IFERROR(VLOOKUP(Tabla1[[#This Row],[SISMED]],TblDisponibilidad[],10,FALSE), 0)</f>
        <v>0</v>
      </c>
      <c r="G499">
        <f>IFERROR(VLOOKUP(Tabla1[[#This Row],[SISMED]],TblDisponibilidad[],11,FALSE), 0)</f>
        <v>0</v>
      </c>
      <c r="H499">
        <f>IFERROR(VLOOKUP(Tabla1[[#This Row],[SISMED]],TblDisponibilidad[],12,FALSE), 0)</f>
        <v>0</v>
      </c>
      <c r="I499">
        <f>IFERROR(VLOOKUP(Tabla1[[#This Row],[SISMED]],TblDisponibilidad[],13,FALSE), 0)</f>
        <v>0</v>
      </c>
      <c r="J499">
        <f>IFERROR(VLOOKUP(Tabla1[[#This Row],[SISMED]],TblDisponibilidad[],14,FALSE), 0)</f>
        <v>0</v>
      </c>
      <c r="K499">
        <f>IFERROR(VLOOKUP(Tabla1[[#This Row],[SISMED]],TblDisponibilidad[],15,FALSE), 0)</f>
        <v>0</v>
      </c>
      <c r="L499">
        <f>IFERROR(VLOOKUP(Tabla1[[#This Row],[SISMED]],TblDisponibilidad[],16,FALSE), 0)</f>
        <v>0</v>
      </c>
      <c r="M499">
        <f>IFERROR(VLOOKUP(Tabla1[[#This Row],[SISMED]],TblDisponibilidad[],17,FALSE), 0)</f>
        <v>0</v>
      </c>
      <c r="N499">
        <f>IFERROR(VLOOKUP(Tabla1[[#This Row],[SISMED]],TblDisponibilidad[],18,FALSE), 0)</f>
        <v>0</v>
      </c>
      <c r="O499">
        <f>IFERROR(VLOOKUP(Tabla1[[#This Row],[SISMED]],TblDisponibilidad[],19,FALSE), 0)</f>
        <v>0</v>
      </c>
      <c r="P499">
        <f>IFERROR(VLOOKUP(Tabla1[[#This Row],[SISMED]],TblDisponibilidad[],20,FALSE), 0)</f>
        <v>0</v>
      </c>
      <c r="Q499">
        <f>IFERROR(VLOOKUP(Tabla1[[#This Row],[SISMED]],TblDisponibilidad[],21,FALSE), 0)</f>
        <v>0</v>
      </c>
      <c r="R499">
        <f>IFERROR(VLOOKUP(Tabla1[[#This Row],[SISMED]],TblDisponibilidad[],22,FALSE), 0)</f>
        <v>0</v>
      </c>
      <c r="S499" s="15">
        <f>IFERROR(VLOOKUP(Tabla1[[#This Row],[SISMED]],TblDisponibilidad[],23,FALSE), 0)</f>
        <v>0</v>
      </c>
    </row>
    <row r="500" spans="1:19" x14ac:dyDescent="0.3">
      <c r="A500" s="15" t="s">
        <v>530</v>
      </c>
      <c r="B500" t="str">
        <f>IFERROR(VLOOKUP(Tabla1[[#This Row],[SISMED]],TblDisponibilidad[],2,FALSE), "")</f>
        <v/>
      </c>
      <c r="C500">
        <f>IFERROR(VLOOKUP(Tabla1[[#This Row],[SISMED]],TblDisponibilidad[],7,FALSE), 0)</f>
        <v>0</v>
      </c>
      <c r="D500">
        <f>IFERROR(VLOOKUP(Tabla1[[#This Row],[SISMED]],TblDisponibilidad[],8,FALSE), 0)</f>
        <v>0</v>
      </c>
      <c r="E500">
        <f>IFERROR(VLOOKUP(Tabla1[[#This Row],[SISMED]],TblDisponibilidad[],9,FALSE), 0)</f>
        <v>0</v>
      </c>
      <c r="F500">
        <f>IFERROR(VLOOKUP(Tabla1[[#This Row],[SISMED]],TblDisponibilidad[],10,FALSE), 0)</f>
        <v>0</v>
      </c>
      <c r="G500">
        <f>IFERROR(VLOOKUP(Tabla1[[#This Row],[SISMED]],TblDisponibilidad[],11,FALSE), 0)</f>
        <v>0</v>
      </c>
      <c r="H500">
        <f>IFERROR(VLOOKUP(Tabla1[[#This Row],[SISMED]],TblDisponibilidad[],12,FALSE), 0)</f>
        <v>0</v>
      </c>
      <c r="I500">
        <f>IFERROR(VLOOKUP(Tabla1[[#This Row],[SISMED]],TblDisponibilidad[],13,FALSE), 0)</f>
        <v>0</v>
      </c>
      <c r="J500">
        <f>IFERROR(VLOOKUP(Tabla1[[#This Row],[SISMED]],TblDisponibilidad[],14,FALSE), 0)</f>
        <v>0</v>
      </c>
      <c r="K500">
        <f>IFERROR(VLOOKUP(Tabla1[[#This Row],[SISMED]],TblDisponibilidad[],15,FALSE), 0)</f>
        <v>0</v>
      </c>
      <c r="L500">
        <f>IFERROR(VLOOKUP(Tabla1[[#This Row],[SISMED]],TblDisponibilidad[],16,FALSE), 0)</f>
        <v>0</v>
      </c>
      <c r="M500">
        <f>IFERROR(VLOOKUP(Tabla1[[#This Row],[SISMED]],TblDisponibilidad[],17,FALSE), 0)</f>
        <v>0</v>
      </c>
      <c r="N500">
        <f>IFERROR(VLOOKUP(Tabla1[[#This Row],[SISMED]],TblDisponibilidad[],18,FALSE), 0)</f>
        <v>0</v>
      </c>
      <c r="O500">
        <f>IFERROR(VLOOKUP(Tabla1[[#This Row],[SISMED]],TblDisponibilidad[],19,FALSE), 0)</f>
        <v>0</v>
      </c>
      <c r="P500">
        <f>IFERROR(VLOOKUP(Tabla1[[#This Row],[SISMED]],TblDisponibilidad[],20,FALSE), 0)</f>
        <v>0</v>
      </c>
      <c r="Q500">
        <f>IFERROR(VLOOKUP(Tabla1[[#This Row],[SISMED]],TblDisponibilidad[],21,FALSE), 0)</f>
        <v>0</v>
      </c>
      <c r="R500">
        <f>IFERROR(VLOOKUP(Tabla1[[#This Row],[SISMED]],TblDisponibilidad[],22,FALSE), 0)</f>
        <v>0</v>
      </c>
      <c r="S500" s="15">
        <f>IFERROR(VLOOKUP(Tabla1[[#This Row],[SISMED]],TblDisponibilidad[],23,FALSE), 0)</f>
        <v>0</v>
      </c>
    </row>
    <row r="501" spans="1:19" x14ac:dyDescent="0.3">
      <c r="A501" s="15" t="s">
        <v>531</v>
      </c>
      <c r="B501" t="str">
        <f>IFERROR(VLOOKUP(Tabla1[[#This Row],[SISMED]],TblDisponibilidad[],2,FALSE), "")</f>
        <v/>
      </c>
      <c r="C501">
        <f>IFERROR(VLOOKUP(Tabla1[[#This Row],[SISMED]],TblDisponibilidad[],7,FALSE), 0)</f>
        <v>0</v>
      </c>
      <c r="D501">
        <f>IFERROR(VLOOKUP(Tabla1[[#This Row],[SISMED]],TblDisponibilidad[],8,FALSE), 0)</f>
        <v>0</v>
      </c>
      <c r="E501">
        <f>IFERROR(VLOOKUP(Tabla1[[#This Row],[SISMED]],TblDisponibilidad[],9,FALSE), 0)</f>
        <v>0</v>
      </c>
      <c r="F501">
        <f>IFERROR(VLOOKUP(Tabla1[[#This Row],[SISMED]],TblDisponibilidad[],10,FALSE), 0)</f>
        <v>0</v>
      </c>
      <c r="G501">
        <f>IFERROR(VLOOKUP(Tabla1[[#This Row],[SISMED]],TblDisponibilidad[],11,FALSE), 0)</f>
        <v>0</v>
      </c>
      <c r="H501">
        <f>IFERROR(VLOOKUP(Tabla1[[#This Row],[SISMED]],TblDisponibilidad[],12,FALSE), 0)</f>
        <v>0</v>
      </c>
      <c r="I501">
        <f>IFERROR(VLOOKUP(Tabla1[[#This Row],[SISMED]],TblDisponibilidad[],13,FALSE), 0)</f>
        <v>0</v>
      </c>
      <c r="J501">
        <f>IFERROR(VLOOKUP(Tabla1[[#This Row],[SISMED]],TblDisponibilidad[],14,FALSE), 0)</f>
        <v>0</v>
      </c>
      <c r="K501">
        <f>IFERROR(VLOOKUP(Tabla1[[#This Row],[SISMED]],TblDisponibilidad[],15,FALSE), 0)</f>
        <v>0</v>
      </c>
      <c r="L501">
        <f>IFERROR(VLOOKUP(Tabla1[[#This Row],[SISMED]],TblDisponibilidad[],16,FALSE), 0)</f>
        <v>0</v>
      </c>
      <c r="M501">
        <f>IFERROR(VLOOKUP(Tabla1[[#This Row],[SISMED]],TblDisponibilidad[],17,FALSE), 0)</f>
        <v>0</v>
      </c>
      <c r="N501">
        <f>IFERROR(VLOOKUP(Tabla1[[#This Row],[SISMED]],TblDisponibilidad[],18,FALSE), 0)</f>
        <v>0</v>
      </c>
      <c r="O501">
        <f>IFERROR(VLOOKUP(Tabla1[[#This Row],[SISMED]],TblDisponibilidad[],19,FALSE), 0)</f>
        <v>0</v>
      </c>
      <c r="P501">
        <f>IFERROR(VLOOKUP(Tabla1[[#This Row],[SISMED]],TblDisponibilidad[],20,FALSE), 0)</f>
        <v>0</v>
      </c>
      <c r="Q501">
        <f>IFERROR(VLOOKUP(Tabla1[[#This Row],[SISMED]],TblDisponibilidad[],21,FALSE), 0)</f>
        <v>0</v>
      </c>
      <c r="R501">
        <f>IFERROR(VLOOKUP(Tabla1[[#This Row],[SISMED]],TblDisponibilidad[],22,FALSE), 0)</f>
        <v>0</v>
      </c>
      <c r="S501" s="15">
        <f>IFERROR(VLOOKUP(Tabla1[[#This Row],[SISMED]],TblDisponibilidad[],23,FALSE), 0)</f>
        <v>0</v>
      </c>
    </row>
    <row r="502" spans="1:19" x14ac:dyDescent="0.3">
      <c r="A502" s="15" t="s">
        <v>532</v>
      </c>
      <c r="B502" t="str">
        <f>IFERROR(VLOOKUP(Tabla1[[#This Row],[SISMED]],TblDisponibilidad[],2,FALSE), "")</f>
        <v/>
      </c>
      <c r="C502">
        <f>IFERROR(VLOOKUP(Tabla1[[#This Row],[SISMED]],TblDisponibilidad[],7,FALSE), 0)</f>
        <v>0</v>
      </c>
      <c r="D502">
        <f>IFERROR(VLOOKUP(Tabla1[[#This Row],[SISMED]],TblDisponibilidad[],8,FALSE), 0)</f>
        <v>0</v>
      </c>
      <c r="E502">
        <f>IFERROR(VLOOKUP(Tabla1[[#This Row],[SISMED]],TblDisponibilidad[],9,FALSE), 0)</f>
        <v>0</v>
      </c>
      <c r="F502">
        <f>IFERROR(VLOOKUP(Tabla1[[#This Row],[SISMED]],TblDisponibilidad[],10,FALSE), 0)</f>
        <v>0</v>
      </c>
      <c r="G502">
        <f>IFERROR(VLOOKUP(Tabla1[[#This Row],[SISMED]],TblDisponibilidad[],11,FALSE), 0)</f>
        <v>0</v>
      </c>
      <c r="H502">
        <f>IFERROR(VLOOKUP(Tabla1[[#This Row],[SISMED]],TblDisponibilidad[],12,FALSE), 0)</f>
        <v>0</v>
      </c>
      <c r="I502">
        <f>IFERROR(VLOOKUP(Tabla1[[#This Row],[SISMED]],TblDisponibilidad[],13,FALSE), 0)</f>
        <v>0</v>
      </c>
      <c r="J502">
        <f>IFERROR(VLOOKUP(Tabla1[[#This Row],[SISMED]],TblDisponibilidad[],14,FALSE), 0)</f>
        <v>0</v>
      </c>
      <c r="K502">
        <f>IFERROR(VLOOKUP(Tabla1[[#This Row],[SISMED]],TblDisponibilidad[],15,FALSE), 0)</f>
        <v>0</v>
      </c>
      <c r="L502">
        <f>IFERROR(VLOOKUP(Tabla1[[#This Row],[SISMED]],TblDisponibilidad[],16,FALSE), 0)</f>
        <v>0</v>
      </c>
      <c r="M502">
        <f>IFERROR(VLOOKUP(Tabla1[[#This Row],[SISMED]],TblDisponibilidad[],17,FALSE), 0)</f>
        <v>0</v>
      </c>
      <c r="N502">
        <f>IFERROR(VLOOKUP(Tabla1[[#This Row],[SISMED]],TblDisponibilidad[],18,FALSE), 0)</f>
        <v>0</v>
      </c>
      <c r="O502">
        <f>IFERROR(VLOOKUP(Tabla1[[#This Row],[SISMED]],TblDisponibilidad[],19,FALSE), 0)</f>
        <v>0</v>
      </c>
      <c r="P502">
        <f>IFERROR(VLOOKUP(Tabla1[[#This Row],[SISMED]],TblDisponibilidad[],20,FALSE), 0)</f>
        <v>0</v>
      </c>
      <c r="Q502">
        <f>IFERROR(VLOOKUP(Tabla1[[#This Row],[SISMED]],TblDisponibilidad[],21,FALSE), 0)</f>
        <v>0</v>
      </c>
      <c r="R502">
        <f>IFERROR(VLOOKUP(Tabla1[[#This Row],[SISMED]],TblDisponibilidad[],22,FALSE), 0)</f>
        <v>0</v>
      </c>
      <c r="S502" s="15">
        <f>IFERROR(VLOOKUP(Tabla1[[#This Row],[SISMED]],TblDisponibilidad[],23,FALSE), 0)</f>
        <v>0</v>
      </c>
    </row>
    <row r="503" spans="1:19" x14ac:dyDescent="0.3">
      <c r="A503" s="15" t="s">
        <v>533</v>
      </c>
      <c r="B503" t="str">
        <f>IFERROR(VLOOKUP(Tabla1[[#This Row],[SISMED]],TblDisponibilidad[],2,FALSE), "")</f>
        <v/>
      </c>
      <c r="C503">
        <f>IFERROR(VLOOKUP(Tabla1[[#This Row],[SISMED]],TblDisponibilidad[],7,FALSE), 0)</f>
        <v>0</v>
      </c>
      <c r="D503">
        <f>IFERROR(VLOOKUP(Tabla1[[#This Row],[SISMED]],TblDisponibilidad[],8,FALSE), 0)</f>
        <v>0</v>
      </c>
      <c r="E503">
        <f>IFERROR(VLOOKUP(Tabla1[[#This Row],[SISMED]],TblDisponibilidad[],9,FALSE), 0)</f>
        <v>0</v>
      </c>
      <c r="F503">
        <f>IFERROR(VLOOKUP(Tabla1[[#This Row],[SISMED]],TblDisponibilidad[],10,FALSE), 0)</f>
        <v>0</v>
      </c>
      <c r="G503">
        <f>IFERROR(VLOOKUP(Tabla1[[#This Row],[SISMED]],TblDisponibilidad[],11,FALSE), 0)</f>
        <v>0</v>
      </c>
      <c r="H503">
        <f>IFERROR(VLOOKUP(Tabla1[[#This Row],[SISMED]],TblDisponibilidad[],12,FALSE), 0)</f>
        <v>0</v>
      </c>
      <c r="I503">
        <f>IFERROR(VLOOKUP(Tabla1[[#This Row],[SISMED]],TblDisponibilidad[],13,FALSE), 0)</f>
        <v>0</v>
      </c>
      <c r="J503">
        <f>IFERROR(VLOOKUP(Tabla1[[#This Row],[SISMED]],TblDisponibilidad[],14,FALSE), 0)</f>
        <v>0</v>
      </c>
      <c r="K503">
        <f>IFERROR(VLOOKUP(Tabla1[[#This Row],[SISMED]],TblDisponibilidad[],15,FALSE), 0)</f>
        <v>0</v>
      </c>
      <c r="L503">
        <f>IFERROR(VLOOKUP(Tabla1[[#This Row],[SISMED]],TblDisponibilidad[],16,FALSE), 0)</f>
        <v>0</v>
      </c>
      <c r="M503">
        <f>IFERROR(VLOOKUP(Tabla1[[#This Row],[SISMED]],TblDisponibilidad[],17,FALSE), 0)</f>
        <v>0</v>
      </c>
      <c r="N503">
        <f>IFERROR(VLOOKUP(Tabla1[[#This Row],[SISMED]],TblDisponibilidad[],18,FALSE), 0)</f>
        <v>0</v>
      </c>
      <c r="O503">
        <f>IFERROR(VLOOKUP(Tabla1[[#This Row],[SISMED]],TblDisponibilidad[],19,FALSE), 0)</f>
        <v>0</v>
      </c>
      <c r="P503">
        <f>IFERROR(VLOOKUP(Tabla1[[#This Row],[SISMED]],TblDisponibilidad[],20,FALSE), 0)</f>
        <v>0</v>
      </c>
      <c r="Q503">
        <f>IFERROR(VLOOKUP(Tabla1[[#This Row],[SISMED]],TblDisponibilidad[],21,FALSE), 0)</f>
        <v>0</v>
      </c>
      <c r="R503">
        <f>IFERROR(VLOOKUP(Tabla1[[#This Row],[SISMED]],TblDisponibilidad[],22,FALSE), 0)</f>
        <v>0</v>
      </c>
      <c r="S503" s="15">
        <f>IFERROR(VLOOKUP(Tabla1[[#This Row],[SISMED]],TblDisponibilidad[],23,FALSE), 0)</f>
        <v>0</v>
      </c>
    </row>
    <row r="504" spans="1:19" x14ac:dyDescent="0.3">
      <c r="A504" s="15" t="s">
        <v>534</v>
      </c>
      <c r="B504" t="str">
        <f>IFERROR(VLOOKUP(Tabla1[[#This Row],[SISMED]],TblDisponibilidad[],2,FALSE), "")</f>
        <v/>
      </c>
      <c r="C504">
        <f>IFERROR(VLOOKUP(Tabla1[[#This Row],[SISMED]],TblDisponibilidad[],7,FALSE), 0)</f>
        <v>0</v>
      </c>
      <c r="D504">
        <f>IFERROR(VLOOKUP(Tabla1[[#This Row],[SISMED]],TblDisponibilidad[],8,FALSE), 0)</f>
        <v>0</v>
      </c>
      <c r="E504">
        <f>IFERROR(VLOOKUP(Tabla1[[#This Row],[SISMED]],TblDisponibilidad[],9,FALSE), 0)</f>
        <v>0</v>
      </c>
      <c r="F504">
        <f>IFERROR(VLOOKUP(Tabla1[[#This Row],[SISMED]],TblDisponibilidad[],10,FALSE), 0)</f>
        <v>0</v>
      </c>
      <c r="G504">
        <f>IFERROR(VLOOKUP(Tabla1[[#This Row],[SISMED]],TblDisponibilidad[],11,FALSE), 0)</f>
        <v>0</v>
      </c>
      <c r="H504">
        <f>IFERROR(VLOOKUP(Tabla1[[#This Row],[SISMED]],TblDisponibilidad[],12,FALSE), 0)</f>
        <v>0</v>
      </c>
      <c r="I504">
        <f>IFERROR(VLOOKUP(Tabla1[[#This Row],[SISMED]],TblDisponibilidad[],13,FALSE), 0)</f>
        <v>0</v>
      </c>
      <c r="J504">
        <f>IFERROR(VLOOKUP(Tabla1[[#This Row],[SISMED]],TblDisponibilidad[],14,FALSE), 0)</f>
        <v>0</v>
      </c>
      <c r="K504">
        <f>IFERROR(VLOOKUP(Tabla1[[#This Row],[SISMED]],TblDisponibilidad[],15,FALSE), 0)</f>
        <v>0</v>
      </c>
      <c r="L504">
        <f>IFERROR(VLOOKUP(Tabla1[[#This Row],[SISMED]],TblDisponibilidad[],16,FALSE), 0)</f>
        <v>0</v>
      </c>
      <c r="M504">
        <f>IFERROR(VLOOKUP(Tabla1[[#This Row],[SISMED]],TblDisponibilidad[],17,FALSE), 0)</f>
        <v>0</v>
      </c>
      <c r="N504">
        <f>IFERROR(VLOOKUP(Tabla1[[#This Row],[SISMED]],TblDisponibilidad[],18,FALSE), 0)</f>
        <v>0</v>
      </c>
      <c r="O504">
        <f>IFERROR(VLOOKUP(Tabla1[[#This Row],[SISMED]],TblDisponibilidad[],19,FALSE), 0)</f>
        <v>0</v>
      </c>
      <c r="P504">
        <f>IFERROR(VLOOKUP(Tabla1[[#This Row],[SISMED]],TblDisponibilidad[],20,FALSE), 0)</f>
        <v>0</v>
      </c>
      <c r="Q504">
        <f>IFERROR(VLOOKUP(Tabla1[[#This Row],[SISMED]],TblDisponibilidad[],21,FALSE), 0)</f>
        <v>0</v>
      </c>
      <c r="R504">
        <f>IFERROR(VLOOKUP(Tabla1[[#This Row],[SISMED]],TblDisponibilidad[],22,FALSE), 0)</f>
        <v>0</v>
      </c>
      <c r="S504" s="15">
        <f>IFERROR(VLOOKUP(Tabla1[[#This Row],[SISMED]],TblDisponibilidad[],23,FALSE), 0)</f>
        <v>0</v>
      </c>
    </row>
    <row r="505" spans="1:19" x14ac:dyDescent="0.3">
      <c r="A505" s="15" t="s">
        <v>535</v>
      </c>
      <c r="B505" t="str">
        <f>IFERROR(VLOOKUP(Tabla1[[#This Row],[SISMED]],TblDisponibilidad[],2,FALSE), "")</f>
        <v/>
      </c>
      <c r="C505">
        <f>IFERROR(VLOOKUP(Tabla1[[#This Row],[SISMED]],TblDisponibilidad[],7,FALSE), 0)</f>
        <v>0</v>
      </c>
      <c r="D505">
        <f>IFERROR(VLOOKUP(Tabla1[[#This Row],[SISMED]],TblDisponibilidad[],8,FALSE), 0)</f>
        <v>0</v>
      </c>
      <c r="E505">
        <f>IFERROR(VLOOKUP(Tabla1[[#This Row],[SISMED]],TblDisponibilidad[],9,FALSE), 0)</f>
        <v>0</v>
      </c>
      <c r="F505">
        <f>IFERROR(VLOOKUP(Tabla1[[#This Row],[SISMED]],TblDisponibilidad[],10,FALSE), 0)</f>
        <v>0</v>
      </c>
      <c r="G505">
        <f>IFERROR(VLOOKUP(Tabla1[[#This Row],[SISMED]],TblDisponibilidad[],11,FALSE), 0)</f>
        <v>0</v>
      </c>
      <c r="H505">
        <f>IFERROR(VLOOKUP(Tabla1[[#This Row],[SISMED]],TblDisponibilidad[],12,FALSE), 0)</f>
        <v>0</v>
      </c>
      <c r="I505">
        <f>IFERROR(VLOOKUP(Tabla1[[#This Row],[SISMED]],TblDisponibilidad[],13,FALSE), 0)</f>
        <v>0</v>
      </c>
      <c r="J505">
        <f>IFERROR(VLOOKUP(Tabla1[[#This Row],[SISMED]],TblDisponibilidad[],14,FALSE), 0)</f>
        <v>0</v>
      </c>
      <c r="K505">
        <f>IFERROR(VLOOKUP(Tabla1[[#This Row],[SISMED]],TblDisponibilidad[],15,FALSE), 0)</f>
        <v>0</v>
      </c>
      <c r="L505">
        <f>IFERROR(VLOOKUP(Tabla1[[#This Row],[SISMED]],TblDisponibilidad[],16,FALSE), 0)</f>
        <v>0</v>
      </c>
      <c r="M505">
        <f>IFERROR(VLOOKUP(Tabla1[[#This Row],[SISMED]],TblDisponibilidad[],17,FALSE), 0)</f>
        <v>0</v>
      </c>
      <c r="N505">
        <f>IFERROR(VLOOKUP(Tabla1[[#This Row],[SISMED]],TblDisponibilidad[],18,FALSE), 0)</f>
        <v>0</v>
      </c>
      <c r="O505">
        <f>IFERROR(VLOOKUP(Tabla1[[#This Row],[SISMED]],TblDisponibilidad[],19,FALSE), 0)</f>
        <v>0</v>
      </c>
      <c r="P505">
        <f>IFERROR(VLOOKUP(Tabla1[[#This Row],[SISMED]],TblDisponibilidad[],20,FALSE), 0)</f>
        <v>0</v>
      </c>
      <c r="Q505">
        <f>IFERROR(VLOOKUP(Tabla1[[#This Row],[SISMED]],TblDisponibilidad[],21,FALSE), 0)</f>
        <v>0</v>
      </c>
      <c r="R505">
        <f>IFERROR(VLOOKUP(Tabla1[[#This Row],[SISMED]],TblDisponibilidad[],22,FALSE), 0)</f>
        <v>0</v>
      </c>
      <c r="S505" s="15">
        <f>IFERROR(VLOOKUP(Tabla1[[#This Row],[SISMED]],TblDisponibilidad[],23,FALSE), 0)</f>
        <v>0</v>
      </c>
    </row>
    <row r="506" spans="1:19" x14ac:dyDescent="0.3">
      <c r="A506" s="15" t="s">
        <v>536</v>
      </c>
      <c r="B506" t="str">
        <f>IFERROR(VLOOKUP(Tabla1[[#This Row],[SISMED]],TblDisponibilidad[],2,FALSE), "")</f>
        <v/>
      </c>
      <c r="C506">
        <f>IFERROR(VLOOKUP(Tabla1[[#This Row],[SISMED]],TblDisponibilidad[],7,FALSE), 0)</f>
        <v>0</v>
      </c>
      <c r="D506">
        <f>IFERROR(VLOOKUP(Tabla1[[#This Row],[SISMED]],TblDisponibilidad[],8,FALSE), 0)</f>
        <v>0</v>
      </c>
      <c r="E506">
        <f>IFERROR(VLOOKUP(Tabla1[[#This Row],[SISMED]],TblDisponibilidad[],9,FALSE), 0)</f>
        <v>0</v>
      </c>
      <c r="F506">
        <f>IFERROR(VLOOKUP(Tabla1[[#This Row],[SISMED]],TblDisponibilidad[],10,FALSE), 0)</f>
        <v>0</v>
      </c>
      <c r="G506">
        <f>IFERROR(VLOOKUP(Tabla1[[#This Row],[SISMED]],TblDisponibilidad[],11,FALSE), 0)</f>
        <v>0</v>
      </c>
      <c r="H506">
        <f>IFERROR(VLOOKUP(Tabla1[[#This Row],[SISMED]],TblDisponibilidad[],12,FALSE), 0)</f>
        <v>0</v>
      </c>
      <c r="I506">
        <f>IFERROR(VLOOKUP(Tabla1[[#This Row],[SISMED]],TblDisponibilidad[],13,FALSE), 0)</f>
        <v>0</v>
      </c>
      <c r="J506">
        <f>IFERROR(VLOOKUP(Tabla1[[#This Row],[SISMED]],TblDisponibilidad[],14,FALSE), 0)</f>
        <v>0</v>
      </c>
      <c r="K506">
        <f>IFERROR(VLOOKUP(Tabla1[[#This Row],[SISMED]],TblDisponibilidad[],15,FALSE), 0)</f>
        <v>0</v>
      </c>
      <c r="L506">
        <f>IFERROR(VLOOKUP(Tabla1[[#This Row],[SISMED]],TblDisponibilidad[],16,FALSE), 0)</f>
        <v>0</v>
      </c>
      <c r="M506">
        <f>IFERROR(VLOOKUP(Tabla1[[#This Row],[SISMED]],TblDisponibilidad[],17,FALSE), 0)</f>
        <v>0</v>
      </c>
      <c r="N506">
        <f>IFERROR(VLOOKUP(Tabla1[[#This Row],[SISMED]],TblDisponibilidad[],18,FALSE), 0)</f>
        <v>0</v>
      </c>
      <c r="O506">
        <f>IFERROR(VLOOKUP(Tabla1[[#This Row],[SISMED]],TblDisponibilidad[],19,FALSE), 0)</f>
        <v>0</v>
      </c>
      <c r="P506">
        <f>IFERROR(VLOOKUP(Tabla1[[#This Row],[SISMED]],TblDisponibilidad[],20,FALSE), 0)</f>
        <v>0</v>
      </c>
      <c r="Q506">
        <f>IFERROR(VLOOKUP(Tabla1[[#This Row],[SISMED]],TblDisponibilidad[],21,FALSE), 0)</f>
        <v>0</v>
      </c>
      <c r="R506">
        <f>IFERROR(VLOOKUP(Tabla1[[#This Row],[SISMED]],TblDisponibilidad[],22,FALSE), 0)</f>
        <v>0</v>
      </c>
      <c r="S506" s="15">
        <f>IFERROR(VLOOKUP(Tabla1[[#This Row],[SISMED]],TblDisponibilidad[],23,FALSE), 0)</f>
        <v>0</v>
      </c>
    </row>
    <row r="507" spans="1:19" x14ac:dyDescent="0.3">
      <c r="A507" s="15" t="s">
        <v>537</v>
      </c>
      <c r="B507" t="str">
        <f>IFERROR(VLOOKUP(Tabla1[[#This Row],[SISMED]],TblDisponibilidad[],2,FALSE), "")</f>
        <v/>
      </c>
      <c r="C507">
        <f>IFERROR(VLOOKUP(Tabla1[[#This Row],[SISMED]],TblDisponibilidad[],7,FALSE), 0)</f>
        <v>0</v>
      </c>
      <c r="D507">
        <f>IFERROR(VLOOKUP(Tabla1[[#This Row],[SISMED]],TblDisponibilidad[],8,FALSE), 0)</f>
        <v>0</v>
      </c>
      <c r="E507">
        <f>IFERROR(VLOOKUP(Tabla1[[#This Row],[SISMED]],TblDisponibilidad[],9,FALSE), 0)</f>
        <v>0</v>
      </c>
      <c r="F507">
        <f>IFERROR(VLOOKUP(Tabla1[[#This Row],[SISMED]],TblDisponibilidad[],10,FALSE), 0)</f>
        <v>0</v>
      </c>
      <c r="G507">
        <f>IFERROR(VLOOKUP(Tabla1[[#This Row],[SISMED]],TblDisponibilidad[],11,FALSE), 0)</f>
        <v>0</v>
      </c>
      <c r="H507">
        <f>IFERROR(VLOOKUP(Tabla1[[#This Row],[SISMED]],TblDisponibilidad[],12,FALSE), 0)</f>
        <v>0</v>
      </c>
      <c r="I507">
        <f>IFERROR(VLOOKUP(Tabla1[[#This Row],[SISMED]],TblDisponibilidad[],13,FALSE), 0)</f>
        <v>0</v>
      </c>
      <c r="J507">
        <f>IFERROR(VLOOKUP(Tabla1[[#This Row],[SISMED]],TblDisponibilidad[],14,FALSE), 0)</f>
        <v>0</v>
      </c>
      <c r="K507">
        <f>IFERROR(VLOOKUP(Tabla1[[#This Row],[SISMED]],TblDisponibilidad[],15,FALSE), 0)</f>
        <v>0</v>
      </c>
      <c r="L507">
        <f>IFERROR(VLOOKUP(Tabla1[[#This Row],[SISMED]],TblDisponibilidad[],16,FALSE), 0)</f>
        <v>0</v>
      </c>
      <c r="M507">
        <f>IFERROR(VLOOKUP(Tabla1[[#This Row],[SISMED]],TblDisponibilidad[],17,FALSE), 0)</f>
        <v>0</v>
      </c>
      <c r="N507">
        <f>IFERROR(VLOOKUP(Tabla1[[#This Row],[SISMED]],TblDisponibilidad[],18,FALSE), 0)</f>
        <v>0</v>
      </c>
      <c r="O507">
        <f>IFERROR(VLOOKUP(Tabla1[[#This Row],[SISMED]],TblDisponibilidad[],19,FALSE), 0)</f>
        <v>0</v>
      </c>
      <c r="P507">
        <f>IFERROR(VLOOKUP(Tabla1[[#This Row],[SISMED]],TblDisponibilidad[],20,FALSE), 0)</f>
        <v>0</v>
      </c>
      <c r="Q507">
        <f>IFERROR(VLOOKUP(Tabla1[[#This Row],[SISMED]],TblDisponibilidad[],21,FALSE), 0)</f>
        <v>0</v>
      </c>
      <c r="R507">
        <f>IFERROR(VLOOKUP(Tabla1[[#This Row],[SISMED]],TblDisponibilidad[],22,FALSE), 0)</f>
        <v>0</v>
      </c>
      <c r="S507" s="15">
        <f>IFERROR(VLOOKUP(Tabla1[[#This Row],[SISMED]],TblDisponibilidad[],23,FALSE), 0)</f>
        <v>0</v>
      </c>
    </row>
    <row r="508" spans="1:19" x14ac:dyDescent="0.3">
      <c r="A508" s="15" t="s">
        <v>538</v>
      </c>
      <c r="B508" t="str">
        <f>IFERROR(VLOOKUP(Tabla1[[#This Row],[SISMED]],TblDisponibilidad[],2,FALSE), "")</f>
        <v/>
      </c>
      <c r="C508">
        <f>IFERROR(VLOOKUP(Tabla1[[#This Row],[SISMED]],TblDisponibilidad[],7,FALSE), 0)</f>
        <v>0</v>
      </c>
      <c r="D508">
        <f>IFERROR(VLOOKUP(Tabla1[[#This Row],[SISMED]],TblDisponibilidad[],8,FALSE), 0)</f>
        <v>0</v>
      </c>
      <c r="E508">
        <f>IFERROR(VLOOKUP(Tabla1[[#This Row],[SISMED]],TblDisponibilidad[],9,FALSE), 0)</f>
        <v>0</v>
      </c>
      <c r="F508">
        <f>IFERROR(VLOOKUP(Tabla1[[#This Row],[SISMED]],TblDisponibilidad[],10,FALSE), 0)</f>
        <v>0</v>
      </c>
      <c r="G508">
        <f>IFERROR(VLOOKUP(Tabla1[[#This Row],[SISMED]],TblDisponibilidad[],11,FALSE), 0)</f>
        <v>0</v>
      </c>
      <c r="H508">
        <f>IFERROR(VLOOKUP(Tabla1[[#This Row],[SISMED]],TblDisponibilidad[],12,FALSE), 0)</f>
        <v>0</v>
      </c>
      <c r="I508">
        <f>IFERROR(VLOOKUP(Tabla1[[#This Row],[SISMED]],TblDisponibilidad[],13,FALSE), 0)</f>
        <v>0</v>
      </c>
      <c r="J508">
        <f>IFERROR(VLOOKUP(Tabla1[[#This Row],[SISMED]],TblDisponibilidad[],14,FALSE), 0)</f>
        <v>0</v>
      </c>
      <c r="K508">
        <f>IFERROR(VLOOKUP(Tabla1[[#This Row],[SISMED]],TblDisponibilidad[],15,FALSE), 0)</f>
        <v>0</v>
      </c>
      <c r="L508">
        <f>IFERROR(VLOOKUP(Tabla1[[#This Row],[SISMED]],TblDisponibilidad[],16,FALSE), 0)</f>
        <v>0</v>
      </c>
      <c r="M508">
        <f>IFERROR(VLOOKUP(Tabla1[[#This Row],[SISMED]],TblDisponibilidad[],17,FALSE), 0)</f>
        <v>0</v>
      </c>
      <c r="N508">
        <f>IFERROR(VLOOKUP(Tabla1[[#This Row],[SISMED]],TblDisponibilidad[],18,FALSE), 0)</f>
        <v>0</v>
      </c>
      <c r="O508">
        <f>IFERROR(VLOOKUP(Tabla1[[#This Row],[SISMED]],TblDisponibilidad[],19,FALSE), 0)</f>
        <v>0</v>
      </c>
      <c r="P508">
        <f>IFERROR(VLOOKUP(Tabla1[[#This Row],[SISMED]],TblDisponibilidad[],20,FALSE), 0)</f>
        <v>0</v>
      </c>
      <c r="Q508">
        <f>IFERROR(VLOOKUP(Tabla1[[#This Row],[SISMED]],TblDisponibilidad[],21,FALSE), 0)</f>
        <v>0</v>
      </c>
      <c r="R508">
        <f>IFERROR(VLOOKUP(Tabla1[[#This Row],[SISMED]],TblDisponibilidad[],22,FALSE), 0)</f>
        <v>0</v>
      </c>
      <c r="S508" s="15">
        <f>IFERROR(VLOOKUP(Tabla1[[#This Row],[SISMED]],TblDisponibilidad[],23,FALSE), 0)</f>
        <v>0</v>
      </c>
    </row>
    <row r="509" spans="1:19" x14ac:dyDescent="0.3">
      <c r="A509" s="15" t="s">
        <v>539</v>
      </c>
      <c r="B509" t="str">
        <f>IFERROR(VLOOKUP(Tabla1[[#This Row],[SISMED]],TblDisponibilidad[],2,FALSE), "")</f>
        <v/>
      </c>
      <c r="C509">
        <f>IFERROR(VLOOKUP(Tabla1[[#This Row],[SISMED]],TblDisponibilidad[],7,FALSE), 0)</f>
        <v>0</v>
      </c>
      <c r="D509">
        <f>IFERROR(VLOOKUP(Tabla1[[#This Row],[SISMED]],TblDisponibilidad[],8,FALSE), 0)</f>
        <v>0</v>
      </c>
      <c r="E509">
        <f>IFERROR(VLOOKUP(Tabla1[[#This Row],[SISMED]],TblDisponibilidad[],9,FALSE), 0)</f>
        <v>0</v>
      </c>
      <c r="F509">
        <f>IFERROR(VLOOKUP(Tabla1[[#This Row],[SISMED]],TblDisponibilidad[],10,FALSE), 0)</f>
        <v>0</v>
      </c>
      <c r="G509">
        <f>IFERROR(VLOOKUP(Tabla1[[#This Row],[SISMED]],TblDisponibilidad[],11,FALSE), 0)</f>
        <v>0</v>
      </c>
      <c r="H509">
        <f>IFERROR(VLOOKUP(Tabla1[[#This Row],[SISMED]],TblDisponibilidad[],12,FALSE), 0)</f>
        <v>0</v>
      </c>
      <c r="I509">
        <f>IFERROR(VLOOKUP(Tabla1[[#This Row],[SISMED]],TblDisponibilidad[],13,FALSE), 0)</f>
        <v>0</v>
      </c>
      <c r="J509">
        <f>IFERROR(VLOOKUP(Tabla1[[#This Row],[SISMED]],TblDisponibilidad[],14,FALSE), 0)</f>
        <v>0</v>
      </c>
      <c r="K509">
        <f>IFERROR(VLOOKUP(Tabla1[[#This Row],[SISMED]],TblDisponibilidad[],15,FALSE), 0)</f>
        <v>0</v>
      </c>
      <c r="L509">
        <f>IFERROR(VLOOKUP(Tabla1[[#This Row],[SISMED]],TblDisponibilidad[],16,FALSE), 0)</f>
        <v>0</v>
      </c>
      <c r="M509">
        <f>IFERROR(VLOOKUP(Tabla1[[#This Row],[SISMED]],TblDisponibilidad[],17,FALSE), 0)</f>
        <v>0</v>
      </c>
      <c r="N509">
        <f>IFERROR(VLOOKUP(Tabla1[[#This Row],[SISMED]],TblDisponibilidad[],18,FALSE), 0)</f>
        <v>0</v>
      </c>
      <c r="O509">
        <f>IFERROR(VLOOKUP(Tabla1[[#This Row],[SISMED]],TblDisponibilidad[],19,FALSE), 0)</f>
        <v>0</v>
      </c>
      <c r="P509">
        <f>IFERROR(VLOOKUP(Tabla1[[#This Row],[SISMED]],TblDisponibilidad[],20,FALSE), 0)</f>
        <v>0</v>
      </c>
      <c r="Q509">
        <f>IFERROR(VLOOKUP(Tabla1[[#This Row],[SISMED]],TblDisponibilidad[],21,FALSE), 0)</f>
        <v>0</v>
      </c>
      <c r="R509">
        <f>IFERROR(VLOOKUP(Tabla1[[#This Row],[SISMED]],TblDisponibilidad[],22,FALSE), 0)</f>
        <v>0</v>
      </c>
      <c r="S509" s="15">
        <f>IFERROR(VLOOKUP(Tabla1[[#This Row],[SISMED]],TblDisponibilidad[],23,FALSE), 0)</f>
        <v>0</v>
      </c>
    </row>
    <row r="510" spans="1:19" x14ac:dyDescent="0.3">
      <c r="A510" s="15" t="s">
        <v>540</v>
      </c>
      <c r="B510" t="str">
        <f>IFERROR(VLOOKUP(Tabla1[[#This Row],[SISMED]],TblDisponibilidad[],2,FALSE), "")</f>
        <v/>
      </c>
      <c r="C510">
        <f>IFERROR(VLOOKUP(Tabla1[[#This Row],[SISMED]],TblDisponibilidad[],7,FALSE), 0)</f>
        <v>0</v>
      </c>
      <c r="D510">
        <f>IFERROR(VLOOKUP(Tabla1[[#This Row],[SISMED]],TblDisponibilidad[],8,FALSE), 0)</f>
        <v>0</v>
      </c>
      <c r="E510">
        <f>IFERROR(VLOOKUP(Tabla1[[#This Row],[SISMED]],TblDisponibilidad[],9,FALSE), 0)</f>
        <v>0</v>
      </c>
      <c r="F510">
        <f>IFERROR(VLOOKUP(Tabla1[[#This Row],[SISMED]],TblDisponibilidad[],10,FALSE), 0)</f>
        <v>0</v>
      </c>
      <c r="G510">
        <f>IFERROR(VLOOKUP(Tabla1[[#This Row],[SISMED]],TblDisponibilidad[],11,FALSE), 0)</f>
        <v>0</v>
      </c>
      <c r="H510">
        <f>IFERROR(VLOOKUP(Tabla1[[#This Row],[SISMED]],TblDisponibilidad[],12,FALSE), 0)</f>
        <v>0</v>
      </c>
      <c r="I510">
        <f>IFERROR(VLOOKUP(Tabla1[[#This Row],[SISMED]],TblDisponibilidad[],13,FALSE), 0)</f>
        <v>0</v>
      </c>
      <c r="J510">
        <f>IFERROR(VLOOKUP(Tabla1[[#This Row],[SISMED]],TblDisponibilidad[],14,FALSE), 0)</f>
        <v>0</v>
      </c>
      <c r="K510">
        <f>IFERROR(VLOOKUP(Tabla1[[#This Row],[SISMED]],TblDisponibilidad[],15,FALSE), 0)</f>
        <v>0</v>
      </c>
      <c r="L510">
        <f>IFERROR(VLOOKUP(Tabla1[[#This Row],[SISMED]],TblDisponibilidad[],16,FALSE), 0)</f>
        <v>0</v>
      </c>
      <c r="M510">
        <f>IFERROR(VLOOKUP(Tabla1[[#This Row],[SISMED]],TblDisponibilidad[],17,FALSE), 0)</f>
        <v>0</v>
      </c>
      <c r="N510">
        <f>IFERROR(VLOOKUP(Tabla1[[#This Row],[SISMED]],TblDisponibilidad[],18,FALSE), 0)</f>
        <v>0</v>
      </c>
      <c r="O510">
        <f>IFERROR(VLOOKUP(Tabla1[[#This Row],[SISMED]],TblDisponibilidad[],19,FALSE), 0)</f>
        <v>0</v>
      </c>
      <c r="P510">
        <f>IFERROR(VLOOKUP(Tabla1[[#This Row],[SISMED]],TblDisponibilidad[],20,FALSE), 0)</f>
        <v>0</v>
      </c>
      <c r="Q510">
        <f>IFERROR(VLOOKUP(Tabla1[[#This Row],[SISMED]],TblDisponibilidad[],21,FALSE), 0)</f>
        <v>0</v>
      </c>
      <c r="R510">
        <f>IFERROR(VLOOKUP(Tabla1[[#This Row],[SISMED]],TblDisponibilidad[],22,FALSE), 0)</f>
        <v>0</v>
      </c>
      <c r="S510" s="15">
        <f>IFERROR(VLOOKUP(Tabla1[[#This Row],[SISMED]],TblDisponibilidad[],23,FALSE), 0)</f>
        <v>0</v>
      </c>
    </row>
    <row r="511" spans="1:19" x14ac:dyDescent="0.3">
      <c r="A511" s="15" t="s">
        <v>541</v>
      </c>
      <c r="B511" t="str">
        <f>IFERROR(VLOOKUP(Tabla1[[#This Row],[SISMED]],TblDisponibilidad[],2,FALSE), "")</f>
        <v/>
      </c>
      <c r="C511">
        <f>IFERROR(VLOOKUP(Tabla1[[#This Row],[SISMED]],TblDisponibilidad[],7,FALSE), 0)</f>
        <v>0</v>
      </c>
      <c r="D511">
        <f>IFERROR(VLOOKUP(Tabla1[[#This Row],[SISMED]],TblDisponibilidad[],8,FALSE), 0)</f>
        <v>0</v>
      </c>
      <c r="E511">
        <f>IFERROR(VLOOKUP(Tabla1[[#This Row],[SISMED]],TblDisponibilidad[],9,FALSE), 0)</f>
        <v>0</v>
      </c>
      <c r="F511">
        <f>IFERROR(VLOOKUP(Tabla1[[#This Row],[SISMED]],TblDisponibilidad[],10,FALSE), 0)</f>
        <v>0</v>
      </c>
      <c r="G511">
        <f>IFERROR(VLOOKUP(Tabla1[[#This Row],[SISMED]],TblDisponibilidad[],11,FALSE), 0)</f>
        <v>0</v>
      </c>
      <c r="H511">
        <f>IFERROR(VLOOKUP(Tabla1[[#This Row],[SISMED]],TblDisponibilidad[],12,FALSE), 0)</f>
        <v>0</v>
      </c>
      <c r="I511">
        <f>IFERROR(VLOOKUP(Tabla1[[#This Row],[SISMED]],TblDisponibilidad[],13,FALSE), 0)</f>
        <v>0</v>
      </c>
      <c r="J511">
        <f>IFERROR(VLOOKUP(Tabla1[[#This Row],[SISMED]],TblDisponibilidad[],14,FALSE), 0)</f>
        <v>0</v>
      </c>
      <c r="K511">
        <f>IFERROR(VLOOKUP(Tabla1[[#This Row],[SISMED]],TblDisponibilidad[],15,FALSE), 0)</f>
        <v>0</v>
      </c>
      <c r="L511">
        <f>IFERROR(VLOOKUP(Tabla1[[#This Row],[SISMED]],TblDisponibilidad[],16,FALSE), 0)</f>
        <v>0</v>
      </c>
      <c r="M511">
        <f>IFERROR(VLOOKUP(Tabla1[[#This Row],[SISMED]],TblDisponibilidad[],17,FALSE), 0)</f>
        <v>0</v>
      </c>
      <c r="N511">
        <f>IFERROR(VLOOKUP(Tabla1[[#This Row],[SISMED]],TblDisponibilidad[],18,FALSE), 0)</f>
        <v>0</v>
      </c>
      <c r="O511">
        <f>IFERROR(VLOOKUP(Tabla1[[#This Row],[SISMED]],TblDisponibilidad[],19,FALSE), 0)</f>
        <v>0</v>
      </c>
      <c r="P511">
        <f>IFERROR(VLOOKUP(Tabla1[[#This Row],[SISMED]],TblDisponibilidad[],20,FALSE), 0)</f>
        <v>0</v>
      </c>
      <c r="Q511">
        <f>IFERROR(VLOOKUP(Tabla1[[#This Row],[SISMED]],TblDisponibilidad[],21,FALSE), 0)</f>
        <v>0</v>
      </c>
      <c r="R511">
        <f>IFERROR(VLOOKUP(Tabla1[[#This Row],[SISMED]],TblDisponibilidad[],22,FALSE), 0)</f>
        <v>0</v>
      </c>
      <c r="S511" s="15">
        <f>IFERROR(VLOOKUP(Tabla1[[#This Row],[SISMED]],TblDisponibilidad[],23,FALSE), 0)</f>
        <v>0</v>
      </c>
    </row>
    <row r="512" spans="1:19" x14ac:dyDescent="0.3">
      <c r="A512" s="15" t="s">
        <v>542</v>
      </c>
      <c r="B512" t="str">
        <f>IFERROR(VLOOKUP(Tabla1[[#This Row],[SISMED]],TblDisponibilidad[],2,FALSE), "")</f>
        <v/>
      </c>
      <c r="C512">
        <f>IFERROR(VLOOKUP(Tabla1[[#This Row],[SISMED]],TblDisponibilidad[],7,FALSE), 0)</f>
        <v>0</v>
      </c>
      <c r="D512">
        <f>IFERROR(VLOOKUP(Tabla1[[#This Row],[SISMED]],TblDisponibilidad[],8,FALSE), 0)</f>
        <v>0</v>
      </c>
      <c r="E512">
        <f>IFERROR(VLOOKUP(Tabla1[[#This Row],[SISMED]],TblDisponibilidad[],9,FALSE), 0)</f>
        <v>0</v>
      </c>
      <c r="F512">
        <f>IFERROR(VLOOKUP(Tabla1[[#This Row],[SISMED]],TblDisponibilidad[],10,FALSE), 0)</f>
        <v>0</v>
      </c>
      <c r="G512">
        <f>IFERROR(VLOOKUP(Tabla1[[#This Row],[SISMED]],TblDisponibilidad[],11,FALSE), 0)</f>
        <v>0</v>
      </c>
      <c r="H512">
        <f>IFERROR(VLOOKUP(Tabla1[[#This Row],[SISMED]],TblDisponibilidad[],12,FALSE), 0)</f>
        <v>0</v>
      </c>
      <c r="I512">
        <f>IFERROR(VLOOKUP(Tabla1[[#This Row],[SISMED]],TblDisponibilidad[],13,FALSE), 0)</f>
        <v>0</v>
      </c>
      <c r="J512">
        <f>IFERROR(VLOOKUP(Tabla1[[#This Row],[SISMED]],TblDisponibilidad[],14,FALSE), 0)</f>
        <v>0</v>
      </c>
      <c r="K512">
        <f>IFERROR(VLOOKUP(Tabla1[[#This Row],[SISMED]],TblDisponibilidad[],15,FALSE), 0)</f>
        <v>0</v>
      </c>
      <c r="L512">
        <f>IFERROR(VLOOKUP(Tabla1[[#This Row],[SISMED]],TblDisponibilidad[],16,FALSE), 0)</f>
        <v>0</v>
      </c>
      <c r="M512">
        <f>IFERROR(VLOOKUP(Tabla1[[#This Row],[SISMED]],TblDisponibilidad[],17,FALSE), 0)</f>
        <v>0</v>
      </c>
      <c r="N512">
        <f>IFERROR(VLOOKUP(Tabla1[[#This Row],[SISMED]],TblDisponibilidad[],18,FALSE), 0)</f>
        <v>0</v>
      </c>
      <c r="O512">
        <f>IFERROR(VLOOKUP(Tabla1[[#This Row],[SISMED]],TblDisponibilidad[],19,FALSE), 0)</f>
        <v>0</v>
      </c>
      <c r="P512">
        <f>IFERROR(VLOOKUP(Tabla1[[#This Row],[SISMED]],TblDisponibilidad[],20,FALSE), 0)</f>
        <v>0</v>
      </c>
      <c r="Q512">
        <f>IFERROR(VLOOKUP(Tabla1[[#This Row],[SISMED]],TblDisponibilidad[],21,FALSE), 0)</f>
        <v>0</v>
      </c>
      <c r="R512">
        <f>IFERROR(VLOOKUP(Tabla1[[#This Row],[SISMED]],TblDisponibilidad[],22,FALSE), 0)</f>
        <v>0</v>
      </c>
      <c r="S512" s="15">
        <f>IFERROR(VLOOKUP(Tabla1[[#This Row],[SISMED]],TblDisponibilidad[],23,FALSE), 0)</f>
        <v>0</v>
      </c>
    </row>
    <row r="513" spans="1:19" x14ac:dyDescent="0.3">
      <c r="A513" s="15" t="s">
        <v>543</v>
      </c>
      <c r="B513" t="str">
        <f>IFERROR(VLOOKUP(Tabla1[[#This Row],[SISMED]],TblDisponibilidad[],2,FALSE), "")</f>
        <v/>
      </c>
      <c r="C513">
        <f>IFERROR(VLOOKUP(Tabla1[[#This Row],[SISMED]],TblDisponibilidad[],7,FALSE), 0)</f>
        <v>0</v>
      </c>
      <c r="D513">
        <f>IFERROR(VLOOKUP(Tabla1[[#This Row],[SISMED]],TblDisponibilidad[],8,FALSE), 0)</f>
        <v>0</v>
      </c>
      <c r="E513">
        <f>IFERROR(VLOOKUP(Tabla1[[#This Row],[SISMED]],TblDisponibilidad[],9,FALSE), 0)</f>
        <v>0</v>
      </c>
      <c r="F513">
        <f>IFERROR(VLOOKUP(Tabla1[[#This Row],[SISMED]],TblDisponibilidad[],10,FALSE), 0)</f>
        <v>0</v>
      </c>
      <c r="G513">
        <f>IFERROR(VLOOKUP(Tabla1[[#This Row],[SISMED]],TblDisponibilidad[],11,FALSE), 0)</f>
        <v>0</v>
      </c>
      <c r="H513">
        <f>IFERROR(VLOOKUP(Tabla1[[#This Row],[SISMED]],TblDisponibilidad[],12,FALSE), 0)</f>
        <v>0</v>
      </c>
      <c r="I513">
        <f>IFERROR(VLOOKUP(Tabla1[[#This Row],[SISMED]],TblDisponibilidad[],13,FALSE), 0)</f>
        <v>0</v>
      </c>
      <c r="J513">
        <f>IFERROR(VLOOKUP(Tabla1[[#This Row],[SISMED]],TblDisponibilidad[],14,FALSE), 0)</f>
        <v>0</v>
      </c>
      <c r="K513">
        <f>IFERROR(VLOOKUP(Tabla1[[#This Row],[SISMED]],TblDisponibilidad[],15,FALSE), 0)</f>
        <v>0</v>
      </c>
      <c r="L513">
        <f>IFERROR(VLOOKUP(Tabla1[[#This Row],[SISMED]],TblDisponibilidad[],16,FALSE), 0)</f>
        <v>0</v>
      </c>
      <c r="M513">
        <f>IFERROR(VLOOKUP(Tabla1[[#This Row],[SISMED]],TblDisponibilidad[],17,FALSE), 0)</f>
        <v>0</v>
      </c>
      <c r="N513">
        <f>IFERROR(VLOOKUP(Tabla1[[#This Row],[SISMED]],TblDisponibilidad[],18,FALSE), 0)</f>
        <v>0</v>
      </c>
      <c r="O513">
        <f>IFERROR(VLOOKUP(Tabla1[[#This Row],[SISMED]],TblDisponibilidad[],19,FALSE), 0)</f>
        <v>0</v>
      </c>
      <c r="P513">
        <f>IFERROR(VLOOKUP(Tabla1[[#This Row],[SISMED]],TblDisponibilidad[],20,FALSE), 0)</f>
        <v>0</v>
      </c>
      <c r="Q513">
        <f>IFERROR(VLOOKUP(Tabla1[[#This Row],[SISMED]],TblDisponibilidad[],21,FALSE), 0)</f>
        <v>0</v>
      </c>
      <c r="R513">
        <f>IFERROR(VLOOKUP(Tabla1[[#This Row],[SISMED]],TblDisponibilidad[],22,FALSE), 0)</f>
        <v>0</v>
      </c>
      <c r="S513" s="15">
        <f>IFERROR(VLOOKUP(Tabla1[[#This Row],[SISMED]],TblDisponibilidad[],23,FALSE), 0)</f>
        <v>0</v>
      </c>
    </row>
    <row r="514" spans="1:19" x14ac:dyDescent="0.3">
      <c r="A514" s="15" t="s">
        <v>544</v>
      </c>
      <c r="B514" t="str">
        <f>IFERROR(VLOOKUP(Tabla1[[#This Row],[SISMED]],TblDisponibilidad[],2,FALSE), "")</f>
        <v/>
      </c>
      <c r="C514">
        <f>IFERROR(VLOOKUP(Tabla1[[#This Row],[SISMED]],TblDisponibilidad[],7,FALSE), 0)</f>
        <v>0</v>
      </c>
      <c r="D514">
        <f>IFERROR(VLOOKUP(Tabla1[[#This Row],[SISMED]],TblDisponibilidad[],8,FALSE), 0)</f>
        <v>0</v>
      </c>
      <c r="E514">
        <f>IFERROR(VLOOKUP(Tabla1[[#This Row],[SISMED]],TblDisponibilidad[],9,FALSE), 0)</f>
        <v>0</v>
      </c>
      <c r="F514">
        <f>IFERROR(VLOOKUP(Tabla1[[#This Row],[SISMED]],TblDisponibilidad[],10,FALSE), 0)</f>
        <v>0</v>
      </c>
      <c r="G514">
        <f>IFERROR(VLOOKUP(Tabla1[[#This Row],[SISMED]],TblDisponibilidad[],11,FALSE), 0)</f>
        <v>0</v>
      </c>
      <c r="H514">
        <f>IFERROR(VLOOKUP(Tabla1[[#This Row],[SISMED]],TblDisponibilidad[],12,FALSE), 0)</f>
        <v>0</v>
      </c>
      <c r="I514">
        <f>IFERROR(VLOOKUP(Tabla1[[#This Row],[SISMED]],TblDisponibilidad[],13,FALSE), 0)</f>
        <v>0</v>
      </c>
      <c r="J514">
        <f>IFERROR(VLOOKUP(Tabla1[[#This Row],[SISMED]],TblDisponibilidad[],14,FALSE), 0)</f>
        <v>0</v>
      </c>
      <c r="K514">
        <f>IFERROR(VLOOKUP(Tabla1[[#This Row],[SISMED]],TblDisponibilidad[],15,FALSE), 0)</f>
        <v>0</v>
      </c>
      <c r="L514">
        <f>IFERROR(VLOOKUP(Tabla1[[#This Row],[SISMED]],TblDisponibilidad[],16,FALSE), 0)</f>
        <v>0</v>
      </c>
      <c r="M514">
        <f>IFERROR(VLOOKUP(Tabla1[[#This Row],[SISMED]],TblDisponibilidad[],17,FALSE), 0)</f>
        <v>0</v>
      </c>
      <c r="N514">
        <f>IFERROR(VLOOKUP(Tabla1[[#This Row],[SISMED]],TblDisponibilidad[],18,FALSE), 0)</f>
        <v>0</v>
      </c>
      <c r="O514">
        <f>IFERROR(VLOOKUP(Tabla1[[#This Row],[SISMED]],TblDisponibilidad[],19,FALSE), 0)</f>
        <v>0</v>
      </c>
      <c r="P514">
        <f>IFERROR(VLOOKUP(Tabla1[[#This Row],[SISMED]],TblDisponibilidad[],20,FALSE), 0)</f>
        <v>0</v>
      </c>
      <c r="Q514">
        <f>IFERROR(VLOOKUP(Tabla1[[#This Row],[SISMED]],TblDisponibilidad[],21,FALSE), 0)</f>
        <v>0</v>
      </c>
      <c r="R514">
        <f>IFERROR(VLOOKUP(Tabla1[[#This Row],[SISMED]],TblDisponibilidad[],22,FALSE), 0)</f>
        <v>0</v>
      </c>
      <c r="S514" s="15">
        <f>IFERROR(VLOOKUP(Tabla1[[#This Row],[SISMED]],TblDisponibilidad[],23,FALSE), 0)</f>
        <v>0</v>
      </c>
    </row>
    <row r="515" spans="1:19" x14ac:dyDescent="0.3">
      <c r="A515" s="15" t="s">
        <v>545</v>
      </c>
      <c r="B515" t="str">
        <f>IFERROR(VLOOKUP(Tabla1[[#This Row],[SISMED]],TblDisponibilidad[],2,FALSE), "")</f>
        <v/>
      </c>
      <c r="C515">
        <f>IFERROR(VLOOKUP(Tabla1[[#This Row],[SISMED]],TblDisponibilidad[],7,FALSE), 0)</f>
        <v>0</v>
      </c>
      <c r="D515">
        <f>IFERROR(VLOOKUP(Tabla1[[#This Row],[SISMED]],TblDisponibilidad[],8,FALSE), 0)</f>
        <v>0</v>
      </c>
      <c r="E515">
        <f>IFERROR(VLOOKUP(Tabla1[[#This Row],[SISMED]],TblDisponibilidad[],9,FALSE), 0)</f>
        <v>0</v>
      </c>
      <c r="F515">
        <f>IFERROR(VLOOKUP(Tabla1[[#This Row],[SISMED]],TblDisponibilidad[],10,FALSE), 0)</f>
        <v>0</v>
      </c>
      <c r="G515">
        <f>IFERROR(VLOOKUP(Tabla1[[#This Row],[SISMED]],TblDisponibilidad[],11,FALSE), 0)</f>
        <v>0</v>
      </c>
      <c r="H515">
        <f>IFERROR(VLOOKUP(Tabla1[[#This Row],[SISMED]],TblDisponibilidad[],12,FALSE), 0)</f>
        <v>0</v>
      </c>
      <c r="I515">
        <f>IFERROR(VLOOKUP(Tabla1[[#This Row],[SISMED]],TblDisponibilidad[],13,FALSE), 0)</f>
        <v>0</v>
      </c>
      <c r="J515">
        <f>IFERROR(VLOOKUP(Tabla1[[#This Row],[SISMED]],TblDisponibilidad[],14,FALSE), 0)</f>
        <v>0</v>
      </c>
      <c r="K515">
        <f>IFERROR(VLOOKUP(Tabla1[[#This Row],[SISMED]],TblDisponibilidad[],15,FALSE), 0)</f>
        <v>0</v>
      </c>
      <c r="L515">
        <f>IFERROR(VLOOKUP(Tabla1[[#This Row],[SISMED]],TblDisponibilidad[],16,FALSE), 0)</f>
        <v>0</v>
      </c>
      <c r="M515">
        <f>IFERROR(VLOOKUP(Tabla1[[#This Row],[SISMED]],TblDisponibilidad[],17,FALSE), 0)</f>
        <v>0</v>
      </c>
      <c r="N515">
        <f>IFERROR(VLOOKUP(Tabla1[[#This Row],[SISMED]],TblDisponibilidad[],18,FALSE), 0)</f>
        <v>0</v>
      </c>
      <c r="O515">
        <f>IFERROR(VLOOKUP(Tabla1[[#This Row],[SISMED]],TblDisponibilidad[],19,FALSE), 0)</f>
        <v>0</v>
      </c>
      <c r="P515">
        <f>IFERROR(VLOOKUP(Tabla1[[#This Row],[SISMED]],TblDisponibilidad[],20,FALSE), 0)</f>
        <v>0</v>
      </c>
      <c r="Q515">
        <f>IFERROR(VLOOKUP(Tabla1[[#This Row],[SISMED]],TblDisponibilidad[],21,FALSE), 0)</f>
        <v>0</v>
      </c>
      <c r="R515">
        <f>IFERROR(VLOOKUP(Tabla1[[#This Row],[SISMED]],TblDisponibilidad[],22,FALSE), 0)</f>
        <v>0</v>
      </c>
      <c r="S515" s="15">
        <f>IFERROR(VLOOKUP(Tabla1[[#This Row],[SISMED]],TblDisponibilidad[],23,FALSE), 0)</f>
        <v>0</v>
      </c>
    </row>
    <row r="516" spans="1:19" x14ac:dyDescent="0.3">
      <c r="A516" s="15" t="s">
        <v>546</v>
      </c>
      <c r="B516" t="str">
        <f>IFERROR(VLOOKUP(Tabla1[[#This Row],[SISMED]],TblDisponibilidad[],2,FALSE), "")</f>
        <v/>
      </c>
      <c r="C516">
        <f>IFERROR(VLOOKUP(Tabla1[[#This Row],[SISMED]],TblDisponibilidad[],7,FALSE), 0)</f>
        <v>0</v>
      </c>
      <c r="D516">
        <f>IFERROR(VLOOKUP(Tabla1[[#This Row],[SISMED]],TblDisponibilidad[],8,FALSE), 0)</f>
        <v>0</v>
      </c>
      <c r="E516">
        <f>IFERROR(VLOOKUP(Tabla1[[#This Row],[SISMED]],TblDisponibilidad[],9,FALSE), 0)</f>
        <v>0</v>
      </c>
      <c r="F516">
        <f>IFERROR(VLOOKUP(Tabla1[[#This Row],[SISMED]],TblDisponibilidad[],10,FALSE), 0)</f>
        <v>0</v>
      </c>
      <c r="G516">
        <f>IFERROR(VLOOKUP(Tabla1[[#This Row],[SISMED]],TblDisponibilidad[],11,FALSE), 0)</f>
        <v>0</v>
      </c>
      <c r="H516">
        <f>IFERROR(VLOOKUP(Tabla1[[#This Row],[SISMED]],TblDisponibilidad[],12,FALSE), 0)</f>
        <v>0</v>
      </c>
      <c r="I516">
        <f>IFERROR(VLOOKUP(Tabla1[[#This Row],[SISMED]],TblDisponibilidad[],13,FALSE), 0)</f>
        <v>0</v>
      </c>
      <c r="J516">
        <f>IFERROR(VLOOKUP(Tabla1[[#This Row],[SISMED]],TblDisponibilidad[],14,FALSE), 0)</f>
        <v>0</v>
      </c>
      <c r="K516">
        <f>IFERROR(VLOOKUP(Tabla1[[#This Row],[SISMED]],TblDisponibilidad[],15,FALSE), 0)</f>
        <v>0</v>
      </c>
      <c r="L516">
        <f>IFERROR(VLOOKUP(Tabla1[[#This Row],[SISMED]],TblDisponibilidad[],16,FALSE), 0)</f>
        <v>0</v>
      </c>
      <c r="M516">
        <f>IFERROR(VLOOKUP(Tabla1[[#This Row],[SISMED]],TblDisponibilidad[],17,FALSE), 0)</f>
        <v>0</v>
      </c>
      <c r="N516">
        <f>IFERROR(VLOOKUP(Tabla1[[#This Row],[SISMED]],TblDisponibilidad[],18,FALSE), 0)</f>
        <v>0</v>
      </c>
      <c r="O516">
        <f>IFERROR(VLOOKUP(Tabla1[[#This Row],[SISMED]],TblDisponibilidad[],19,FALSE), 0)</f>
        <v>0</v>
      </c>
      <c r="P516">
        <f>IFERROR(VLOOKUP(Tabla1[[#This Row],[SISMED]],TblDisponibilidad[],20,FALSE), 0)</f>
        <v>0</v>
      </c>
      <c r="Q516">
        <f>IFERROR(VLOOKUP(Tabla1[[#This Row],[SISMED]],TblDisponibilidad[],21,FALSE), 0)</f>
        <v>0</v>
      </c>
      <c r="R516">
        <f>IFERROR(VLOOKUP(Tabla1[[#This Row],[SISMED]],TblDisponibilidad[],22,FALSE), 0)</f>
        <v>0</v>
      </c>
      <c r="S516" s="15">
        <f>IFERROR(VLOOKUP(Tabla1[[#This Row],[SISMED]],TblDisponibilidad[],23,FALSE), 0)</f>
        <v>0</v>
      </c>
    </row>
    <row r="517" spans="1:19" x14ac:dyDescent="0.3">
      <c r="A517" s="15" t="s">
        <v>547</v>
      </c>
      <c r="B517" t="str">
        <f>IFERROR(VLOOKUP(Tabla1[[#This Row],[SISMED]],TblDisponibilidad[],2,FALSE), "")</f>
        <v/>
      </c>
      <c r="C517">
        <f>IFERROR(VLOOKUP(Tabla1[[#This Row],[SISMED]],TblDisponibilidad[],7,FALSE), 0)</f>
        <v>0</v>
      </c>
      <c r="D517">
        <f>IFERROR(VLOOKUP(Tabla1[[#This Row],[SISMED]],TblDisponibilidad[],8,FALSE), 0)</f>
        <v>0</v>
      </c>
      <c r="E517">
        <f>IFERROR(VLOOKUP(Tabla1[[#This Row],[SISMED]],TblDisponibilidad[],9,FALSE), 0)</f>
        <v>0</v>
      </c>
      <c r="F517">
        <f>IFERROR(VLOOKUP(Tabla1[[#This Row],[SISMED]],TblDisponibilidad[],10,FALSE), 0)</f>
        <v>0</v>
      </c>
      <c r="G517">
        <f>IFERROR(VLOOKUP(Tabla1[[#This Row],[SISMED]],TblDisponibilidad[],11,FALSE), 0)</f>
        <v>0</v>
      </c>
      <c r="H517">
        <f>IFERROR(VLOOKUP(Tabla1[[#This Row],[SISMED]],TblDisponibilidad[],12,FALSE), 0)</f>
        <v>0</v>
      </c>
      <c r="I517">
        <f>IFERROR(VLOOKUP(Tabla1[[#This Row],[SISMED]],TblDisponibilidad[],13,FALSE), 0)</f>
        <v>0</v>
      </c>
      <c r="J517">
        <f>IFERROR(VLOOKUP(Tabla1[[#This Row],[SISMED]],TblDisponibilidad[],14,FALSE), 0)</f>
        <v>0</v>
      </c>
      <c r="K517">
        <f>IFERROR(VLOOKUP(Tabla1[[#This Row],[SISMED]],TblDisponibilidad[],15,FALSE), 0)</f>
        <v>0</v>
      </c>
      <c r="L517">
        <f>IFERROR(VLOOKUP(Tabla1[[#This Row],[SISMED]],TblDisponibilidad[],16,FALSE), 0)</f>
        <v>0</v>
      </c>
      <c r="M517">
        <f>IFERROR(VLOOKUP(Tabla1[[#This Row],[SISMED]],TblDisponibilidad[],17,FALSE), 0)</f>
        <v>0</v>
      </c>
      <c r="N517">
        <f>IFERROR(VLOOKUP(Tabla1[[#This Row],[SISMED]],TblDisponibilidad[],18,FALSE), 0)</f>
        <v>0</v>
      </c>
      <c r="O517">
        <f>IFERROR(VLOOKUP(Tabla1[[#This Row],[SISMED]],TblDisponibilidad[],19,FALSE), 0)</f>
        <v>0</v>
      </c>
      <c r="P517">
        <f>IFERROR(VLOOKUP(Tabla1[[#This Row],[SISMED]],TblDisponibilidad[],20,FALSE), 0)</f>
        <v>0</v>
      </c>
      <c r="Q517">
        <f>IFERROR(VLOOKUP(Tabla1[[#This Row],[SISMED]],TblDisponibilidad[],21,FALSE), 0)</f>
        <v>0</v>
      </c>
      <c r="R517">
        <f>IFERROR(VLOOKUP(Tabla1[[#This Row],[SISMED]],TblDisponibilidad[],22,FALSE), 0)</f>
        <v>0</v>
      </c>
      <c r="S517" s="15">
        <f>IFERROR(VLOOKUP(Tabla1[[#This Row],[SISMED]],TblDisponibilidad[],23,FALSE), 0)</f>
        <v>0</v>
      </c>
    </row>
    <row r="518" spans="1:19" x14ac:dyDescent="0.3">
      <c r="A518" s="15" t="s">
        <v>548</v>
      </c>
      <c r="B518" t="str">
        <f>IFERROR(VLOOKUP(Tabla1[[#This Row],[SISMED]],TblDisponibilidad[],2,FALSE), "")</f>
        <v/>
      </c>
      <c r="C518">
        <f>IFERROR(VLOOKUP(Tabla1[[#This Row],[SISMED]],TblDisponibilidad[],7,FALSE), 0)</f>
        <v>0</v>
      </c>
      <c r="D518">
        <f>IFERROR(VLOOKUP(Tabla1[[#This Row],[SISMED]],TblDisponibilidad[],8,FALSE), 0)</f>
        <v>0</v>
      </c>
      <c r="E518">
        <f>IFERROR(VLOOKUP(Tabla1[[#This Row],[SISMED]],TblDisponibilidad[],9,FALSE), 0)</f>
        <v>0</v>
      </c>
      <c r="F518">
        <f>IFERROR(VLOOKUP(Tabla1[[#This Row],[SISMED]],TblDisponibilidad[],10,FALSE), 0)</f>
        <v>0</v>
      </c>
      <c r="G518">
        <f>IFERROR(VLOOKUP(Tabla1[[#This Row],[SISMED]],TblDisponibilidad[],11,FALSE), 0)</f>
        <v>0</v>
      </c>
      <c r="H518">
        <f>IFERROR(VLOOKUP(Tabla1[[#This Row],[SISMED]],TblDisponibilidad[],12,FALSE), 0)</f>
        <v>0</v>
      </c>
      <c r="I518">
        <f>IFERROR(VLOOKUP(Tabla1[[#This Row],[SISMED]],TblDisponibilidad[],13,FALSE), 0)</f>
        <v>0</v>
      </c>
      <c r="J518">
        <f>IFERROR(VLOOKUP(Tabla1[[#This Row],[SISMED]],TblDisponibilidad[],14,FALSE), 0)</f>
        <v>0</v>
      </c>
      <c r="K518">
        <f>IFERROR(VLOOKUP(Tabla1[[#This Row],[SISMED]],TblDisponibilidad[],15,FALSE), 0)</f>
        <v>0</v>
      </c>
      <c r="L518">
        <f>IFERROR(VLOOKUP(Tabla1[[#This Row],[SISMED]],TblDisponibilidad[],16,FALSE), 0)</f>
        <v>0</v>
      </c>
      <c r="M518">
        <f>IFERROR(VLOOKUP(Tabla1[[#This Row],[SISMED]],TblDisponibilidad[],17,FALSE), 0)</f>
        <v>0</v>
      </c>
      <c r="N518">
        <f>IFERROR(VLOOKUP(Tabla1[[#This Row],[SISMED]],TblDisponibilidad[],18,FALSE), 0)</f>
        <v>0</v>
      </c>
      <c r="O518">
        <f>IFERROR(VLOOKUP(Tabla1[[#This Row],[SISMED]],TblDisponibilidad[],19,FALSE), 0)</f>
        <v>0</v>
      </c>
      <c r="P518">
        <f>IFERROR(VLOOKUP(Tabla1[[#This Row],[SISMED]],TblDisponibilidad[],20,FALSE), 0)</f>
        <v>0</v>
      </c>
      <c r="Q518">
        <f>IFERROR(VLOOKUP(Tabla1[[#This Row],[SISMED]],TblDisponibilidad[],21,FALSE), 0)</f>
        <v>0</v>
      </c>
      <c r="R518">
        <f>IFERROR(VLOOKUP(Tabla1[[#This Row],[SISMED]],TblDisponibilidad[],22,FALSE), 0)</f>
        <v>0</v>
      </c>
      <c r="S518" s="15">
        <f>IFERROR(VLOOKUP(Tabla1[[#This Row],[SISMED]],TblDisponibilidad[],23,FALSE), 0)</f>
        <v>0</v>
      </c>
    </row>
    <row r="519" spans="1:19" x14ac:dyDescent="0.3">
      <c r="A519" s="15" t="s">
        <v>549</v>
      </c>
      <c r="B519" t="str">
        <f>IFERROR(VLOOKUP(Tabla1[[#This Row],[SISMED]],TblDisponibilidad[],2,FALSE), "")</f>
        <v/>
      </c>
      <c r="C519">
        <f>IFERROR(VLOOKUP(Tabla1[[#This Row],[SISMED]],TblDisponibilidad[],7,FALSE), 0)</f>
        <v>0</v>
      </c>
      <c r="D519">
        <f>IFERROR(VLOOKUP(Tabla1[[#This Row],[SISMED]],TblDisponibilidad[],8,FALSE), 0)</f>
        <v>0</v>
      </c>
      <c r="E519">
        <f>IFERROR(VLOOKUP(Tabla1[[#This Row],[SISMED]],TblDisponibilidad[],9,FALSE), 0)</f>
        <v>0</v>
      </c>
      <c r="F519">
        <f>IFERROR(VLOOKUP(Tabla1[[#This Row],[SISMED]],TblDisponibilidad[],10,FALSE), 0)</f>
        <v>0</v>
      </c>
      <c r="G519">
        <f>IFERROR(VLOOKUP(Tabla1[[#This Row],[SISMED]],TblDisponibilidad[],11,FALSE), 0)</f>
        <v>0</v>
      </c>
      <c r="H519">
        <f>IFERROR(VLOOKUP(Tabla1[[#This Row],[SISMED]],TblDisponibilidad[],12,FALSE), 0)</f>
        <v>0</v>
      </c>
      <c r="I519">
        <f>IFERROR(VLOOKUP(Tabla1[[#This Row],[SISMED]],TblDisponibilidad[],13,FALSE), 0)</f>
        <v>0</v>
      </c>
      <c r="J519">
        <f>IFERROR(VLOOKUP(Tabla1[[#This Row],[SISMED]],TblDisponibilidad[],14,FALSE), 0)</f>
        <v>0</v>
      </c>
      <c r="K519">
        <f>IFERROR(VLOOKUP(Tabla1[[#This Row],[SISMED]],TblDisponibilidad[],15,FALSE), 0)</f>
        <v>0</v>
      </c>
      <c r="L519">
        <f>IFERROR(VLOOKUP(Tabla1[[#This Row],[SISMED]],TblDisponibilidad[],16,FALSE), 0)</f>
        <v>0</v>
      </c>
      <c r="M519">
        <f>IFERROR(VLOOKUP(Tabla1[[#This Row],[SISMED]],TblDisponibilidad[],17,FALSE), 0)</f>
        <v>0</v>
      </c>
      <c r="N519">
        <f>IFERROR(VLOOKUP(Tabla1[[#This Row],[SISMED]],TblDisponibilidad[],18,FALSE), 0)</f>
        <v>0</v>
      </c>
      <c r="O519">
        <f>IFERROR(VLOOKUP(Tabla1[[#This Row],[SISMED]],TblDisponibilidad[],19,FALSE), 0)</f>
        <v>0</v>
      </c>
      <c r="P519">
        <f>IFERROR(VLOOKUP(Tabla1[[#This Row],[SISMED]],TblDisponibilidad[],20,FALSE), 0)</f>
        <v>0</v>
      </c>
      <c r="Q519">
        <f>IFERROR(VLOOKUP(Tabla1[[#This Row],[SISMED]],TblDisponibilidad[],21,FALSE), 0)</f>
        <v>0</v>
      </c>
      <c r="R519">
        <f>IFERROR(VLOOKUP(Tabla1[[#This Row],[SISMED]],TblDisponibilidad[],22,FALSE), 0)</f>
        <v>0</v>
      </c>
      <c r="S519" s="15">
        <f>IFERROR(VLOOKUP(Tabla1[[#This Row],[SISMED]],TblDisponibilidad[],23,FALSE), 0)</f>
        <v>0</v>
      </c>
    </row>
    <row r="520" spans="1:19" x14ac:dyDescent="0.3">
      <c r="A520" s="15" t="s">
        <v>550</v>
      </c>
      <c r="B520" t="str">
        <f>IFERROR(VLOOKUP(Tabla1[[#This Row],[SISMED]],TblDisponibilidad[],2,FALSE), "")</f>
        <v/>
      </c>
      <c r="C520">
        <f>IFERROR(VLOOKUP(Tabla1[[#This Row],[SISMED]],TblDisponibilidad[],7,FALSE), 0)</f>
        <v>0</v>
      </c>
      <c r="D520">
        <f>IFERROR(VLOOKUP(Tabla1[[#This Row],[SISMED]],TblDisponibilidad[],8,FALSE), 0)</f>
        <v>0</v>
      </c>
      <c r="E520">
        <f>IFERROR(VLOOKUP(Tabla1[[#This Row],[SISMED]],TblDisponibilidad[],9,FALSE), 0)</f>
        <v>0</v>
      </c>
      <c r="F520">
        <f>IFERROR(VLOOKUP(Tabla1[[#This Row],[SISMED]],TblDisponibilidad[],10,FALSE), 0)</f>
        <v>0</v>
      </c>
      <c r="G520">
        <f>IFERROR(VLOOKUP(Tabla1[[#This Row],[SISMED]],TblDisponibilidad[],11,FALSE), 0)</f>
        <v>0</v>
      </c>
      <c r="H520">
        <f>IFERROR(VLOOKUP(Tabla1[[#This Row],[SISMED]],TblDisponibilidad[],12,FALSE), 0)</f>
        <v>0</v>
      </c>
      <c r="I520">
        <f>IFERROR(VLOOKUP(Tabla1[[#This Row],[SISMED]],TblDisponibilidad[],13,FALSE), 0)</f>
        <v>0</v>
      </c>
      <c r="J520">
        <f>IFERROR(VLOOKUP(Tabla1[[#This Row],[SISMED]],TblDisponibilidad[],14,FALSE), 0)</f>
        <v>0</v>
      </c>
      <c r="K520">
        <f>IFERROR(VLOOKUP(Tabla1[[#This Row],[SISMED]],TblDisponibilidad[],15,FALSE), 0)</f>
        <v>0</v>
      </c>
      <c r="L520">
        <f>IFERROR(VLOOKUP(Tabla1[[#This Row],[SISMED]],TblDisponibilidad[],16,FALSE), 0)</f>
        <v>0</v>
      </c>
      <c r="M520">
        <f>IFERROR(VLOOKUP(Tabla1[[#This Row],[SISMED]],TblDisponibilidad[],17,FALSE), 0)</f>
        <v>0</v>
      </c>
      <c r="N520">
        <f>IFERROR(VLOOKUP(Tabla1[[#This Row],[SISMED]],TblDisponibilidad[],18,FALSE), 0)</f>
        <v>0</v>
      </c>
      <c r="O520">
        <f>IFERROR(VLOOKUP(Tabla1[[#This Row],[SISMED]],TblDisponibilidad[],19,FALSE), 0)</f>
        <v>0</v>
      </c>
      <c r="P520">
        <f>IFERROR(VLOOKUP(Tabla1[[#This Row],[SISMED]],TblDisponibilidad[],20,FALSE), 0)</f>
        <v>0</v>
      </c>
      <c r="Q520">
        <f>IFERROR(VLOOKUP(Tabla1[[#This Row],[SISMED]],TblDisponibilidad[],21,FALSE), 0)</f>
        <v>0</v>
      </c>
      <c r="R520">
        <f>IFERROR(VLOOKUP(Tabla1[[#This Row],[SISMED]],TblDisponibilidad[],22,FALSE), 0)</f>
        <v>0</v>
      </c>
      <c r="S520" s="15">
        <f>IFERROR(VLOOKUP(Tabla1[[#This Row],[SISMED]],TblDisponibilidad[],23,FALSE), 0)</f>
        <v>0</v>
      </c>
    </row>
    <row r="521" spans="1:19" x14ac:dyDescent="0.3">
      <c r="A521" s="15" t="s">
        <v>551</v>
      </c>
      <c r="B521" t="str">
        <f>IFERROR(VLOOKUP(Tabla1[[#This Row],[SISMED]],TblDisponibilidad[],2,FALSE), "")</f>
        <v/>
      </c>
      <c r="C521">
        <f>IFERROR(VLOOKUP(Tabla1[[#This Row],[SISMED]],TblDisponibilidad[],7,FALSE), 0)</f>
        <v>0</v>
      </c>
      <c r="D521">
        <f>IFERROR(VLOOKUP(Tabla1[[#This Row],[SISMED]],TblDisponibilidad[],8,FALSE), 0)</f>
        <v>0</v>
      </c>
      <c r="E521">
        <f>IFERROR(VLOOKUP(Tabla1[[#This Row],[SISMED]],TblDisponibilidad[],9,FALSE), 0)</f>
        <v>0</v>
      </c>
      <c r="F521">
        <f>IFERROR(VLOOKUP(Tabla1[[#This Row],[SISMED]],TblDisponibilidad[],10,FALSE), 0)</f>
        <v>0</v>
      </c>
      <c r="G521">
        <f>IFERROR(VLOOKUP(Tabla1[[#This Row],[SISMED]],TblDisponibilidad[],11,FALSE), 0)</f>
        <v>0</v>
      </c>
      <c r="H521">
        <f>IFERROR(VLOOKUP(Tabla1[[#This Row],[SISMED]],TblDisponibilidad[],12,FALSE), 0)</f>
        <v>0</v>
      </c>
      <c r="I521">
        <f>IFERROR(VLOOKUP(Tabla1[[#This Row],[SISMED]],TblDisponibilidad[],13,FALSE), 0)</f>
        <v>0</v>
      </c>
      <c r="J521">
        <f>IFERROR(VLOOKUP(Tabla1[[#This Row],[SISMED]],TblDisponibilidad[],14,FALSE), 0)</f>
        <v>0</v>
      </c>
      <c r="K521">
        <f>IFERROR(VLOOKUP(Tabla1[[#This Row],[SISMED]],TblDisponibilidad[],15,FALSE), 0)</f>
        <v>0</v>
      </c>
      <c r="L521">
        <f>IFERROR(VLOOKUP(Tabla1[[#This Row],[SISMED]],TblDisponibilidad[],16,FALSE), 0)</f>
        <v>0</v>
      </c>
      <c r="M521">
        <f>IFERROR(VLOOKUP(Tabla1[[#This Row],[SISMED]],TblDisponibilidad[],17,FALSE), 0)</f>
        <v>0</v>
      </c>
      <c r="N521">
        <f>IFERROR(VLOOKUP(Tabla1[[#This Row],[SISMED]],TblDisponibilidad[],18,FALSE), 0)</f>
        <v>0</v>
      </c>
      <c r="O521">
        <f>IFERROR(VLOOKUP(Tabla1[[#This Row],[SISMED]],TblDisponibilidad[],19,FALSE), 0)</f>
        <v>0</v>
      </c>
      <c r="P521">
        <f>IFERROR(VLOOKUP(Tabla1[[#This Row],[SISMED]],TblDisponibilidad[],20,FALSE), 0)</f>
        <v>0</v>
      </c>
      <c r="Q521">
        <f>IFERROR(VLOOKUP(Tabla1[[#This Row],[SISMED]],TblDisponibilidad[],21,FALSE), 0)</f>
        <v>0</v>
      </c>
      <c r="R521">
        <f>IFERROR(VLOOKUP(Tabla1[[#This Row],[SISMED]],TblDisponibilidad[],22,FALSE), 0)</f>
        <v>0</v>
      </c>
      <c r="S521" s="15">
        <f>IFERROR(VLOOKUP(Tabla1[[#This Row],[SISMED]],TblDisponibilidad[],23,FALSE), 0)</f>
        <v>0</v>
      </c>
    </row>
    <row r="522" spans="1:19" x14ac:dyDescent="0.3">
      <c r="A522" s="15" t="s">
        <v>552</v>
      </c>
      <c r="B522" t="str">
        <f>IFERROR(VLOOKUP(Tabla1[[#This Row],[SISMED]],TblDisponibilidad[],2,FALSE), "")</f>
        <v/>
      </c>
      <c r="C522">
        <f>IFERROR(VLOOKUP(Tabla1[[#This Row],[SISMED]],TblDisponibilidad[],7,FALSE), 0)</f>
        <v>0</v>
      </c>
      <c r="D522">
        <f>IFERROR(VLOOKUP(Tabla1[[#This Row],[SISMED]],TblDisponibilidad[],8,FALSE), 0)</f>
        <v>0</v>
      </c>
      <c r="E522">
        <f>IFERROR(VLOOKUP(Tabla1[[#This Row],[SISMED]],TblDisponibilidad[],9,FALSE), 0)</f>
        <v>0</v>
      </c>
      <c r="F522">
        <f>IFERROR(VLOOKUP(Tabla1[[#This Row],[SISMED]],TblDisponibilidad[],10,FALSE), 0)</f>
        <v>0</v>
      </c>
      <c r="G522">
        <f>IFERROR(VLOOKUP(Tabla1[[#This Row],[SISMED]],TblDisponibilidad[],11,FALSE), 0)</f>
        <v>0</v>
      </c>
      <c r="H522">
        <f>IFERROR(VLOOKUP(Tabla1[[#This Row],[SISMED]],TblDisponibilidad[],12,FALSE), 0)</f>
        <v>0</v>
      </c>
      <c r="I522">
        <f>IFERROR(VLOOKUP(Tabla1[[#This Row],[SISMED]],TblDisponibilidad[],13,FALSE), 0)</f>
        <v>0</v>
      </c>
      <c r="J522">
        <f>IFERROR(VLOOKUP(Tabla1[[#This Row],[SISMED]],TblDisponibilidad[],14,FALSE), 0)</f>
        <v>0</v>
      </c>
      <c r="K522">
        <f>IFERROR(VLOOKUP(Tabla1[[#This Row],[SISMED]],TblDisponibilidad[],15,FALSE), 0)</f>
        <v>0</v>
      </c>
      <c r="L522">
        <f>IFERROR(VLOOKUP(Tabla1[[#This Row],[SISMED]],TblDisponibilidad[],16,FALSE), 0)</f>
        <v>0</v>
      </c>
      <c r="M522">
        <f>IFERROR(VLOOKUP(Tabla1[[#This Row],[SISMED]],TblDisponibilidad[],17,FALSE), 0)</f>
        <v>0</v>
      </c>
      <c r="N522">
        <f>IFERROR(VLOOKUP(Tabla1[[#This Row],[SISMED]],TblDisponibilidad[],18,FALSE), 0)</f>
        <v>0</v>
      </c>
      <c r="O522">
        <f>IFERROR(VLOOKUP(Tabla1[[#This Row],[SISMED]],TblDisponibilidad[],19,FALSE), 0)</f>
        <v>0</v>
      </c>
      <c r="P522">
        <f>IFERROR(VLOOKUP(Tabla1[[#This Row],[SISMED]],TblDisponibilidad[],20,FALSE), 0)</f>
        <v>0</v>
      </c>
      <c r="Q522">
        <f>IFERROR(VLOOKUP(Tabla1[[#This Row],[SISMED]],TblDisponibilidad[],21,FALSE), 0)</f>
        <v>0</v>
      </c>
      <c r="R522">
        <f>IFERROR(VLOOKUP(Tabla1[[#This Row],[SISMED]],TblDisponibilidad[],22,FALSE), 0)</f>
        <v>0</v>
      </c>
      <c r="S522" s="15">
        <f>IFERROR(VLOOKUP(Tabla1[[#This Row],[SISMED]],TblDisponibilidad[],23,FALSE), 0)</f>
        <v>0</v>
      </c>
    </row>
    <row r="523" spans="1:19" x14ac:dyDescent="0.3">
      <c r="A523" s="15" t="s">
        <v>553</v>
      </c>
      <c r="B523" t="str">
        <f>IFERROR(VLOOKUP(Tabla1[[#This Row],[SISMED]],TblDisponibilidad[],2,FALSE), "")</f>
        <v/>
      </c>
      <c r="C523">
        <f>IFERROR(VLOOKUP(Tabla1[[#This Row],[SISMED]],TblDisponibilidad[],7,FALSE), 0)</f>
        <v>0</v>
      </c>
      <c r="D523">
        <f>IFERROR(VLOOKUP(Tabla1[[#This Row],[SISMED]],TblDisponibilidad[],8,FALSE), 0)</f>
        <v>0</v>
      </c>
      <c r="E523">
        <f>IFERROR(VLOOKUP(Tabla1[[#This Row],[SISMED]],TblDisponibilidad[],9,FALSE), 0)</f>
        <v>0</v>
      </c>
      <c r="F523">
        <f>IFERROR(VLOOKUP(Tabla1[[#This Row],[SISMED]],TblDisponibilidad[],10,FALSE), 0)</f>
        <v>0</v>
      </c>
      <c r="G523">
        <f>IFERROR(VLOOKUP(Tabla1[[#This Row],[SISMED]],TblDisponibilidad[],11,FALSE), 0)</f>
        <v>0</v>
      </c>
      <c r="H523">
        <f>IFERROR(VLOOKUP(Tabla1[[#This Row],[SISMED]],TblDisponibilidad[],12,FALSE), 0)</f>
        <v>0</v>
      </c>
      <c r="I523">
        <f>IFERROR(VLOOKUP(Tabla1[[#This Row],[SISMED]],TblDisponibilidad[],13,FALSE), 0)</f>
        <v>0</v>
      </c>
      <c r="J523">
        <f>IFERROR(VLOOKUP(Tabla1[[#This Row],[SISMED]],TblDisponibilidad[],14,FALSE), 0)</f>
        <v>0</v>
      </c>
      <c r="K523">
        <f>IFERROR(VLOOKUP(Tabla1[[#This Row],[SISMED]],TblDisponibilidad[],15,FALSE), 0)</f>
        <v>0</v>
      </c>
      <c r="L523">
        <f>IFERROR(VLOOKUP(Tabla1[[#This Row],[SISMED]],TblDisponibilidad[],16,FALSE), 0)</f>
        <v>0</v>
      </c>
      <c r="M523">
        <f>IFERROR(VLOOKUP(Tabla1[[#This Row],[SISMED]],TblDisponibilidad[],17,FALSE), 0)</f>
        <v>0</v>
      </c>
      <c r="N523">
        <f>IFERROR(VLOOKUP(Tabla1[[#This Row],[SISMED]],TblDisponibilidad[],18,FALSE), 0)</f>
        <v>0</v>
      </c>
      <c r="O523">
        <f>IFERROR(VLOOKUP(Tabla1[[#This Row],[SISMED]],TblDisponibilidad[],19,FALSE), 0)</f>
        <v>0</v>
      </c>
      <c r="P523">
        <f>IFERROR(VLOOKUP(Tabla1[[#This Row],[SISMED]],TblDisponibilidad[],20,FALSE), 0)</f>
        <v>0</v>
      </c>
      <c r="Q523">
        <f>IFERROR(VLOOKUP(Tabla1[[#This Row],[SISMED]],TblDisponibilidad[],21,FALSE), 0)</f>
        <v>0</v>
      </c>
      <c r="R523">
        <f>IFERROR(VLOOKUP(Tabla1[[#This Row],[SISMED]],TblDisponibilidad[],22,FALSE), 0)</f>
        <v>0</v>
      </c>
      <c r="S523" s="15">
        <f>IFERROR(VLOOKUP(Tabla1[[#This Row],[SISMED]],TblDisponibilidad[],23,FALSE), 0)</f>
        <v>0</v>
      </c>
    </row>
    <row r="524" spans="1:19" x14ac:dyDescent="0.3">
      <c r="A524" s="15" t="s">
        <v>554</v>
      </c>
      <c r="B524" t="str">
        <f>IFERROR(VLOOKUP(Tabla1[[#This Row],[SISMED]],TblDisponibilidad[],2,FALSE), "")</f>
        <v/>
      </c>
      <c r="C524">
        <f>IFERROR(VLOOKUP(Tabla1[[#This Row],[SISMED]],TblDisponibilidad[],7,FALSE), 0)</f>
        <v>0</v>
      </c>
      <c r="D524">
        <f>IFERROR(VLOOKUP(Tabla1[[#This Row],[SISMED]],TblDisponibilidad[],8,FALSE), 0)</f>
        <v>0</v>
      </c>
      <c r="E524">
        <f>IFERROR(VLOOKUP(Tabla1[[#This Row],[SISMED]],TblDisponibilidad[],9,FALSE), 0)</f>
        <v>0</v>
      </c>
      <c r="F524">
        <f>IFERROR(VLOOKUP(Tabla1[[#This Row],[SISMED]],TblDisponibilidad[],10,FALSE), 0)</f>
        <v>0</v>
      </c>
      <c r="G524">
        <f>IFERROR(VLOOKUP(Tabla1[[#This Row],[SISMED]],TblDisponibilidad[],11,FALSE), 0)</f>
        <v>0</v>
      </c>
      <c r="H524">
        <f>IFERROR(VLOOKUP(Tabla1[[#This Row],[SISMED]],TblDisponibilidad[],12,FALSE), 0)</f>
        <v>0</v>
      </c>
      <c r="I524">
        <f>IFERROR(VLOOKUP(Tabla1[[#This Row],[SISMED]],TblDisponibilidad[],13,FALSE), 0)</f>
        <v>0</v>
      </c>
      <c r="J524">
        <f>IFERROR(VLOOKUP(Tabla1[[#This Row],[SISMED]],TblDisponibilidad[],14,FALSE), 0)</f>
        <v>0</v>
      </c>
      <c r="K524">
        <f>IFERROR(VLOOKUP(Tabla1[[#This Row],[SISMED]],TblDisponibilidad[],15,FALSE), 0)</f>
        <v>0</v>
      </c>
      <c r="L524">
        <f>IFERROR(VLOOKUP(Tabla1[[#This Row],[SISMED]],TblDisponibilidad[],16,FALSE), 0)</f>
        <v>0</v>
      </c>
      <c r="M524">
        <f>IFERROR(VLOOKUP(Tabla1[[#This Row],[SISMED]],TblDisponibilidad[],17,FALSE), 0)</f>
        <v>0</v>
      </c>
      <c r="N524">
        <f>IFERROR(VLOOKUP(Tabla1[[#This Row],[SISMED]],TblDisponibilidad[],18,FALSE), 0)</f>
        <v>0</v>
      </c>
      <c r="O524">
        <f>IFERROR(VLOOKUP(Tabla1[[#This Row],[SISMED]],TblDisponibilidad[],19,FALSE), 0)</f>
        <v>0</v>
      </c>
      <c r="P524">
        <f>IFERROR(VLOOKUP(Tabla1[[#This Row],[SISMED]],TblDisponibilidad[],20,FALSE), 0)</f>
        <v>0</v>
      </c>
      <c r="Q524">
        <f>IFERROR(VLOOKUP(Tabla1[[#This Row],[SISMED]],TblDisponibilidad[],21,FALSE), 0)</f>
        <v>0</v>
      </c>
      <c r="R524">
        <f>IFERROR(VLOOKUP(Tabla1[[#This Row],[SISMED]],TblDisponibilidad[],22,FALSE), 0)</f>
        <v>0</v>
      </c>
      <c r="S524" s="15">
        <f>IFERROR(VLOOKUP(Tabla1[[#This Row],[SISMED]],TblDisponibilidad[],23,FALSE), 0)</f>
        <v>0</v>
      </c>
    </row>
    <row r="525" spans="1:19" x14ac:dyDescent="0.3">
      <c r="A525" s="15" t="s">
        <v>555</v>
      </c>
      <c r="B525" t="str">
        <f>IFERROR(VLOOKUP(Tabla1[[#This Row],[SISMED]],TblDisponibilidad[],2,FALSE), "")</f>
        <v/>
      </c>
      <c r="C525">
        <f>IFERROR(VLOOKUP(Tabla1[[#This Row],[SISMED]],TblDisponibilidad[],7,FALSE), 0)</f>
        <v>0</v>
      </c>
      <c r="D525">
        <f>IFERROR(VLOOKUP(Tabla1[[#This Row],[SISMED]],TblDisponibilidad[],8,FALSE), 0)</f>
        <v>0</v>
      </c>
      <c r="E525">
        <f>IFERROR(VLOOKUP(Tabla1[[#This Row],[SISMED]],TblDisponibilidad[],9,FALSE), 0)</f>
        <v>0</v>
      </c>
      <c r="F525">
        <f>IFERROR(VLOOKUP(Tabla1[[#This Row],[SISMED]],TblDisponibilidad[],10,FALSE), 0)</f>
        <v>0</v>
      </c>
      <c r="G525">
        <f>IFERROR(VLOOKUP(Tabla1[[#This Row],[SISMED]],TblDisponibilidad[],11,FALSE), 0)</f>
        <v>0</v>
      </c>
      <c r="H525">
        <f>IFERROR(VLOOKUP(Tabla1[[#This Row],[SISMED]],TblDisponibilidad[],12,FALSE), 0)</f>
        <v>0</v>
      </c>
      <c r="I525">
        <f>IFERROR(VLOOKUP(Tabla1[[#This Row],[SISMED]],TblDisponibilidad[],13,FALSE), 0)</f>
        <v>0</v>
      </c>
      <c r="J525">
        <f>IFERROR(VLOOKUP(Tabla1[[#This Row],[SISMED]],TblDisponibilidad[],14,FALSE), 0)</f>
        <v>0</v>
      </c>
      <c r="K525">
        <f>IFERROR(VLOOKUP(Tabla1[[#This Row],[SISMED]],TblDisponibilidad[],15,FALSE), 0)</f>
        <v>0</v>
      </c>
      <c r="L525">
        <f>IFERROR(VLOOKUP(Tabla1[[#This Row],[SISMED]],TblDisponibilidad[],16,FALSE), 0)</f>
        <v>0</v>
      </c>
      <c r="M525">
        <f>IFERROR(VLOOKUP(Tabla1[[#This Row],[SISMED]],TblDisponibilidad[],17,FALSE), 0)</f>
        <v>0</v>
      </c>
      <c r="N525">
        <f>IFERROR(VLOOKUP(Tabla1[[#This Row],[SISMED]],TblDisponibilidad[],18,FALSE), 0)</f>
        <v>0</v>
      </c>
      <c r="O525">
        <f>IFERROR(VLOOKUP(Tabla1[[#This Row],[SISMED]],TblDisponibilidad[],19,FALSE), 0)</f>
        <v>0</v>
      </c>
      <c r="P525">
        <f>IFERROR(VLOOKUP(Tabla1[[#This Row],[SISMED]],TblDisponibilidad[],20,FALSE), 0)</f>
        <v>0</v>
      </c>
      <c r="Q525">
        <f>IFERROR(VLOOKUP(Tabla1[[#This Row],[SISMED]],TblDisponibilidad[],21,FALSE), 0)</f>
        <v>0</v>
      </c>
      <c r="R525">
        <f>IFERROR(VLOOKUP(Tabla1[[#This Row],[SISMED]],TblDisponibilidad[],22,FALSE), 0)</f>
        <v>0</v>
      </c>
      <c r="S525" s="15">
        <f>IFERROR(VLOOKUP(Tabla1[[#This Row],[SISMED]],TblDisponibilidad[],23,FALSE), 0)</f>
        <v>0</v>
      </c>
    </row>
    <row r="526" spans="1:19" x14ac:dyDescent="0.3">
      <c r="A526" s="15" t="s">
        <v>556</v>
      </c>
      <c r="B526" t="str">
        <f>IFERROR(VLOOKUP(Tabla1[[#This Row],[SISMED]],TblDisponibilidad[],2,FALSE), "")</f>
        <v/>
      </c>
      <c r="C526">
        <f>IFERROR(VLOOKUP(Tabla1[[#This Row],[SISMED]],TblDisponibilidad[],7,FALSE), 0)</f>
        <v>0</v>
      </c>
      <c r="D526">
        <f>IFERROR(VLOOKUP(Tabla1[[#This Row],[SISMED]],TblDisponibilidad[],8,FALSE), 0)</f>
        <v>0</v>
      </c>
      <c r="E526">
        <f>IFERROR(VLOOKUP(Tabla1[[#This Row],[SISMED]],TblDisponibilidad[],9,FALSE), 0)</f>
        <v>0</v>
      </c>
      <c r="F526">
        <f>IFERROR(VLOOKUP(Tabla1[[#This Row],[SISMED]],TblDisponibilidad[],10,FALSE), 0)</f>
        <v>0</v>
      </c>
      <c r="G526">
        <f>IFERROR(VLOOKUP(Tabla1[[#This Row],[SISMED]],TblDisponibilidad[],11,FALSE), 0)</f>
        <v>0</v>
      </c>
      <c r="H526">
        <f>IFERROR(VLOOKUP(Tabla1[[#This Row],[SISMED]],TblDisponibilidad[],12,FALSE), 0)</f>
        <v>0</v>
      </c>
      <c r="I526">
        <f>IFERROR(VLOOKUP(Tabla1[[#This Row],[SISMED]],TblDisponibilidad[],13,FALSE), 0)</f>
        <v>0</v>
      </c>
      <c r="J526">
        <f>IFERROR(VLOOKUP(Tabla1[[#This Row],[SISMED]],TblDisponibilidad[],14,FALSE), 0)</f>
        <v>0</v>
      </c>
      <c r="K526">
        <f>IFERROR(VLOOKUP(Tabla1[[#This Row],[SISMED]],TblDisponibilidad[],15,FALSE), 0)</f>
        <v>0</v>
      </c>
      <c r="L526">
        <f>IFERROR(VLOOKUP(Tabla1[[#This Row],[SISMED]],TblDisponibilidad[],16,FALSE), 0)</f>
        <v>0</v>
      </c>
      <c r="M526">
        <f>IFERROR(VLOOKUP(Tabla1[[#This Row],[SISMED]],TblDisponibilidad[],17,FALSE), 0)</f>
        <v>0</v>
      </c>
      <c r="N526">
        <f>IFERROR(VLOOKUP(Tabla1[[#This Row],[SISMED]],TblDisponibilidad[],18,FALSE), 0)</f>
        <v>0</v>
      </c>
      <c r="O526">
        <f>IFERROR(VLOOKUP(Tabla1[[#This Row],[SISMED]],TblDisponibilidad[],19,FALSE), 0)</f>
        <v>0</v>
      </c>
      <c r="P526">
        <f>IFERROR(VLOOKUP(Tabla1[[#This Row],[SISMED]],TblDisponibilidad[],20,FALSE), 0)</f>
        <v>0</v>
      </c>
      <c r="Q526">
        <f>IFERROR(VLOOKUP(Tabla1[[#This Row],[SISMED]],TblDisponibilidad[],21,FALSE), 0)</f>
        <v>0</v>
      </c>
      <c r="R526">
        <f>IFERROR(VLOOKUP(Tabla1[[#This Row],[SISMED]],TblDisponibilidad[],22,FALSE), 0)</f>
        <v>0</v>
      </c>
      <c r="S526" s="15">
        <f>IFERROR(VLOOKUP(Tabla1[[#This Row],[SISMED]],TblDisponibilidad[],23,FALSE), 0)</f>
        <v>0</v>
      </c>
    </row>
    <row r="527" spans="1:19" x14ac:dyDescent="0.3">
      <c r="A527" s="15" t="s">
        <v>557</v>
      </c>
      <c r="B527" t="str">
        <f>IFERROR(VLOOKUP(Tabla1[[#This Row],[SISMED]],TblDisponibilidad[],2,FALSE), "")</f>
        <v/>
      </c>
      <c r="C527">
        <f>IFERROR(VLOOKUP(Tabla1[[#This Row],[SISMED]],TblDisponibilidad[],7,FALSE), 0)</f>
        <v>0</v>
      </c>
      <c r="D527">
        <f>IFERROR(VLOOKUP(Tabla1[[#This Row],[SISMED]],TblDisponibilidad[],8,FALSE), 0)</f>
        <v>0</v>
      </c>
      <c r="E527">
        <f>IFERROR(VLOOKUP(Tabla1[[#This Row],[SISMED]],TblDisponibilidad[],9,FALSE), 0)</f>
        <v>0</v>
      </c>
      <c r="F527">
        <f>IFERROR(VLOOKUP(Tabla1[[#This Row],[SISMED]],TblDisponibilidad[],10,FALSE), 0)</f>
        <v>0</v>
      </c>
      <c r="G527">
        <f>IFERROR(VLOOKUP(Tabla1[[#This Row],[SISMED]],TblDisponibilidad[],11,FALSE), 0)</f>
        <v>0</v>
      </c>
      <c r="H527">
        <f>IFERROR(VLOOKUP(Tabla1[[#This Row],[SISMED]],TblDisponibilidad[],12,FALSE), 0)</f>
        <v>0</v>
      </c>
      <c r="I527">
        <f>IFERROR(VLOOKUP(Tabla1[[#This Row],[SISMED]],TblDisponibilidad[],13,FALSE), 0)</f>
        <v>0</v>
      </c>
      <c r="J527">
        <f>IFERROR(VLOOKUP(Tabla1[[#This Row],[SISMED]],TblDisponibilidad[],14,FALSE), 0)</f>
        <v>0</v>
      </c>
      <c r="K527">
        <f>IFERROR(VLOOKUP(Tabla1[[#This Row],[SISMED]],TblDisponibilidad[],15,FALSE), 0)</f>
        <v>0</v>
      </c>
      <c r="L527">
        <f>IFERROR(VLOOKUP(Tabla1[[#This Row],[SISMED]],TblDisponibilidad[],16,FALSE), 0)</f>
        <v>0</v>
      </c>
      <c r="M527">
        <f>IFERROR(VLOOKUP(Tabla1[[#This Row],[SISMED]],TblDisponibilidad[],17,FALSE), 0)</f>
        <v>0</v>
      </c>
      <c r="N527">
        <f>IFERROR(VLOOKUP(Tabla1[[#This Row],[SISMED]],TblDisponibilidad[],18,FALSE), 0)</f>
        <v>0</v>
      </c>
      <c r="O527">
        <f>IFERROR(VLOOKUP(Tabla1[[#This Row],[SISMED]],TblDisponibilidad[],19,FALSE), 0)</f>
        <v>0</v>
      </c>
      <c r="P527">
        <f>IFERROR(VLOOKUP(Tabla1[[#This Row],[SISMED]],TblDisponibilidad[],20,FALSE), 0)</f>
        <v>0</v>
      </c>
      <c r="Q527">
        <f>IFERROR(VLOOKUP(Tabla1[[#This Row],[SISMED]],TblDisponibilidad[],21,FALSE), 0)</f>
        <v>0</v>
      </c>
      <c r="R527">
        <f>IFERROR(VLOOKUP(Tabla1[[#This Row],[SISMED]],TblDisponibilidad[],22,FALSE), 0)</f>
        <v>0</v>
      </c>
      <c r="S527" s="15">
        <f>IFERROR(VLOOKUP(Tabla1[[#This Row],[SISMED]],TblDisponibilidad[],23,FALSE), 0)</f>
        <v>0</v>
      </c>
    </row>
    <row r="528" spans="1:19" x14ac:dyDescent="0.3">
      <c r="A528" s="15" t="s">
        <v>558</v>
      </c>
      <c r="B528" t="str">
        <f>IFERROR(VLOOKUP(Tabla1[[#This Row],[SISMED]],TblDisponibilidad[],2,FALSE), "")</f>
        <v/>
      </c>
      <c r="C528">
        <f>IFERROR(VLOOKUP(Tabla1[[#This Row],[SISMED]],TblDisponibilidad[],7,FALSE), 0)</f>
        <v>0</v>
      </c>
      <c r="D528">
        <f>IFERROR(VLOOKUP(Tabla1[[#This Row],[SISMED]],TblDisponibilidad[],8,FALSE), 0)</f>
        <v>0</v>
      </c>
      <c r="E528">
        <f>IFERROR(VLOOKUP(Tabla1[[#This Row],[SISMED]],TblDisponibilidad[],9,FALSE), 0)</f>
        <v>0</v>
      </c>
      <c r="F528">
        <f>IFERROR(VLOOKUP(Tabla1[[#This Row],[SISMED]],TblDisponibilidad[],10,FALSE), 0)</f>
        <v>0</v>
      </c>
      <c r="G528">
        <f>IFERROR(VLOOKUP(Tabla1[[#This Row],[SISMED]],TblDisponibilidad[],11,FALSE), 0)</f>
        <v>0</v>
      </c>
      <c r="H528">
        <f>IFERROR(VLOOKUP(Tabla1[[#This Row],[SISMED]],TblDisponibilidad[],12,FALSE), 0)</f>
        <v>0</v>
      </c>
      <c r="I528">
        <f>IFERROR(VLOOKUP(Tabla1[[#This Row],[SISMED]],TblDisponibilidad[],13,FALSE), 0)</f>
        <v>0</v>
      </c>
      <c r="J528">
        <f>IFERROR(VLOOKUP(Tabla1[[#This Row],[SISMED]],TblDisponibilidad[],14,FALSE), 0)</f>
        <v>0</v>
      </c>
      <c r="K528">
        <f>IFERROR(VLOOKUP(Tabla1[[#This Row],[SISMED]],TblDisponibilidad[],15,FALSE), 0)</f>
        <v>0</v>
      </c>
      <c r="L528">
        <f>IFERROR(VLOOKUP(Tabla1[[#This Row],[SISMED]],TblDisponibilidad[],16,FALSE), 0)</f>
        <v>0</v>
      </c>
      <c r="M528">
        <f>IFERROR(VLOOKUP(Tabla1[[#This Row],[SISMED]],TblDisponibilidad[],17,FALSE), 0)</f>
        <v>0</v>
      </c>
      <c r="N528">
        <f>IFERROR(VLOOKUP(Tabla1[[#This Row],[SISMED]],TblDisponibilidad[],18,FALSE), 0)</f>
        <v>0</v>
      </c>
      <c r="O528">
        <f>IFERROR(VLOOKUP(Tabla1[[#This Row],[SISMED]],TblDisponibilidad[],19,FALSE), 0)</f>
        <v>0</v>
      </c>
      <c r="P528">
        <f>IFERROR(VLOOKUP(Tabla1[[#This Row],[SISMED]],TblDisponibilidad[],20,FALSE), 0)</f>
        <v>0</v>
      </c>
      <c r="Q528">
        <f>IFERROR(VLOOKUP(Tabla1[[#This Row],[SISMED]],TblDisponibilidad[],21,FALSE), 0)</f>
        <v>0</v>
      </c>
      <c r="R528">
        <f>IFERROR(VLOOKUP(Tabla1[[#This Row],[SISMED]],TblDisponibilidad[],22,FALSE), 0)</f>
        <v>0</v>
      </c>
      <c r="S528" s="15">
        <f>IFERROR(VLOOKUP(Tabla1[[#This Row],[SISMED]],TblDisponibilidad[],23,FALSE), 0)</f>
        <v>0</v>
      </c>
    </row>
    <row r="529" spans="1:19" x14ac:dyDescent="0.3">
      <c r="A529" s="15" t="s">
        <v>559</v>
      </c>
      <c r="B529" t="str">
        <f>IFERROR(VLOOKUP(Tabla1[[#This Row],[SISMED]],TblDisponibilidad[],2,FALSE), "")</f>
        <v/>
      </c>
      <c r="C529">
        <f>IFERROR(VLOOKUP(Tabla1[[#This Row],[SISMED]],TblDisponibilidad[],7,FALSE), 0)</f>
        <v>0</v>
      </c>
      <c r="D529">
        <f>IFERROR(VLOOKUP(Tabla1[[#This Row],[SISMED]],TblDisponibilidad[],8,FALSE), 0)</f>
        <v>0</v>
      </c>
      <c r="E529">
        <f>IFERROR(VLOOKUP(Tabla1[[#This Row],[SISMED]],TblDisponibilidad[],9,FALSE), 0)</f>
        <v>0</v>
      </c>
      <c r="F529">
        <f>IFERROR(VLOOKUP(Tabla1[[#This Row],[SISMED]],TblDisponibilidad[],10,FALSE), 0)</f>
        <v>0</v>
      </c>
      <c r="G529">
        <f>IFERROR(VLOOKUP(Tabla1[[#This Row],[SISMED]],TblDisponibilidad[],11,FALSE), 0)</f>
        <v>0</v>
      </c>
      <c r="H529">
        <f>IFERROR(VLOOKUP(Tabla1[[#This Row],[SISMED]],TblDisponibilidad[],12,FALSE), 0)</f>
        <v>0</v>
      </c>
      <c r="I529">
        <f>IFERROR(VLOOKUP(Tabla1[[#This Row],[SISMED]],TblDisponibilidad[],13,FALSE), 0)</f>
        <v>0</v>
      </c>
      <c r="J529">
        <f>IFERROR(VLOOKUP(Tabla1[[#This Row],[SISMED]],TblDisponibilidad[],14,FALSE), 0)</f>
        <v>0</v>
      </c>
      <c r="K529">
        <f>IFERROR(VLOOKUP(Tabla1[[#This Row],[SISMED]],TblDisponibilidad[],15,FALSE), 0)</f>
        <v>0</v>
      </c>
      <c r="L529">
        <f>IFERROR(VLOOKUP(Tabla1[[#This Row],[SISMED]],TblDisponibilidad[],16,FALSE), 0)</f>
        <v>0</v>
      </c>
      <c r="M529">
        <f>IFERROR(VLOOKUP(Tabla1[[#This Row],[SISMED]],TblDisponibilidad[],17,FALSE), 0)</f>
        <v>0</v>
      </c>
      <c r="N529">
        <f>IFERROR(VLOOKUP(Tabla1[[#This Row],[SISMED]],TblDisponibilidad[],18,FALSE), 0)</f>
        <v>0</v>
      </c>
      <c r="O529">
        <f>IFERROR(VLOOKUP(Tabla1[[#This Row],[SISMED]],TblDisponibilidad[],19,FALSE), 0)</f>
        <v>0</v>
      </c>
      <c r="P529">
        <f>IFERROR(VLOOKUP(Tabla1[[#This Row],[SISMED]],TblDisponibilidad[],20,FALSE), 0)</f>
        <v>0</v>
      </c>
      <c r="Q529">
        <f>IFERROR(VLOOKUP(Tabla1[[#This Row],[SISMED]],TblDisponibilidad[],21,FALSE), 0)</f>
        <v>0</v>
      </c>
      <c r="R529">
        <f>IFERROR(VLOOKUP(Tabla1[[#This Row],[SISMED]],TblDisponibilidad[],22,FALSE), 0)</f>
        <v>0</v>
      </c>
      <c r="S529" s="15">
        <f>IFERROR(VLOOKUP(Tabla1[[#This Row],[SISMED]],TblDisponibilidad[],23,FALSE), 0)</f>
        <v>0</v>
      </c>
    </row>
    <row r="530" spans="1:19" x14ac:dyDescent="0.3">
      <c r="A530" s="15" t="s">
        <v>560</v>
      </c>
      <c r="B530" t="str">
        <f>IFERROR(VLOOKUP(Tabla1[[#This Row],[SISMED]],TblDisponibilidad[],2,FALSE), "")</f>
        <v/>
      </c>
      <c r="C530">
        <f>IFERROR(VLOOKUP(Tabla1[[#This Row],[SISMED]],TblDisponibilidad[],7,FALSE), 0)</f>
        <v>0</v>
      </c>
      <c r="D530">
        <f>IFERROR(VLOOKUP(Tabla1[[#This Row],[SISMED]],TblDisponibilidad[],8,FALSE), 0)</f>
        <v>0</v>
      </c>
      <c r="E530">
        <f>IFERROR(VLOOKUP(Tabla1[[#This Row],[SISMED]],TblDisponibilidad[],9,FALSE), 0)</f>
        <v>0</v>
      </c>
      <c r="F530">
        <f>IFERROR(VLOOKUP(Tabla1[[#This Row],[SISMED]],TblDisponibilidad[],10,FALSE), 0)</f>
        <v>0</v>
      </c>
      <c r="G530">
        <f>IFERROR(VLOOKUP(Tabla1[[#This Row],[SISMED]],TblDisponibilidad[],11,FALSE), 0)</f>
        <v>0</v>
      </c>
      <c r="H530">
        <f>IFERROR(VLOOKUP(Tabla1[[#This Row],[SISMED]],TblDisponibilidad[],12,FALSE), 0)</f>
        <v>0</v>
      </c>
      <c r="I530">
        <f>IFERROR(VLOOKUP(Tabla1[[#This Row],[SISMED]],TblDisponibilidad[],13,FALSE), 0)</f>
        <v>0</v>
      </c>
      <c r="J530">
        <f>IFERROR(VLOOKUP(Tabla1[[#This Row],[SISMED]],TblDisponibilidad[],14,FALSE), 0)</f>
        <v>0</v>
      </c>
      <c r="K530">
        <f>IFERROR(VLOOKUP(Tabla1[[#This Row],[SISMED]],TblDisponibilidad[],15,FALSE), 0)</f>
        <v>0</v>
      </c>
      <c r="L530">
        <f>IFERROR(VLOOKUP(Tabla1[[#This Row],[SISMED]],TblDisponibilidad[],16,FALSE), 0)</f>
        <v>0</v>
      </c>
      <c r="M530">
        <f>IFERROR(VLOOKUP(Tabla1[[#This Row],[SISMED]],TblDisponibilidad[],17,FALSE), 0)</f>
        <v>0</v>
      </c>
      <c r="N530">
        <f>IFERROR(VLOOKUP(Tabla1[[#This Row],[SISMED]],TblDisponibilidad[],18,FALSE), 0)</f>
        <v>0</v>
      </c>
      <c r="O530">
        <f>IFERROR(VLOOKUP(Tabla1[[#This Row],[SISMED]],TblDisponibilidad[],19,FALSE), 0)</f>
        <v>0</v>
      </c>
      <c r="P530">
        <f>IFERROR(VLOOKUP(Tabla1[[#This Row],[SISMED]],TblDisponibilidad[],20,FALSE), 0)</f>
        <v>0</v>
      </c>
      <c r="Q530">
        <f>IFERROR(VLOOKUP(Tabla1[[#This Row],[SISMED]],TblDisponibilidad[],21,FALSE), 0)</f>
        <v>0</v>
      </c>
      <c r="R530">
        <f>IFERROR(VLOOKUP(Tabla1[[#This Row],[SISMED]],TblDisponibilidad[],22,FALSE), 0)</f>
        <v>0</v>
      </c>
      <c r="S530" s="15">
        <f>IFERROR(VLOOKUP(Tabla1[[#This Row],[SISMED]],TblDisponibilidad[],23,FALSE), 0)</f>
        <v>0</v>
      </c>
    </row>
    <row r="531" spans="1:19" x14ac:dyDescent="0.3">
      <c r="A531" s="15" t="s">
        <v>561</v>
      </c>
      <c r="B531" t="str">
        <f>IFERROR(VLOOKUP(Tabla1[[#This Row],[SISMED]],TblDisponibilidad[],2,FALSE), "")</f>
        <v/>
      </c>
      <c r="C531">
        <f>IFERROR(VLOOKUP(Tabla1[[#This Row],[SISMED]],TblDisponibilidad[],7,FALSE), 0)</f>
        <v>0</v>
      </c>
      <c r="D531">
        <f>IFERROR(VLOOKUP(Tabla1[[#This Row],[SISMED]],TblDisponibilidad[],8,FALSE), 0)</f>
        <v>0</v>
      </c>
      <c r="E531">
        <f>IFERROR(VLOOKUP(Tabla1[[#This Row],[SISMED]],TblDisponibilidad[],9,FALSE), 0)</f>
        <v>0</v>
      </c>
      <c r="F531">
        <f>IFERROR(VLOOKUP(Tabla1[[#This Row],[SISMED]],TblDisponibilidad[],10,FALSE), 0)</f>
        <v>0</v>
      </c>
      <c r="G531">
        <f>IFERROR(VLOOKUP(Tabla1[[#This Row],[SISMED]],TblDisponibilidad[],11,FALSE), 0)</f>
        <v>0</v>
      </c>
      <c r="H531">
        <f>IFERROR(VLOOKUP(Tabla1[[#This Row],[SISMED]],TblDisponibilidad[],12,FALSE), 0)</f>
        <v>0</v>
      </c>
      <c r="I531">
        <f>IFERROR(VLOOKUP(Tabla1[[#This Row],[SISMED]],TblDisponibilidad[],13,FALSE), 0)</f>
        <v>0</v>
      </c>
      <c r="J531">
        <f>IFERROR(VLOOKUP(Tabla1[[#This Row],[SISMED]],TblDisponibilidad[],14,FALSE), 0)</f>
        <v>0</v>
      </c>
      <c r="K531">
        <f>IFERROR(VLOOKUP(Tabla1[[#This Row],[SISMED]],TblDisponibilidad[],15,FALSE), 0)</f>
        <v>0</v>
      </c>
      <c r="L531">
        <f>IFERROR(VLOOKUP(Tabla1[[#This Row],[SISMED]],TblDisponibilidad[],16,FALSE), 0)</f>
        <v>0</v>
      </c>
      <c r="M531">
        <f>IFERROR(VLOOKUP(Tabla1[[#This Row],[SISMED]],TblDisponibilidad[],17,FALSE), 0)</f>
        <v>0</v>
      </c>
      <c r="N531">
        <f>IFERROR(VLOOKUP(Tabla1[[#This Row],[SISMED]],TblDisponibilidad[],18,FALSE), 0)</f>
        <v>0</v>
      </c>
      <c r="O531">
        <f>IFERROR(VLOOKUP(Tabla1[[#This Row],[SISMED]],TblDisponibilidad[],19,FALSE), 0)</f>
        <v>0</v>
      </c>
      <c r="P531">
        <f>IFERROR(VLOOKUP(Tabla1[[#This Row],[SISMED]],TblDisponibilidad[],20,FALSE), 0)</f>
        <v>0</v>
      </c>
      <c r="Q531">
        <f>IFERROR(VLOOKUP(Tabla1[[#This Row],[SISMED]],TblDisponibilidad[],21,FALSE), 0)</f>
        <v>0</v>
      </c>
      <c r="R531">
        <f>IFERROR(VLOOKUP(Tabla1[[#This Row],[SISMED]],TblDisponibilidad[],22,FALSE), 0)</f>
        <v>0</v>
      </c>
      <c r="S531" s="15">
        <f>IFERROR(VLOOKUP(Tabla1[[#This Row],[SISMED]],TblDisponibilidad[],23,FALSE), 0)</f>
        <v>0</v>
      </c>
    </row>
    <row r="532" spans="1:19" x14ac:dyDescent="0.3">
      <c r="A532" s="15" t="s">
        <v>562</v>
      </c>
      <c r="B532" t="str">
        <f>IFERROR(VLOOKUP(Tabla1[[#This Row],[SISMED]],TblDisponibilidad[],2,FALSE), "")</f>
        <v/>
      </c>
      <c r="C532">
        <f>IFERROR(VLOOKUP(Tabla1[[#This Row],[SISMED]],TblDisponibilidad[],7,FALSE), 0)</f>
        <v>0</v>
      </c>
      <c r="D532">
        <f>IFERROR(VLOOKUP(Tabla1[[#This Row],[SISMED]],TblDisponibilidad[],8,FALSE), 0)</f>
        <v>0</v>
      </c>
      <c r="E532">
        <f>IFERROR(VLOOKUP(Tabla1[[#This Row],[SISMED]],TblDisponibilidad[],9,FALSE), 0)</f>
        <v>0</v>
      </c>
      <c r="F532">
        <f>IFERROR(VLOOKUP(Tabla1[[#This Row],[SISMED]],TblDisponibilidad[],10,FALSE), 0)</f>
        <v>0</v>
      </c>
      <c r="G532">
        <f>IFERROR(VLOOKUP(Tabla1[[#This Row],[SISMED]],TblDisponibilidad[],11,FALSE), 0)</f>
        <v>0</v>
      </c>
      <c r="H532">
        <f>IFERROR(VLOOKUP(Tabla1[[#This Row],[SISMED]],TblDisponibilidad[],12,FALSE), 0)</f>
        <v>0</v>
      </c>
      <c r="I532">
        <f>IFERROR(VLOOKUP(Tabla1[[#This Row],[SISMED]],TblDisponibilidad[],13,FALSE), 0)</f>
        <v>0</v>
      </c>
      <c r="J532">
        <f>IFERROR(VLOOKUP(Tabla1[[#This Row],[SISMED]],TblDisponibilidad[],14,FALSE), 0)</f>
        <v>0</v>
      </c>
      <c r="K532">
        <f>IFERROR(VLOOKUP(Tabla1[[#This Row],[SISMED]],TblDisponibilidad[],15,FALSE), 0)</f>
        <v>0</v>
      </c>
      <c r="L532">
        <f>IFERROR(VLOOKUP(Tabla1[[#This Row],[SISMED]],TblDisponibilidad[],16,FALSE), 0)</f>
        <v>0</v>
      </c>
      <c r="M532">
        <f>IFERROR(VLOOKUP(Tabla1[[#This Row],[SISMED]],TblDisponibilidad[],17,FALSE), 0)</f>
        <v>0</v>
      </c>
      <c r="N532">
        <f>IFERROR(VLOOKUP(Tabla1[[#This Row],[SISMED]],TblDisponibilidad[],18,FALSE), 0)</f>
        <v>0</v>
      </c>
      <c r="O532">
        <f>IFERROR(VLOOKUP(Tabla1[[#This Row],[SISMED]],TblDisponibilidad[],19,FALSE), 0)</f>
        <v>0</v>
      </c>
      <c r="P532">
        <f>IFERROR(VLOOKUP(Tabla1[[#This Row],[SISMED]],TblDisponibilidad[],20,FALSE), 0)</f>
        <v>0</v>
      </c>
      <c r="Q532">
        <f>IFERROR(VLOOKUP(Tabla1[[#This Row],[SISMED]],TblDisponibilidad[],21,FALSE), 0)</f>
        <v>0</v>
      </c>
      <c r="R532">
        <f>IFERROR(VLOOKUP(Tabla1[[#This Row],[SISMED]],TblDisponibilidad[],22,FALSE), 0)</f>
        <v>0</v>
      </c>
      <c r="S532" s="15">
        <f>IFERROR(VLOOKUP(Tabla1[[#This Row],[SISMED]],TblDisponibilidad[],23,FALSE), 0)</f>
        <v>0</v>
      </c>
    </row>
    <row r="533" spans="1:19" x14ac:dyDescent="0.3">
      <c r="A533" s="15" t="s">
        <v>563</v>
      </c>
      <c r="B533" t="str">
        <f>IFERROR(VLOOKUP(Tabla1[[#This Row],[SISMED]],TblDisponibilidad[],2,FALSE), "")</f>
        <v/>
      </c>
      <c r="C533">
        <f>IFERROR(VLOOKUP(Tabla1[[#This Row],[SISMED]],TblDisponibilidad[],7,FALSE), 0)</f>
        <v>0</v>
      </c>
      <c r="D533">
        <f>IFERROR(VLOOKUP(Tabla1[[#This Row],[SISMED]],TblDisponibilidad[],8,FALSE), 0)</f>
        <v>0</v>
      </c>
      <c r="E533">
        <f>IFERROR(VLOOKUP(Tabla1[[#This Row],[SISMED]],TblDisponibilidad[],9,FALSE), 0)</f>
        <v>0</v>
      </c>
      <c r="F533">
        <f>IFERROR(VLOOKUP(Tabla1[[#This Row],[SISMED]],TblDisponibilidad[],10,FALSE), 0)</f>
        <v>0</v>
      </c>
      <c r="G533">
        <f>IFERROR(VLOOKUP(Tabla1[[#This Row],[SISMED]],TblDisponibilidad[],11,FALSE), 0)</f>
        <v>0</v>
      </c>
      <c r="H533">
        <f>IFERROR(VLOOKUP(Tabla1[[#This Row],[SISMED]],TblDisponibilidad[],12,FALSE), 0)</f>
        <v>0</v>
      </c>
      <c r="I533">
        <f>IFERROR(VLOOKUP(Tabla1[[#This Row],[SISMED]],TblDisponibilidad[],13,FALSE), 0)</f>
        <v>0</v>
      </c>
      <c r="J533">
        <f>IFERROR(VLOOKUP(Tabla1[[#This Row],[SISMED]],TblDisponibilidad[],14,FALSE), 0)</f>
        <v>0</v>
      </c>
      <c r="K533">
        <f>IFERROR(VLOOKUP(Tabla1[[#This Row],[SISMED]],TblDisponibilidad[],15,FALSE), 0)</f>
        <v>0</v>
      </c>
      <c r="L533">
        <f>IFERROR(VLOOKUP(Tabla1[[#This Row],[SISMED]],TblDisponibilidad[],16,FALSE), 0)</f>
        <v>0</v>
      </c>
      <c r="M533">
        <f>IFERROR(VLOOKUP(Tabla1[[#This Row],[SISMED]],TblDisponibilidad[],17,FALSE), 0)</f>
        <v>0</v>
      </c>
      <c r="N533">
        <f>IFERROR(VLOOKUP(Tabla1[[#This Row],[SISMED]],TblDisponibilidad[],18,FALSE), 0)</f>
        <v>0</v>
      </c>
      <c r="O533">
        <f>IFERROR(VLOOKUP(Tabla1[[#This Row],[SISMED]],TblDisponibilidad[],19,FALSE), 0)</f>
        <v>0</v>
      </c>
      <c r="P533">
        <f>IFERROR(VLOOKUP(Tabla1[[#This Row],[SISMED]],TblDisponibilidad[],20,FALSE), 0)</f>
        <v>0</v>
      </c>
      <c r="Q533">
        <f>IFERROR(VLOOKUP(Tabla1[[#This Row],[SISMED]],TblDisponibilidad[],21,FALSE), 0)</f>
        <v>0</v>
      </c>
      <c r="R533">
        <f>IFERROR(VLOOKUP(Tabla1[[#This Row],[SISMED]],TblDisponibilidad[],22,FALSE), 0)</f>
        <v>0</v>
      </c>
      <c r="S533" s="15">
        <f>IFERROR(VLOOKUP(Tabla1[[#This Row],[SISMED]],TblDisponibilidad[],23,FALSE), 0)</f>
        <v>0</v>
      </c>
    </row>
    <row r="534" spans="1:19" x14ac:dyDescent="0.3">
      <c r="A534" s="15" t="s">
        <v>564</v>
      </c>
      <c r="B534" t="str">
        <f>IFERROR(VLOOKUP(Tabla1[[#This Row],[SISMED]],TblDisponibilidad[],2,FALSE), "")</f>
        <v/>
      </c>
      <c r="C534">
        <f>IFERROR(VLOOKUP(Tabla1[[#This Row],[SISMED]],TblDisponibilidad[],7,FALSE), 0)</f>
        <v>0</v>
      </c>
      <c r="D534">
        <f>IFERROR(VLOOKUP(Tabla1[[#This Row],[SISMED]],TblDisponibilidad[],8,FALSE), 0)</f>
        <v>0</v>
      </c>
      <c r="E534">
        <f>IFERROR(VLOOKUP(Tabla1[[#This Row],[SISMED]],TblDisponibilidad[],9,FALSE), 0)</f>
        <v>0</v>
      </c>
      <c r="F534">
        <f>IFERROR(VLOOKUP(Tabla1[[#This Row],[SISMED]],TblDisponibilidad[],10,FALSE), 0)</f>
        <v>0</v>
      </c>
      <c r="G534">
        <f>IFERROR(VLOOKUP(Tabla1[[#This Row],[SISMED]],TblDisponibilidad[],11,FALSE), 0)</f>
        <v>0</v>
      </c>
      <c r="H534">
        <f>IFERROR(VLOOKUP(Tabla1[[#This Row],[SISMED]],TblDisponibilidad[],12,FALSE), 0)</f>
        <v>0</v>
      </c>
      <c r="I534">
        <f>IFERROR(VLOOKUP(Tabla1[[#This Row],[SISMED]],TblDisponibilidad[],13,FALSE), 0)</f>
        <v>0</v>
      </c>
      <c r="J534">
        <f>IFERROR(VLOOKUP(Tabla1[[#This Row],[SISMED]],TblDisponibilidad[],14,FALSE), 0)</f>
        <v>0</v>
      </c>
      <c r="K534">
        <f>IFERROR(VLOOKUP(Tabla1[[#This Row],[SISMED]],TblDisponibilidad[],15,FALSE), 0)</f>
        <v>0</v>
      </c>
      <c r="L534">
        <f>IFERROR(VLOOKUP(Tabla1[[#This Row],[SISMED]],TblDisponibilidad[],16,FALSE), 0)</f>
        <v>0</v>
      </c>
      <c r="M534">
        <f>IFERROR(VLOOKUP(Tabla1[[#This Row],[SISMED]],TblDisponibilidad[],17,FALSE), 0)</f>
        <v>0</v>
      </c>
      <c r="N534">
        <f>IFERROR(VLOOKUP(Tabla1[[#This Row],[SISMED]],TblDisponibilidad[],18,FALSE), 0)</f>
        <v>0</v>
      </c>
      <c r="O534">
        <f>IFERROR(VLOOKUP(Tabla1[[#This Row],[SISMED]],TblDisponibilidad[],19,FALSE), 0)</f>
        <v>0</v>
      </c>
      <c r="P534">
        <f>IFERROR(VLOOKUP(Tabla1[[#This Row],[SISMED]],TblDisponibilidad[],20,FALSE), 0)</f>
        <v>0</v>
      </c>
      <c r="Q534">
        <f>IFERROR(VLOOKUP(Tabla1[[#This Row],[SISMED]],TblDisponibilidad[],21,FALSE), 0)</f>
        <v>0</v>
      </c>
      <c r="R534">
        <f>IFERROR(VLOOKUP(Tabla1[[#This Row],[SISMED]],TblDisponibilidad[],22,FALSE), 0)</f>
        <v>0</v>
      </c>
      <c r="S534" s="15">
        <f>IFERROR(VLOOKUP(Tabla1[[#This Row],[SISMED]],TblDisponibilidad[],23,FALSE), 0)</f>
        <v>0</v>
      </c>
    </row>
    <row r="535" spans="1:19" x14ac:dyDescent="0.3">
      <c r="A535" s="15" t="s">
        <v>565</v>
      </c>
      <c r="B535" t="str">
        <f>IFERROR(VLOOKUP(Tabla1[[#This Row],[SISMED]],TblDisponibilidad[],2,FALSE), "")</f>
        <v/>
      </c>
      <c r="C535">
        <f>IFERROR(VLOOKUP(Tabla1[[#This Row],[SISMED]],TblDisponibilidad[],7,FALSE), 0)</f>
        <v>0</v>
      </c>
      <c r="D535">
        <f>IFERROR(VLOOKUP(Tabla1[[#This Row],[SISMED]],TblDisponibilidad[],8,FALSE), 0)</f>
        <v>0</v>
      </c>
      <c r="E535">
        <f>IFERROR(VLOOKUP(Tabla1[[#This Row],[SISMED]],TblDisponibilidad[],9,FALSE), 0)</f>
        <v>0</v>
      </c>
      <c r="F535">
        <f>IFERROR(VLOOKUP(Tabla1[[#This Row],[SISMED]],TblDisponibilidad[],10,FALSE), 0)</f>
        <v>0</v>
      </c>
      <c r="G535">
        <f>IFERROR(VLOOKUP(Tabla1[[#This Row],[SISMED]],TblDisponibilidad[],11,FALSE), 0)</f>
        <v>0</v>
      </c>
      <c r="H535">
        <f>IFERROR(VLOOKUP(Tabla1[[#This Row],[SISMED]],TblDisponibilidad[],12,FALSE), 0)</f>
        <v>0</v>
      </c>
      <c r="I535">
        <f>IFERROR(VLOOKUP(Tabla1[[#This Row],[SISMED]],TblDisponibilidad[],13,FALSE), 0)</f>
        <v>0</v>
      </c>
      <c r="J535">
        <f>IFERROR(VLOOKUP(Tabla1[[#This Row],[SISMED]],TblDisponibilidad[],14,FALSE), 0)</f>
        <v>0</v>
      </c>
      <c r="K535">
        <f>IFERROR(VLOOKUP(Tabla1[[#This Row],[SISMED]],TblDisponibilidad[],15,FALSE), 0)</f>
        <v>0</v>
      </c>
      <c r="L535">
        <f>IFERROR(VLOOKUP(Tabla1[[#This Row],[SISMED]],TblDisponibilidad[],16,FALSE), 0)</f>
        <v>0</v>
      </c>
      <c r="M535">
        <f>IFERROR(VLOOKUP(Tabla1[[#This Row],[SISMED]],TblDisponibilidad[],17,FALSE), 0)</f>
        <v>0</v>
      </c>
      <c r="N535">
        <f>IFERROR(VLOOKUP(Tabla1[[#This Row],[SISMED]],TblDisponibilidad[],18,FALSE), 0)</f>
        <v>0</v>
      </c>
      <c r="O535">
        <f>IFERROR(VLOOKUP(Tabla1[[#This Row],[SISMED]],TblDisponibilidad[],19,FALSE), 0)</f>
        <v>0</v>
      </c>
      <c r="P535">
        <f>IFERROR(VLOOKUP(Tabla1[[#This Row],[SISMED]],TblDisponibilidad[],20,FALSE), 0)</f>
        <v>0</v>
      </c>
      <c r="Q535">
        <f>IFERROR(VLOOKUP(Tabla1[[#This Row],[SISMED]],TblDisponibilidad[],21,FALSE), 0)</f>
        <v>0</v>
      </c>
      <c r="R535">
        <f>IFERROR(VLOOKUP(Tabla1[[#This Row],[SISMED]],TblDisponibilidad[],22,FALSE), 0)</f>
        <v>0</v>
      </c>
      <c r="S535" s="15">
        <f>IFERROR(VLOOKUP(Tabla1[[#This Row],[SISMED]],TblDisponibilidad[],23,FALSE), 0)</f>
        <v>0</v>
      </c>
    </row>
    <row r="536" spans="1:19" x14ac:dyDescent="0.3">
      <c r="A536" s="15" t="s">
        <v>566</v>
      </c>
      <c r="B536" t="str">
        <f>IFERROR(VLOOKUP(Tabla1[[#This Row],[SISMED]],TblDisponibilidad[],2,FALSE), "")</f>
        <v/>
      </c>
      <c r="C536">
        <f>IFERROR(VLOOKUP(Tabla1[[#This Row],[SISMED]],TblDisponibilidad[],7,FALSE), 0)</f>
        <v>0</v>
      </c>
      <c r="D536">
        <f>IFERROR(VLOOKUP(Tabla1[[#This Row],[SISMED]],TblDisponibilidad[],8,FALSE), 0)</f>
        <v>0</v>
      </c>
      <c r="E536">
        <f>IFERROR(VLOOKUP(Tabla1[[#This Row],[SISMED]],TblDisponibilidad[],9,FALSE), 0)</f>
        <v>0</v>
      </c>
      <c r="F536">
        <f>IFERROR(VLOOKUP(Tabla1[[#This Row],[SISMED]],TblDisponibilidad[],10,FALSE), 0)</f>
        <v>0</v>
      </c>
      <c r="G536">
        <f>IFERROR(VLOOKUP(Tabla1[[#This Row],[SISMED]],TblDisponibilidad[],11,FALSE), 0)</f>
        <v>0</v>
      </c>
      <c r="H536">
        <f>IFERROR(VLOOKUP(Tabla1[[#This Row],[SISMED]],TblDisponibilidad[],12,FALSE), 0)</f>
        <v>0</v>
      </c>
      <c r="I536">
        <f>IFERROR(VLOOKUP(Tabla1[[#This Row],[SISMED]],TblDisponibilidad[],13,FALSE), 0)</f>
        <v>0</v>
      </c>
      <c r="J536">
        <f>IFERROR(VLOOKUP(Tabla1[[#This Row],[SISMED]],TblDisponibilidad[],14,FALSE), 0)</f>
        <v>0</v>
      </c>
      <c r="K536">
        <f>IFERROR(VLOOKUP(Tabla1[[#This Row],[SISMED]],TblDisponibilidad[],15,FALSE), 0)</f>
        <v>0</v>
      </c>
      <c r="L536">
        <f>IFERROR(VLOOKUP(Tabla1[[#This Row],[SISMED]],TblDisponibilidad[],16,FALSE), 0)</f>
        <v>0</v>
      </c>
      <c r="M536">
        <f>IFERROR(VLOOKUP(Tabla1[[#This Row],[SISMED]],TblDisponibilidad[],17,FALSE), 0)</f>
        <v>0</v>
      </c>
      <c r="N536">
        <f>IFERROR(VLOOKUP(Tabla1[[#This Row],[SISMED]],TblDisponibilidad[],18,FALSE), 0)</f>
        <v>0</v>
      </c>
      <c r="O536">
        <f>IFERROR(VLOOKUP(Tabla1[[#This Row],[SISMED]],TblDisponibilidad[],19,FALSE), 0)</f>
        <v>0</v>
      </c>
      <c r="P536">
        <f>IFERROR(VLOOKUP(Tabla1[[#This Row],[SISMED]],TblDisponibilidad[],20,FALSE), 0)</f>
        <v>0</v>
      </c>
      <c r="Q536">
        <f>IFERROR(VLOOKUP(Tabla1[[#This Row],[SISMED]],TblDisponibilidad[],21,FALSE), 0)</f>
        <v>0</v>
      </c>
      <c r="R536">
        <f>IFERROR(VLOOKUP(Tabla1[[#This Row],[SISMED]],TblDisponibilidad[],22,FALSE), 0)</f>
        <v>0</v>
      </c>
      <c r="S536" s="15">
        <f>IFERROR(VLOOKUP(Tabla1[[#This Row],[SISMED]],TblDisponibilidad[],23,FALSE), 0)</f>
        <v>0</v>
      </c>
    </row>
    <row r="537" spans="1:19" x14ac:dyDescent="0.3">
      <c r="A537" s="15" t="s">
        <v>567</v>
      </c>
      <c r="B537" t="str">
        <f>IFERROR(VLOOKUP(Tabla1[[#This Row],[SISMED]],TblDisponibilidad[],2,FALSE), "")</f>
        <v/>
      </c>
      <c r="C537">
        <f>IFERROR(VLOOKUP(Tabla1[[#This Row],[SISMED]],TblDisponibilidad[],7,FALSE), 0)</f>
        <v>0</v>
      </c>
      <c r="D537">
        <f>IFERROR(VLOOKUP(Tabla1[[#This Row],[SISMED]],TblDisponibilidad[],8,FALSE), 0)</f>
        <v>0</v>
      </c>
      <c r="E537">
        <f>IFERROR(VLOOKUP(Tabla1[[#This Row],[SISMED]],TblDisponibilidad[],9,FALSE), 0)</f>
        <v>0</v>
      </c>
      <c r="F537">
        <f>IFERROR(VLOOKUP(Tabla1[[#This Row],[SISMED]],TblDisponibilidad[],10,FALSE), 0)</f>
        <v>0</v>
      </c>
      <c r="G537">
        <f>IFERROR(VLOOKUP(Tabla1[[#This Row],[SISMED]],TblDisponibilidad[],11,FALSE), 0)</f>
        <v>0</v>
      </c>
      <c r="H537">
        <f>IFERROR(VLOOKUP(Tabla1[[#This Row],[SISMED]],TblDisponibilidad[],12,FALSE), 0)</f>
        <v>0</v>
      </c>
      <c r="I537">
        <f>IFERROR(VLOOKUP(Tabla1[[#This Row],[SISMED]],TblDisponibilidad[],13,FALSE), 0)</f>
        <v>0</v>
      </c>
      <c r="J537">
        <f>IFERROR(VLOOKUP(Tabla1[[#This Row],[SISMED]],TblDisponibilidad[],14,FALSE), 0)</f>
        <v>0</v>
      </c>
      <c r="K537">
        <f>IFERROR(VLOOKUP(Tabla1[[#This Row],[SISMED]],TblDisponibilidad[],15,FALSE), 0)</f>
        <v>0</v>
      </c>
      <c r="L537">
        <f>IFERROR(VLOOKUP(Tabla1[[#This Row],[SISMED]],TblDisponibilidad[],16,FALSE), 0)</f>
        <v>0</v>
      </c>
      <c r="M537">
        <f>IFERROR(VLOOKUP(Tabla1[[#This Row],[SISMED]],TblDisponibilidad[],17,FALSE), 0)</f>
        <v>0</v>
      </c>
      <c r="N537">
        <f>IFERROR(VLOOKUP(Tabla1[[#This Row],[SISMED]],TblDisponibilidad[],18,FALSE), 0)</f>
        <v>0</v>
      </c>
      <c r="O537">
        <f>IFERROR(VLOOKUP(Tabla1[[#This Row],[SISMED]],TblDisponibilidad[],19,FALSE), 0)</f>
        <v>0</v>
      </c>
      <c r="P537">
        <f>IFERROR(VLOOKUP(Tabla1[[#This Row],[SISMED]],TblDisponibilidad[],20,FALSE), 0)</f>
        <v>0</v>
      </c>
      <c r="Q537">
        <f>IFERROR(VLOOKUP(Tabla1[[#This Row],[SISMED]],TblDisponibilidad[],21,FALSE), 0)</f>
        <v>0</v>
      </c>
      <c r="R537">
        <f>IFERROR(VLOOKUP(Tabla1[[#This Row],[SISMED]],TblDisponibilidad[],22,FALSE), 0)</f>
        <v>0</v>
      </c>
      <c r="S537" s="15">
        <f>IFERROR(VLOOKUP(Tabla1[[#This Row],[SISMED]],TblDisponibilidad[],23,FALSE), 0)</f>
        <v>0</v>
      </c>
    </row>
    <row r="538" spans="1:19" x14ac:dyDescent="0.3">
      <c r="A538" s="15" t="s">
        <v>568</v>
      </c>
      <c r="B538" t="str">
        <f>IFERROR(VLOOKUP(Tabla1[[#This Row],[SISMED]],TblDisponibilidad[],2,FALSE), "")</f>
        <v/>
      </c>
      <c r="C538">
        <f>IFERROR(VLOOKUP(Tabla1[[#This Row],[SISMED]],TblDisponibilidad[],7,FALSE), 0)</f>
        <v>0</v>
      </c>
      <c r="D538">
        <f>IFERROR(VLOOKUP(Tabla1[[#This Row],[SISMED]],TblDisponibilidad[],8,FALSE), 0)</f>
        <v>0</v>
      </c>
      <c r="E538">
        <f>IFERROR(VLOOKUP(Tabla1[[#This Row],[SISMED]],TblDisponibilidad[],9,FALSE), 0)</f>
        <v>0</v>
      </c>
      <c r="F538">
        <f>IFERROR(VLOOKUP(Tabla1[[#This Row],[SISMED]],TblDisponibilidad[],10,FALSE), 0)</f>
        <v>0</v>
      </c>
      <c r="G538">
        <f>IFERROR(VLOOKUP(Tabla1[[#This Row],[SISMED]],TblDisponibilidad[],11,FALSE), 0)</f>
        <v>0</v>
      </c>
      <c r="H538">
        <f>IFERROR(VLOOKUP(Tabla1[[#This Row],[SISMED]],TblDisponibilidad[],12,FALSE), 0)</f>
        <v>0</v>
      </c>
      <c r="I538">
        <f>IFERROR(VLOOKUP(Tabla1[[#This Row],[SISMED]],TblDisponibilidad[],13,FALSE), 0)</f>
        <v>0</v>
      </c>
      <c r="J538">
        <f>IFERROR(VLOOKUP(Tabla1[[#This Row],[SISMED]],TblDisponibilidad[],14,FALSE), 0)</f>
        <v>0</v>
      </c>
      <c r="K538">
        <f>IFERROR(VLOOKUP(Tabla1[[#This Row],[SISMED]],TblDisponibilidad[],15,FALSE), 0)</f>
        <v>0</v>
      </c>
      <c r="L538">
        <f>IFERROR(VLOOKUP(Tabla1[[#This Row],[SISMED]],TblDisponibilidad[],16,FALSE), 0)</f>
        <v>0</v>
      </c>
      <c r="M538">
        <f>IFERROR(VLOOKUP(Tabla1[[#This Row],[SISMED]],TblDisponibilidad[],17,FALSE), 0)</f>
        <v>0</v>
      </c>
      <c r="N538">
        <f>IFERROR(VLOOKUP(Tabla1[[#This Row],[SISMED]],TblDisponibilidad[],18,FALSE), 0)</f>
        <v>0</v>
      </c>
      <c r="O538">
        <f>IFERROR(VLOOKUP(Tabla1[[#This Row],[SISMED]],TblDisponibilidad[],19,FALSE), 0)</f>
        <v>0</v>
      </c>
      <c r="P538">
        <f>IFERROR(VLOOKUP(Tabla1[[#This Row],[SISMED]],TblDisponibilidad[],20,FALSE), 0)</f>
        <v>0</v>
      </c>
      <c r="Q538">
        <f>IFERROR(VLOOKUP(Tabla1[[#This Row],[SISMED]],TblDisponibilidad[],21,FALSE), 0)</f>
        <v>0</v>
      </c>
      <c r="R538">
        <f>IFERROR(VLOOKUP(Tabla1[[#This Row],[SISMED]],TblDisponibilidad[],22,FALSE), 0)</f>
        <v>0</v>
      </c>
      <c r="S538" s="15">
        <f>IFERROR(VLOOKUP(Tabla1[[#This Row],[SISMED]],TblDisponibilidad[],23,FALSE), 0)</f>
        <v>0</v>
      </c>
    </row>
    <row r="539" spans="1:19" x14ac:dyDescent="0.3">
      <c r="A539" s="15" t="s">
        <v>569</v>
      </c>
      <c r="B539" t="str">
        <f>IFERROR(VLOOKUP(Tabla1[[#This Row],[SISMED]],TblDisponibilidad[],2,FALSE), "")</f>
        <v/>
      </c>
      <c r="C539">
        <f>IFERROR(VLOOKUP(Tabla1[[#This Row],[SISMED]],TblDisponibilidad[],7,FALSE), 0)</f>
        <v>0</v>
      </c>
      <c r="D539">
        <f>IFERROR(VLOOKUP(Tabla1[[#This Row],[SISMED]],TblDisponibilidad[],8,FALSE), 0)</f>
        <v>0</v>
      </c>
      <c r="E539">
        <f>IFERROR(VLOOKUP(Tabla1[[#This Row],[SISMED]],TblDisponibilidad[],9,FALSE), 0)</f>
        <v>0</v>
      </c>
      <c r="F539">
        <f>IFERROR(VLOOKUP(Tabla1[[#This Row],[SISMED]],TblDisponibilidad[],10,FALSE), 0)</f>
        <v>0</v>
      </c>
      <c r="G539">
        <f>IFERROR(VLOOKUP(Tabla1[[#This Row],[SISMED]],TblDisponibilidad[],11,FALSE), 0)</f>
        <v>0</v>
      </c>
      <c r="H539">
        <f>IFERROR(VLOOKUP(Tabla1[[#This Row],[SISMED]],TblDisponibilidad[],12,FALSE), 0)</f>
        <v>0</v>
      </c>
      <c r="I539">
        <f>IFERROR(VLOOKUP(Tabla1[[#This Row],[SISMED]],TblDisponibilidad[],13,FALSE), 0)</f>
        <v>0</v>
      </c>
      <c r="J539">
        <f>IFERROR(VLOOKUP(Tabla1[[#This Row],[SISMED]],TblDisponibilidad[],14,FALSE), 0)</f>
        <v>0</v>
      </c>
      <c r="K539">
        <f>IFERROR(VLOOKUP(Tabla1[[#This Row],[SISMED]],TblDisponibilidad[],15,FALSE), 0)</f>
        <v>0</v>
      </c>
      <c r="L539">
        <f>IFERROR(VLOOKUP(Tabla1[[#This Row],[SISMED]],TblDisponibilidad[],16,FALSE), 0)</f>
        <v>0</v>
      </c>
      <c r="M539">
        <f>IFERROR(VLOOKUP(Tabla1[[#This Row],[SISMED]],TblDisponibilidad[],17,FALSE), 0)</f>
        <v>0</v>
      </c>
      <c r="N539">
        <f>IFERROR(VLOOKUP(Tabla1[[#This Row],[SISMED]],TblDisponibilidad[],18,FALSE), 0)</f>
        <v>0</v>
      </c>
      <c r="O539">
        <f>IFERROR(VLOOKUP(Tabla1[[#This Row],[SISMED]],TblDisponibilidad[],19,FALSE), 0)</f>
        <v>0</v>
      </c>
      <c r="P539">
        <f>IFERROR(VLOOKUP(Tabla1[[#This Row],[SISMED]],TblDisponibilidad[],20,FALSE), 0)</f>
        <v>0</v>
      </c>
      <c r="Q539">
        <f>IFERROR(VLOOKUP(Tabla1[[#This Row],[SISMED]],TblDisponibilidad[],21,FALSE), 0)</f>
        <v>0</v>
      </c>
      <c r="R539">
        <f>IFERROR(VLOOKUP(Tabla1[[#This Row],[SISMED]],TblDisponibilidad[],22,FALSE), 0)</f>
        <v>0</v>
      </c>
      <c r="S539" s="15">
        <f>IFERROR(VLOOKUP(Tabla1[[#This Row],[SISMED]],TblDisponibilidad[],23,FALSE), 0)</f>
        <v>0</v>
      </c>
    </row>
    <row r="540" spans="1:19" x14ac:dyDescent="0.3">
      <c r="A540" s="15" t="s">
        <v>570</v>
      </c>
      <c r="B540" t="str">
        <f>IFERROR(VLOOKUP(Tabla1[[#This Row],[SISMED]],TblDisponibilidad[],2,FALSE), "")</f>
        <v/>
      </c>
      <c r="C540">
        <f>IFERROR(VLOOKUP(Tabla1[[#This Row],[SISMED]],TblDisponibilidad[],7,FALSE), 0)</f>
        <v>0</v>
      </c>
      <c r="D540">
        <f>IFERROR(VLOOKUP(Tabla1[[#This Row],[SISMED]],TblDisponibilidad[],8,FALSE), 0)</f>
        <v>0</v>
      </c>
      <c r="E540">
        <f>IFERROR(VLOOKUP(Tabla1[[#This Row],[SISMED]],TblDisponibilidad[],9,FALSE), 0)</f>
        <v>0</v>
      </c>
      <c r="F540">
        <f>IFERROR(VLOOKUP(Tabla1[[#This Row],[SISMED]],TblDisponibilidad[],10,FALSE), 0)</f>
        <v>0</v>
      </c>
      <c r="G540">
        <f>IFERROR(VLOOKUP(Tabla1[[#This Row],[SISMED]],TblDisponibilidad[],11,FALSE), 0)</f>
        <v>0</v>
      </c>
      <c r="H540">
        <f>IFERROR(VLOOKUP(Tabla1[[#This Row],[SISMED]],TblDisponibilidad[],12,FALSE), 0)</f>
        <v>0</v>
      </c>
      <c r="I540">
        <f>IFERROR(VLOOKUP(Tabla1[[#This Row],[SISMED]],TblDisponibilidad[],13,FALSE), 0)</f>
        <v>0</v>
      </c>
      <c r="J540">
        <f>IFERROR(VLOOKUP(Tabla1[[#This Row],[SISMED]],TblDisponibilidad[],14,FALSE), 0)</f>
        <v>0</v>
      </c>
      <c r="K540">
        <f>IFERROR(VLOOKUP(Tabla1[[#This Row],[SISMED]],TblDisponibilidad[],15,FALSE), 0)</f>
        <v>0</v>
      </c>
      <c r="L540">
        <f>IFERROR(VLOOKUP(Tabla1[[#This Row],[SISMED]],TblDisponibilidad[],16,FALSE), 0)</f>
        <v>0</v>
      </c>
      <c r="M540">
        <f>IFERROR(VLOOKUP(Tabla1[[#This Row],[SISMED]],TblDisponibilidad[],17,FALSE), 0)</f>
        <v>0</v>
      </c>
      <c r="N540">
        <f>IFERROR(VLOOKUP(Tabla1[[#This Row],[SISMED]],TblDisponibilidad[],18,FALSE), 0)</f>
        <v>0</v>
      </c>
      <c r="O540">
        <f>IFERROR(VLOOKUP(Tabla1[[#This Row],[SISMED]],TblDisponibilidad[],19,FALSE), 0)</f>
        <v>0</v>
      </c>
      <c r="P540">
        <f>IFERROR(VLOOKUP(Tabla1[[#This Row],[SISMED]],TblDisponibilidad[],20,FALSE), 0)</f>
        <v>0</v>
      </c>
      <c r="Q540">
        <f>IFERROR(VLOOKUP(Tabla1[[#This Row],[SISMED]],TblDisponibilidad[],21,FALSE), 0)</f>
        <v>0</v>
      </c>
      <c r="R540">
        <f>IFERROR(VLOOKUP(Tabla1[[#This Row],[SISMED]],TblDisponibilidad[],22,FALSE), 0)</f>
        <v>0</v>
      </c>
      <c r="S540" s="15">
        <f>IFERROR(VLOOKUP(Tabla1[[#This Row],[SISMED]],TblDisponibilidad[],23,FALSE), 0)</f>
        <v>0</v>
      </c>
    </row>
    <row r="541" spans="1:19" x14ac:dyDescent="0.3">
      <c r="A541" s="15" t="s">
        <v>571</v>
      </c>
      <c r="B541" t="str">
        <f>IFERROR(VLOOKUP(Tabla1[[#This Row],[SISMED]],TblDisponibilidad[],2,FALSE), "")</f>
        <v/>
      </c>
      <c r="C541">
        <f>IFERROR(VLOOKUP(Tabla1[[#This Row],[SISMED]],TblDisponibilidad[],7,FALSE), 0)</f>
        <v>0</v>
      </c>
      <c r="D541">
        <f>IFERROR(VLOOKUP(Tabla1[[#This Row],[SISMED]],TblDisponibilidad[],8,FALSE), 0)</f>
        <v>0</v>
      </c>
      <c r="E541">
        <f>IFERROR(VLOOKUP(Tabla1[[#This Row],[SISMED]],TblDisponibilidad[],9,FALSE), 0)</f>
        <v>0</v>
      </c>
      <c r="F541">
        <f>IFERROR(VLOOKUP(Tabla1[[#This Row],[SISMED]],TblDisponibilidad[],10,FALSE), 0)</f>
        <v>0</v>
      </c>
      <c r="G541">
        <f>IFERROR(VLOOKUP(Tabla1[[#This Row],[SISMED]],TblDisponibilidad[],11,FALSE), 0)</f>
        <v>0</v>
      </c>
      <c r="H541">
        <f>IFERROR(VLOOKUP(Tabla1[[#This Row],[SISMED]],TblDisponibilidad[],12,FALSE), 0)</f>
        <v>0</v>
      </c>
      <c r="I541">
        <f>IFERROR(VLOOKUP(Tabla1[[#This Row],[SISMED]],TblDisponibilidad[],13,FALSE), 0)</f>
        <v>0</v>
      </c>
      <c r="J541">
        <f>IFERROR(VLOOKUP(Tabla1[[#This Row],[SISMED]],TblDisponibilidad[],14,FALSE), 0)</f>
        <v>0</v>
      </c>
      <c r="K541">
        <f>IFERROR(VLOOKUP(Tabla1[[#This Row],[SISMED]],TblDisponibilidad[],15,FALSE), 0)</f>
        <v>0</v>
      </c>
      <c r="L541">
        <f>IFERROR(VLOOKUP(Tabla1[[#This Row],[SISMED]],TblDisponibilidad[],16,FALSE), 0)</f>
        <v>0</v>
      </c>
      <c r="M541">
        <f>IFERROR(VLOOKUP(Tabla1[[#This Row],[SISMED]],TblDisponibilidad[],17,FALSE), 0)</f>
        <v>0</v>
      </c>
      <c r="N541">
        <f>IFERROR(VLOOKUP(Tabla1[[#This Row],[SISMED]],TblDisponibilidad[],18,FALSE), 0)</f>
        <v>0</v>
      </c>
      <c r="O541">
        <f>IFERROR(VLOOKUP(Tabla1[[#This Row],[SISMED]],TblDisponibilidad[],19,FALSE), 0)</f>
        <v>0</v>
      </c>
      <c r="P541">
        <f>IFERROR(VLOOKUP(Tabla1[[#This Row],[SISMED]],TblDisponibilidad[],20,FALSE), 0)</f>
        <v>0</v>
      </c>
      <c r="Q541">
        <f>IFERROR(VLOOKUP(Tabla1[[#This Row],[SISMED]],TblDisponibilidad[],21,FALSE), 0)</f>
        <v>0</v>
      </c>
      <c r="R541">
        <f>IFERROR(VLOOKUP(Tabla1[[#This Row],[SISMED]],TblDisponibilidad[],22,FALSE), 0)</f>
        <v>0</v>
      </c>
      <c r="S541" s="15">
        <f>IFERROR(VLOOKUP(Tabla1[[#This Row],[SISMED]],TblDisponibilidad[],23,FALSE), 0)</f>
        <v>0</v>
      </c>
    </row>
    <row r="542" spans="1:19" x14ac:dyDescent="0.3">
      <c r="A542" s="15" t="s">
        <v>572</v>
      </c>
      <c r="B542" t="str">
        <f>IFERROR(VLOOKUP(Tabla1[[#This Row],[SISMED]],TblDisponibilidad[],2,FALSE), "")</f>
        <v/>
      </c>
      <c r="C542">
        <f>IFERROR(VLOOKUP(Tabla1[[#This Row],[SISMED]],TblDisponibilidad[],7,FALSE), 0)</f>
        <v>0</v>
      </c>
      <c r="D542">
        <f>IFERROR(VLOOKUP(Tabla1[[#This Row],[SISMED]],TblDisponibilidad[],8,FALSE), 0)</f>
        <v>0</v>
      </c>
      <c r="E542">
        <f>IFERROR(VLOOKUP(Tabla1[[#This Row],[SISMED]],TblDisponibilidad[],9,FALSE), 0)</f>
        <v>0</v>
      </c>
      <c r="F542">
        <f>IFERROR(VLOOKUP(Tabla1[[#This Row],[SISMED]],TblDisponibilidad[],10,FALSE), 0)</f>
        <v>0</v>
      </c>
      <c r="G542">
        <f>IFERROR(VLOOKUP(Tabla1[[#This Row],[SISMED]],TblDisponibilidad[],11,FALSE), 0)</f>
        <v>0</v>
      </c>
      <c r="H542">
        <f>IFERROR(VLOOKUP(Tabla1[[#This Row],[SISMED]],TblDisponibilidad[],12,FALSE), 0)</f>
        <v>0</v>
      </c>
      <c r="I542">
        <f>IFERROR(VLOOKUP(Tabla1[[#This Row],[SISMED]],TblDisponibilidad[],13,FALSE), 0)</f>
        <v>0</v>
      </c>
      <c r="J542">
        <f>IFERROR(VLOOKUP(Tabla1[[#This Row],[SISMED]],TblDisponibilidad[],14,FALSE), 0)</f>
        <v>0</v>
      </c>
      <c r="K542">
        <f>IFERROR(VLOOKUP(Tabla1[[#This Row],[SISMED]],TblDisponibilidad[],15,FALSE), 0)</f>
        <v>0</v>
      </c>
      <c r="L542">
        <f>IFERROR(VLOOKUP(Tabla1[[#This Row],[SISMED]],TblDisponibilidad[],16,FALSE), 0)</f>
        <v>0</v>
      </c>
      <c r="M542">
        <f>IFERROR(VLOOKUP(Tabla1[[#This Row],[SISMED]],TblDisponibilidad[],17,FALSE), 0)</f>
        <v>0</v>
      </c>
      <c r="N542">
        <f>IFERROR(VLOOKUP(Tabla1[[#This Row],[SISMED]],TblDisponibilidad[],18,FALSE), 0)</f>
        <v>0</v>
      </c>
      <c r="O542">
        <f>IFERROR(VLOOKUP(Tabla1[[#This Row],[SISMED]],TblDisponibilidad[],19,FALSE), 0)</f>
        <v>0</v>
      </c>
      <c r="P542">
        <f>IFERROR(VLOOKUP(Tabla1[[#This Row],[SISMED]],TblDisponibilidad[],20,FALSE), 0)</f>
        <v>0</v>
      </c>
      <c r="Q542">
        <f>IFERROR(VLOOKUP(Tabla1[[#This Row],[SISMED]],TblDisponibilidad[],21,FALSE), 0)</f>
        <v>0</v>
      </c>
      <c r="R542">
        <f>IFERROR(VLOOKUP(Tabla1[[#This Row],[SISMED]],TblDisponibilidad[],22,FALSE), 0)</f>
        <v>0</v>
      </c>
      <c r="S542" s="15">
        <f>IFERROR(VLOOKUP(Tabla1[[#This Row],[SISMED]],TblDisponibilidad[],23,FALSE), 0)</f>
        <v>0</v>
      </c>
    </row>
    <row r="543" spans="1:19" x14ac:dyDescent="0.3">
      <c r="A543" s="15" t="s">
        <v>573</v>
      </c>
      <c r="B543" t="str">
        <f>IFERROR(VLOOKUP(Tabla1[[#This Row],[SISMED]],TblDisponibilidad[],2,FALSE), "")</f>
        <v/>
      </c>
      <c r="C543">
        <f>IFERROR(VLOOKUP(Tabla1[[#This Row],[SISMED]],TblDisponibilidad[],7,FALSE), 0)</f>
        <v>0</v>
      </c>
      <c r="D543">
        <f>IFERROR(VLOOKUP(Tabla1[[#This Row],[SISMED]],TblDisponibilidad[],8,FALSE), 0)</f>
        <v>0</v>
      </c>
      <c r="E543">
        <f>IFERROR(VLOOKUP(Tabla1[[#This Row],[SISMED]],TblDisponibilidad[],9,FALSE), 0)</f>
        <v>0</v>
      </c>
      <c r="F543">
        <f>IFERROR(VLOOKUP(Tabla1[[#This Row],[SISMED]],TblDisponibilidad[],10,FALSE), 0)</f>
        <v>0</v>
      </c>
      <c r="G543">
        <f>IFERROR(VLOOKUP(Tabla1[[#This Row],[SISMED]],TblDisponibilidad[],11,FALSE), 0)</f>
        <v>0</v>
      </c>
      <c r="H543">
        <f>IFERROR(VLOOKUP(Tabla1[[#This Row],[SISMED]],TblDisponibilidad[],12,FALSE), 0)</f>
        <v>0</v>
      </c>
      <c r="I543">
        <f>IFERROR(VLOOKUP(Tabla1[[#This Row],[SISMED]],TblDisponibilidad[],13,FALSE), 0)</f>
        <v>0</v>
      </c>
      <c r="J543">
        <f>IFERROR(VLOOKUP(Tabla1[[#This Row],[SISMED]],TblDisponibilidad[],14,FALSE), 0)</f>
        <v>0</v>
      </c>
      <c r="K543">
        <f>IFERROR(VLOOKUP(Tabla1[[#This Row],[SISMED]],TblDisponibilidad[],15,FALSE), 0)</f>
        <v>0</v>
      </c>
      <c r="L543">
        <f>IFERROR(VLOOKUP(Tabla1[[#This Row],[SISMED]],TblDisponibilidad[],16,FALSE), 0)</f>
        <v>0</v>
      </c>
      <c r="M543">
        <f>IFERROR(VLOOKUP(Tabla1[[#This Row],[SISMED]],TblDisponibilidad[],17,FALSE), 0)</f>
        <v>0</v>
      </c>
      <c r="N543">
        <f>IFERROR(VLOOKUP(Tabla1[[#This Row],[SISMED]],TblDisponibilidad[],18,FALSE), 0)</f>
        <v>0</v>
      </c>
      <c r="O543">
        <f>IFERROR(VLOOKUP(Tabla1[[#This Row],[SISMED]],TblDisponibilidad[],19,FALSE), 0)</f>
        <v>0</v>
      </c>
      <c r="P543">
        <f>IFERROR(VLOOKUP(Tabla1[[#This Row],[SISMED]],TblDisponibilidad[],20,FALSE), 0)</f>
        <v>0</v>
      </c>
      <c r="Q543">
        <f>IFERROR(VLOOKUP(Tabla1[[#This Row],[SISMED]],TblDisponibilidad[],21,FALSE), 0)</f>
        <v>0</v>
      </c>
      <c r="R543">
        <f>IFERROR(VLOOKUP(Tabla1[[#This Row],[SISMED]],TblDisponibilidad[],22,FALSE), 0)</f>
        <v>0</v>
      </c>
      <c r="S543" s="15">
        <f>IFERROR(VLOOKUP(Tabla1[[#This Row],[SISMED]],TblDisponibilidad[],23,FALSE), 0)</f>
        <v>0</v>
      </c>
    </row>
    <row r="544" spans="1:19" x14ac:dyDescent="0.3">
      <c r="A544" s="15" t="s">
        <v>574</v>
      </c>
      <c r="B544" t="str">
        <f>IFERROR(VLOOKUP(Tabla1[[#This Row],[SISMED]],TblDisponibilidad[],2,FALSE), "")</f>
        <v/>
      </c>
      <c r="C544">
        <f>IFERROR(VLOOKUP(Tabla1[[#This Row],[SISMED]],TblDisponibilidad[],7,FALSE), 0)</f>
        <v>0</v>
      </c>
      <c r="D544">
        <f>IFERROR(VLOOKUP(Tabla1[[#This Row],[SISMED]],TblDisponibilidad[],8,FALSE), 0)</f>
        <v>0</v>
      </c>
      <c r="E544">
        <f>IFERROR(VLOOKUP(Tabla1[[#This Row],[SISMED]],TblDisponibilidad[],9,FALSE), 0)</f>
        <v>0</v>
      </c>
      <c r="F544">
        <f>IFERROR(VLOOKUP(Tabla1[[#This Row],[SISMED]],TblDisponibilidad[],10,FALSE), 0)</f>
        <v>0</v>
      </c>
      <c r="G544">
        <f>IFERROR(VLOOKUP(Tabla1[[#This Row],[SISMED]],TblDisponibilidad[],11,FALSE), 0)</f>
        <v>0</v>
      </c>
      <c r="H544">
        <f>IFERROR(VLOOKUP(Tabla1[[#This Row],[SISMED]],TblDisponibilidad[],12,FALSE), 0)</f>
        <v>0</v>
      </c>
      <c r="I544">
        <f>IFERROR(VLOOKUP(Tabla1[[#This Row],[SISMED]],TblDisponibilidad[],13,FALSE), 0)</f>
        <v>0</v>
      </c>
      <c r="J544">
        <f>IFERROR(VLOOKUP(Tabla1[[#This Row],[SISMED]],TblDisponibilidad[],14,FALSE), 0)</f>
        <v>0</v>
      </c>
      <c r="K544">
        <f>IFERROR(VLOOKUP(Tabla1[[#This Row],[SISMED]],TblDisponibilidad[],15,FALSE), 0)</f>
        <v>0</v>
      </c>
      <c r="L544">
        <f>IFERROR(VLOOKUP(Tabla1[[#This Row],[SISMED]],TblDisponibilidad[],16,FALSE), 0)</f>
        <v>0</v>
      </c>
      <c r="M544">
        <f>IFERROR(VLOOKUP(Tabla1[[#This Row],[SISMED]],TblDisponibilidad[],17,FALSE), 0)</f>
        <v>0</v>
      </c>
      <c r="N544">
        <f>IFERROR(VLOOKUP(Tabla1[[#This Row],[SISMED]],TblDisponibilidad[],18,FALSE), 0)</f>
        <v>0</v>
      </c>
      <c r="O544">
        <f>IFERROR(VLOOKUP(Tabla1[[#This Row],[SISMED]],TblDisponibilidad[],19,FALSE), 0)</f>
        <v>0</v>
      </c>
      <c r="P544">
        <f>IFERROR(VLOOKUP(Tabla1[[#This Row],[SISMED]],TblDisponibilidad[],20,FALSE), 0)</f>
        <v>0</v>
      </c>
      <c r="Q544">
        <f>IFERROR(VLOOKUP(Tabla1[[#This Row],[SISMED]],TblDisponibilidad[],21,FALSE), 0)</f>
        <v>0</v>
      </c>
      <c r="R544">
        <f>IFERROR(VLOOKUP(Tabla1[[#This Row],[SISMED]],TblDisponibilidad[],22,FALSE), 0)</f>
        <v>0</v>
      </c>
      <c r="S544" s="15">
        <f>IFERROR(VLOOKUP(Tabla1[[#This Row],[SISMED]],TblDisponibilidad[],23,FALSE), 0)</f>
        <v>0</v>
      </c>
    </row>
    <row r="545" spans="1:19" x14ac:dyDescent="0.3">
      <c r="A545" s="15" t="s">
        <v>575</v>
      </c>
      <c r="B545" t="str">
        <f>IFERROR(VLOOKUP(Tabla1[[#This Row],[SISMED]],TblDisponibilidad[],2,FALSE), "")</f>
        <v/>
      </c>
      <c r="C545">
        <f>IFERROR(VLOOKUP(Tabla1[[#This Row],[SISMED]],TblDisponibilidad[],7,FALSE), 0)</f>
        <v>0</v>
      </c>
      <c r="D545">
        <f>IFERROR(VLOOKUP(Tabla1[[#This Row],[SISMED]],TblDisponibilidad[],8,FALSE), 0)</f>
        <v>0</v>
      </c>
      <c r="E545">
        <f>IFERROR(VLOOKUP(Tabla1[[#This Row],[SISMED]],TblDisponibilidad[],9,FALSE), 0)</f>
        <v>0</v>
      </c>
      <c r="F545">
        <f>IFERROR(VLOOKUP(Tabla1[[#This Row],[SISMED]],TblDisponibilidad[],10,FALSE), 0)</f>
        <v>0</v>
      </c>
      <c r="G545">
        <f>IFERROR(VLOOKUP(Tabla1[[#This Row],[SISMED]],TblDisponibilidad[],11,FALSE), 0)</f>
        <v>0</v>
      </c>
      <c r="H545">
        <f>IFERROR(VLOOKUP(Tabla1[[#This Row],[SISMED]],TblDisponibilidad[],12,FALSE), 0)</f>
        <v>0</v>
      </c>
      <c r="I545">
        <f>IFERROR(VLOOKUP(Tabla1[[#This Row],[SISMED]],TblDisponibilidad[],13,FALSE), 0)</f>
        <v>0</v>
      </c>
      <c r="J545">
        <f>IFERROR(VLOOKUP(Tabla1[[#This Row],[SISMED]],TblDisponibilidad[],14,FALSE), 0)</f>
        <v>0</v>
      </c>
      <c r="K545">
        <f>IFERROR(VLOOKUP(Tabla1[[#This Row],[SISMED]],TblDisponibilidad[],15,FALSE), 0)</f>
        <v>0</v>
      </c>
      <c r="L545">
        <f>IFERROR(VLOOKUP(Tabla1[[#This Row],[SISMED]],TblDisponibilidad[],16,FALSE), 0)</f>
        <v>0</v>
      </c>
      <c r="M545">
        <f>IFERROR(VLOOKUP(Tabla1[[#This Row],[SISMED]],TblDisponibilidad[],17,FALSE), 0)</f>
        <v>0</v>
      </c>
      <c r="N545">
        <f>IFERROR(VLOOKUP(Tabla1[[#This Row],[SISMED]],TblDisponibilidad[],18,FALSE), 0)</f>
        <v>0</v>
      </c>
      <c r="O545">
        <f>IFERROR(VLOOKUP(Tabla1[[#This Row],[SISMED]],TblDisponibilidad[],19,FALSE), 0)</f>
        <v>0</v>
      </c>
      <c r="P545">
        <f>IFERROR(VLOOKUP(Tabla1[[#This Row],[SISMED]],TblDisponibilidad[],20,FALSE), 0)</f>
        <v>0</v>
      </c>
      <c r="Q545">
        <f>IFERROR(VLOOKUP(Tabla1[[#This Row],[SISMED]],TblDisponibilidad[],21,FALSE), 0)</f>
        <v>0</v>
      </c>
      <c r="R545">
        <f>IFERROR(VLOOKUP(Tabla1[[#This Row],[SISMED]],TblDisponibilidad[],22,FALSE), 0)</f>
        <v>0</v>
      </c>
      <c r="S545" s="15">
        <f>IFERROR(VLOOKUP(Tabla1[[#This Row],[SISMED]],TblDisponibilidad[],23,FALSE), 0)</f>
        <v>0</v>
      </c>
    </row>
    <row r="546" spans="1:19" x14ac:dyDescent="0.3">
      <c r="A546" s="15" t="s">
        <v>576</v>
      </c>
      <c r="B546" t="str">
        <f>IFERROR(VLOOKUP(Tabla1[[#This Row],[SISMED]],TblDisponibilidad[],2,FALSE), "")</f>
        <v/>
      </c>
      <c r="C546">
        <f>IFERROR(VLOOKUP(Tabla1[[#This Row],[SISMED]],TblDisponibilidad[],7,FALSE), 0)</f>
        <v>0</v>
      </c>
      <c r="D546">
        <f>IFERROR(VLOOKUP(Tabla1[[#This Row],[SISMED]],TblDisponibilidad[],8,FALSE), 0)</f>
        <v>0</v>
      </c>
      <c r="E546">
        <f>IFERROR(VLOOKUP(Tabla1[[#This Row],[SISMED]],TblDisponibilidad[],9,FALSE), 0)</f>
        <v>0</v>
      </c>
      <c r="F546">
        <f>IFERROR(VLOOKUP(Tabla1[[#This Row],[SISMED]],TblDisponibilidad[],10,FALSE), 0)</f>
        <v>0</v>
      </c>
      <c r="G546">
        <f>IFERROR(VLOOKUP(Tabla1[[#This Row],[SISMED]],TblDisponibilidad[],11,FALSE), 0)</f>
        <v>0</v>
      </c>
      <c r="H546">
        <f>IFERROR(VLOOKUP(Tabla1[[#This Row],[SISMED]],TblDisponibilidad[],12,FALSE), 0)</f>
        <v>0</v>
      </c>
      <c r="I546">
        <f>IFERROR(VLOOKUP(Tabla1[[#This Row],[SISMED]],TblDisponibilidad[],13,FALSE), 0)</f>
        <v>0</v>
      </c>
      <c r="J546">
        <f>IFERROR(VLOOKUP(Tabla1[[#This Row],[SISMED]],TblDisponibilidad[],14,FALSE), 0)</f>
        <v>0</v>
      </c>
      <c r="K546">
        <f>IFERROR(VLOOKUP(Tabla1[[#This Row],[SISMED]],TblDisponibilidad[],15,FALSE), 0)</f>
        <v>0</v>
      </c>
      <c r="L546">
        <f>IFERROR(VLOOKUP(Tabla1[[#This Row],[SISMED]],TblDisponibilidad[],16,FALSE), 0)</f>
        <v>0</v>
      </c>
      <c r="M546">
        <f>IFERROR(VLOOKUP(Tabla1[[#This Row],[SISMED]],TblDisponibilidad[],17,FALSE), 0)</f>
        <v>0</v>
      </c>
      <c r="N546">
        <f>IFERROR(VLOOKUP(Tabla1[[#This Row],[SISMED]],TblDisponibilidad[],18,FALSE), 0)</f>
        <v>0</v>
      </c>
      <c r="O546">
        <f>IFERROR(VLOOKUP(Tabla1[[#This Row],[SISMED]],TblDisponibilidad[],19,FALSE), 0)</f>
        <v>0</v>
      </c>
      <c r="P546">
        <f>IFERROR(VLOOKUP(Tabla1[[#This Row],[SISMED]],TblDisponibilidad[],20,FALSE), 0)</f>
        <v>0</v>
      </c>
      <c r="Q546">
        <f>IFERROR(VLOOKUP(Tabla1[[#This Row],[SISMED]],TblDisponibilidad[],21,FALSE), 0)</f>
        <v>0</v>
      </c>
      <c r="R546">
        <f>IFERROR(VLOOKUP(Tabla1[[#This Row],[SISMED]],TblDisponibilidad[],22,FALSE), 0)</f>
        <v>0</v>
      </c>
      <c r="S546" s="15">
        <f>IFERROR(VLOOKUP(Tabla1[[#This Row],[SISMED]],TblDisponibilidad[],23,FALSE), 0)</f>
        <v>0</v>
      </c>
    </row>
    <row r="547" spans="1:19" x14ac:dyDescent="0.3">
      <c r="A547" s="15" t="s">
        <v>577</v>
      </c>
      <c r="B547" t="str">
        <f>IFERROR(VLOOKUP(Tabla1[[#This Row],[SISMED]],TblDisponibilidad[],2,FALSE), "")</f>
        <v/>
      </c>
      <c r="C547">
        <f>IFERROR(VLOOKUP(Tabla1[[#This Row],[SISMED]],TblDisponibilidad[],7,FALSE), 0)</f>
        <v>0</v>
      </c>
      <c r="D547">
        <f>IFERROR(VLOOKUP(Tabla1[[#This Row],[SISMED]],TblDisponibilidad[],8,FALSE), 0)</f>
        <v>0</v>
      </c>
      <c r="E547">
        <f>IFERROR(VLOOKUP(Tabla1[[#This Row],[SISMED]],TblDisponibilidad[],9,FALSE), 0)</f>
        <v>0</v>
      </c>
      <c r="F547">
        <f>IFERROR(VLOOKUP(Tabla1[[#This Row],[SISMED]],TblDisponibilidad[],10,FALSE), 0)</f>
        <v>0</v>
      </c>
      <c r="G547">
        <f>IFERROR(VLOOKUP(Tabla1[[#This Row],[SISMED]],TblDisponibilidad[],11,FALSE), 0)</f>
        <v>0</v>
      </c>
      <c r="H547">
        <f>IFERROR(VLOOKUP(Tabla1[[#This Row],[SISMED]],TblDisponibilidad[],12,FALSE), 0)</f>
        <v>0</v>
      </c>
      <c r="I547">
        <f>IFERROR(VLOOKUP(Tabla1[[#This Row],[SISMED]],TblDisponibilidad[],13,FALSE), 0)</f>
        <v>0</v>
      </c>
      <c r="J547">
        <f>IFERROR(VLOOKUP(Tabla1[[#This Row],[SISMED]],TblDisponibilidad[],14,FALSE), 0)</f>
        <v>0</v>
      </c>
      <c r="K547">
        <f>IFERROR(VLOOKUP(Tabla1[[#This Row],[SISMED]],TblDisponibilidad[],15,FALSE), 0)</f>
        <v>0</v>
      </c>
      <c r="L547">
        <f>IFERROR(VLOOKUP(Tabla1[[#This Row],[SISMED]],TblDisponibilidad[],16,FALSE), 0)</f>
        <v>0</v>
      </c>
      <c r="M547">
        <f>IFERROR(VLOOKUP(Tabla1[[#This Row],[SISMED]],TblDisponibilidad[],17,FALSE), 0)</f>
        <v>0</v>
      </c>
      <c r="N547">
        <f>IFERROR(VLOOKUP(Tabla1[[#This Row],[SISMED]],TblDisponibilidad[],18,FALSE), 0)</f>
        <v>0</v>
      </c>
      <c r="O547">
        <f>IFERROR(VLOOKUP(Tabla1[[#This Row],[SISMED]],TblDisponibilidad[],19,FALSE), 0)</f>
        <v>0</v>
      </c>
      <c r="P547">
        <f>IFERROR(VLOOKUP(Tabla1[[#This Row],[SISMED]],TblDisponibilidad[],20,FALSE), 0)</f>
        <v>0</v>
      </c>
      <c r="Q547">
        <f>IFERROR(VLOOKUP(Tabla1[[#This Row],[SISMED]],TblDisponibilidad[],21,FALSE), 0)</f>
        <v>0</v>
      </c>
      <c r="R547">
        <f>IFERROR(VLOOKUP(Tabla1[[#This Row],[SISMED]],TblDisponibilidad[],22,FALSE), 0)</f>
        <v>0</v>
      </c>
      <c r="S547" s="15">
        <f>IFERROR(VLOOKUP(Tabla1[[#This Row],[SISMED]],TblDisponibilidad[],23,FALSE), 0)</f>
        <v>0</v>
      </c>
    </row>
    <row r="548" spans="1:19" x14ac:dyDescent="0.3">
      <c r="A548" s="15" t="s">
        <v>578</v>
      </c>
      <c r="B548" t="str">
        <f>IFERROR(VLOOKUP(Tabla1[[#This Row],[SISMED]],TblDisponibilidad[],2,FALSE), "")</f>
        <v/>
      </c>
      <c r="C548">
        <f>IFERROR(VLOOKUP(Tabla1[[#This Row],[SISMED]],TblDisponibilidad[],7,FALSE), 0)</f>
        <v>0</v>
      </c>
      <c r="D548">
        <f>IFERROR(VLOOKUP(Tabla1[[#This Row],[SISMED]],TblDisponibilidad[],8,FALSE), 0)</f>
        <v>0</v>
      </c>
      <c r="E548">
        <f>IFERROR(VLOOKUP(Tabla1[[#This Row],[SISMED]],TblDisponibilidad[],9,FALSE), 0)</f>
        <v>0</v>
      </c>
      <c r="F548">
        <f>IFERROR(VLOOKUP(Tabla1[[#This Row],[SISMED]],TblDisponibilidad[],10,FALSE), 0)</f>
        <v>0</v>
      </c>
      <c r="G548">
        <f>IFERROR(VLOOKUP(Tabla1[[#This Row],[SISMED]],TblDisponibilidad[],11,FALSE), 0)</f>
        <v>0</v>
      </c>
      <c r="H548">
        <f>IFERROR(VLOOKUP(Tabla1[[#This Row],[SISMED]],TblDisponibilidad[],12,FALSE), 0)</f>
        <v>0</v>
      </c>
      <c r="I548">
        <f>IFERROR(VLOOKUP(Tabla1[[#This Row],[SISMED]],TblDisponibilidad[],13,FALSE), 0)</f>
        <v>0</v>
      </c>
      <c r="J548">
        <f>IFERROR(VLOOKUP(Tabla1[[#This Row],[SISMED]],TblDisponibilidad[],14,FALSE), 0)</f>
        <v>0</v>
      </c>
      <c r="K548">
        <f>IFERROR(VLOOKUP(Tabla1[[#This Row],[SISMED]],TblDisponibilidad[],15,FALSE), 0)</f>
        <v>0</v>
      </c>
      <c r="L548">
        <f>IFERROR(VLOOKUP(Tabla1[[#This Row],[SISMED]],TblDisponibilidad[],16,FALSE), 0)</f>
        <v>0</v>
      </c>
      <c r="M548">
        <f>IFERROR(VLOOKUP(Tabla1[[#This Row],[SISMED]],TblDisponibilidad[],17,FALSE), 0)</f>
        <v>0</v>
      </c>
      <c r="N548">
        <f>IFERROR(VLOOKUP(Tabla1[[#This Row],[SISMED]],TblDisponibilidad[],18,FALSE), 0)</f>
        <v>0</v>
      </c>
      <c r="O548">
        <f>IFERROR(VLOOKUP(Tabla1[[#This Row],[SISMED]],TblDisponibilidad[],19,FALSE), 0)</f>
        <v>0</v>
      </c>
      <c r="P548">
        <f>IFERROR(VLOOKUP(Tabla1[[#This Row],[SISMED]],TblDisponibilidad[],20,FALSE), 0)</f>
        <v>0</v>
      </c>
      <c r="Q548">
        <f>IFERROR(VLOOKUP(Tabla1[[#This Row],[SISMED]],TblDisponibilidad[],21,FALSE), 0)</f>
        <v>0</v>
      </c>
      <c r="R548">
        <f>IFERROR(VLOOKUP(Tabla1[[#This Row],[SISMED]],TblDisponibilidad[],22,FALSE), 0)</f>
        <v>0</v>
      </c>
      <c r="S548" s="15">
        <f>IFERROR(VLOOKUP(Tabla1[[#This Row],[SISMED]],TblDisponibilidad[],23,FALSE), 0)</f>
        <v>0</v>
      </c>
    </row>
    <row r="549" spans="1:19" x14ac:dyDescent="0.3">
      <c r="A549" s="15" t="s">
        <v>579</v>
      </c>
      <c r="B549" t="str">
        <f>IFERROR(VLOOKUP(Tabla1[[#This Row],[SISMED]],TblDisponibilidad[],2,FALSE), "")</f>
        <v/>
      </c>
      <c r="C549">
        <f>IFERROR(VLOOKUP(Tabla1[[#This Row],[SISMED]],TblDisponibilidad[],7,FALSE), 0)</f>
        <v>0</v>
      </c>
      <c r="D549">
        <f>IFERROR(VLOOKUP(Tabla1[[#This Row],[SISMED]],TblDisponibilidad[],8,FALSE), 0)</f>
        <v>0</v>
      </c>
      <c r="E549">
        <f>IFERROR(VLOOKUP(Tabla1[[#This Row],[SISMED]],TblDisponibilidad[],9,FALSE), 0)</f>
        <v>0</v>
      </c>
      <c r="F549">
        <f>IFERROR(VLOOKUP(Tabla1[[#This Row],[SISMED]],TblDisponibilidad[],10,FALSE), 0)</f>
        <v>0</v>
      </c>
      <c r="G549">
        <f>IFERROR(VLOOKUP(Tabla1[[#This Row],[SISMED]],TblDisponibilidad[],11,FALSE), 0)</f>
        <v>0</v>
      </c>
      <c r="H549">
        <f>IFERROR(VLOOKUP(Tabla1[[#This Row],[SISMED]],TblDisponibilidad[],12,FALSE), 0)</f>
        <v>0</v>
      </c>
      <c r="I549">
        <f>IFERROR(VLOOKUP(Tabla1[[#This Row],[SISMED]],TblDisponibilidad[],13,FALSE), 0)</f>
        <v>0</v>
      </c>
      <c r="J549">
        <f>IFERROR(VLOOKUP(Tabla1[[#This Row],[SISMED]],TblDisponibilidad[],14,FALSE), 0)</f>
        <v>0</v>
      </c>
      <c r="K549">
        <f>IFERROR(VLOOKUP(Tabla1[[#This Row],[SISMED]],TblDisponibilidad[],15,FALSE), 0)</f>
        <v>0</v>
      </c>
      <c r="L549">
        <f>IFERROR(VLOOKUP(Tabla1[[#This Row],[SISMED]],TblDisponibilidad[],16,FALSE), 0)</f>
        <v>0</v>
      </c>
      <c r="M549">
        <f>IFERROR(VLOOKUP(Tabla1[[#This Row],[SISMED]],TblDisponibilidad[],17,FALSE), 0)</f>
        <v>0</v>
      </c>
      <c r="N549">
        <f>IFERROR(VLOOKUP(Tabla1[[#This Row],[SISMED]],TblDisponibilidad[],18,FALSE), 0)</f>
        <v>0</v>
      </c>
      <c r="O549">
        <f>IFERROR(VLOOKUP(Tabla1[[#This Row],[SISMED]],TblDisponibilidad[],19,FALSE), 0)</f>
        <v>0</v>
      </c>
      <c r="P549">
        <f>IFERROR(VLOOKUP(Tabla1[[#This Row],[SISMED]],TblDisponibilidad[],20,FALSE), 0)</f>
        <v>0</v>
      </c>
      <c r="Q549">
        <f>IFERROR(VLOOKUP(Tabla1[[#This Row],[SISMED]],TblDisponibilidad[],21,FALSE), 0)</f>
        <v>0</v>
      </c>
      <c r="R549">
        <f>IFERROR(VLOOKUP(Tabla1[[#This Row],[SISMED]],TblDisponibilidad[],22,FALSE), 0)</f>
        <v>0</v>
      </c>
      <c r="S549" s="15">
        <f>IFERROR(VLOOKUP(Tabla1[[#This Row],[SISMED]],TblDisponibilidad[],23,FALSE), 0)</f>
        <v>0</v>
      </c>
    </row>
    <row r="550" spans="1:19" x14ac:dyDescent="0.3">
      <c r="A550" s="15" t="s">
        <v>580</v>
      </c>
      <c r="B550" t="str">
        <f>IFERROR(VLOOKUP(Tabla1[[#This Row],[SISMED]],TblDisponibilidad[],2,FALSE), "")</f>
        <v/>
      </c>
      <c r="C550">
        <f>IFERROR(VLOOKUP(Tabla1[[#This Row],[SISMED]],TblDisponibilidad[],7,FALSE), 0)</f>
        <v>0</v>
      </c>
      <c r="D550">
        <f>IFERROR(VLOOKUP(Tabla1[[#This Row],[SISMED]],TblDisponibilidad[],8,FALSE), 0)</f>
        <v>0</v>
      </c>
      <c r="E550">
        <f>IFERROR(VLOOKUP(Tabla1[[#This Row],[SISMED]],TblDisponibilidad[],9,FALSE), 0)</f>
        <v>0</v>
      </c>
      <c r="F550">
        <f>IFERROR(VLOOKUP(Tabla1[[#This Row],[SISMED]],TblDisponibilidad[],10,FALSE), 0)</f>
        <v>0</v>
      </c>
      <c r="G550">
        <f>IFERROR(VLOOKUP(Tabla1[[#This Row],[SISMED]],TblDisponibilidad[],11,FALSE), 0)</f>
        <v>0</v>
      </c>
      <c r="H550">
        <f>IFERROR(VLOOKUP(Tabla1[[#This Row],[SISMED]],TblDisponibilidad[],12,FALSE), 0)</f>
        <v>0</v>
      </c>
      <c r="I550">
        <f>IFERROR(VLOOKUP(Tabla1[[#This Row],[SISMED]],TblDisponibilidad[],13,FALSE), 0)</f>
        <v>0</v>
      </c>
      <c r="J550">
        <f>IFERROR(VLOOKUP(Tabla1[[#This Row],[SISMED]],TblDisponibilidad[],14,FALSE), 0)</f>
        <v>0</v>
      </c>
      <c r="K550">
        <f>IFERROR(VLOOKUP(Tabla1[[#This Row],[SISMED]],TblDisponibilidad[],15,FALSE), 0)</f>
        <v>0</v>
      </c>
      <c r="L550">
        <f>IFERROR(VLOOKUP(Tabla1[[#This Row],[SISMED]],TblDisponibilidad[],16,FALSE), 0)</f>
        <v>0</v>
      </c>
      <c r="M550">
        <f>IFERROR(VLOOKUP(Tabla1[[#This Row],[SISMED]],TblDisponibilidad[],17,FALSE), 0)</f>
        <v>0</v>
      </c>
      <c r="N550">
        <f>IFERROR(VLOOKUP(Tabla1[[#This Row],[SISMED]],TblDisponibilidad[],18,FALSE), 0)</f>
        <v>0</v>
      </c>
      <c r="O550">
        <f>IFERROR(VLOOKUP(Tabla1[[#This Row],[SISMED]],TblDisponibilidad[],19,FALSE), 0)</f>
        <v>0</v>
      </c>
      <c r="P550">
        <f>IFERROR(VLOOKUP(Tabla1[[#This Row],[SISMED]],TblDisponibilidad[],20,FALSE), 0)</f>
        <v>0</v>
      </c>
      <c r="Q550">
        <f>IFERROR(VLOOKUP(Tabla1[[#This Row],[SISMED]],TblDisponibilidad[],21,FALSE), 0)</f>
        <v>0</v>
      </c>
      <c r="R550">
        <f>IFERROR(VLOOKUP(Tabla1[[#This Row],[SISMED]],TblDisponibilidad[],22,FALSE), 0)</f>
        <v>0</v>
      </c>
      <c r="S550" s="15">
        <f>IFERROR(VLOOKUP(Tabla1[[#This Row],[SISMED]],TblDisponibilidad[],23,FALSE), 0)</f>
        <v>0</v>
      </c>
    </row>
    <row r="551" spans="1:19" x14ac:dyDescent="0.3">
      <c r="A551" s="15" t="s">
        <v>581</v>
      </c>
      <c r="B551" t="str">
        <f>IFERROR(VLOOKUP(Tabla1[[#This Row],[SISMED]],TblDisponibilidad[],2,FALSE), "")</f>
        <v/>
      </c>
      <c r="C551">
        <f>IFERROR(VLOOKUP(Tabla1[[#This Row],[SISMED]],TblDisponibilidad[],7,FALSE), 0)</f>
        <v>0</v>
      </c>
      <c r="D551">
        <f>IFERROR(VLOOKUP(Tabla1[[#This Row],[SISMED]],TblDisponibilidad[],8,FALSE), 0)</f>
        <v>0</v>
      </c>
      <c r="E551">
        <f>IFERROR(VLOOKUP(Tabla1[[#This Row],[SISMED]],TblDisponibilidad[],9,FALSE), 0)</f>
        <v>0</v>
      </c>
      <c r="F551">
        <f>IFERROR(VLOOKUP(Tabla1[[#This Row],[SISMED]],TblDisponibilidad[],10,FALSE), 0)</f>
        <v>0</v>
      </c>
      <c r="G551">
        <f>IFERROR(VLOOKUP(Tabla1[[#This Row],[SISMED]],TblDisponibilidad[],11,FALSE), 0)</f>
        <v>0</v>
      </c>
      <c r="H551">
        <f>IFERROR(VLOOKUP(Tabla1[[#This Row],[SISMED]],TblDisponibilidad[],12,FALSE), 0)</f>
        <v>0</v>
      </c>
      <c r="I551">
        <f>IFERROR(VLOOKUP(Tabla1[[#This Row],[SISMED]],TblDisponibilidad[],13,FALSE), 0)</f>
        <v>0</v>
      </c>
      <c r="J551">
        <f>IFERROR(VLOOKUP(Tabla1[[#This Row],[SISMED]],TblDisponibilidad[],14,FALSE), 0)</f>
        <v>0</v>
      </c>
      <c r="K551">
        <f>IFERROR(VLOOKUP(Tabla1[[#This Row],[SISMED]],TblDisponibilidad[],15,FALSE), 0)</f>
        <v>0</v>
      </c>
      <c r="L551">
        <f>IFERROR(VLOOKUP(Tabla1[[#This Row],[SISMED]],TblDisponibilidad[],16,FALSE), 0)</f>
        <v>0</v>
      </c>
      <c r="M551">
        <f>IFERROR(VLOOKUP(Tabla1[[#This Row],[SISMED]],TblDisponibilidad[],17,FALSE), 0)</f>
        <v>0</v>
      </c>
      <c r="N551">
        <f>IFERROR(VLOOKUP(Tabla1[[#This Row],[SISMED]],TblDisponibilidad[],18,FALSE), 0)</f>
        <v>0</v>
      </c>
      <c r="O551">
        <f>IFERROR(VLOOKUP(Tabla1[[#This Row],[SISMED]],TblDisponibilidad[],19,FALSE), 0)</f>
        <v>0</v>
      </c>
      <c r="P551">
        <f>IFERROR(VLOOKUP(Tabla1[[#This Row],[SISMED]],TblDisponibilidad[],20,FALSE), 0)</f>
        <v>0</v>
      </c>
      <c r="Q551">
        <f>IFERROR(VLOOKUP(Tabla1[[#This Row],[SISMED]],TblDisponibilidad[],21,FALSE), 0)</f>
        <v>0</v>
      </c>
      <c r="R551">
        <f>IFERROR(VLOOKUP(Tabla1[[#This Row],[SISMED]],TblDisponibilidad[],22,FALSE), 0)</f>
        <v>0</v>
      </c>
      <c r="S551" s="15">
        <f>IFERROR(VLOOKUP(Tabla1[[#This Row],[SISMED]],TblDisponibilidad[],23,FALSE), 0)</f>
        <v>0</v>
      </c>
    </row>
    <row r="552" spans="1:19" x14ac:dyDescent="0.3">
      <c r="A552" s="15" t="s">
        <v>582</v>
      </c>
      <c r="B552" t="str">
        <f>IFERROR(VLOOKUP(Tabla1[[#This Row],[SISMED]],TblDisponibilidad[],2,FALSE), "")</f>
        <v/>
      </c>
      <c r="C552">
        <f>IFERROR(VLOOKUP(Tabla1[[#This Row],[SISMED]],TblDisponibilidad[],7,FALSE), 0)</f>
        <v>0</v>
      </c>
      <c r="D552">
        <f>IFERROR(VLOOKUP(Tabla1[[#This Row],[SISMED]],TblDisponibilidad[],8,FALSE), 0)</f>
        <v>0</v>
      </c>
      <c r="E552">
        <f>IFERROR(VLOOKUP(Tabla1[[#This Row],[SISMED]],TblDisponibilidad[],9,FALSE), 0)</f>
        <v>0</v>
      </c>
      <c r="F552">
        <f>IFERROR(VLOOKUP(Tabla1[[#This Row],[SISMED]],TblDisponibilidad[],10,FALSE), 0)</f>
        <v>0</v>
      </c>
      <c r="G552">
        <f>IFERROR(VLOOKUP(Tabla1[[#This Row],[SISMED]],TblDisponibilidad[],11,FALSE), 0)</f>
        <v>0</v>
      </c>
      <c r="H552">
        <f>IFERROR(VLOOKUP(Tabla1[[#This Row],[SISMED]],TblDisponibilidad[],12,FALSE), 0)</f>
        <v>0</v>
      </c>
      <c r="I552">
        <f>IFERROR(VLOOKUP(Tabla1[[#This Row],[SISMED]],TblDisponibilidad[],13,FALSE), 0)</f>
        <v>0</v>
      </c>
      <c r="J552">
        <f>IFERROR(VLOOKUP(Tabla1[[#This Row],[SISMED]],TblDisponibilidad[],14,FALSE), 0)</f>
        <v>0</v>
      </c>
      <c r="K552">
        <f>IFERROR(VLOOKUP(Tabla1[[#This Row],[SISMED]],TblDisponibilidad[],15,FALSE), 0)</f>
        <v>0</v>
      </c>
      <c r="L552">
        <f>IFERROR(VLOOKUP(Tabla1[[#This Row],[SISMED]],TblDisponibilidad[],16,FALSE), 0)</f>
        <v>0</v>
      </c>
      <c r="M552">
        <f>IFERROR(VLOOKUP(Tabla1[[#This Row],[SISMED]],TblDisponibilidad[],17,FALSE), 0)</f>
        <v>0</v>
      </c>
      <c r="N552">
        <f>IFERROR(VLOOKUP(Tabla1[[#This Row],[SISMED]],TblDisponibilidad[],18,FALSE), 0)</f>
        <v>0</v>
      </c>
      <c r="O552">
        <f>IFERROR(VLOOKUP(Tabla1[[#This Row],[SISMED]],TblDisponibilidad[],19,FALSE), 0)</f>
        <v>0</v>
      </c>
      <c r="P552">
        <f>IFERROR(VLOOKUP(Tabla1[[#This Row],[SISMED]],TblDisponibilidad[],20,FALSE), 0)</f>
        <v>0</v>
      </c>
      <c r="Q552">
        <f>IFERROR(VLOOKUP(Tabla1[[#This Row],[SISMED]],TblDisponibilidad[],21,FALSE), 0)</f>
        <v>0</v>
      </c>
      <c r="R552">
        <f>IFERROR(VLOOKUP(Tabla1[[#This Row],[SISMED]],TblDisponibilidad[],22,FALSE), 0)</f>
        <v>0</v>
      </c>
      <c r="S552" s="15">
        <f>IFERROR(VLOOKUP(Tabla1[[#This Row],[SISMED]],TblDisponibilidad[],23,FALSE), 0)</f>
        <v>0</v>
      </c>
    </row>
    <row r="553" spans="1:19" x14ac:dyDescent="0.3">
      <c r="A553" s="15" t="s">
        <v>583</v>
      </c>
      <c r="B553" t="str">
        <f>IFERROR(VLOOKUP(Tabla1[[#This Row],[SISMED]],TblDisponibilidad[],2,FALSE), "")</f>
        <v/>
      </c>
      <c r="C553">
        <f>IFERROR(VLOOKUP(Tabla1[[#This Row],[SISMED]],TblDisponibilidad[],7,FALSE), 0)</f>
        <v>0</v>
      </c>
      <c r="D553">
        <f>IFERROR(VLOOKUP(Tabla1[[#This Row],[SISMED]],TblDisponibilidad[],8,FALSE), 0)</f>
        <v>0</v>
      </c>
      <c r="E553">
        <f>IFERROR(VLOOKUP(Tabla1[[#This Row],[SISMED]],TblDisponibilidad[],9,FALSE), 0)</f>
        <v>0</v>
      </c>
      <c r="F553">
        <f>IFERROR(VLOOKUP(Tabla1[[#This Row],[SISMED]],TblDisponibilidad[],10,FALSE), 0)</f>
        <v>0</v>
      </c>
      <c r="G553">
        <f>IFERROR(VLOOKUP(Tabla1[[#This Row],[SISMED]],TblDisponibilidad[],11,FALSE), 0)</f>
        <v>0</v>
      </c>
      <c r="H553">
        <f>IFERROR(VLOOKUP(Tabla1[[#This Row],[SISMED]],TblDisponibilidad[],12,FALSE), 0)</f>
        <v>0</v>
      </c>
      <c r="I553">
        <f>IFERROR(VLOOKUP(Tabla1[[#This Row],[SISMED]],TblDisponibilidad[],13,FALSE), 0)</f>
        <v>0</v>
      </c>
      <c r="J553">
        <f>IFERROR(VLOOKUP(Tabla1[[#This Row],[SISMED]],TblDisponibilidad[],14,FALSE), 0)</f>
        <v>0</v>
      </c>
      <c r="K553">
        <f>IFERROR(VLOOKUP(Tabla1[[#This Row],[SISMED]],TblDisponibilidad[],15,FALSE), 0)</f>
        <v>0</v>
      </c>
      <c r="L553">
        <f>IFERROR(VLOOKUP(Tabla1[[#This Row],[SISMED]],TblDisponibilidad[],16,FALSE), 0)</f>
        <v>0</v>
      </c>
      <c r="M553">
        <f>IFERROR(VLOOKUP(Tabla1[[#This Row],[SISMED]],TblDisponibilidad[],17,FALSE), 0)</f>
        <v>0</v>
      </c>
      <c r="N553">
        <f>IFERROR(VLOOKUP(Tabla1[[#This Row],[SISMED]],TblDisponibilidad[],18,FALSE), 0)</f>
        <v>0</v>
      </c>
      <c r="O553">
        <f>IFERROR(VLOOKUP(Tabla1[[#This Row],[SISMED]],TblDisponibilidad[],19,FALSE), 0)</f>
        <v>0</v>
      </c>
      <c r="P553">
        <f>IFERROR(VLOOKUP(Tabla1[[#This Row],[SISMED]],TblDisponibilidad[],20,FALSE), 0)</f>
        <v>0</v>
      </c>
      <c r="Q553">
        <f>IFERROR(VLOOKUP(Tabla1[[#This Row],[SISMED]],TblDisponibilidad[],21,FALSE), 0)</f>
        <v>0</v>
      </c>
      <c r="R553">
        <f>IFERROR(VLOOKUP(Tabla1[[#This Row],[SISMED]],TblDisponibilidad[],22,FALSE), 0)</f>
        <v>0</v>
      </c>
      <c r="S553" s="15">
        <f>IFERROR(VLOOKUP(Tabla1[[#This Row],[SISMED]],TblDisponibilidad[],23,FALSE), 0)</f>
        <v>0</v>
      </c>
    </row>
    <row r="554" spans="1:19" x14ac:dyDescent="0.3">
      <c r="A554" s="15" t="s">
        <v>584</v>
      </c>
      <c r="B554" t="str">
        <f>IFERROR(VLOOKUP(Tabla1[[#This Row],[SISMED]],TblDisponibilidad[],2,FALSE), "")</f>
        <v/>
      </c>
      <c r="C554">
        <f>IFERROR(VLOOKUP(Tabla1[[#This Row],[SISMED]],TblDisponibilidad[],7,FALSE), 0)</f>
        <v>0</v>
      </c>
      <c r="D554">
        <f>IFERROR(VLOOKUP(Tabla1[[#This Row],[SISMED]],TblDisponibilidad[],8,FALSE), 0)</f>
        <v>0</v>
      </c>
      <c r="E554">
        <f>IFERROR(VLOOKUP(Tabla1[[#This Row],[SISMED]],TblDisponibilidad[],9,FALSE), 0)</f>
        <v>0</v>
      </c>
      <c r="F554">
        <f>IFERROR(VLOOKUP(Tabla1[[#This Row],[SISMED]],TblDisponibilidad[],10,FALSE), 0)</f>
        <v>0</v>
      </c>
      <c r="G554">
        <f>IFERROR(VLOOKUP(Tabla1[[#This Row],[SISMED]],TblDisponibilidad[],11,FALSE), 0)</f>
        <v>0</v>
      </c>
      <c r="H554">
        <f>IFERROR(VLOOKUP(Tabla1[[#This Row],[SISMED]],TblDisponibilidad[],12,FALSE), 0)</f>
        <v>0</v>
      </c>
      <c r="I554">
        <f>IFERROR(VLOOKUP(Tabla1[[#This Row],[SISMED]],TblDisponibilidad[],13,FALSE), 0)</f>
        <v>0</v>
      </c>
      <c r="J554">
        <f>IFERROR(VLOOKUP(Tabla1[[#This Row],[SISMED]],TblDisponibilidad[],14,FALSE), 0)</f>
        <v>0</v>
      </c>
      <c r="K554">
        <f>IFERROR(VLOOKUP(Tabla1[[#This Row],[SISMED]],TblDisponibilidad[],15,FALSE), 0)</f>
        <v>0</v>
      </c>
      <c r="L554">
        <f>IFERROR(VLOOKUP(Tabla1[[#This Row],[SISMED]],TblDisponibilidad[],16,FALSE), 0)</f>
        <v>0</v>
      </c>
      <c r="M554">
        <f>IFERROR(VLOOKUP(Tabla1[[#This Row],[SISMED]],TblDisponibilidad[],17,FALSE), 0)</f>
        <v>0</v>
      </c>
      <c r="N554">
        <f>IFERROR(VLOOKUP(Tabla1[[#This Row],[SISMED]],TblDisponibilidad[],18,FALSE), 0)</f>
        <v>0</v>
      </c>
      <c r="O554">
        <f>IFERROR(VLOOKUP(Tabla1[[#This Row],[SISMED]],TblDisponibilidad[],19,FALSE), 0)</f>
        <v>0</v>
      </c>
      <c r="P554">
        <f>IFERROR(VLOOKUP(Tabla1[[#This Row],[SISMED]],TblDisponibilidad[],20,FALSE), 0)</f>
        <v>0</v>
      </c>
      <c r="Q554">
        <f>IFERROR(VLOOKUP(Tabla1[[#This Row],[SISMED]],TblDisponibilidad[],21,FALSE), 0)</f>
        <v>0</v>
      </c>
      <c r="R554">
        <f>IFERROR(VLOOKUP(Tabla1[[#This Row],[SISMED]],TblDisponibilidad[],22,FALSE), 0)</f>
        <v>0</v>
      </c>
      <c r="S554" s="15">
        <f>IFERROR(VLOOKUP(Tabla1[[#This Row],[SISMED]],TblDisponibilidad[],23,FALSE), 0)</f>
        <v>0</v>
      </c>
    </row>
    <row r="555" spans="1:19" x14ac:dyDescent="0.3">
      <c r="A555" s="15" t="s">
        <v>585</v>
      </c>
      <c r="B555" t="str">
        <f>IFERROR(VLOOKUP(Tabla1[[#This Row],[SISMED]],TblDisponibilidad[],2,FALSE), "")</f>
        <v/>
      </c>
      <c r="C555">
        <f>IFERROR(VLOOKUP(Tabla1[[#This Row],[SISMED]],TblDisponibilidad[],7,FALSE), 0)</f>
        <v>0</v>
      </c>
      <c r="D555">
        <f>IFERROR(VLOOKUP(Tabla1[[#This Row],[SISMED]],TblDisponibilidad[],8,FALSE), 0)</f>
        <v>0</v>
      </c>
      <c r="E555">
        <f>IFERROR(VLOOKUP(Tabla1[[#This Row],[SISMED]],TblDisponibilidad[],9,FALSE), 0)</f>
        <v>0</v>
      </c>
      <c r="F555">
        <f>IFERROR(VLOOKUP(Tabla1[[#This Row],[SISMED]],TblDisponibilidad[],10,FALSE), 0)</f>
        <v>0</v>
      </c>
      <c r="G555">
        <f>IFERROR(VLOOKUP(Tabla1[[#This Row],[SISMED]],TblDisponibilidad[],11,FALSE), 0)</f>
        <v>0</v>
      </c>
      <c r="H555">
        <f>IFERROR(VLOOKUP(Tabla1[[#This Row],[SISMED]],TblDisponibilidad[],12,FALSE), 0)</f>
        <v>0</v>
      </c>
      <c r="I555">
        <f>IFERROR(VLOOKUP(Tabla1[[#This Row],[SISMED]],TblDisponibilidad[],13,FALSE), 0)</f>
        <v>0</v>
      </c>
      <c r="J555">
        <f>IFERROR(VLOOKUP(Tabla1[[#This Row],[SISMED]],TblDisponibilidad[],14,FALSE), 0)</f>
        <v>0</v>
      </c>
      <c r="K555">
        <f>IFERROR(VLOOKUP(Tabla1[[#This Row],[SISMED]],TblDisponibilidad[],15,FALSE), 0)</f>
        <v>0</v>
      </c>
      <c r="L555">
        <f>IFERROR(VLOOKUP(Tabla1[[#This Row],[SISMED]],TblDisponibilidad[],16,FALSE), 0)</f>
        <v>0</v>
      </c>
      <c r="M555">
        <f>IFERROR(VLOOKUP(Tabla1[[#This Row],[SISMED]],TblDisponibilidad[],17,FALSE), 0)</f>
        <v>0</v>
      </c>
      <c r="N555">
        <f>IFERROR(VLOOKUP(Tabla1[[#This Row],[SISMED]],TblDisponibilidad[],18,FALSE), 0)</f>
        <v>0</v>
      </c>
      <c r="O555">
        <f>IFERROR(VLOOKUP(Tabla1[[#This Row],[SISMED]],TblDisponibilidad[],19,FALSE), 0)</f>
        <v>0</v>
      </c>
      <c r="P555">
        <f>IFERROR(VLOOKUP(Tabla1[[#This Row],[SISMED]],TblDisponibilidad[],20,FALSE), 0)</f>
        <v>0</v>
      </c>
      <c r="Q555">
        <f>IFERROR(VLOOKUP(Tabla1[[#This Row],[SISMED]],TblDisponibilidad[],21,FALSE), 0)</f>
        <v>0</v>
      </c>
      <c r="R555">
        <f>IFERROR(VLOOKUP(Tabla1[[#This Row],[SISMED]],TblDisponibilidad[],22,FALSE), 0)</f>
        <v>0</v>
      </c>
      <c r="S555" s="15">
        <f>IFERROR(VLOOKUP(Tabla1[[#This Row],[SISMED]],TblDisponibilidad[],23,FALSE), 0)</f>
        <v>0</v>
      </c>
    </row>
    <row r="556" spans="1:19" x14ac:dyDescent="0.3">
      <c r="A556" s="15" t="s">
        <v>586</v>
      </c>
      <c r="B556" t="str">
        <f>IFERROR(VLOOKUP(Tabla1[[#This Row],[SISMED]],TblDisponibilidad[],2,FALSE), "")</f>
        <v/>
      </c>
      <c r="C556">
        <f>IFERROR(VLOOKUP(Tabla1[[#This Row],[SISMED]],TblDisponibilidad[],7,FALSE), 0)</f>
        <v>0</v>
      </c>
      <c r="D556">
        <f>IFERROR(VLOOKUP(Tabla1[[#This Row],[SISMED]],TblDisponibilidad[],8,FALSE), 0)</f>
        <v>0</v>
      </c>
      <c r="E556">
        <f>IFERROR(VLOOKUP(Tabla1[[#This Row],[SISMED]],TblDisponibilidad[],9,FALSE), 0)</f>
        <v>0</v>
      </c>
      <c r="F556">
        <f>IFERROR(VLOOKUP(Tabla1[[#This Row],[SISMED]],TblDisponibilidad[],10,FALSE), 0)</f>
        <v>0</v>
      </c>
      <c r="G556">
        <f>IFERROR(VLOOKUP(Tabla1[[#This Row],[SISMED]],TblDisponibilidad[],11,FALSE), 0)</f>
        <v>0</v>
      </c>
      <c r="H556">
        <f>IFERROR(VLOOKUP(Tabla1[[#This Row],[SISMED]],TblDisponibilidad[],12,FALSE), 0)</f>
        <v>0</v>
      </c>
      <c r="I556">
        <f>IFERROR(VLOOKUP(Tabla1[[#This Row],[SISMED]],TblDisponibilidad[],13,FALSE), 0)</f>
        <v>0</v>
      </c>
      <c r="J556">
        <f>IFERROR(VLOOKUP(Tabla1[[#This Row],[SISMED]],TblDisponibilidad[],14,FALSE), 0)</f>
        <v>0</v>
      </c>
      <c r="K556">
        <f>IFERROR(VLOOKUP(Tabla1[[#This Row],[SISMED]],TblDisponibilidad[],15,FALSE), 0)</f>
        <v>0</v>
      </c>
      <c r="L556">
        <f>IFERROR(VLOOKUP(Tabla1[[#This Row],[SISMED]],TblDisponibilidad[],16,FALSE), 0)</f>
        <v>0</v>
      </c>
      <c r="M556">
        <f>IFERROR(VLOOKUP(Tabla1[[#This Row],[SISMED]],TblDisponibilidad[],17,FALSE), 0)</f>
        <v>0</v>
      </c>
      <c r="N556">
        <f>IFERROR(VLOOKUP(Tabla1[[#This Row],[SISMED]],TblDisponibilidad[],18,FALSE), 0)</f>
        <v>0</v>
      </c>
      <c r="O556">
        <f>IFERROR(VLOOKUP(Tabla1[[#This Row],[SISMED]],TblDisponibilidad[],19,FALSE), 0)</f>
        <v>0</v>
      </c>
      <c r="P556">
        <f>IFERROR(VLOOKUP(Tabla1[[#This Row],[SISMED]],TblDisponibilidad[],20,FALSE), 0)</f>
        <v>0</v>
      </c>
      <c r="Q556">
        <f>IFERROR(VLOOKUP(Tabla1[[#This Row],[SISMED]],TblDisponibilidad[],21,FALSE), 0)</f>
        <v>0</v>
      </c>
      <c r="R556">
        <f>IFERROR(VLOOKUP(Tabla1[[#This Row],[SISMED]],TblDisponibilidad[],22,FALSE), 0)</f>
        <v>0</v>
      </c>
      <c r="S556" s="15">
        <f>IFERROR(VLOOKUP(Tabla1[[#This Row],[SISMED]],TblDisponibilidad[],23,FALSE), 0)</f>
        <v>0</v>
      </c>
    </row>
    <row r="557" spans="1:19" x14ac:dyDescent="0.3">
      <c r="A557" s="15" t="s">
        <v>587</v>
      </c>
      <c r="B557" t="str">
        <f>IFERROR(VLOOKUP(Tabla1[[#This Row],[SISMED]],TblDisponibilidad[],2,FALSE), "")</f>
        <v/>
      </c>
      <c r="C557">
        <f>IFERROR(VLOOKUP(Tabla1[[#This Row],[SISMED]],TblDisponibilidad[],7,FALSE), 0)</f>
        <v>0</v>
      </c>
      <c r="D557">
        <f>IFERROR(VLOOKUP(Tabla1[[#This Row],[SISMED]],TblDisponibilidad[],8,FALSE), 0)</f>
        <v>0</v>
      </c>
      <c r="E557">
        <f>IFERROR(VLOOKUP(Tabla1[[#This Row],[SISMED]],TblDisponibilidad[],9,FALSE), 0)</f>
        <v>0</v>
      </c>
      <c r="F557">
        <f>IFERROR(VLOOKUP(Tabla1[[#This Row],[SISMED]],TblDisponibilidad[],10,FALSE), 0)</f>
        <v>0</v>
      </c>
      <c r="G557">
        <f>IFERROR(VLOOKUP(Tabla1[[#This Row],[SISMED]],TblDisponibilidad[],11,FALSE), 0)</f>
        <v>0</v>
      </c>
      <c r="H557">
        <f>IFERROR(VLOOKUP(Tabla1[[#This Row],[SISMED]],TblDisponibilidad[],12,FALSE), 0)</f>
        <v>0</v>
      </c>
      <c r="I557">
        <f>IFERROR(VLOOKUP(Tabla1[[#This Row],[SISMED]],TblDisponibilidad[],13,FALSE), 0)</f>
        <v>0</v>
      </c>
      <c r="J557">
        <f>IFERROR(VLOOKUP(Tabla1[[#This Row],[SISMED]],TblDisponibilidad[],14,FALSE), 0)</f>
        <v>0</v>
      </c>
      <c r="K557">
        <f>IFERROR(VLOOKUP(Tabla1[[#This Row],[SISMED]],TblDisponibilidad[],15,FALSE), 0)</f>
        <v>0</v>
      </c>
      <c r="L557">
        <f>IFERROR(VLOOKUP(Tabla1[[#This Row],[SISMED]],TblDisponibilidad[],16,FALSE), 0)</f>
        <v>0</v>
      </c>
      <c r="M557">
        <f>IFERROR(VLOOKUP(Tabla1[[#This Row],[SISMED]],TblDisponibilidad[],17,FALSE), 0)</f>
        <v>0</v>
      </c>
      <c r="N557">
        <f>IFERROR(VLOOKUP(Tabla1[[#This Row],[SISMED]],TblDisponibilidad[],18,FALSE), 0)</f>
        <v>0</v>
      </c>
      <c r="O557">
        <f>IFERROR(VLOOKUP(Tabla1[[#This Row],[SISMED]],TblDisponibilidad[],19,FALSE), 0)</f>
        <v>0</v>
      </c>
      <c r="P557">
        <f>IFERROR(VLOOKUP(Tabla1[[#This Row],[SISMED]],TblDisponibilidad[],20,FALSE), 0)</f>
        <v>0</v>
      </c>
      <c r="Q557">
        <f>IFERROR(VLOOKUP(Tabla1[[#This Row],[SISMED]],TblDisponibilidad[],21,FALSE), 0)</f>
        <v>0</v>
      </c>
      <c r="R557">
        <f>IFERROR(VLOOKUP(Tabla1[[#This Row],[SISMED]],TblDisponibilidad[],22,FALSE), 0)</f>
        <v>0</v>
      </c>
      <c r="S557" s="15">
        <f>IFERROR(VLOOKUP(Tabla1[[#This Row],[SISMED]],TblDisponibilidad[],23,FALSE), 0)</f>
        <v>0</v>
      </c>
    </row>
    <row r="558" spans="1:19" x14ac:dyDescent="0.3">
      <c r="A558" s="15" t="s">
        <v>588</v>
      </c>
      <c r="B558" t="str">
        <f>IFERROR(VLOOKUP(Tabla1[[#This Row],[SISMED]],TblDisponibilidad[],2,FALSE), "")</f>
        <v/>
      </c>
      <c r="C558">
        <f>IFERROR(VLOOKUP(Tabla1[[#This Row],[SISMED]],TblDisponibilidad[],7,FALSE), 0)</f>
        <v>0</v>
      </c>
      <c r="D558">
        <f>IFERROR(VLOOKUP(Tabla1[[#This Row],[SISMED]],TblDisponibilidad[],8,FALSE), 0)</f>
        <v>0</v>
      </c>
      <c r="E558">
        <f>IFERROR(VLOOKUP(Tabla1[[#This Row],[SISMED]],TblDisponibilidad[],9,FALSE), 0)</f>
        <v>0</v>
      </c>
      <c r="F558">
        <f>IFERROR(VLOOKUP(Tabla1[[#This Row],[SISMED]],TblDisponibilidad[],10,FALSE), 0)</f>
        <v>0</v>
      </c>
      <c r="G558">
        <f>IFERROR(VLOOKUP(Tabla1[[#This Row],[SISMED]],TblDisponibilidad[],11,FALSE), 0)</f>
        <v>0</v>
      </c>
      <c r="H558">
        <f>IFERROR(VLOOKUP(Tabla1[[#This Row],[SISMED]],TblDisponibilidad[],12,FALSE), 0)</f>
        <v>0</v>
      </c>
      <c r="I558">
        <f>IFERROR(VLOOKUP(Tabla1[[#This Row],[SISMED]],TblDisponibilidad[],13,FALSE), 0)</f>
        <v>0</v>
      </c>
      <c r="J558">
        <f>IFERROR(VLOOKUP(Tabla1[[#This Row],[SISMED]],TblDisponibilidad[],14,FALSE), 0)</f>
        <v>0</v>
      </c>
      <c r="K558">
        <f>IFERROR(VLOOKUP(Tabla1[[#This Row],[SISMED]],TblDisponibilidad[],15,FALSE), 0)</f>
        <v>0</v>
      </c>
      <c r="L558">
        <f>IFERROR(VLOOKUP(Tabla1[[#This Row],[SISMED]],TblDisponibilidad[],16,FALSE), 0)</f>
        <v>0</v>
      </c>
      <c r="M558">
        <f>IFERROR(VLOOKUP(Tabla1[[#This Row],[SISMED]],TblDisponibilidad[],17,FALSE), 0)</f>
        <v>0</v>
      </c>
      <c r="N558">
        <f>IFERROR(VLOOKUP(Tabla1[[#This Row],[SISMED]],TblDisponibilidad[],18,FALSE), 0)</f>
        <v>0</v>
      </c>
      <c r="O558">
        <f>IFERROR(VLOOKUP(Tabla1[[#This Row],[SISMED]],TblDisponibilidad[],19,FALSE), 0)</f>
        <v>0</v>
      </c>
      <c r="P558">
        <f>IFERROR(VLOOKUP(Tabla1[[#This Row],[SISMED]],TblDisponibilidad[],20,FALSE), 0)</f>
        <v>0</v>
      </c>
      <c r="Q558">
        <f>IFERROR(VLOOKUP(Tabla1[[#This Row],[SISMED]],TblDisponibilidad[],21,FALSE), 0)</f>
        <v>0</v>
      </c>
      <c r="R558">
        <f>IFERROR(VLOOKUP(Tabla1[[#This Row],[SISMED]],TblDisponibilidad[],22,FALSE), 0)</f>
        <v>0</v>
      </c>
      <c r="S558" s="15">
        <f>IFERROR(VLOOKUP(Tabla1[[#This Row],[SISMED]],TblDisponibilidad[],23,FALSE), 0)</f>
        <v>0</v>
      </c>
    </row>
    <row r="559" spans="1:19" x14ac:dyDescent="0.3">
      <c r="A559" s="15" t="s">
        <v>589</v>
      </c>
      <c r="B559" t="str">
        <f>IFERROR(VLOOKUP(Tabla1[[#This Row],[SISMED]],TblDisponibilidad[],2,FALSE), "")</f>
        <v/>
      </c>
      <c r="C559">
        <f>IFERROR(VLOOKUP(Tabla1[[#This Row],[SISMED]],TblDisponibilidad[],7,FALSE), 0)</f>
        <v>0</v>
      </c>
      <c r="D559">
        <f>IFERROR(VLOOKUP(Tabla1[[#This Row],[SISMED]],TblDisponibilidad[],8,FALSE), 0)</f>
        <v>0</v>
      </c>
      <c r="E559">
        <f>IFERROR(VLOOKUP(Tabla1[[#This Row],[SISMED]],TblDisponibilidad[],9,FALSE), 0)</f>
        <v>0</v>
      </c>
      <c r="F559">
        <f>IFERROR(VLOOKUP(Tabla1[[#This Row],[SISMED]],TblDisponibilidad[],10,FALSE), 0)</f>
        <v>0</v>
      </c>
      <c r="G559">
        <f>IFERROR(VLOOKUP(Tabla1[[#This Row],[SISMED]],TblDisponibilidad[],11,FALSE), 0)</f>
        <v>0</v>
      </c>
      <c r="H559">
        <f>IFERROR(VLOOKUP(Tabla1[[#This Row],[SISMED]],TblDisponibilidad[],12,FALSE), 0)</f>
        <v>0</v>
      </c>
      <c r="I559">
        <f>IFERROR(VLOOKUP(Tabla1[[#This Row],[SISMED]],TblDisponibilidad[],13,FALSE), 0)</f>
        <v>0</v>
      </c>
      <c r="J559">
        <f>IFERROR(VLOOKUP(Tabla1[[#This Row],[SISMED]],TblDisponibilidad[],14,FALSE), 0)</f>
        <v>0</v>
      </c>
      <c r="K559">
        <f>IFERROR(VLOOKUP(Tabla1[[#This Row],[SISMED]],TblDisponibilidad[],15,FALSE), 0)</f>
        <v>0</v>
      </c>
      <c r="L559">
        <f>IFERROR(VLOOKUP(Tabla1[[#This Row],[SISMED]],TblDisponibilidad[],16,FALSE), 0)</f>
        <v>0</v>
      </c>
      <c r="M559">
        <f>IFERROR(VLOOKUP(Tabla1[[#This Row],[SISMED]],TblDisponibilidad[],17,FALSE), 0)</f>
        <v>0</v>
      </c>
      <c r="N559">
        <f>IFERROR(VLOOKUP(Tabla1[[#This Row],[SISMED]],TblDisponibilidad[],18,FALSE), 0)</f>
        <v>0</v>
      </c>
      <c r="O559">
        <f>IFERROR(VLOOKUP(Tabla1[[#This Row],[SISMED]],TblDisponibilidad[],19,FALSE), 0)</f>
        <v>0</v>
      </c>
      <c r="P559">
        <f>IFERROR(VLOOKUP(Tabla1[[#This Row],[SISMED]],TblDisponibilidad[],20,FALSE), 0)</f>
        <v>0</v>
      </c>
      <c r="Q559">
        <f>IFERROR(VLOOKUP(Tabla1[[#This Row],[SISMED]],TblDisponibilidad[],21,FALSE), 0)</f>
        <v>0</v>
      </c>
      <c r="R559">
        <f>IFERROR(VLOOKUP(Tabla1[[#This Row],[SISMED]],TblDisponibilidad[],22,FALSE), 0)</f>
        <v>0</v>
      </c>
      <c r="S559" s="15">
        <f>IFERROR(VLOOKUP(Tabla1[[#This Row],[SISMED]],TblDisponibilidad[],23,FALSE), 0)</f>
        <v>0</v>
      </c>
    </row>
    <row r="560" spans="1:19" x14ac:dyDescent="0.3">
      <c r="A560" s="15" t="s">
        <v>590</v>
      </c>
      <c r="B560" t="str">
        <f>IFERROR(VLOOKUP(Tabla1[[#This Row],[SISMED]],TblDisponibilidad[],2,FALSE), "")</f>
        <v/>
      </c>
      <c r="C560">
        <f>IFERROR(VLOOKUP(Tabla1[[#This Row],[SISMED]],TblDisponibilidad[],7,FALSE), 0)</f>
        <v>0</v>
      </c>
      <c r="D560">
        <f>IFERROR(VLOOKUP(Tabla1[[#This Row],[SISMED]],TblDisponibilidad[],8,FALSE), 0)</f>
        <v>0</v>
      </c>
      <c r="E560">
        <f>IFERROR(VLOOKUP(Tabla1[[#This Row],[SISMED]],TblDisponibilidad[],9,FALSE), 0)</f>
        <v>0</v>
      </c>
      <c r="F560">
        <f>IFERROR(VLOOKUP(Tabla1[[#This Row],[SISMED]],TblDisponibilidad[],10,FALSE), 0)</f>
        <v>0</v>
      </c>
      <c r="G560">
        <f>IFERROR(VLOOKUP(Tabla1[[#This Row],[SISMED]],TblDisponibilidad[],11,FALSE), 0)</f>
        <v>0</v>
      </c>
      <c r="H560">
        <f>IFERROR(VLOOKUP(Tabla1[[#This Row],[SISMED]],TblDisponibilidad[],12,FALSE), 0)</f>
        <v>0</v>
      </c>
      <c r="I560">
        <f>IFERROR(VLOOKUP(Tabla1[[#This Row],[SISMED]],TblDisponibilidad[],13,FALSE), 0)</f>
        <v>0</v>
      </c>
      <c r="J560">
        <f>IFERROR(VLOOKUP(Tabla1[[#This Row],[SISMED]],TblDisponibilidad[],14,FALSE), 0)</f>
        <v>0</v>
      </c>
      <c r="K560">
        <f>IFERROR(VLOOKUP(Tabla1[[#This Row],[SISMED]],TblDisponibilidad[],15,FALSE), 0)</f>
        <v>0</v>
      </c>
      <c r="L560">
        <f>IFERROR(VLOOKUP(Tabla1[[#This Row],[SISMED]],TblDisponibilidad[],16,FALSE), 0)</f>
        <v>0</v>
      </c>
      <c r="M560">
        <f>IFERROR(VLOOKUP(Tabla1[[#This Row],[SISMED]],TblDisponibilidad[],17,FALSE), 0)</f>
        <v>0</v>
      </c>
      <c r="N560">
        <f>IFERROR(VLOOKUP(Tabla1[[#This Row],[SISMED]],TblDisponibilidad[],18,FALSE), 0)</f>
        <v>0</v>
      </c>
      <c r="O560">
        <f>IFERROR(VLOOKUP(Tabla1[[#This Row],[SISMED]],TblDisponibilidad[],19,FALSE), 0)</f>
        <v>0</v>
      </c>
      <c r="P560">
        <f>IFERROR(VLOOKUP(Tabla1[[#This Row],[SISMED]],TblDisponibilidad[],20,FALSE), 0)</f>
        <v>0</v>
      </c>
      <c r="Q560">
        <f>IFERROR(VLOOKUP(Tabla1[[#This Row],[SISMED]],TblDisponibilidad[],21,FALSE), 0)</f>
        <v>0</v>
      </c>
      <c r="R560">
        <f>IFERROR(VLOOKUP(Tabla1[[#This Row],[SISMED]],TblDisponibilidad[],22,FALSE), 0)</f>
        <v>0</v>
      </c>
      <c r="S560" s="15">
        <f>IFERROR(VLOOKUP(Tabla1[[#This Row],[SISMED]],TblDisponibilidad[],23,FALSE), 0)</f>
        <v>0</v>
      </c>
    </row>
    <row r="561" spans="1:19" x14ac:dyDescent="0.3">
      <c r="A561" s="15" t="s">
        <v>591</v>
      </c>
      <c r="B561" t="str">
        <f>IFERROR(VLOOKUP(Tabla1[[#This Row],[SISMED]],TblDisponibilidad[],2,FALSE), "")</f>
        <v/>
      </c>
      <c r="C561">
        <f>IFERROR(VLOOKUP(Tabla1[[#This Row],[SISMED]],TblDisponibilidad[],7,FALSE), 0)</f>
        <v>0</v>
      </c>
      <c r="D561">
        <f>IFERROR(VLOOKUP(Tabla1[[#This Row],[SISMED]],TblDisponibilidad[],8,FALSE), 0)</f>
        <v>0</v>
      </c>
      <c r="E561">
        <f>IFERROR(VLOOKUP(Tabla1[[#This Row],[SISMED]],TblDisponibilidad[],9,FALSE), 0)</f>
        <v>0</v>
      </c>
      <c r="F561">
        <f>IFERROR(VLOOKUP(Tabla1[[#This Row],[SISMED]],TblDisponibilidad[],10,FALSE), 0)</f>
        <v>0</v>
      </c>
      <c r="G561">
        <f>IFERROR(VLOOKUP(Tabla1[[#This Row],[SISMED]],TblDisponibilidad[],11,FALSE), 0)</f>
        <v>0</v>
      </c>
      <c r="H561">
        <f>IFERROR(VLOOKUP(Tabla1[[#This Row],[SISMED]],TblDisponibilidad[],12,FALSE), 0)</f>
        <v>0</v>
      </c>
      <c r="I561">
        <f>IFERROR(VLOOKUP(Tabla1[[#This Row],[SISMED]],TblDisponibilidad[],13,FALSE), 0)</f>
        <v>0</v>
      </c>
      <c r="J561">
        <f>IFERROR(VLOOKUP(Tabla1[[#This Row],[SISMED]],TblDisponibilidad[],14,FALSE), 0)</f>
        <v>0</v>
      </c>
      <c r="K561">
        <f>IFERROR(VLOOKUP(Tabla1[[#This Row],[SISMED]],TblDisponibilidad[],15,FALSE), 0)</f>
        <v>0</v>
      </c>
      <c r="L561">
        <f>IFERROR(VLOOKUP(Tabla1[[#This Row],[SISMED]],TblDisponibilidad[],16,FALSE), 0)</f>
        <v>0</v>
      </c>
      <c r="M561">
        <f>IFERROR(VLOOKUP(Tabla1[[#This Row],[SISMED]],TblDisponibilidad[],17,FALSE), 0)</f>
        <v>0</v>
      </c>
      <c r="N561">
        <f>IFERROR(VLOOKUP(Tabla1[[#This Row],[SISMED]],TblDisponibilidad[],18,FALSE), 0)</f>
        <v>0</v>
      </c>
      <c r="O561">
        <f>IFERROR(VLOOKUP(Tabla1[[#This Row],[SISMED]],TblDisponibilidad[],19,FALSE), 0)</f>
        <v>0</v>
      </c>
      <c r="P561">
        <f>IFERROR(VLOOKUP(Tabla1[[#This Row],[SISMED]],TblDisponibilidad[],20,FALSE), 0)</f>
        <v>0</v>
      </c>
      <c r="Q561">
        <f>IFERROR(VLOOKUP(Tabla1[[#This Row],[SISMED]],TblDisponibilidad[],21,FALSE), 0)</f>
        <v>0</v>
      </c>
      <c r="R561">
        <f>IFERROR(VLOOKUP(Tabla1[[#This Row],[SISMED]],TblDisponibilidad[],22,FALSE), 0)</f>
        <v>0</v>
      </c>
      <c r="S561" s="15">
        <f>IFERROR(VLOOKUP(Tabla1[[#This Row],[SISMED]],TblDisponibilidad[],23,FALSE), 0)</f>
        <v>0</v>
      </c>
    </row>
    <row r="562" spans="1:19" x14ac:dyDescent="0.3">
      <c r="A562" s="15" t="s">
        <v>592</v>
      </c>
      <c r="B562" t="str">
        <f>IFERROR(VLOOKUP(Tabla1[[#This Row],[SISMED]],TblDisponibilidad[],2,FALSE), "")</f>
        <v/>
      </c>
      <c r="C562">
        <f>IFERROR(VLOOKUP(Tabla1[[#This Row],[SISMED]],TblDisponibilidad[],7,FALSE), 0)</f>
        <v>0</v>
      </c>
      <c r="D562">
        <f>IFERROR(VLOOKUP(Tabla1[[#This Row],[SISMED]],TblDisponibilidad[],8,FALSE), 0)</f>
        <v>0</v>
      </c>
      <c r="E562">
        <f>IFERROR(VLOOKUP(Tabla1[[#This Row],[SISMED]],TblDisponibilidad[],9,FALSE), 0)</f>
        <v>0</v>
      </c>
      <c r="F562">
        <f>IFERROR(VLOOKUP(Tabla1[[#This Row],[SISMED]],TblDisponibilidad[],10,FALSE), 0)</f>
        <v>0</v>
      </c>
      <c r="G562">
        <f>IFERROR(VLOOKUP(Tabla1[[#This Row],[SISMED]],TblDisponibilidad[],11,FALSE), 0)</f>
        <v>0</v>
      </c>
      <c r="H562">
        <f>IFERROR(VLOOKUP(Tabla1[[#This Row],[SISMED]],TblDisponibilidad[],12,FALSE), 0)</f>
        <v>0</v>
      </c>
      <c r="I562">
        <f>IFERROR(VLOOKUP(Tabla1[[#This Row],[SISMED]],TblDisponibilidad[],13,FALSE), 0)</f>
        <v>0</v>
      </c>
      <c r="J562">
        <f>IFERROR(VLOOKUP(Tabla1[[#This Row],[SISMED]],TblDisponibilidad[],14,FALSE), 0)</f>
        <v>0</v>
      </c>
      <c r="K562">
        <f>IFERROR(VLOOKUP(Tabla1[[#This Row],[SISMED]],TblDisponibilidad[],15,FALSE), 0)</f>
        <v>0</v>
      </c>
      <c r="L562">
        <f>IFERROR(VLOOKUP(Tabla1[[#This Row],[SISMED]],TblDisponibilidad[],16,FALSE), 0)</f>
        <v>0</v>
      </c>
      <c r="M562">
        <f>IFERROR(VLOOKUP(Tabla1[[#This Row],[SISMED]],TblDisponibilidad[],17,FALSE), 0)</f>
        <v>0</v>
      </c>
      <c r="N562">
        <f>IFERROR(VLOOKUP(Tabla1[[#This Row],[SISMED]],TblDisponibilidad[],18,FALSE), 0)</f>
        <v>0</v>
      </c>
      <c r="O562">
        <f>IFERROR(VLOOKUP(Tabla1[[#This Row],[SISMED]],TblDisponibilidad[],19,FALSE), 0)</f>
        <v>0</v>
      </c>
      <c r="P562">
        <f>IFERROR(VLOOKUP(Tabla1[[#This Row],[SISMED]],TblDisponibilidad[],20,FALSE), 0)</f>
        <v>0</v>
      </c>
      <c r="Q562">
        <f>IFERROR(VLOOKUP(Tabla1[[#This Row],[SISMED]],TblDisponibilidad[],21,FALSE), 0)</f>
        <v>0</v>
      </c>
      <c r="R562">
        <f>IFERROR(VLOOKUP(Tabla1[[#This Row],[SISMED]],TblDisponibilidad[],22,FALSE), 0)</f>
        <v>0</v>
      </c>
      <c r="S562" s="15">
        <f>IFERROR(VLOOKUP(Tabla1[[#This Row],[SISMED]],TblDisponibilidad[],23,FALSE), 0)</f>
        <v>0</v>
      </c>
    </row>
    <row r="563" spans="1:19" x14ac:dyDescent="0.3">
      <c r="A563" s="15" t="s">
        <v>593</v>
      </c>
      <c r="B563" t="str">
        <f>IFERROR(VLOOKUP(Tabla1[[#This Row],[SISMED]],TblDisponibilidad[],2,FALSE), "")</f>
        <v/>
      </c>
      <c r="C563">
        <f>IFERROR(VLOOKUP(Tabla1[[#This Row],[SISMED]],TblDisponibilidad[],7,FALSE), 0)</f>
        <v>0</v>
      </c>
      <c r="D563">
        <f>IFERROR(VLOOKUP(Tabla1[[#This Row],[SISMED]],TblDisponibilidad[],8,FALSE), 0)</f>
        <v>0</v>
      </c>
      <c r="E563">
        <f>IFERROR(VLOOKUP(Tabla1[[#This Row],[SISMED]],TblDisponibilidad[],9,FALSE), 0)</f>
        <v>0</v>
      </c>
      <c r="F563">
        <f>IFERROR(VLOOKUP(Tabla1[[#This Row],[SISMED]],TblDisponibilidad[],10,FALSE), 0)</f>
        <v>0</v>
      </c>
      <c r="G563">
        <f>IFERROR(VLOOKUP(Tabla1[[#This Row],[SISMED]],TblDisponibilidad[],11,FALSE), 0)</f>
        <v>0</v>
      </c>
      <c r="H563">
        <f>IFERROR(VLOOKUP(Tabla1[[#This Row],[SISMED]],TblDisponibilidad[],12,FALSE), 0)</f>
        <v>0</v>
      </c>
      <c r="I563">
        <f>IFERROR(VLOOKUP(Tabla1[[#This Row],[SISMED]],TblDisponibilidad[],13,FALSE), 0)</f>
        <v>0</v>
      </c>
      <c r="J563">
        <f>IFERROR(VLOOKUP(Tabla1[[#This Row],[SISMED]],TblDisponibilidad[],14,FALSE), 0)</f>
        <v>0</v>
      </c>
      <c r="K563">
        <f>IFERROR(VLOOKUP(Tabla1[[#This Row],[SISMED]],TblDisponibilidad[],15,FALSE), 0)</f>
        <v>0</v>
      </c>
      <c r="L563">
        <f>IFERROR(VLOOKUP(Tabla1[[#This Row],[SISMED]],TblDisponibilidad[],16,FALSE), 0)</f>
        <v>0</v>
      </c>
      <c r="M563">
        <f>IFERROR(VLOOKUP(Tabla1[[#This Row],[SISMED]],TblDisponibilidad[],17,FALSE), 0)</f>
        <v>0</v>
      </c>
      <c r="N563">
        <f>IFERROR(VLOOKUP(Tabla1[[#This Row],[SISMED]],TblDisponibilidad[],18,FALSE), 0)</f>
        <v>0</v>
      </c>
      <c r="O563">
        <f>IFERROR(VLOOKUP(Tabla1[[#This Row],[SISMED]],TblDisponibilidad[],19,FALSE), 0)</f>
        <v>0</v>
      </c>
      <c r="P563">
        <f>IFERROR(VLOOKUP(Tabla1[[#This Row],[SISMED]],TblDisponibilidad[],20,FALSE), 0)</f>
        <v>0</v>
      </c>
      <c r="Q563">
        <f>IFERROR(VLOOKUP(Tabla1[[#This Row],[SISMED]],TblDisponibilidad[],21,FALSE), 0)</f>
        <v>0</v>
      </c>
      <c r="R563">
        <f>IFERROR(VLOOKUP(Tabla1[[#This Row],[SISMED]],TblDisponibilidad[],22,FALSE), 0)</f>
        <v>0</v>
      </c>
      <c r="S563" s="15">
        <f>IFERROR(VLOOKUP(Tabla1[[#This Row],[SISMED]],TblDisponibilidad[],23,FALSE), 0)</f>
        <v>0</v>
      </c>
    </row>
    <row r="564" spans="1:19" x14ac:dyDescent="0.3">
      <c r="A564" s="15" t="s">
        <v>594</v>
      </c>
      <c r="B564" t="str">
        <f>IFERROR(VLOOKUP(Tabla1[[#This Row],[SISMED]],TblDisponibilidad[],2,FALSE), "")</f>
        <v/>
      </c>
      <c r="C564">
        <f>IFERROR(VLOOKUP(Tabla1[[#This Row],[SISMED]],TblDisponibilidad[],7,FALSE), 0)</f>
        <v>0</v>
      </c>
      <c r="D564">
        <f>IFERROR(VLOOKUP(Tabla1[[#This Row],[SISMED]],TblDisponibilidad[],8,FALSE), 0)</f>
        <v>0</v>
      </c>
      <c r="E564">
        <f>IFERROR(VLOOKUP(Tabla1[[#This Row],[SISMED]],TblDisponibilidad[],9,FALSE), 0)</f>
        <v>0</v>
      </c>
      <c r="F564">
        <f>IFERROR(VLOOKUP(Tabla1[[#This Row],[SISMED]],TblDisponibilidad[],10,FALSE), 0)</f>
        <v>0</v>
      </c>
      <c r="G564">
        <f>IFERROR(VLOOKUP(Tabla1[[#This Row],[SISMED]],TblDisponibilidad[],11,FALSE), 0)</f>
        <v>0</v>
      </c>
      <c r="H564">
        <f>IFERROR(VLOOKUP(Tabla1[[#This Row],[SISMED]],TblDisponibilidad[],12,FALSE), 0)</f>
        <v>0</v>
      </c>
      <c r="I564">
        <f>IFERROR(VLOOKUP(Tabla1[[#This Row],[SISMED]],TblDisponibilidad[],13,FALSE), 0)</f>
        <v>0</v>
      </c>
      <c r="J564">
        <f>IFERROR(VLOOKUP(Tabla1[[#This Row],[SISMED]],TblDisponibilidad[],14,FALSE), 0)</f>
        <v>0</v>
      </c>
      <c r="K564">
        <f>IFERROR(VLOOKUP(Tabla1[[#This Row],[SISMED]],TblDisponibilidad[],15,FALSE), 0)</f>
        <v>0</v>
      </c>
      <c r="L564">
        <f>IFERROR(VLOOKUP(Tabla1[[#This Row],[SISMED]],TblDisponibilidad[],16,FALSE), 0)</f>
        <v>0</v>
      </c>
      <c r="M564">
        <f>IFERROR(VLOOKUP(Tabla1[[#This Row],[SISMED]],TblDisponibilidad[],17,FALSE), 0)</f>
        <v>0</v>
      </c>
      <c r="N564">
        <f>IFERROR(VLOOKUP(Tabla1[[#This Row],[SISMED]],TblDisponibilidad[],18,FALSE), 0)</f>
        <v>0</v>
      </c>
      <c r="O564">
        <f>IFERROR(VLOOKUP(Tabla1[[#This Row],[SISMED]],TblDisponibilidad[],19,FALSE), 0)</f>
        <v>0</v>
      </c>
      <c r="P564">
        <f>IFERROR(VLOOKUP(Tabla1[[#This Row],[SISMED]],TblDisponibilidad[],20,FALSE), 0)</f>
        <v>0</v>
      </c>
      <c r="Q564">
        <f>IFERROR(VLOOKUP(Tabla1[[#This Row],[SISMED]],TblDisponibilidad[],21,FALSE), 0)</f>
        <v>0</v>
      </c>
      <c r="R564">
        <f>IFERROR(VLOOKUP(Tabla1[[#This Row],[SISMED]],TblDisponibilidad[],22,FALSE), 0)</f>
        <v>0</v>
      </c>
      <c r="S564" s="15">
        <f>IFERROR(VLOOKUP(Tabla1[[#This Row],[SISMED]],TblDisponibilidad[],23,FALSE), 0)</f>
        <v>0</v>
      </c>
    </row>
    <row r="565" spans="1:19" x14ac:dyDescent="0.3">
      <c r="A565" s="15" t="s">
        <v>595</v>
      </c>
      <c r="B565" t="str">
        <f>IFERROR(VLOOKUP(Tabla1[[#This Row],[SISMED]],TblDisponibilidad[],2,FALSE), "")</f>
        <v/>
      </c>
      <c r="C565">
        <f>IFERROR(VLOOKUP(Tabla1[[#This Row],[SISMED]],TblDisponibilidad[],7,FALSE), 0)</f>
        <v>0</v>
      </c>
      <c r="D565">
        <f>IFERROR(VLOOKUP(Tabla1[[#This Row],[SISMED]],TblDisponibilidad[],8,FALSE), 0)</f>
        <v>0</v>
      </c>
      <c r="E565">
        <f>IFERROR(VLOOKUP(Tabla1[[#This Row],[SISMED]],TblDisponibilidad[],9,FALSE), 0)</f>
        <v>0</v>
      </c>
      <c r="F565">
        <f>IFERROR(VLOOKUP(Tabla1[[#This Row],[SISMED]],TblDisponibilidad[],10,FALSE), 0)</f>
        <v>0</v>
      </c>
      <c r="G565">
        <f>IFERROR(VLOOKUP(Tabla1[[#This Row],[SISMED]],TblDisponibilidad[],11,FALSE), 0)</f>
        <v>0</v>
      </c>
      <c r="H565">
        <f>IFERROR(VLOOKUP(Tabla1[[#This Row],[SISMED]],TblDisponibilidad[],12,FALSE), 0)</f>
        <v>0</v>
      </c>
      <c r="I565">
        <f>IFERROR(VLOOKUP(Tabla1[[#This Row],[SISMED]],TblDisponibilidad[],13,FALSE), 0)</f>
        <v>0</v>
      </c>
      <c r="J565">
        <f>IFERROR(VLOOKUP(Tabla1[[#This Row],[SISMED]],TblDisponibilidad[],14,FALSE), 0)</f>
        <v>0</v>
      </c>
      <c r="K565">
        <f>IFERROR(VLOOKUP(Tabla1[[#This Row],[SISMED]],TblDisponibilidad[],15,FALSE), 0)</f>
        <v>0</v>
      </c>
      <c r="L565">
        <f>IFERROR(VLOOKUP(Tabla1[[#This Row],[SISMED]],TblDisponibilidad[],16,FALSE), 0)</f>
        <v>0</v>
      </c>
      <c r="M565">
        <f>IFERROR(VLOOKUP(Tabla1[[#This Row],[SISMED]],TblDisponibilidad[],17,FALSE), 0)</f>
        <v>0</v>
      </c>
      <c r="N565">
        <f>IFERROR(VLOOKUP(Tabla1[[#This Row],[SISMED]],TblDisponibilidad[],18,FALSE), 0)</f>
        <v>0</v>
      </c>
      <c r="O565">
        <f>IFERROR(VLOOKUP(Tabla1[[#This Row],[SISMED]],TblDisponibilidad[],19,FALSE), 0)</f>
        <v>0</v>
      </c>
      <c r="P565">
        <f>IFERROR(VLOOKUP(Tabla1[[#This Row],[SISMED]],TblDisponibilidad[],20,FALSE), 0)</f>
        <v>0</v>
      </c>
      <c r="Q565">
        <f>IFERROR(VLOOKUP(Tabla1[[#This Row],[SISMED]],TblDisponibilidad[],21,FALSE), 0)</f>
        <v>0</v>
      </c>
      <c r="R565">
        <f>IFERROR(VLOOKUP(Tabla1[[#This Row],[SISMED]],TblDisponibilidad[],22,FALSE), 0)</f>
        <v>0</v>
      </c>
      <c r="S565" s="15">
        <f>IFERROR(VLOOKUP(Tabla1[[#This Row],[SISMED]],TblDisponibilidad[],23,FALSE), 0)</f>
        <v>0</v>
      </c>
    </row>
    <row r="566" spans="1:19" x14ac:dyDescent="0.3">
      <c r="A566" s="15" t="s">
        <v>596</v>
      </c>
      <c r="B566" t="str">
        <f>IFERROR(VLOOKUP(Tabla1[[#This Row],[SISMED]],TblDisponibilidad[],2,FALSE), "")</f>
        <v/>
      </c>
      <c r="C566">
        <f>IFERROR(VLOOKUP(Tabla1[[#This Row],[SISMED]],TblDisponibilidad[],7,FALSE), 0)</f>
        <v>0</v>
      </c>
      <c r="D566">
        <f>IFERROR(VLOOKUP(Tabla1[[#This Row],[SISMED]],TblDisponibilidad[],8,FALSE), 0)</f>
        <v>0</v>
      </c>
      <c r="E566">
        <f>IFERROR(VLOOKUP(Tabla1[[#This Row],[SISMED]],TblDisponibilidad[],9,FALSE), 0)</f>
        <v>0</v>
      </c>
      <c r="F566">
        <f>IFERROR(VLOOKUP(Tabla1[[#This Row],[SISMED]],TblDisponibilidad[],10,FALSE), 0)</f>
        <v>0</v>
      </c>
      <c r="G566">
        <f>IFERROR(VLOOKUP(Tabla1[[#This Row],[SISMED]],TblDisponibilidad[],11,FALSE), 0)</f>
        <v>0</v>
      </c>
      <c r="H566">
        <f>IFERROR(VLOOKUP(Tabla1[[#This Row],[SISMED]],TblDisponibilidad[],12,FALSE), 0)</f>
        <v>0</v>
      </c>
      <c r="I566">
        <f>IFERROR(VLOOKUP(Tabla1[[#This Row],[SISMED]],TblDisponibilidad[],13,FALSE), 0)</f>
        <v>0</v>
      </c>
      <c r="J566">
        <f>IFERROR(VLOOKUP(Tabla1[[#This Row],[SISMED]],TblDisponibilidad[],14,FALSE), 0)</f>
        <v>0</v>
      </c>
      <c r="K566">
        <f>IFERROR(VLOOKUP(Tabla1[[#This Row],[SISMED]],TblDisponibilidad[],15,FALSE), 0)</f>
        <v>0</v>
      </c>
      <c r="L566">
        <f>IFERROR(VLOOKUP(Tabla1[[#This Row],[SISMED]],TblDisponibilidad[],16,FALSE), 0)</f>
        <v>0</v>
      </c>
      <c r="M566">
        <f>IFERROR(VLOOKUP(Tabla1[[#This Row],[SISMED]],TblDisponibilidad[],17,FALSE), 0)</f>
        <v>0</v>
      </c>
      <c r="N566">
        <f>IFERROR(VLOOKUP(Tabla1[[#This Row],[SISMED]],TblDisponibilidad[],18,FALSE), 0)</f>
        <v>0</v>
      </c>
      <c r="O566">
        <f>IFERROR(VLOOKUP(Tabla1[[#This Row],[SISMED]],TblDisponibilidad[],19,FALSE), 0)</f>
        <v>0</v>
      </c>
      <c r="P566">
        <f>IFERROR(VLOOKUP(Tabla1[[#This Row],[SISMED]],TblDisponibilidad[],20,FALSE), 0)</f>
        <v>0</v>
      </c>
      <c r="Q566">
        <f>IFERROR(VLOOKUP(Tabla1[[#This Row],[SISMED]],TblDisponibilidad[],21,FALSE), 0)</f>
        <v>0</v>
      </c>
      <c r="R566">
        <f>IFERROR(VLOOKUP(Tabla1[[#This Row],[SISMED]],TblDisponibilidad[],22,FALSE), 0)</f>
        <v>0</v>
      </c>
      <c r="S566" s="15">
        <f>IFERROR(VLOOKUP(Tabla1[[#This Row],[SISMED]],TblDisponibilidad[],23,FALSE), 0)</f>
        <v>0</v>
      </c>
    </row>
    <row r="567" spans="1:19" x14ac:dyDescent="0.3">
      <c r="A567" s="15" t="s">
        <v>597</v>
      </c>
      <c r="B567" t="str">
        <f>IFERROR(VLOOKUP(Tabla1[[#This Row],[SISMED]],TblDisponibilidad[],2,FALSE), "")</f>
        <v/>
      </c>
      <c r="C567">
        <f>IFERROR(VLOOKUP(Tabla1[[#This Row],[SISMED]],TblDisponibilidad[],7,FALSE), 0)</f>
        <v>0</v>
      </c>
      <c r="D567">
        <f>IFERROR(VLOOKUP(Tabla1[[#This Row],[SISMED]],TblDisponibilidad[],8,FALSE), 0)</f>
        <v>0</v>
      </c>
      <c r="E567">
        <f>IFERROR(VLOOKUP(Tabla1[[#This Row],[SISMED]],TblDisponibilidad[],9,FALSE), 0)</f>
        <v>0</v>
      </c>
      <c r="F567">
        <f>IFERROR(VLOOKUP(Tabla1[[#This Row],[SISMED]],TblDisponibilidad[],10,FALSE), 0)</f>
        <v>0</v>
      </c>
      <c r="G567">
        <f>IFERROR(VLOOKUP(Tabla1[[#This Row],[SISMED]],TblDisponibilidad[],11,FALSE), 0)</f>
        <v>0</v>
      </c>
      <c r="H567">
        <f>IFERROR(VLOOKUP(Tabla1[[#This Row],[SISMED]],TblDisponibilidad[],12,FALSE), 0)</f>
        <v>0</v>
      </c>
      <c r="I567">
        <f>IFERROR(VLOOKUP(Tabla1[[#This Row],[SISMED]],TblDisponibilidad[],13,FALSE), 0)</f>
        <v>0</v>
      </c>
      <c r="J567">
        <f>IFERROR(VLOOKUP(Tabla1[[#This Row],[SISMED]],TblDisponibilidad[],14,FALSE), 0)</f>
        <v>0</v>
      </c>
      <c r="K567">
        <f>IFERROR(VLOOKUP(Tabla1[[#This Row],[SISMED]],TblDisponibilidad[],15,FALSE), 0)</f>
        <v>0</v>
      </c>
      <c r="L567">
        <f>IFERROR(VLOOKUP(Tabla1[[#This Row],[SISMED]],TblDisponibilidad[],16,FALSE), 0)</f>
        <v>0</v>
      </c>
      <c r="M567">
        <f>IFERROR(VLOOKUP(Tabla1[[#This Row],[SISMED]],TblDisponibilidad[],17,FALSE), 0)</f>
        <v>0</v>
      </c>
      <c r="N567">
        <f>IFERROR(VLOOKUP(Tabla1[[#This Row],[SISMED]],TblDisponibilidad[],18,FALSE), 0)</f>
        <v>0</v>
      </c>
      <c r="O567">
        <f>IFERROR(VLOOKUP(Tabla1[[#This Row],[SISMED]],TblDisponibilidad[],19,FALSE), 0)</f>
        <v>0</v>
      </c>
      <c r="P567">
        <f>IFERROR(VLOOKUP(Tabla1[[#This Row],[SISMED]],TblDisponibilidad[],20,FALSE), 0)</f>
        <v>0</v>
      </c>
      <c r="Q567">
        <f>IFERROR(VLOOKUP(Tabla1[[#This Row],[SISMED]],TblDisponibilidad[],21,FALSE), 0)</f>
        <v>0</v>
      </c>
      <c r="R567">
        <f>IFERROR(VLOOKUP(Tabla1[[#This Row],[SISMED]],TblDisponibilidad[],22,FALSE), 0)</f>
        <v>0</v>
      </c>
      <c r="S567" s="15">
        <f>IFERROR(VLOOKUP(Tabla1[[#This Row],[SISMED]],TblDisponibilidad[],23,FALSE), 0)</f>
        <v>0</v>
      </c>
    </row>
    <row r="568" spans="1:19" x14ac:dyDescent="0.3">
      <c r="A568" s="15" t="s">
        <v>598</v>
      </c>
      <c r="B568" t="str">
        <f>IFERROR(VLOOKUP(Tabla1[[#This Row],[SISMED]],TblDisponibilidad[],2,FALSE), "")</f>
        <v/>
      </c>
      <c r="C568">
        <f>IFERROR(VLOOKUP(Tabla1[[#This Row],[SISMED]],TblDisponibilidad[],7,FALSE), 0)</f>
        <v>0</v>
      </c>
      <c r="D568">
        <f>IFERROR(VLOOKUP(Tabla1[[#This Row],[SISMED]],TblDisponibilidad[],8,FALSE), 0)</f>
        <v>0</v>
      </c>
      <c r="E568">
        <f>IFERROR(VLOOKUP(Tabla1[[#This Row],[SISMED]],TblDisponibilidad[],9,FALSE), 0)</f>
        <v>0</v>
      </c>
      <c r="F568">
        <f>IFERROR(VLOOKUP(Tabla1[[#This Row],[SISMED]],TblDisponibilidad[],10,FALSE), 0)</f>
        <v>0</v>
      </c>
      <c r="G568">
        <f>IFERROR(VLOOKUP(Tabla1[[#This Row],[SISMED]],TblDisponibilidad[],11,FALSE), 0)</f>
        <v>0</v>
      </c>
      <c r="H568">
        <f>IFERROR(VLOOKUP(Tabla1[[#This Row],[SISMED]],TblDisponibilidad[],12,FALSE), 0)</f>
        <v>0</v>
      </c>
      <c r="I568">
        <f>IFERROR(VLOOKUP(Tabla1[[#This Row],[SISMED]],TblDisponibilidad[],13,FALSE), 0)</f>
        <v>0</v>
      </c>
      <c r="J568">
        <f>IFERROR(VLOOKUP(Tabla1[[#This Row],[SISMED]],TblDisponibilidad[],14,FALSE), 0)</f>
        <v>0</v>
      </c>
      <c r="K568">
        <f>IFERROR(VLOOKUP(Tabla1[[#This Row],[SISMED]],TblDisponibilidad[],15,FALSE), 0)</f>
        <v>0</v>
      </c>
      <c r="L568">
        <f>IFERROR(VLOOKUP(Tabla1[[#This Row],[SISMED]],TblDisponibilidad[],16,FALSE), 0)</f>
        <v>0</v>
      </c>
      <c r="M568">
        <f>IFERROR(VLOOKUP(Tabla1[[#This Row],[SISMED]],TblDisponibilidad[],17,FALSE), 0)</f>
        <v>0</v>
      </c>
      <c r="N568">
        <f>IFERROR(VLOOKUP(Tabla1[[#This Row],[SISMED]],TblDisponibilidad[],18,FALSE), 0)</f>
        <v>0</v>
      </c>
      <c r="O568">
        <f>IFERROR(VLOOKUP(Tabla1[[#This Row],[SISMED]],TblDisponibilidad[],19,FALSE), 0)</f>
        <v>0</v>
      </c>
      <c r="P568">
        <f>IFERROR(VLOOKUP(Tabla1[[#This Row],[SISMED]],TblDisponibilidad[],20,FALSE), 0)</f>
        <v>0</v>
      </c>
      <c r="Q568">
        <f>IFERROR(VLOOKUP(Tabla1[[#This Row],[SISMED]],TblDisponibilidad[],21,FALSE), 0)</f>
        <v>0</v>
      </c>
      <c r="R568">
        <f>IFERROR(VLOOKUP(Tabla1[[#This Row],[SISMED]],TblDisponibilidad[],22,FALSE), 0)</f>
        <v>0</v>
      </c>
      <c r="S568" s="15">
        <f>IFERROR(VLOOKUP(Tabla1[[#This Row],[SISMED]],TblDisponibilidad[],23,FALSE), 0)</f>
        <v>0</v>
      </c>
    </row>
    <row r="569" spans="1:19" x14ac:dyDescent="0.3">
      <c r="A569" s="15" t="s">
        <v>599</v>
      </c>
      <c r="B569" t="str">
        <f>IFERROR(VLOOKUP(Tabla1[[#This Row],[SISMED]],TblDisponibilidad[],2,FALSE), "")</f>
        <v/>
      </c>
      <c r="C569">
        <f>IFERROR(VLOOKUP(Tabla1[[#This Row],[SISMED]],TblDisponibilidad[],7,FALSE), 0)</f>
        <v>0</v>
      </c>
      <c r="D569">
        <f>IFERROR(VLOOKUP(Tabla1[[#This Row],[SISMED]],TblDisponibilidad[],8,FALSE), 0)</f>
        <v>0</v>
      </c>
      <c r="E569">
        <f>IFERROR(VLOOKUP(Tabla1[[#This Row],[SISMED]],TblDisponibilidad[],9,FALSE), 0)</f>
        <v>0</v>
      </c>
      <c r="F569">
        <f>IFERROR(VLOOKUP(Tabla1[[#This Row],[SISMED]],TblDisponibilidad[],10,FALSE), 0)</f>
        <v>0</v>
      </c>
      <c r="G569">
        <f>IFERROR(VLOOKUP(Tabla1[[#This Row],[SISMED]],TblDisponibilidad[],11,FALSE), 0)</f>
        <v>0</v>
      </c>
      <c r="H569">
        <f>IFERROR(VLOOKUP(Tabla1[[#This Row],[SISMED]],TblDisponibilidad[],12,FALSE), 0)</f>
        <v>0</v>
      </c>
      <c r="I569">
        <f>IFERROR(VLOOKUP(Tabla1[[#This Row],[SISMED]],TblDisponibilidad[],13,FALSE), 0)</f>
        <v>0</v>
      </c>
      <c r="J569">
        <f>IFERROR(VLOOKUP(Tabla1[[#This Row],[SISMED]],TblDisponibilidad[],14,FALSE), 0)</f>
        <v>0</v>
      </c>
      <c r="K569">
        <f>IFERROR(VLOOKUP(Tabla1[[#This Row],[SISMED]],TblDisponibilidad[],15,FALSE), 0)</f>
        <v>0</v>
      </c>
      <c r="L569">
        <f>IFERROR(VLOOKUP(Tabla1[[#This Row],[SISMED]],TblDisponibilidad[],16,FALSE), 0)</f>
        <v>0</v>
      </c>
      <c r="M569">
        <f>IFERROR(VLOOKUP(Tabla1[[#This Row],[SISMED]],TblDisponibilidad[],17,FALSE), 0)</f>
        <v>0</v>
      </c>
      <c r="N569">
        <f>IFERROR(VLOOKUP(Tabla1[[#This Row],[SISMED]],TblDisponibilidad[],18,FALSE), 0)</f>
        <v>0</v>
      </c>
      <c r="O569">
        <f>IFERROR(VLOOKUP(Tabla1[[#This Row],[SISMED]],TblDisponibilidad[],19,FALSE), 0)</f>
        <v>0</v>
      </c>
      <c r="P569">
        <f>IFERROR(VLOOKUP(Tabla1[[#This Row],[SISMED]],TblDisponibilidad[],20,FALSE), 0)</f>
        <v>0</v>
      </c>
      <c r="Q569">
        <f>IFERROR(VLOOKUP(Tabla1[[#This Row],[SISMED]],TblDisponibilidad[],21,FALSE), 0)</f>
        <v>0</v>
      </c>
      <c r="R569">
        <f>IFERROR(VLOOKUP(Tabla1[[#This Row],[SISMED]],TblDisponibilidad[],22,FALSE), 0)</f>
        <v>0</v>
      </c>
      <c r="S569" s="15">
        <f>IFERROR(VLOOKUP(Tabla1[[#This Row],[SISMED]],TblDisponibilidad[],23,FALSE), 0)</f>
        <v>0</v>
      </c>
    </row>
    <row r="570" spans="1:19" x14ac:dyDescent="0.3">
      <c r="A570" s="15" t="s">
        <v>600</v>
      </c>
      <c r="B570" t="str">
        <f>IFERROR(VLOOKUP(Tabla1[[#This Row],[SISMED]],TblDisponibilidad[],2,FALSE), "")</f>
        <v/>
      </c>
      <c r="C570">
        <f>IFERROR(VLOOKUP(Tabla1[[#This Row],[SISMED]],TblDisponibilidad[],7,FALSE), 0)</f>
        <v>0</v>
      </c>
      <c r="D570">
        <f>IFERROR(VLOOKUP(Tabla1[[#This Row],[SISMED]],TblDisponibilidad[],8,FALSE), 0)</f>
        <v>0</v>
      </c>
      <c r="E570">
        <f>IFERROR(VLOOKUP(Tabla1[[#This Row],[SISMED]],TblDisponibilidad[],9,FALSE), 0)</f>
        <v>0</v>
      </c>
      <c r="F570">
        <f>IFERROR(VLOOKUP(Tabla1[[#This Row],[SISMED]],TblDisponibilidad[],10,FALSE), 0)</f>
        <v>0</v>
      </c>
      <c r="G570">
        <f>IFERROR(VLOOKUP(Tabla1[[#This Row],[SISMED]],TblDisponibilidad[],11,FALSE), 0)</f>
        <v>0</v>
      </c>
      <c r="H570">
        <f>IFERROR(VLOOKUP(Tabla1[[#This Row],[SISMED]],TblDisponibilidad[],12,FALSE), 0)</f>
        <v>0</v>
      </c>
      <c r="I570">
        <f>IFERROR(VLOOKUP(Tabla1[[#This Row],[SISMED]],TblDisponibilidad[],13,FALSE), 0)</f>
        <v>0</v>
      </c>
      <c r="J570">
        <f>IFERROR(VLOOKUP(Tabla1[[#This Row],[SISMED]],TblDisponibilidad[],14,FALSE), 0)</f>
        <v>0</v>
      </c>
      <c r="K570">
        <f>IFERROR(VLOOKUP(Tabla1[[#This Row],[SISMED]],TblDisponibilidad[],15,FALSE), 0)</f>
        <v>0</v>
      </c>
      <c r="L570">
        <f>IFERROR(VLOOKUP(Tabla1[[#This Row],[SISMED]],TblDisponibilidad[],16,FALSE), 0)</f>
        <v>0</v>
      </c>
      <c r="M570">
        <f>IFERROR(VLOOKUP(Tabla1[[#This Row],[SISMED]],TblDisponibilidad[],17,FALSE), 0)</f>
        <v>0</v>
      </c>
      <c r="N570">
        <f>IFERROR(VLOOKUP(Tabla1[[#This Row],[SISMED]],TblDisponibilidad[],18,FALSE), 0)</f>
        <v>0</v>
      </c>
      <c r="O570">
        <f>IFERROR(VLOOKUP(Tabla1[[#This Row],[SISMED]],TblDisponibilidad[],19,FALSE), 0)</f>
        <v>0</v>
      </c>
      <c r="P570">
        <f>IFERROR(VLOOKUP(Tabla1[[#This Row],[SISMED]],TblDisponibilidad[],20,FALSE), 0)</f>
        <v>0</v>
      </c>
      <c r="Q570">
        <f>IFERROR(VLOOKUP(Tabla1[[#This Row],[SISMED]],TblDisponibilidad[],21,FALSE), 0)</f>
        <v>0</v>
      </c>
      <c r="R570">
        <f>IFERROR(VLOOKUP(Tabla1[[#This Row],[SISMED]],TblDisponibilidad[],22,FALSE), 0)</f>
        <v>0</v>
      </c>
      <c r="S570" s="15">
        <f>IFERROR(VLOOKUP(Tabla1[[#This Row],[SISMED]],TblDisponibilidad[],23,FALSE), 0)</f>
        <v>0</v>
      </c>
    </row>
    <row r="571" spans="1:19" x14ac:dyDescent="0.3">
      <c r="A571" s="15" t="s">
        <v>601</v>
      </c>
      <c r="B571" t="str">
        <f>IFERROR(VLOOKUP(Tabla1[[#This Row],[SISMED]],TblDisponibilidad[],2,FALSE), "")</f>
        <v/>
      </c>
      <c r="C571">
        <f>IFERROR(VLOOKUP(Tabla1[[#This Row],[SISMED]],TblDisponibilidad[],7,FALSE), 0)</f>
        <v>0</v>
      </c>
      <c r="D571">
        <f>IFERROR(VLOOKUP(Tabla1[[#This Row],[SISMED]],TblDisponibilidad[],8,FALSE), 0)</f>
        <v>0</v>
      </c>
      <c r="E571">
        <f>IFERROR(VLOOKUP(Tabla1[[#This Row],[SISMED]],TblDisponibilidad[],9,FALSE), 0)</f>
        <v>0</v>
      </c>
      <c r="F571">
        <f>IFERROR(VLOOKUP(Tabla1[[#This Row],[SISMED]],TblDisponibilidad[],10,FALSE), 0)</f>
        <v>0</v>
      </c>
      <c r="G571">
        <f>IFERROR(VLOOKUP(Tabla1[[#This Row],[SISMED]],TblDisponibilidad[],11,FALSE), 0)</f>
        <v>0</v>
      </c>
      <c r="H571">
        <f>IFERROR(VLOOKUP(Tabla1[[#This Row],[SISMED]],TblDisponibilidad[],12,FALSE), 0)</f>
        <v>0</v>
      </c>
      <c r="I571">
        <f>IFERROR(VLOOKUP(Tabla1[[#This Row],[SISMED]],TblDisponibilidad[],13,FALSE), 0)</f>
        <v>0</v>
      </c>
      <c r="J571">
        <f>IFERROR(VLOOKUP(Tabla1[[#This Row],[SISMED]],TblDisponibilidad[],14,FALSE), 0)</f>
        <v>0</v>
      </c>
      <c r="K571">
        <f>IFERROR(VLOOKUP(Tabla1[[#This Row],[SISMED]],TblDisponibilidad[],15,FALSE), 0)</f>
        <v>0</v>
      </c>
      <c r="L571">
        <f>IFERROR(VLOOKUP(Tabla1[[#This Row],[SISMED]],TblDisponibilidad[],16,FALSE), 0)</f>
        <v>0</v>
      </c>
      <c r="M571">
        <f>IFERROR(VLOOKUP(Tabla1[[#This Row],[SISMED]],TblDisponibilidad[],17,FALSE), 0)</f>
        <v>0</v>
      </c>
      <c r="N571">
        <f>IFERROR(VLOOKUP(Tabla1[[#This Row],[SISMED]],TblDisponibilidad[],18,FALSE), 0)</f>
        <v>0</v>
      </c>
      <c r="O571">
        <f>IFERROR(VLOOKUP(Tabla1[[#This Row],[SISMED]],TblDisponibilidad[],19,FALSE), 0)</f>
        <v>0</v>
      </c>
      <c r="P571">
        <f>IFERROR(VLOOKUP(Tabla1[[#This Row],[SISMED]],TblDisponibilidad[],20,FALSE), 0)</f>
        <v>0</v>
      </c>
      <c r="Q571">
        <f>IFERROR(VLOOKUP(Tabla1[[#This Row],[SISMED]],TblDisponibilidad[],21,FALSE), 0)</f>
        <v>0</v>
      </c>
      <c r="R571">
        <f>IFERROR(VLOOKUP(Tabla1[[#This Row],[SISMED]],TblDisponibilidad[],22,FALSE), 0)</f>
        <v>0</v>
      </c>
      <c r="S571" s="15">
        <f>IFERROR(VLOOKUP(Tabla1[[#This Row],[SISMED]],TblDisponibilidad[],23,FALSE), 0)</f>
        <v>0</v>
      </c>
    </row>
    <row r="572" spans="1:19" x14ac:dyDescent="0.3">
      <c r="A572" s="15" t="s">
        <v>602</v>
      </c>
      <c r="B572" t="str">
        <f>IFERROR(VLOOKUP(Tabla1[[#This Row],[SISMED]],TblDisponibilidad[],2,FALSE), "")</f>
        <v/>
      </c>
      <c r="C572">
        <f>IFERROR(VLOOKUP(Tabla1[[#This Row],[SISMED]],TblDisponibilidad[],7,FALSE), 0)</f>
        <v>0</v>
      </c>
      <c r="D572">
        <f>IFERROR(VLOOKUP(Tabla1[[#This Row],[SISMED]],TblDisponibilidad[],8,FALSE), 0)</f>
        <v>0</v>
      </c>
      <c r="E572">
        <f>IFERROR(VLOOKUP(Tabla1[[#This Row],[SISMED]],TblDisponibilidad[],9,FALSE), 0)</f>
        <v>0</v>
      </c>
      <c r="F572">
        <f>IFERROR(VLOOKUP(Tabla1[[#This Row],[SISMED]],TblDisponibilidad[],10,FALSE), 0)</f>
        <v>0</v>
      </c>
      <c r="G572">
        <f>IFERROR(VLOOKUP(Tabla1[[#This Row],[SISMED]],TblDisponibilidad[],11,FALSE), 0)</f>
        <v>0</v>
      </c>
      <c r="H572">
        <f>IFERROR(VLOOKUP(Tabla1[[#This Row],[SISMED]],TblDisponibilidad[],12,FALSE), 0)</f>
        <v>0</v>
      </c>
      <c r="I572">
        <f>IFERROR(VLOOKUP(Tabla1[[#This Row],[SISMED]],TblDisponibilidad[],13,FALSE), 0)</f>
        <v>0</v>
      </c>
      <c r="J572">
        <f>IFERROR(VLOOKUP(Tabla1[[#This Row],[SISMED]],TblDisponibilidad[],14,FALSE), 0)</f>
        <v>0</v>
      </c>
      <c r="K572">
        <f>IFERROR(VLOOKUP(Tabla1[[#This Row],[SISMED]],TblDisponibilidad[],15,FALSE), 0)</f>
        <v>0</v>
      </c>
      <c r="L572">
        <f>IFERROR(VLOOKUP(Tabla1[[#This Row],[SISMED]],TblDisponibilidad[],16,FALSE), 0)</f>
        <v>0</v>
      </c>
      <c r="M572">
        <f>IFERROR(VLOOKUP(Tabla1[[#This Row],[SISMED]],TblDisponibilidad[],17,FALSE), 0)</f>
        <v>0</v>
      </c>
      <c r="N572">
        <f>IFERROR(VLOOKUP(Tabla1[[#This Row],[SISMED]],TblDisponibilidad[],18,FALSE), 0)</f>
        <v>0</v>
      </c>
      <c r="O572">
        <f>IFERROR(VLOOKUP(Tabla1[[#This Row],[SISMED]],TblDisponibilidad[],19,FALSE), 0)</f>
        <v>0</v>
      </c>
      <c r="P572">
        <f>IFERROR(VLOOKUP(Tabla1[[#This Row],[SISMED]],TblDisponibilidad[],20,FALSE), 0)</f>
        <v>0</v>
      </c>
      <c r="Q572">
        <f>IFERROR(VLOOKUP(Tabla1[[#This Row],[SISMED]],TblDisponibilidad[],21,FALSE), 0)</f>
        <v>0</v>
      </c>
      <c r="R572">
        <f>IFERROR(VLOOKUP(Tabla1[[#This Row],[SISMED]],TblDisponibilidad[],22,FALSE), 0)</f>
        <v>0</v>
      </c>
      <c r="S572" s="15">
        <f>IFERROR(VLOOKUP(Tabla1[[#This Row],[SISMED]],TblDisponibilidad[],23,FALSE), 0)</f>
        <v>0</v>
      </c>
    </row>
    <row r="573" spans="1:19" x14ac:dyDescent="0.3">
      <c r="A573" s="15" t="s">
        <v>603</v>
      </c>
      <c r="B573" t="str">
        <f>IFERROR(VLOOKUP(Tabla1[[#This Row],[SISMED]],TblDisponibilidad[],2,FALSE), "")</f>
        <v/>
      </c>
      <c r="C573">
        <f>IFERROR(VLOOKUP(Tabla1[[#This Row],[SISMED]],TblDisponibilidad[],7,FALSE), 0)</f>
        <v>0</v>
      </c>
      <c r="D573">
        <f>IFERROR(VLOOKUP(Tabla1[[#This Row],[SISMED]],TblDisponibilidad[],8,FALSE), 0)</f>
        <v>0</v>
      </c>
      <c r="E573">
        <f>IFERROR(VLOOKUP(Tabla1[[#This Row],[SISMED]],TblDisponibilidad[],9,FALSE), 0)</f>
        <v>0</v>
      </c>
      <c r="F573">
        <f>IFERROR(VLOOKUP(Tabla1[[#This Row],[SISMED]],TblDisponibilidad[],10,FALSE), 0)</f>
        <v>0</v>
      </c>
      <c r="G573">
        <f>IFERROR(VLOOKUP(Tabla1[[#This Row],[SISMED]],TblDisponibilidad[],11,FALSE), 0)</f>
        <v>0</v>
      </c>
      <c r="H573">
        <f>IFERROR(VLOOKUP(Tabla1[[#This Row],[SISMED]],TblDisponibilidad[],12,FALSE), 0)</f>
        <v>0</v>
      </c>
      <c r="I573">
        <f>IFERROR(VLOOKUP(Tabla1[[#This Row],[SISMED]],TblDisponibilidad[],13,FALSE), 0)</f>
        <v>0</v>
      </c>
      <c r="J573">
        <f>IFERROR(VLOOKUP(Tabla1[[#This Row],[SISMED]],TblDisponibilidad[],14,FALSE), 0)</f>
        <v>0</v>
      </c>
      <c r="K573">
        <f>IFERROR(VLOOKUP(Tabla1[[#This Row],[SISMED]],TblDisponibilidad[],15,FALSE), 0)</f>
        <v>0</v>
      </c>
      <c r="L573">
        <f>IFERROR(VLOOKUP(Tabla1[[#This Row],[SISMED]],TblDisponibilidad[],16,FALSE), 0)</f>
        <v>0</v>
      </c>
      <c r="M573">
        <f>IFERROR(VLOOKUP(Tabla1[[#This Row],[SISMED]],TblDisponibilidad[],17,FALSE), 0)</f>
        <v>0</v>
      </c>
      <c r="N573">
        <f>IFERROR(VLOOKUP(Tabla1[[#This Row],[SISMED]],TblDisponibilidad[],18,FALSE), 0)</f>
        <v>0</v>
      </c>
      <c r="O573">
        <f>IFERROR(VLOOKUP(Tabla1[[#This Row],[SISMED]],TblDisponibilidad[],19,FALSE), 0)</f>
        <v>0</v>
      </c>
      <c r="P573">
        <f>IFERROR(VLOOKUP(Tabla1[[#This Row],[SISMED]],TblDisponibilidad[],20,FALSE), 0)</f>
        <v>0</v>
      </c>
      <c r="Q573">
        <f>IFERROR(VLOOKUP(Tabla1[[#This Row],[SISMED]],TblDisponibilidad[],21,FALSE), 0)</f>
        <v>0</v>
      </c>
      <c r="R573">
        <f>IFERROR(VLOOKUP(Tabla1[[#This Row],[SISMED]],TblDisponibilidad[],22,FALSE), 0)</f>
        <v>0</v>
      </c>
      <c r="S573" s="15">
        <f>IFERROR(VLOOKUP(Tabla1[[#This Row],[SISMED]],TblDisponibilidad[],23,FALSE), 0)</f>
        <v>0</v>
      </c>
    </row>
    <row r="574" spans="1:19" x14ac:dyDescent="0.3">
      <c r="A574" s="15" t="s">
        <v>604</v>
      </c>
      <c r="B574" t="str">
        <f>IFERROR(VLOOKUP(Tabla1[[#This Row],[SISMED]],TblDisponibilidad[],2,FALSE), "")</f>
        <v/>
      </c>
      <c r="C574">
        <f>IFERROR(VLOOKUP(Tabla1[[#This Row],[SISMED]],TblDisponibilidad[],7,FALSE), 0)</f>
        <v>0</v>
      </c>
      <c r="D574">
        <f>IFERROR(VLOOKUP(Tabla1[[#This Row],[SISMED]],TblDisponibilidad[],8,FALSE), 0)</f>
        <v>0</v>
      </c>
      <c r="E574">
        <f>IFERROR(VLOOKUP(Tabla1[[#This Row],[SISMED]],TblDisponibilidad[],9,FALSE), 0)</f>
        <v>0</v>
      </c>
      <c r="F574">
        <f>IFERROR(VLOOKUP(Tabla1[[#This Row],[SISMED]],TblDisponibilidad[],10,FALSE), 0)</f>
        <v>0</v>
      </c>
      <c r="G574">
        <f>IFERROR(VLOOKUP(Tabla1[[#This Row],[SISMED]],TblDisponibilidad[],11,FALSE), 0)</f>
        <v>0</v>
      </c>
      <c r="H574">
        <f>IFERROR(VLOOKUP(Tabla1[[#This Row],[SISMED]],TblDisponibilidad[],12,FALSE), 0)</f>
        <v>0</v>
      </c>
      <c r="I574">
        <f>IFERROR(VLOOKUP(Tabla1[[#This Row],[SISMED]],TblDisponibilidad[],13,FALSE), 0)</f>
        <v>0</v>
      </c>
      <c r="J574">
        <f>IFERROR(VLOOKUP(Tabla1[[#This Row],[SISMED]],TblDisponibilidad[],14,FALSE), 0)</f>
        <v>0</v>
      </c>
      <c r="K574">
        <f>IFERROR(VLOOKUP(Tabla1[[#This Row],[SISMED]],TblDisponibilidad[],15,FALSE), 0)</f>
        <v>0</v>
      </c>
      <c r="L574">
        <f>IFERROR(VLOOKUP(Tabla1[[#This Row],[SISMED]],TblDisponibilidad[],16,FALSE), 0)</f>
        <v>0</v>
      </c>
      <c r="M574">
        <f>IFERROR(VLOOKUP(Tabla1[[#This Row],[SISMED]],TblDisponibilidad[],17,FALSE), 0)</f>
        <v>0</v>
      </c>
      <c r="N574">
        <f>IFERROR(VLOOKUP(Tabla1[[#This Row],[SISMED]],TblDisponibilidad[],18,FALSE), 0)</f>
        <v>0</v>
      </c>
      <c r="O574">
        <f>IFERROR(VLOOKUP(Tabla1[[#This Row],[SISMED]],TblDisponibilidad[],19,FALSE), 0)</f>
        <v>0</v>
      </c>
      <c r="P574">
        <f>IFERROR(VLOOKUP(Tabla1[[#This Row],[SISMED]],TblDisponibilidad[],20,FALSE), 0)</f>
        <v>0</v>
      </c>
      <c r="Q574">
        <f>IFERROR(VLOOKUP(Tabla1[[#This Row],[SISMED]],TblDisponibilidad[],21,FALSE), 0)</f>
        <v>0</v>
      </c>
      <c r="R574">
        <f>IFERROR(VLOOKUP(Tabla1[[#This Row],[SISMED]],TblDisponibilidad[],22,FALSE), 0)</f>
        <v>0</v>
      </c>
      <c r="S574" s="15">
        <f>IFERROR(VLOOKUP(Tabla1[[#This Row],[SISMED]],TblDisponibilidad[],23,FALSE), 0)</f>
        <v>0</v>
      </c>
    </row>
    <row r="575" spans="1:19" x14ac:dyDescent="0.3">
      <c r="A575" s="15" t="s">
        <v>605</v>
      </c>
      <c r="B575" t="str">
        <f>IFERROR(VLOOKUP(Tabla1[[#This Row],[SISMED]],TblDisponibilidad[],2,FALSE), "")</f>
        <v/>
      </c>
      <c r="C575">
        <f>IFERROR(VLOOKUP(Tabla1[[#This Row],[SISMED]],TblDisponibilidad[],7,FALSE), 0)</f>
        <v>0</v>
      </c>
      <c r="D575">
        <f>IFERROR(VLOOKUP(Tabla1[[#This Row],[SISMED]],TblDisponibilidad[],8,FALSE), 0)</f>
        <v>0</v>
      </c>
      <c r="E575">
        <f>IFERROR(VLOOKUP(Tabla1[[#This Row],[SISMED]],TblDisponibilidad[],9,FALSE), 0)</f>
        <v>0</v>
      </c>
      <c r="F575">
        <f>IFERROR(VLOOKUP(Tabla1[[#This Row],[SISMED]],TblDisponibilidad[],10,FALSE), 0)</f>
        <v>0</v>
      </c>
      <c r="G575">
        <f>IFERROR(VLOOKUP(Tabla1[[#This Row],[SISMED]],TblDisponibilidad[],11,FALSE), 0)</f>
        <v>0</v>
      </c>
      <c r="H575">
        <f>IFERROR(VLOOKUP(Tabla1[[#This Row],[SISMED]],TblDisponibilidad[],12,FALSE), 0)</f>
        <v>0</v>
      </c>
      <c r="I575">
        <f>IFERROR(VLOOKUP(Tabla1[[#This Row],[SISMED]],TblDisponibilidad[],13,FALSE), 0)</f>
        <v>0</v>
      </c>
      <c r="J575">
        <f>IFERROR(VLOOKUP(Tabla1[[#This Row],[SISMED]],TblDisponibilidad[],14,FALSE), 0)</f>
        <v>0</v>
      </c>
      <c r="K575">
        <f>IFERROR(VLOOKUP(Tabla1[[#This Row],[SISMED]],TblDisponibilidad[],15,FALSE), 0)</f>
        <v>0</v>
      </c>
      <c r="L575">
        <f>IFERROR(VLOOKUP(Tabla1[[#This Row],[SISMED]],TblDisponibilidad[],16,FALSE), 0)</f>
        <v>0</v>
      </c>
      <c r="M575">
        <f>IFERROR(VLOOKUP(Tabla1[[#This Row],[SISMED]],TblDisponibilidad[],17,FALSE), 0)</f>
        <v>0</v>
      </c>
      <c r="N575">
        <f>IFERROR(VLOOKUP(Tabla1[[#This Row],[SISMED]],TblDisponibilidad[],18,FALSE), 0)</f>
        <v>0</v>
      </c>
      <c r="O575">
        <f>IFERROR(VLOOKUP(Tabla1[[#This Row],[SISMED]],TblDisponibilidad[],19,FALSE), 0)</f>
        <v>0</v>
      </c>
      <c r="P575">
        <f>IFERROR(VLOOKUP(Tabla1[[#This Row],[SISMED]],TblDisponibilidad[],20,FALSE), 0)</f>
        <v>0</v>
      </c>
      <c r="Q575">
        <f>IFERROR(VLOOKUP(Tabla1[[#This Row],[SISMED]],TblDisponibilidad[],21,FALSE), 0)</f>
        <v>0</v>
      </c>
      <c r="R575">
        <f>IFERROR(VLOOKUP(Tabla1[[#This Row],[SISMED]],TblDisponibilidad[],22,FALSE), 0)</f>
        <v>0</v>
      </c>
      <c r="S575" s="15">
        <f>IFERROR(VLOOKUP(Tabla1[[#This Row],[SISMED]],TblDisponibilidad[],23,FALSE), 0)</f>
        <v>0</v>
      </c>
    </row>
    <row r="576" spans="1:19" x14ac:dyDescent="0.3">
      <c r="A576" s="15" t="s">
        <v>606</v>
      </c>
      <c r="B576" t="str">
        <f>IFERROR(VLOOKUP(Tabla1[[#This Row],[SISMED]],TblDisponibilidad[],2,FALSE), "")</f>
        <v/>
      </c>
      <c r="C576">
        <f>IFERROR(VLOOKUP(Tabla1[[#This Row],[SISMED]],TblDisponibilidad[],7,FALSE), 0)</f>
        <v>0</v>
      </c>
      <c r="D576">
        <f>IFERROR(VLOOKUP(Tabla1[[#This Row],[SISMED]],TblDisponibilidad[],8,FALSE), 0)</f>
        <v>0</v>
      </c>
      <c r="E576">
        <f>IFERROR(VLOOKUP(Tabla1[[#This Row],[SISMED]],TblDisponibilidad[],9,FALSE), 0)</f>
        <v>0</v>
      </c>
      <c r="F576">
        <f>IFERROR(VLOOKUP(Tabla1[[#This Row],[SISMED]],TblDisponibilidad[],10,FALSE), 0)</f>
        <v>0</v>
      </c>
      <c r="G576">
        <f>IFERROR(VLOOKUP(Tabla1[[#This Row],[SISMED]],TblDisponibilidad[],11,FALSE), 0)</f>
        <v>0</v>
      </c>
      <c r="H576">
        <f>IFERROR(VLOOKUP(Tabla1[[#This Row],[SISMED]],TblDisponibilidad[],12,FALSE), 0)</f>
        <v>0</v>
      </c>
      <c r="I576">
        <f>IFERROR(VLOOKUP(Tabla1[[#This Row],[SISMED]],TblDisponibilidad[],13,FALSE), 0)</f>
        <v>0</v>
      </c>
      <c r="J576">
        <f>IFERROR(VLOOKUP(Tabla1[[#This Row],[SISMED]],TblDisponibilidad[],14,FALSE), 0)</f>
        <v>0</v>
      </c>
      <c r="K576">
        <f>IFERROR(VLOOKUP(Tabla1[[#This Row],[SISMED]],TblDisponibilidad[],15,FALSE), 0)</f>
        <v>0</v>
      </c>
      <c r="L576">
        <f>IFERROR(VLOOKUP(Tabla1[[#This Row],[SISMED]],TblDisponibilidad[],16,FALSE), 0)</f>
        <v>0</v>
      </c>
      <c r="M576">
        <f>IFERROR(VLOOKUP(Tabla1[[#This Row],[SISMED]],TblDisponibilidad[],17,FALSE), 0)</f>
        <v>0</v>
      </c>
      <c r="N576">
        <f>IFERROR(VLOOKUP(Tabla1[[#This Row],[SISMED]],TblDisponibilidad[],18,FALSE), 0)</f>
        <v>0</v>
      </c>
      <c r="O576">
        <f>IFERROR(VLOOKUP(Tabla1[[#This Row],[SISMED]],TblDisponibilidad[],19,FALSE), 0)</f>
        <v>0</v>
      </c>
      <c r="P576">
        <f>IFERROR(VLOOKUP(Tabla1[[#This Row],[SISMED]],TblDisponibilidad[],20,FALSE), 0)</f>
        <v>0</v>
      </c>
      <c r="Q576">
        <f>IFERROR(VLOOKUP(Tabla1[[#This Row],[SISMED]],TblDisponibilidad[],21,FALSE), 0)</f>
        <v>0</v>
      </c>
      <c r="R576">
        <f>IFERROR(VLOOKUP(Tabla1[[#This Row],[SISMED]],TblDisponibilidad[],22,FALSE), 0)</f>
        <v>0</v>
      </c>
      <c r="S576" s="15">
        <f>IFERROR(VLOOKUP(Tabla1[[#This Row],[SISMED]],TblDisponibilidad[],23,FALSE), 0)</f>
        <v>0</v>
      </c>
    </row>
    <row r="577" spans="1:19" x14ac:dyDescent="0.3">
      <c r="A577" s="15" t="s">
        <v>607</v>
      </c>
      <c r="B577" t="str">
        <f>IFERROR(VLOOKUP(Tabla1[[#This Row],[SISMED]],TblDisponibilidad[],2,FALSE), "")</f>
        <v/>
      </c>
      <c r="C577">
        <f>IFERROR(VLOOKUP(Tabla1[[#This Row],[SISMED]],TblDisponibilidad[],7,FALSE), 0)</f>
        <v>0</v>
      </c>
      <c r="D577">
        <f>IFERROR(VLOOKUP(Tabla1[[#This Row],[SISMED]],TblDisponibilidad[],8,FALSE), 0)</f>
        <v>0</v>
      </c>
      <c r="E577">
        <f>IFERROR(VLOOKUP(Tabla1[[#This Row],[SISMED]],TblDisponibilidad[],9,FALSE), 0)</f>
        <v>0</v>
      </c>
      <c r="F577">
        <f>IFERROR(VLOOKUP(Tabla1[[#This Row],[SISMED]],TblDisponibilidad[],10,FALSE), 0)</f>
        <v>0</v>
      </c>
      <c r="G577">
        <f>IFERROR(VLOOKUP(Tabla1[[#This Row],[SISMED]],TblDisponibilidad[],11,FALSE), 0)</f>
        <v>0</v>
      </c>
      <c r="H577">
        <f>IFERROR(VLOOKUP(Tabla1[[#This Row],[SISMED]],TblDisponibilidad[],12,FALSE), 0)</f>
        <v>0</v>
      </c>
      <c r="I577">
        <f>IFERROR(VLOOKUP(Tabla1[[#This Row],[SISMED]],TblDisponibilidad[],13,FALSE), 0)</f>
        <v>0</v>
      </c>
      <c r="J577">
        <f>IFERROR(VLOOKUP(Tabla1[[#This Row],[SISMED]],TblDisponibilidad[],14,FALSE), 0)</f>
        <v>0</v>
      </c>
      <c r="K577">
        <f>IFERROR(VLOOKUP(Tabla1[[#This Row],[SISMED]],TblDisponibilidad[],15,FALSE), 0)</f>
        <v>0</v>
      </c>
      <c r="L577">
        <f>IFERROR(VLOOKUP(Tabla1[[#This Row],[SISMED]],TblDisponibilidad[],16,FALSE), 0)</f>
        <v>0</v>
      </c>
      <c r="M577">
        <f>IFERROR(VLOOKUP(Tabla1[[#This Row],[SISMED]],TblDisponibilidad[],17,FALSE), 0)</f>
        <v>0</v>
      </c>
      <c r="N577">
        <f>IFERROR(VLOOKUP(Tabla1[[#This Row],[SISMED]],TblDisponibilidad[],18,FALSE), 0)</f>
        <v>0</v>
      </c>
      <c r="O577">
        <f>IFERROR(VLOOKUP(Tabla1[[#This Row],[SISMED]],TblDisponibilidad[],19,FALSE), 0)</f>
        <v>0</v>
      </c>
      <c r="P577">
        <f>IFERROR(VLOOKUP(Tabla1[[#This Row],[SISMED]],TblDisponibilidad[],20,FALSE), 0)</f>
        <v>0</v>
      </c>
      <c r="Q577">
        <f>IFERROR(VLOOKUP(Tabla1[[#This Row],[SISMED]],TblDisponibilidad[],21,FALSE), 0)</f>
        <v>0</v>
      </c>
      <c r="R577">
        <f>IFERROR(VLOOKUP(Tabla1[[#This Row],[SISMED]],TblDisponibilidad[],22,FALSE), 0)</f>
        <v>0</v>
      </c>
      <c r="S577" s="15">
        <f>IFERROR(VLOOKUP(Tabla1[[#This Row],[SISMED]],TblDisponibilidad[],23,FALSE), 0)</f>
        <v>0</v>
      </c>
    </row>
    <row r="578" spans="1:19" x14ac:dyDescent="0.3">
      <c r="A578" s="15" t="s">
        <v>608</v>
      </c>
      <c r="B578" t="str">
        <f>IFERROR(VLOOKUP(Tabla1[[#This Row],[SISMED]],TblDisponibilidad[],2,FALSE), "")</f>
        <v/>
      </c>
      <c r="C578">
        <f>IFERROR(VLOOKUP(Tabla1[[#This Row],[SISMED]],TblDisponibilidad[],7,FALSE), 0)</f>
        <v>0</v>
      </c>
      <c r="D578">
        <f>IFERROR(VLOOKUP(Tabla1[[#This Row],[SISMED]],TblDisponibilidad[],8,FALSE), 0)</f>
        <v>0</v>
      </c>
      <c r="E578">
        <f>IFERROR(VLOOKUP(Tabla1[[#This Row],[SISMED]],TblDisponibilidad[],9,FALSE), 0)</f>
        <v>0</v>
      </c>
      <c r="F578">
        <f>IFERROR(VLOOKUP(Tabla1[[#This Row],[SISMED]],TblDisponibilidad[],10,FALSE), 0)</f>
        <v>0</v>
      </c>
      <c r="G578">
        <f>IFERROR(VLOOKUP(Tabla1[[#This Row],[SISMED]],TblDisponibilidad[],11,FALSE), 0)</f>
        <v>0</v>
      </c>
      <c r="H578">
        <f>IFERROR(VLOOKUP(Tabla1[[#This Row],[SISMED]],TblDisponibilidad[],12,FALSE), 0)</f>
        <v>0</v>
      </c>
      <c r="I578">
        <f>IFERROR(VLOOKUP(Tabla1[[#This Row],[SISMED]],TblDisponibilidad[],13,FALSE), 0)</f>
        <v>0</v>
      </c>
      <c r="J578">
        <f>IFERROR(VLOOKUP(Tabla1[[#This Row],[SISMED]],TblDisponibilidad[],14,FALSE), 0)</f>
        <v>0</v>
      </c>
      <c r="K578">
        <f>IFERROR(VLOOKUP(Tabla1[[#This Row],[SISMED]],TblDisponibilidad[],15,FALSE), 0)</f>
        <v>0</v>
      </c>
      <c r="L578">
        <f>IFERROR(VLOOKUP(Tabla1[[#This Row],[SISMED]],TblDisponibilidad[],16,FALSE), 0)</f>
        <v>0</v>
      </c>
      <c r="M578">
        <f>IFERROR(VLOOKUP(Tabla1[[#This Row],[SISMED]],TblDisponibilidad[],17,FALSE), 0)</f>
        <v>0</v>
      </c>
      <c r="N578">
        <f>IFERROR(VLOOKUP(Tabla1[[#This Row],[SISMED]],TblDisponibilidad[],18,FALSE), 0)</f>
        <v>0</v>
      </c>
      <c r="O578">
        <f>IFERROR(VLOOKUP(Tabla1[[#This Row],[SISMED]],TblDisponibilidad[],19,FALSE), 0)</f>
        <v>0</v>
      </c>
      <c r="P578">
        <f>IFERROR(VLOOKUP(Tabla1[[#This Row],[SISMED]],TblDisponibilidad[],20,FALSE), 0)</f>
        <v>0</v>
      </c>
      <c r="Q578">
        <f>IFERROR(VLOOKUP(Tabla1[[#This Row],[SISMED]],TblDisponibilidad[],21,FALSE), 0)</f>
        <v>0</v>
      </c>
      <c r="R578">
        <f>IFERROR(VLOOKUP(Tabla1[[#This Row],[SISMED]],TblDisponibilidad[],22,FALSE), 0)</f>
        <v>0</v>
      </c>
      <c r="S578" s="15">
        <f>IFERROR(VLOOKUP(Tabla1[[#This Row],[SISMED]],TblDisponibilidad[],23,FALSE), 0)</f>
        <v>0</v>
      </c>
    </row>
    <row r="579" spans="1:19" x14ac:dyDescent="0.3">
      <c r="A579" s="15" t="s">
        <v>609</v>
      </c>
      <c r="B579" t="str">
        <f>IFERROR(VLOOKUP(Tabla1[[#This Row],[SISMED]],TblDisponibilidad[],2,FALSE), "")</f>
        <v/>
      </c>
      <c r="C579">
        <f>IFERROR(VLOOKUP(Tabla1[[#This Row],[SISMED]],TblDisponibilidad[],7,FALSE), 0)</f>
        <v>0</v>
      </c>
      <c r="D579">
        <f>IFERROR(VLOOKUP(Tabla1[[#This Row],[SISMED]],TblDisponibilidad[],8,FALSE), 0)</f>
        <v>0</v>
      </c>
      <c r="E579">
        <f>IFERROR(VLOOKUP(Tabla1[[#This Row],[SISMED]],TblDisponibilidad[],9,FALSE), 0)</f>
        <v>0</v>
      </c>
      <c r="F579">
        <f>IFERROR(VLOOKUP(Tabla1[[#This Row],[SISMED]],TblDisponibilidad[],10,FALSE), 0)</f>
        <v>0</v>
      </c>
      <c r="G579">
        <f>IFERROR(VLOOKUP(Tabla1[[#This Row],[SISMED]],TblDisponibilidad[],11,FALSE), 0)</f>
        <v>0</v>
      </c>
      <c r="H579">
        <f>IFERROR(VLOOKUP(Tabla1[[#This Row],[SISMED]],TblDisponibilidad[],12,FALSE), 0)</f>
        <v>0</v>
      </c>
      <c r="I579">
        <f>IFERROR(VLOOKUP(Tabla1[[#This Row],[SISMED]],TblDisponibilidad[],13,FALSE), 0)</f>
        <v>0</v>
      </c>
      <c r="J579">
        <f>IFERROR(VLOOKUP(Tabla1[[#This Row],[SISMED]],TblDisponibilidad[],14,FALSE), 0)</f>
        <v>0</v>
      </c>
      <c r="K579">
        <f>IFERROR(VLOOKUP(Tabla1[[#This Row],[SISMED]],TblDisponibilidad[],15,FALSE), 0)</f>
        <v>0</v>
      </c>
      <c r="L579">
        <f>IFERROR(VLOOKUP(Tabla1[[#This Row],[SISMED]],TblDisponibilidad[],16,FALSE), 0)</f>
        <v>0</v>
      </c>
      <c r="M579">
        <f>IFERROR(VLOOKUP(Tabla1[[#This Row],[SISMED]],TblDisponibilidad[],17,FALSE), 0)</f>
        <v>0</v>
      </c>
      <c r="N579">
        <f>IFERROR(VLOOKUP(Tabla1[[#This Row],[SISMED]],TblDisponibilidad[],18,FALSE), 0)</f>
        <v>0</v>
      </c>
      <c r="O579">
        <f>IFERROR(VLOOKUP(Tabla1[[#This Row],[SISMED]],TblDisponibilidad[],19,FALSE), 0)</f>
        <v>0</v>
      </c>
      <c r="P579">
        <f>IFERROR(VLOOKUP(Tabla1[[#This Row],[SISMED]],TblDisponibilidad[],20,FALSE), 0)</f>
        <v>0</v>
      </c>
      <c r="Q579">
        <f>IFERROR(VLOOKUP(Tabla1[[#This Row],[SISMED]],TblDisponibilidad[],21,FALSE), 0)</f>
        <v>0</v>
      </c>
      <c r="R579">
        <f>IFERROR(VLOOKUP(Tabla1[[#This Row],[SISMED]],TblDisponibilidad[],22,FALSE), 0)</f>
        <v>0</v>
      </c>
      <c r="S579" s="15">
        <f>IFERROR(VLOOKUP(Tabla1[[#This Row],[SISMED]],TblDisponibilidad[],23,FALSE), 0)</f>
        <v>0</v>
      </c>
    </row>
    <row r="580" spans="1:19" x14ac:dyDescent="0.3">
      <c r="A580" s="15" t="s">
        <v>610</v>
      </c>
      <c r="B580" t="str">
        <f>IFERROR(VLOOKUP(Tabla1[[#This Row],[SISMED]],TblDisponibilidad[],2,FALSE), "")</f>
        <v/>
      </c>
      <c r="C580">
        <f>IFERROR(VLOOKUP(Tabla1[[#This Row],[SISMED]],TblDisponibilidad[],7,FALSE), 0)</f>
        <v>0</v>
      </c>
      <c r="D580">
        <f>IFERROR(VLOOKUP(Tabla1[[#This Row],[SISMED]],TblDisponibilidad[],8,FALSE), 0)</f>
        <v>0</v>
      </c>
      <c r="E580">
        <f>IFERROR(VLOOKUP(Tabla1[[#This Row],[SISMED]],TblDisponibilidad[],9,FALSE), 0)</f>
        <v>0</v>
      </c>
      <c r="F580">
        <f>IFERROR(VLOOKUP(Tabla1[[#This Row],[SISMED]],TblDisponibilidad[],10,FALSE), 0)</f>
        <v>0</v>
      </c>
      <c r="G580">
        <f>IFERROR(VLOOKUP(Tabla1[[#This Row],[SISMED]],TblDisponibilidad[],11,FALSE), 0)</f>
        <v>0</v>
      </c>
      <c r="H580">
        <f>IFERROR(VLOOKUP(Tabla1[[#This Row],[SISMED]],TblDisponibilidad[],12,FALSE), 0)</f>
        <v>0</v>
      </c>
      <c r="I580">
        <f>IFERROR(VLOOKUP(Tabla1[[#This Row],[SISMED]],TblDisponibilidad[],13,FALSE), 0)</f>
        <v>0</v>
      </c>
      <c r="J580">
        <f>IFERROR(VLOOKUP(Tabla1[[#This Row],[SISMED]],TblDisponibilidad[],14,FALSE), 0)</f>
        <v>0</v>
      </c>
      <c r="K580">
        <f>IFERROR(VLOOKUP(Tabla1[[#This Row],[SISMED]],TblDisponibilidad[],15,FALSE), 0)</f>
        <v>0</v>
      </c>
      <c r="L580">
        <f>IFERROR(VLOOKUP(Tabla1[[#This Row],[SISMED]],TblDisponibilidad[],16,FALSE), 0)</f>
        <v>0</v>
      </c>
      <c r="M580">
        <f>IFERROR(VLOOKUP(Tabla1[[#This Row],[SISMED]],TblDisponibilidad[],17,FALSE), 0)</f>
        <v>0</v>
      </c>
      <c r="N580">
        <f>IFERROR(VLOOKUP(Tabla1[[#This Row],[SISMED]],TblDisponibilidad[],18,FALSE), 0)</f>
        <v>0</v>
      </c>
      <c r="O580">
        <f>IFERROR(VLOOKUP(Tabla1[[#This Row],[SISMED]],TblDisponibilidad[],19,FALSE), 0)</f>
        <v>0</v>
      </c>
      <c r="P580">
        <f>IFERROR(VLOOKUP(Tabla1[[#This Row],[SISMED]],TblDisponibilidad[],20,FALSE), 0)</f>
        <v>0</v>
      </c>
      <c r="Q580">
        <f>IFERROR(VLOOKUP(Tabla1[[#This Row],[SISMED]],TblDisponibilidad[],21,FALSE), 0)</f>
        <v>0</v>
      </c>
      <c r="R580">
        <f>IFERROR(VLOOKUP(Tabla1[[#This Row],[SISMED]],TblDisponibilidad[],22,FALSE), 0)</f>
        <v>0</v>
      </c>
      <c r="S580" s="15">
        <f>IFERROR(VLOOKUP(Tabla1[[#This Row],[SISMED]],TblDisponibilidad[],23,FALSE), 0)</f>
        <v>0</v>
      </c>
    </row>
    <row r="581" spans="1:19" x14ac:dyDescent="0.3">
      <c r="A581" s="15" t="s">
        <v>611</v>
      </c>
      <c r="B581" t="str">
        <f>IFERROR(VLOOKUP(Tabla1[[#This Row],[SISMED]],TblDisponibilidad[],2,FALSE), "")</f>
        <v/>
      </c>
      <c r="C581">
        <f>IFERROR(VLOOKUP(Tabla1[[#This Row],[SISMED]],TblDisponibilidad[],7,FALSE), 0)</f>
        <v>0</v>
      </c>
      <c r="D581">
        <f>IFERROR(VLOOKUP(Tabla1[[#This Row],[SISMED]],TblDisponibilidad[],8,FALSE), 0)</f>
        <v>0</v>
      </c>
      <c r="E581">
        <f>IFERROR(VLOOKUP(Tabla1[[#This Row],[SISMED]],TblDisponibilidad[],9,FALSE), 0)</f>
        <v>0</v>
      </c>
      <c r="F581">
        <f>IFERROR(VLOOKUP(Tabla1[[#This Row],[SISMED]],TblDisponibilidad[],10,FALSE), 0)</f>
        <v>0</v>
      </c>
      <c r="G581">
        <f>IFERROR(VLOOKUP(Tabla1[[#This Row],[SISMED]],TblDisponibilidad[],11,FALSE), 0)</f>
        <v>0</v>
      </c>
      <c r="H581">
        <f>IFERROR(VLOOKUP(Tabla1[[#This Row],[SISMED]],TblDisponibilidad[],12,FALSE), 0)</f>
        <v>0</v>
      </c>
      <c r="I581">
        <f>IFERROR(VLOOKUP(Tabla1[[#This Row],[SISMED]],TblDisponibilidad[],13,FALSE), 0)</f>
        <v>0</v>
      </c>
      <c r="J581">
        <f>IFERROR(VLOOKUP(Tabla1[[#This Row],[SISMED]],TblDisponibilidad[],14,FALSE), 0)</f>
        <v>0</v>
      </c>
      <c r="K581">
        <f>IFERROR(VLOOKUP(Tabla1[[#This Row],[SISMED]],TblDisponibilidad[],15,FALSE), 0)</f>
        <v>0</v>
      </c>
      <c r="L581">
        <f>IFERROR(VLOOKUP(Tabla1[[#This Row],[SISMED]],TblDisponibilidad[],16,FALSE), 0)</f>
        <v>0</v>
      </c>
      <c r="M581">
        <f>IFERROR(VLOOKUP(Tabla1[[#This Row],[SISMED]],TblDisponibilidad[],17,FALSE), 0)</f>
        <v>0</v>
      </c>
      <c r="N581">
        <f>IFERROR(VLOOKUP(Tabla1[[#This Row],[SISMED]],TblDisponibilidad[],18,FALSE), 0)</f>
        <v>0</v>
      </c>
      <c r="O581">
        <f>IFERROR(VLOOKUP(Tabla1[[#This Row],[SISMED]],TblDisponibilidad[],19,FALSE), 0)</f>
        <v>0</v>
      </c>
      <c r="P581">
        <f>IFERROR(VLOOKUP(Tabla1[[#This Row],[SISMED]],TblDisponibilidad[],20,FALSE), 0)</f>
        <v>0</v>
      </c>
      <c r="Q581">
        <f>IFERROR(VLOOKUP(Tabla1[[#This Row],[SISMED]],TblDisponibilidad[],21,FALSE), 0)</f>
        <v>0</v>
      </c>
      <c r="R581">
        <f>IFERROR(VLOOKUP(Tabla1[[#This Row],[SISMED]],TblDisponibilidad[],22,FALSE), 0)</f>
        <v>0</v>
      </c>
      <c r="S581" s="15">
        <f>IFERROR(VLOOKUP(Tabla1[[#This Row],[SISMED]],TblDisponibilidad[],23,FALSE), 0)</f>
        <v>0</v>
      </c>
    </row>
    <row r="582" spans="1:19" x14ac:dyDescent="0.3">
      <c r="A582" s="15" t="s">
        <v>612</v>
      </c>
      <c r="B582" t="str">
        <f>IFERROR(VLOOKUP(Tabla1[[#This Row],[SISMED]],TblDisponibilidad[],2,FALSE), "")</f>
        <v/>
      </c>
      <c r="C582">
        <f>IFERROR(VLOOKUP(Tabla1[[#This Row],[SISMED]],TblDisponibilidad[],7,FALSE), 0)</f>
        <v>0</v>
      </c>
      <c r="D582">
        <f>IFERROR(VLOOKUP(Tabla1[[#This Row],[SISMED]],TblDisponibilidad[],8,FALSE), 0)</f>
        <v>0</v>
      </c>
      <c r="E582">
        <f>IFERROR(VLOOKUP(Tabla1[[#This Row],[SISMED]],TblDisponibilidad[],9,FALSE), 0)</f>
        <v>0</v>
      </c>
      <c r="F582">
        <f>IFERROR(VLOOKUP(Tabla1[[#This Row],[SISMED]],TblDisponibilidad[],10,FALSE), 0)</f>
        <v>0</v>
      </c>
      <c r="G582">
        <f>IFERROR(VLOOKUP(Tabla1[[#This Row],[SISMED]],TblDisponibilidad[],11,FALSE), 0)</f>
        <v>0</v>
      </c>
      <c r="H582">
        <f>IFERROR(VLOOKUP(Tabla1[[#This Row],[SISMED]],TblDisponibilidad[],12,FALSE), 0)</f>
        <v>0</v>
      </c>
      <c r="I582">
        <f>IFERROR(VLOOKUP(Tabla1[[#This Row],[SISMED]],TblDisponibilidad[],13,FALSE), 0)</f>
        <v>0</v>
      </c>
      <c r="J582">
        <f>IFERROR(VLOOKUP(Tabla1[[#This Row],[SISMED]],TblDisponibilidad[],14,FALSE), 0)</f>
        <v>0</v>
      </c>
      <c r="K582">
        <f>IFERROR(VLOOKUP(Tabla1[[#This Row],[SISMED]],TblDisponibilidad[],15,FALSE), 0)</f>
        <v>0</v>
      </c>
      <c r="L582">
        <f>IFERROR(VLOOKUP(Tabla1[[#This Row],[SISMED]],TblDisponibilidad[],16,FALSE), 0)</f>
        <v>0</v>
      </c>
      <c r="M582">
        <f>IFERROR(VLOOKUP(Tabla1[[#This Row],[SISMED]],TblDisponibilidad[],17,FALSE), 0)</f>
        <v>0</v>
      </c>
      <c r="N582">
        <f>IFERROR(VLOOKUP(Tabla1[[#This Row],[SISMED]],TblDisponibilidad[],18,FALSE), 0)</f>
        <v>0</v>
      </c>
      <c r="O582">
        <f>IFERROR(VLOOKUP(Tabla1[[#This Row],[SISMED]],TblDisponibilidad[],19,FALSE), 0)</f>
        <v>0</v>
      </c>
      <c r="P582">
        <f>IFERROR(VLOOKUP(Tabla1[[#This Row],[SISMED]],TblDisponibilidad[],20,FALSE), 0)</f>
        <v>0</v>
      </c>
      <c r="Q582">
        <f>IFERROR(VLOOKUP(Tabla1[[#This Row],[SISMED]],TblDisponibilidad[],21,FALSE), 0)</f>
        <v>0</v>
      </c>
      <c r="R582">
        <f>IFERROR(VLOOKUP(Tabla1[[#This Row],[SISMED]],TblDisponibilidad[],22,FALSE), 0)</f>
        <v>0</v>
      </c>
      <c r="S582" s="15">
        <f>IFERROR(VLOOKUP(Tabla1[[#This Row],[SISMED]],TblDisponibilidad[],23,FALSE), 0)</f>
        <v>0</v>
      </c>
    </row>
    <row r="583" spans="1:19" x14ac:dyDescent="0.3">
      <c r="A583" s="15" t="s">
        <v>613</v>
      </c>
      <c r="B583" t="str">
        <f>IFERROR(VLOOKUP(Tabla1[[#This Row],[SISMED]],TblDisponibilidad[],2,FALSE), "")</f>
        <v/>
      </c>
      <c r="C583">
        <f>IFERROR(VLOOKUP(Tabla1[[#This Row],[SISMED]],TblDisponibilidad[],7,FALSE), 0)</f>
        <v>0</v>
      </c>
      <c r="D583">
        <f>IFERROR(VLOOKUP(Tabla1[[#This Row],[SISMED]],TblDisponibilidad[],8,FALSE), 0)</f>
        <v>0</v>
      </c>
      <c r="E583">
        <f>IFERROR(VLOOKUP(Tabla1[[#This Row],[SISMED]],TblDisponibilidad[],9,FALSE), 0)</f>
        <v>0</v>
      </c>
      <c r="F583">
        <f>IFERROR(VLOOKUP(Tabla1[[#This Row],[SISMED]],TblDisponibilidad[],10,FALSE), 0)</f>
        <v>0</v>
      </c>
      <c r="G583">
        <f>IFERROR(VLOOKUP(Tabla1[[#This Row],[SISMED]],TblDisponibilidad[],11,FALSE), 0)</f>
        <v>0</v>
      </c>
      <c r="H583">
        <f>IFERROR(VLOOKUP(Tabla1[[#This Row],[SISMED]],TblDisponibilidad[],12,FALSE), 0)</f>
        <v>0</v>
      </c>
      <c r="I583">
        <f>IFERROR(VLOOKUP(Tabla1[[#This Row],[SISMED]],TblDisponibilidad[],13,FALSE), 0)</f>
        <v>0</v>
      </c>
      <c r="J583">
        <f>IFERROR(VLOOKUP(Tabla1[[#This Row],[SISMED]],TblDisponibilidad[],14,FALSE), 0)</f>
        <v>0</v>
      </c>
      <c r="K583">
        <f>IFERROR(VLOOKUP(Tabla1[[#This Row],[SISMED]],TblDisponibilidad[],15,FALSE), 0)</f>
        <v>0</v>
      </c>
      <c r="L583">
        <f>IFERROR(VLOOKUP(Tabla1[[#This Row],[SISMED]],TblDisponibilidad[],16,FALSE), 0)</f>
        <v>0</v>
      </c>
      <c r="M583">
        <f>IFERROR(VLOOKUP(Tabla1[[#This Row],[SISMED]],TblDisponibilidad[],17,FALSE), 0)</f>
        <v>0</v>
      </c>
      <c r="N583">
        <f>IFERROR(VLOOKUP(Tabla1[[#This Row],[SISMED]],TblDisponibilidad[],18,FALSE), 0)</f>
        <v>0</v>
      </c>
      <c r="O583">
        <f>IFERROR(VLOOKUP(Tabla1[[#This Row],[SISMED]],TblDisponibilidad[],19,FALSE), 0)</f>
        <v>0</v>
      </c>
      <c r="P583">
        <f>IFERROR(VLOOKUP(Tabla1[[#This Row],[SISMED]],TblDisponibilidad[],20,FALSE), 0)</f>
        <v>0</v>
      </c>
      <c r="Q583">
        <f>IFERROR(VLOOKUP(Tabla1[[#This Row],[SISMED]],TblDisponibilidad[],21,FALSE), 0)</f>
        <v>0</v>
      </c>
      <c r="R583">
        <f>IFERROR(VLOOKUP(Tabla1[[#This Row],[SISMED]],TblDisponibilidad[],22,FALSE), 0)</f>
        <v>0</v>
      </c>
      <c r="S583" s="15">
        <f>IFERROR(VLOOKUP(Tabla1[[#This Row],[SISMED]],TblDisponibilidad[],23,FALSE), 0)</f>
        <v>0</v>
      </c>
    </row>
    <row r="584" spans="1:19" x14ac:dyDescent="0.3">
      <c r="A584" s="15" t="s">
        <v>614</v>
      </c>
      <c r="B584" t="str">
        <f>IFERROR(VLOOKUP(Tabla1[[#This Row],[SISMED]],TblDisponibilidad[],2,FALSE), "")</f>
        <v/>
      </c>
      <c r="C584">
        <f>IFERROR(VLOOKUP(Tabla1[[#This Row],[SISMED]],TblDisponibilidad[],7,FALSE), 0)</f>
        <v>0</v>
      </c>
      <c r="D584">
        <f>IFERROR(VLOOKUP(Tabla1[[#This Row],[SISMED]],TblDisponibilidad[],8,FALSE), 0)</f>
        <v>0</v>
      </c>
      <c r="E584">
        <f>IFERROR(VLOOKUP(Tabla1[[#This Row],[SISMED]],TblDisponibilidad[],9,FALSE), 0)</f>
        <v>0</v>
      </c>
      <c r="F584">
        <f>IFERROR(VLOOKUP(Tabla1[[#This Row],[SISMED]],TblDisponibilidad[],10,FALSE), 0)</f>
        <v>0</v>
      </c>
      <c r="G584">
        <f>IFERROR(VLOOKUP(Tabla1[[#This Row],[SISMED]],TblDisponibilidad[],11,FALSE), 0)</f>
        <v>0</v>
      </c>
      <c r="H584">
        <f>IFERROR(VLOOKUP(Tabla1[[#This Row],[SISMED]],TblDisponibilidad[],12,FALSE), 0)</f>
        <v>0</v>
      </c>
      <c r="I584">
        <f>IFERROR(VLOOKUP(Tabla1[[#This Row],[SISMED]],TblDisponibilidad[],13,FALSE), 0)</f>
        <v>0</v>
      </c>
      <c r="J584">
        <f>IFERROR(VLOOKUP(Tabla1[[#This Row],[SISMED]],TblDisponibilidad[],14,FALSE), 0)</f>
        <v>0</v>
      </c>
      <c r="K584">
        <f>IFERROR(VLOOKUP(Tabla1[[#This Row],[SISMED]],TblDisponibilidad[],15,FALSE), 0)</f>
        <v>0</v>
      </c>
      <c r="L584">
        <f>IFERROR(VLOOKUP(Tabla1[[#This Row],[SISMED]],TblDisponibilidad[],16,FALSE), 0)</f>
        <v>0</v>
      </c>
      <c r="M584">
        <f>IFERROR(VLOOKUP(Tabla1[[#This Row],[SISMED]],TblDisponibilidad[],17,FALSE), 0)</f>
        <v>0</v>
      </c>
      <c r="N584">
        <f>IFERROR(VLOOKUP(Tabla1[[#This Row],[SISMED]],TblDisponibilidad[],18,FALSE), 0)</f>
        <v>0</v>
      </c>
      <c r="O584">
        <f>IFERROR(VLOOKUP(Tabla1[[#This Row],[SISMED]],TblDisponibilidad[],19,FALSE), 0)</f>
        <v>0</v>
      </c>
      <c r="P584">
        <f>IFERROR(VLOOKUP(Tabla1[[#This Row],[SISMED]],TblDisponibilidad[],20,FALSE), 0)</f>
        <v>0</v>
      </c>
      <c r="Q584">
        <f>IFERROR(VLOOKUP(Tabla1[[#This Row],[SISMED]],TblDisponibilidad[],21,FALSE), 0)</f>
        <v>0</v>
      </c>
      <c r="R584">
        <f>IFERROR(VLOOKUP(Tabla1[[#This Row],[SISMED]],TblDisponibilidad[],22,FALSE), 0)</f>
        <v>0</v>
      </c>
      <c r="S584" s="15">
        <f>IFERROR(VLOOKUP(Tabla1[[#This Row],[SISMED]],TblDisponibilidad[],23,FALSE), 0)</f>
        <v>0</v>
      </c>
    </row>
    <row r="585" spans="1:19" x14ac:dyDescent="0.3">
      <c r="A585" s="15" t="s">
        <v>615</v>
      </c>
      <c r="B585" t="str">
        <f>IFERROR(VLOOKUP(Tabla1[[#This Row],[SISMED]],TblDisponibilidad[],2,FALSE), "")</f>
        <v/>
      </c>
      <c r="C585">
        <f>IFERROR(VLOOKUP(Tabla1[[#This Row],[SISMED]],TblDisponibilidad[],7,FALSE), 0)</f>
        <v>0</v>
      </c>
      <c r="D585">
        <f>IFERROR(VLOOKUP(Tabla1[[#This Row],[SISMED]],TblDisponibilidad[],8,FALSE), 0)</f>
        <v>0</v>
      </c>
      <c r="E585">
        <f>IFERROR(VLOOKUP(Tabla1[[#This Row],[SISMED]],TblDisponibilidad[],9,FALSE), 0)</f>
        <v>0</v>
      </c>
      <c r="F585">
        <f>IFERROR(VLOOKUP(Tabla1[[#This Row],[SISMED]],TblDisponibilidad[],10,FALSE), 0)</f>
        <v>0</v>
      </c>
      <c r="G585">
        <f>IFERROR(VLOOKUP(Tabla1[[#This Row],[SISMED]],TblDisponibilidad[],11,FALSE), 0)</f>
        <v>0</v>
      </c>
      <c r="H585">
        <f>IFERROR(VLOOKUP(Tabla1[[#This Row],[SISMED]],TblDisponibilidad[],12,FALSE), 0)</f>
        <v>0</v>
      </c>
      <c r="I585">
        <f>IFERROR(VLOOKUP(Tabla1[[#This Row],[SISMED]],TblDisponibilidad[],13,FALSE), 0)</f>
        <v>0</v>
      </c>
      <c r="J585">
        <f>IFERROR(VLOOKUP(Tabla1[[#This Row],[SISMED]],TblDisponibilidad[],14,FALSE), 0)</f>
        <v>0</v>
      </c>
      <c r="K585">
        <f>IFERROR(VLOOKUP(Tabla1[[#This Row],[SISMED]],TblDisponibilidad[],15,FALSE), 0)</f>
        <v>0</v>
      </c>
      <c r="L585">
        <f>IFERROR(VLOOKUP(Tabla1[[#This Row],[SISMED]],TblDisponibilidad[],16,FALSE), 0)</f>
        <v>0</v>
      </c>
      <c r="M585">
        <f>IFERROR(VLOOKUP(Tabla1[[#This Row],[SISMED]],TblDisponibilidad[],17,FALSE), 0)</f>
        <v>0</v>
      </c>
      <c r="N585">
        <f>IFERROR(VLOOKUP(Tabla1[[#This Row],[SISMED]],TblDisponibilidad[],18,FALSE), 0)</f>
        <v>0</v>
      </c>
      <c r="O585">
        <f>IFERROR(VLOOKUP(Tabla1[[#This Row],[SISMED]],TblDisponibilidad[],19,FALSE), 0)</f>
        <v>0</v>
      </c>
      <c r="P585">
        <f>IFERROR(VLOOKUP(Tabla1[[#This Row],[SISMED]],TblDisponibilidad[],20,FALSE), 0)</f>
        <v>0</v>
      </c>
      <c r="Q585">
        <f>IFERROR(VLOOKUP(Tabla1[[#This Row],[SISMED]],TblDisponibilidad[],21,FALSE), 0)</f>
        <v>0</v>
      </c>
      <c r="R585">
        <f>IFERROR(VLOOKUP(Tabla1[[#This Row],[SISMED]],TblDisponibilidad[],22,FALSE), 0)</f>
        <v>0</v>
      </c>
      <c r="S585" s="15">
        <f>IFERROR(VLOOKUP(Tabla1[[#This Row],[SISMED]],TblDisponibilidad[],23,FALSE), 0)</f>
        <v>0</v>
      </c>
    </row>
    <row r="586" spans="1:19" x14ac:dyDescent="0.3">
      <c r="A586" s="15" t="s">
        <v>616</v>
      </c>
      <c r="B586" t="str">
        <f>IFERROR(VLOOKUP(Tabla1[[#This Row],[SISMED]],TblDisponibilidad[],2,FALSE), "")</f>
        <v/>
      </c>
      <c r="C586">
        <f>IFERROR(VLOOKUP(Tabla1[[#This Row],[SISMED]],TblDisponibilidad[],7,FALSE), 0)</f>
        <v>0</v>
      </c>
      <c r="D586">
        <f>IFERROR(VLOOKUP(Tabla1[[#This Row],[SISMED]],TblDisponibilidad[],8,FALSE), 0)</f>
        <v>0</v>
      </c>
      <c r="E586">
        <f>IFERROR(VLOOKUP(Tabla1[[#This Row],[SISMED]],TblDisponibilidad[],9,FALSE), 0)</f>
        <v>0</v>
      </c>
      <c r="F586">
        <f>IFERROR(VLOOKUP(Tabla1[[#This Row],[SISMED]],TblDisponibilidad[],10,FALSE), 0)</f>
        <v>0</v>
      </c>
      <c r="G586">
        <f>IFERROR(VLOOKUP(Tabla1[[#This Row],[SISMED]],TblDisponibilidad[],11,FALSE), 0)</f>
        <v>0</v>
      </c>
      <c r="H586">
        <f>IFERROR(VLOOKUP(Tabla1[[#This Row],[SISMED]],TblDisponibilidad[],12,FALSE), 0)</f>
        <v>0</v>
      </c>
      <c r="I586">
        <f>IFERROR(VLOOKUP(Tabla1[[#This Row],[SISMED]],TblDisponibilidad[],13,FALSE), 0)</f>
        <v>0</v>
      </c>
      <c r="J586">
        <f>IFERROR(VLOOKUP(Tabla1[[#This Row],[SISMED]],TblDisponibilidad[],14,FALSE), 0)</f>
        <v>0</v>
      </c>
      <c r="K586">
        <f>IFERROR(VLOOKUP(Tabla1[[#This Row],[SISMED]],TblDisponibilidad[],15,FALSE), 0)</f>
        <v>0</v>
      </c>
      <c r="L586">
        <f>IFERROR(VLOOKUP(Tabla1[[#This Row],[SISMED]],TblDisponibilidad[],16,FALSE), 0)</f>
        <v>0</v>
      </c>
      <c r="M586">
        <f>IFERROR(VLOOKUP(Tabla1[[#This Row],[SISMED]],TblDisponibilidad[],17,FALSE), 0)</f>
        <v>0</v>
      </c>
      <c r="N586">
        <f>IFERROR(VLOOKUP(Tabla1[[#This Row],[SISMED]],TblDisponibilidad[],18,FALSE), 0)</f>
        <v>0</v>
      </c>
      <c r="O586">
        <f>IFERROR(VLOOKUP(Tabla1[[#This Row],[SISMED]],TblDisponibilidad[],19,FALSE), 0)</f>
        <v>0</v>
      </c>
      <c r="P586">
        <f>IFERROR(VLOOKUP(Tabla1[[#This Row],[SISMED]],TblDisponibilidad[],20,FALSE), 0)</f>
        <v>0</v>
      </c>
      <c r="Q586">
        <f>IFERROR(VLOOKUP(Tabla1[[#This Row],[SISMED]],TblDisponibilidad[],21,FALSE), 0)</f>
        <v>0</v>
      </c>
      <c r="R586">
        <f>IFERROR(VLOOKUP(Tabla1[[#This Row],[SISMED]],TblDisponibilidad[],22,FALSE), 0)</f>
        <v>0</v>
      </c>
      <c r="S586" s="15">
        <f>IFERROR(VLOOKUP(Tabla1[[#This Row],[SISMED]],TblDisponibilidad[],23,FALSE), 0)</f>
        <v>0</v>
      </c>
    </row>
    <row r="587" spans="1:19" x14ac:dyDescent="0.3">
      <c r="A587" s="15" t="s">
        <v>617</v>
      </c>
      <c r="B587" t="str">
        <f>IFERROR(VLOOKUP(Tabla1[[#This Row],[SISMED]],TblDisponibilidad[],2,FALSE), "")</f>
        <v/>
      </c>
      <c r="C587">
        <f>IFERROR(VLOOKUP(Tabla1[[#This Row],[SISMED]],TblDisponibilidad[],7,FALSE), 0)</f>
        <v>0</v>
      </c>
      <c r="D587">
        <f>IFERROR(VLOOKUP(Tabla1[[#This Row],[SISMED]],TblDisponibilidad[],8,FALSE), 0)</f>
        <v>0</v>
      </c>
      <c r="E587">
        <f>IFERROR(VLOOKUP(Tabla1[[#This Row],[SISMED]],TblDisponibilidad[],9,FALSE), 0)</f>
        <v>0</v>
      </c>
      <c r="F587">
        <f>IFERROR(VLOOKUP(Tabla1[[#This Row],[SISMED]],TblDisponibilidad[],10,FALSE), 0)</f>
        <v>0</v>
      </c>
      <c r="G587">
        <f>IFERROR(VLOOKUP(Tabla1[[#This Row],[SISMED]],TblDisponibilidad[],11,FALSE), 0)</f>
        <v>0</v>
      </c>
      <c r="H587">
        <f>IFERROR(VLOOKUP(Tabla1[[#This Row],[SISMED]],TblDisponibilidad[],12,FALSE), 0)</f>
        <v>0</v>
      </c>
      <c r="I587">
        <f>IFERROR(VLOOKUP(Tabla1[[#This Row],[SISMED]],TblDisponibilidad[],13,FALSE), 0)</f>
        <v>0</v>
      </c>
      <c r="J587">
        <f>IFERROR(VLOOKUP(Tabla1[[#This Row],[SISMED]],TblDisponibilidad[],14,FALSE), 0)</f>
        <v>0</v>
      </c>
      <c r="K587">
        <f>IFERROR(VLOOKUP(Tabla1[[#This Row],[SISMED]],TblDisponibilidad[],15,FALSE), 0)</f>
        <v>0</v>
      </c>
      <c r="L587">
        <f>IFERROR(VLOOKUP(Tabla1[[#This Row],[SISMED]],TblDisponibilidad[],16,FALSE), 0)</f>
        <v>0</v>
      </c>
      <c r="M587">
        <f>IFERROR(VLOOKUP(Tabla1[[#This Row],[SISMED]],TblDisponibilidad[],17,FALSE), 0)</f>
        <v>0</v>
      </c>
      <c r="N587">
        <f>IFERROR(VLOOKUP(Tabla1[[#This Row],[SISMED]],TblDisponibilidad[],18,FALSE), 0)</f>
        <v>0</v>
      </c>
      <c r="O587">
        <f>IFERROR(VLOOKUP(Tabla1[[#This Row],[SISMED]],TblDisponibilidad[],19,FALSE), 0)</f>
        <v>0</v>
      </c>
      <c r="P587">
        <f>IFERROR(VLOOKUP(Tabla1[[#This Row],[SISMED]],TblDisponibilidad[],20,FALSE), 0)</f>
        <v>0</v>
      </c>
      <c r="Q587">
        <f>IFERROR(VLOOKUP(Tabla1[[#This Row],[SISMED]],TblDisponibilidad[],21,FALSE), 0)</f>
        <v>0</v>
      </c>
      <c r="R587">
        <f>IFERROR(VLOOKUP(Tabla1[[#This Row],[SISMED]],TblDisponibilidad[],22,FALSE), 0)</f>
        <v>0</v>
      </c>
      <c r="S587" s="15">
        <f>IFERROR(VLOOKUP(Tabla1[[#This Row],[SISMED]],TblDisponibilidad[],23,FALSE), 0)</f>
        <v>0</v>
      </c>
    </row>
    <row r="588" spans="1:19" x14ac:dyDescent="0.3">
      <c r="A588" s="15" t="s">
        <v>618</v>
      </c>
      <c r="B588" t="str">
        <f>IFERROR(VLOOKUP(Tabla1[[#This Row],[SISMED]],TblDisponibilidad[],2,FALSE), "")</f>
        <v/>
      </c>
      <c r="C588">
        <f>IFERROR(VLOOKUP(Tabla1[[#This Row],[SISMED]],TblDisponibilidad[],7,FALSE), 0)</f>
        <v>0</v>
      </c>
      <c r="D588">
        <f>IFERROR(VLOOKUP(Tabla1[[#This Row],[SISMED]],TblDisponibilidad[],8,FALSE), 0)</f>
        <v>0</v>
      </c>
      <c r="E588">
        <f>IFERROR(VLOOKUP(Tabla1[[#This Row],[SISMED]],TblDisponibilidad[],9,FALSE), 0)</f>
        <v>0</v>
      </c>
      <c r="F588">
        <f>IFERROR(VLOOKUP(Tabla1[[#This Row],[SISMED]],TblDisponibilidad[],10,FALSE), 0)</f>
        <v>0</v>
      </c>
      <c r="G588">
        <f>IFERROR(VLOOKUP(Tabla1[[#This Row],[SISMED]],TblDisponibilidad[],11,FALSE), 0)</f>
        <v>0</v>
      </c>
      <c r="H588">
        <f>IFERROR(VLOOKUP(Tabla1[[#This Row],[SISMED]],TblDisponibilidad[],12,FALSE), 0)</f>
        <v>0</v>
      </c>
      <c r="I588">
        <f>IFERROR(VLOOKUP(Tabla1[[#This Row],[SISMED]],TblDisponibilidad[],13,FALSE), 0)</f>
        <v>0</v>
      </c>
      <c r="J588">
        <f>IFERROR(VLOOKUP(Tabla1[[#This Row],[SISMED]],TblDisponibilidad[],14,FALSE), 0)</f>
        <v>0</v>
      </c>
      <c r="K588">
        <f>IFERROR(VLOOKUP(Tabla1[[#This Row],[SISMED]],TblDisponibilidad[],15,FALSE), 0)</f>
        <v>0</v>
      </c>
      <c r="L588">
        <f>IFERROR(VLOOKUP(Tabla1[[#This Row],[SISMED]],TblDisponibilidad[],16,FALSE), 0)</f>
        <v>0</v>
      </c>
      <c r="M588">
        <f>IFERROR(VLOOKUP(Tabla1[[#This Row],[SISMED]],TblDisponibilidad[],17,FALSE), 0)</f>
        <v>0</v>
      </c>
      <c r="N588">
        <f>IFERROR(VLOOKUP(Tabla1[[#This Row],[SISMED]],TblDisponibilidad[],18,FALSE), 0)</f>
        <v>0</v>
      </c>
      <c r="O588">
        <f>IFERROR(VLOOKUP(Tabla1[[#This Row],[SISMED]],TblDisponibilidad[],19,FALSE), 0)</f>
        <v>0</v>
      </c>
      <c r="P588">
        <f>IFERROR(VLOOKUP(Tabla1[[#This Row],[SISMED]],TblDisponibilidad[],20,FALSE), 0)</f>
        <v>0</v>
      </c>
      <c r="Q588">
        <f>IFERROR(VLOOKUP(Tabla1[[#This Row],[SISMED]],TblDisponibilidad[],21,FALSE), 0)</f>
        <v>0</v>
      </c>
      <c r="R588">
        <f>IFERROR(VLOOKUP(Tabla1[[#This Row],[SISMED]],TblDisponibilidad[],22,FALSE), 0)</f>
        <v>0</v>
      </c>
      <c r="S588" s="15">
        <f>IFERROR(VLOOKUP(Tabla1[[#This Row],[SISMED]],TblDisponibilidad[],23,FALSE), 0)</f>
        <v>0</v>
      </c>
    </row>
    <row r="589" spans="1:19" x14ac:dyDescent="0.3">
      <c r="A589" s="15" t="s">
        <v>619</v>
      </c>
      <c r="B589" t="str">
        <f>IFERROR(VLOOKUP(Tabla1[[#This Row],[SISMED]],TblDisponibilidad[],2,FALSE), "")</f>
        <v/>
      </c>
      <c r="C589">
        <f>IFERROR(VLOOKUP(Tabla1[[#This Row],[SISMED]],TblDisponibilidad[],7,FALSE), 0)</f>
        <v>0</v>
      </c>
      <c r="D589">
        <f>IFERROR(VLOOKUP(Tabla1[[#This Row],[SISMED]],TblDisponibilidad[],8,FALSE), 0)</f>
        <v>0</v>
      </c>
      <c r="E589">
        <f>IFERROR(VLOOKUP(Tabla1[[#This Row],[SISMED]],TblDisponibilidad[],9,FALSE), 0)</f>
        <v>0</v>
      </c>
      <c r="F589">
        <f>IFERROR(VLOOKUP(Tabla1[[#This Row],[SISMED]],TblDisponibilidad[],10,FALSE), 0)</f>
        <v>0</v>
      </c>
      <c r="G589">
        <f>IFERROR(VLOOKUP(Tabla1[[#This Row],[SISMED]],TblDisponibilidad[],11,FALSE), 0)</f>
        <v>0</v>
      </c>
      <c r="H589">
        <f>IFERROR(VLOOKUP(Tabla1[[#This Row],[SISMED]],TblDisponibilidad[],12,FALSE), 0)</f>
        <v>0</v>
      </c>
      <c r="I589">
        <f>IFERROR(VLOOKUP(Tabla1[[#This Row],[SISMED]],TblDisponibilidad[],13,FALSE), 0)</f>
        <v>0</v>
      </c>
      <c r="J589">
        <f>IFERROR(VLOOKUP(Tabla1[[#This Row],[SISMED]],TblDisponibilidad[],14,FALSE), 0)</f>
        <v>0</v>
      </c>
      <c r="K589">
        <f>IFERROR(VLOOKUP(Tabla1[[#This Row],[SISMED]],TblDisponibilidad[],15,FALSE), 0)</f>
        <v>0</v>
      </c>
      <c r="L589">
        <f>IFERROR(VLOOKUP(Tabla1[[#This Row],[SISMED]],TblDisponibilidad[],16,FALSE), 0)</f>
        <v>0</v>
      </c>
      <c r="M589">
        <f>IFERROR(VLOOKUP(Tabla1[[#This Row],[SISMED]],TblDisponibilidad[],17,FALSE), 0)</f>
        <v>0</v>
      </c>
      <c r="N589">
        <f>IFERROR(VLOOKUP(Tabla1[[#This Row],[SISMED]],TblDisponibilidad[],18,FALSE), 0)</f>
        <v>0</v>
      </c>
      <c r="O589">
        <f>IFERROR(VLOOKUP(Tabla1[[#This Row],[SISMED]],TblDisponibilidad[],19,FALSE), 0)</f>
        <v>0</v>
      </c>
      <c r="P589">
        <f>IFERROR(VLOOKUP(Tabla1[[#This Row],[SISMED]],TblDisponibilidad[],20,FALSE), 0)</f>
        <v>0</v>
      </c>
      <c r="Q589">
        <f>IFERROR(VLOOKUP(Tabla1[[#This Row],[SISMED]],TblDisponibilidad[],21,FALSE), 0)</f>
        <v>0</v>
      </c>
      <c r="R589">
        <f>IFERROR(VLOOKUP(Tabla1[[#This Row],[SISMED]],TblDisponibilidad[],22,FALSE), 0)</f>
        <v>0</v>
      </c>
      <c r="S589" s="15">
        <f>IFERROR(VLOOKUP(Tabla1[[#This Row],[SISMED]],TblDisponibilidad[],23,FALSE), 0)</f>
        <v>0</v>
      </c>
    </row>
    <row r="590" spans="1:19" x14ac:dyDescent="0.3">
      <c r="A590" s="15" t="s">
        <v>620</v>
      </c>
      <c r="B590" t="str">
        <f>IFERROR(VLOOKUP(Tabla1[[#This Row],[SISMED]],TblDisponibilidad[],2,FALSE), "")</f>
        <v/>
      </c>
      <c r="C590">
        <f>IFERROR(VLOOKUP(Tabla1[[#This Row],[SISMED]],TblDisponibilidad[],7,FALSE), 0)</f>
        <v>0</v>
      </c>
      <c r="D590">
        <f>IFERROR(VLOOKUP(Tabla1[[#This Row],[SISMED]],TblDisponibilidad[],8,FALSE), 0)</f>
        <v>0</v>
      </c>
      <c r="E590">
        <f>IFERROR(VLOOKUP(Tabla1[[#This Row],[SISMED]],TblDisponibilidad[],9,FALSE), 0)</f>
        <v>0</v>
      </c>
      <c r="F590">
        <f>IFERROR(VLOOKUP(Tabla1[[#This Row],[SISMED]],TblDisponibilidad[],10,FALSE), 0)</f>
        <v>0</v>
      </c>
      <c r="G590">
        <f>IFERROR(VLOOKUP(Tabla1[[#This Row],[SISMED]],TblDisponibilidad[],11,FALSE), 0)</f>
        <v>0</v>
      </c>
      <c r="H590">
        <f>IFERROR(VLOOKUP(Tabla1[[#This Row],[SISMED]],TblDisponibilidad[],12,FALSE), 0)</f>
        <v>0</v>
      </c>
      <c r="I590">
        <f>IFERROR(VLOOKUP(Tabla1[[#This Row],[SISMED]],TblDisponibilidad[],13,FALSE), 0)</f>
        <v>0</v>
      </c>
      <c r="J590">
        <f>IFERROR(VLOOKUP(Tabla1[[#This Row],[SISMED]],TblDisponibilidad[],14,FALSE), 0)</f>
        <v>0</v>
      </c>
      <c r="K590">
        <f>IFERROR(VLOOKUP(Tabla1[[#This Row],[SISMED]],TblDisponibilidad[],15,FALSE), 0)</f>
        <v>0</v>
      </c>
      <c r="L590">
        <f>IFERROR(VLOOKUP(Tabla1[[#This Row],[SISMED]],TblDisponibilidad[],16,FALSE), 0)</f>
        <v>0</v>
      </c>
      <c r="M590">
        <f>IFERROR(VLOOKUP(Tabla1[[#This Row],[SISMED]],TblDisponibilidad[],17,FALSE), 0)</f>
        <v>0</v>
      </c>
      <c r="N590">
        <f>IFERROR(VLOOKUP(Tabla1[[#This Row],[SISMED]],TblDisponibilidad[],18,FALSE), 0)</f>
        <v>0</v>
      </c>
      <c r="O590">
        <f>IFERROR(VLOOKUP(Tabla1[[#This Row],[SISMED]],TblDisponibilidad[],19,FALSE), 0)</f>
        <v>0</v>
      </c>
      <c r="P590">
        <f>IFERROR(VLOOKUP(Tabla1[[#This Row],[SISMED]],TblDisponibilidad[],20,FALSE), 0)</f>
        <v>0</v>
      </c>
      <c r="Q590">
        <f>IFERROR(VLOOKUP(Tabla1[[#This Row],[SISMED]],TblDisponibilidad[],21,FALSE), 0)</f>
        <v>0</v>
      </c>
      <c r="R590">
        <f>IFERROR(VLOOKUP(Tabla1[[#This Row],[SISMED]],TblDisponibilidad[],22,FALSE), 0)</f>
        <v>0</v>
      </c>
      <c r="S590" s="15">
        <f>IFERROR(VLOOKUP(Tabla1[[#This Row],[SISMED]],TblDisponibilidad[],23,FALSE), 0)</f>
        <v>0</v>
      </c>
    </row>
    <row r="591" spans="1:19" x14ac:dyDescent="0.3">
      <c r="A591" s="15" t="s">
        <v>621</v>
      </c>
      <c r="B591" t="str">
        <f>IFERROR(VLOOKUP(Tabla1[[#This Row],[SISMED]],TblDisponibilidad[],2,FALSE), "")</f>
        <v/>
      </c>
      <c r="C591">
        <f>IFERROR(VLOOKUP(Tabla1[[#This Row],[SISMED]],TblDisponibilidad[],7,FALSE), 0)</f>
        <v>0</v>
      </c>
      <c r="D591">
        <f>IFERROR(VLOOKUP(Tabla1[[#This Row],[SISMED]],TblDisponibilidad[],8,FALSE), 0)</f>
        <v>0</v>
      </c>
      <c r="E591">
        <f>IFERROR(VLOOKUP(Tabla1[[#This Row],[SISMED]],TblDisponibilidad[],9,FALSE), 0)</f>
        <v>0</v>
      </c>
      <c r="F591">
        <f>IFERROR(VLOOKUP(Tabla1[[#This Row],[SISMED]],TblDisponibilidad[],10,FALSE), 0)</f>
        <v>0</v>
      </c>
      <c r="G591">
        <f>IFERROR(VLOOKUP(Tabla1[[#This Row],[SISMED]],TblDisponibilidad[],11,FALSE), 0)</f>
        <v>0</v>
      </c>
      <c r="H591">
        <f>IFERROR(VLOOKUP(Tabla1[[#This Row],[SISMED]],TblDisponibilidad[],12,FALSE), 0)</f>
        <v>0</v>
      </c>
      <c r="I591">
        <f>IFERROR(VLOOKUP(Tabla1[[#This Row],[SISMED]],TblDisponibilidad[],13,FALSE), 0)</f>
        <v>0</v>
      </c>
      <c r="J591">
        <f>IFERROR(VLOOKUP(Tabla1[[#This Row],[SISMED]],TblDisponibilidad[],14,FALSE), 0)</f>
        <v>0</v>
      </c>
      <c r="K591">
        <f>IFERROR(VLOOKUP(Tabla1[[#This Row],[SISMED]],TblDisponibilidad[],15,FALSE), 0)</f>
        <v>0</v>
      </c>
      <c r="L591">
        <f>IFERROR(VLOOKUP(Tabla1[[#This Row],[SISMED]],TblDisponibilidad[],16,FALSE), 0)</f>
        <v>0</v>
      </c>
      <c r="M591">
        <f>IFERROR(VLOOKUP(Tabla1[[#This Row],[SISMED]],TblDisponibilidad[],17,FALSE), 0)</f>
        <v>0</v>
      </c>
      <c r="N591">
        <f>IFERROR(VLOOKUP(Tabla1[[#This Row],[SISMED]],TblDisponibilidad[],18,FALSE), 0)</f>
        <v>0</v>
      </c>
      <c r="O591">
        <f>IFERROR(VLOOKUP(Tabla1[[#This Row],[SISMED]],TblDisponibilidad[],19,FALSE), 0)</f>
        <v>0</v>
      </c>
      <c r="P591">
        <f>IFERROR(VLOOKUP(Tabla1[[#This Row],[SISMED]],TblDisponibilidad[],20,FALSE), 0)</f>
        <v>0</v>
      </c>
      <c r="Q591">
        <f>IFERROR(VLOOKUP(Tabla1[[#This Row],[SISMED]],TblDisponibilidad[],21,FALSE), 0)</f>
        <v>0</v>
      </c>
      <c r="R591">
        <f>IFERROR(VLOOKUP(Tabla1[[#This Row],[SISMED]],TblDisponibilidad[],22,FALSE), 0)</f>
        <v>0</v>
      </c>
      <c r="S591" s="15">
        <f>IFERROR(VLOOKUP(Tabla1[[#This Row],[SISMED]],TblDisponibilidad[],23,FALSE), 0)</f>
        <v>0</v>
      </c>
    </row>
    <row r="592" spans="1:19" x14ac:dyDescent="0.3">
      <c r="A592" s="15" t="s">
        <v>622</v>
      </c>
      <c r="B592" t="str">
        <f>IFERROR(VLOOKUP(Tabla1[[#This Row],[SISMED]],TblDisponibilidad[],2,FALSE), "")</f>
        <v/>
      </c>
      <c r="C592">
        <f>IFERROR(VLOOKUP(Tabla1[[#This Row],[SISMED]],TblDisponibilidad[],7,FALSE), 0)</f>
        <v>0</v>
      </c>
      <c r="D592">
        <f>IFERROR(VLOOKUP(Tabla1[[#This Row],[SISMED]],TblDisponibilidad[],8,FALSE), 0)</f>
        <v>0</v>
      </c>
      <c r="E592">
        <f>IFERROR(VLOOKUP(Tabla1[[#This Row],[SISMED]],TblDisponibilidad[],9,FALSE), 0)</f>
        <v>0</v>
      </c>
      <c r="F592">
        <f>IFERROR(VLOOKUP(Tabla1[[#This Row],[SISMED]],TblDisponibilidad[],10,FALSE), 0)</f>
        <v>0</v>
      </c>
      <c r="G592">
        <f>IFERROR(VLOOKUP(Tabla1[[#This Row],[SISMED]],TblDisponibilidad[],11,FALSE), 0)</f>
        <v>0</v>
      </c>
      <c r="H592">
        <f>IFERROR(VLOOKUP(Tabla1[[#This Row],[SISMED]],TblDisponibilidad[],12,FALSE), 0)</f>
        <v>0</v>
      </c>
      <c r="I592">
        <f>IFERROR(VLOOKUP(Tabla1[[#This Row],[SISMED]],TblDisponibilidad[],13,FALSE), 0)</f>
        <v>0</v>
      </c>
      <c r="J592">
        <f>IFERROR(VLOOKUP(Tabla1[[#This Row],[SISMED]],TblDisponibilidad[],14,FALSE), 0)</f>
        <v>0</v>
      </c>
      <c r="K592">
        <f>IFERROR(VLOOKUP(Tabla1[[#This Row],[SISMED]],TblDisponibilidad[],15,FALSE), 0)</f>
        <v>0</v>
      </c>
      <c r="L592">
        <f>IFERROR(VLOOKUP(Tabla1[[#This Row],[SISMED]],TblDisponibilidad[],16,FALSE), 0)</f>
        <v>0</v>
      </c>
      <c r="M592">
        <f>IFERROR(VLOOKUP(Tabla1[[#This Row],[SISMED]],TblDisponibilidad[],17,FALSE), 0)</f>
        <v>0</v>
      </c>
      <c r="N592">
        <f>IFERROR(VLOOKUP(Tabla1[[#This Row],[SISMED]],TblDisponibilidad[],18,FALSE), 0)</f>
        <v>0</v>
      </c>
      <c r="O592">
        <f>IFERROR(VLOOKUP(Tabla1[[#This Row],[SISMED]],TblDisponibilidad[],19,FALSE), 0)</f>
        <v>0</v>
      </c>
      <c r="P592">
        <f>IFERROR(VLOOKUP(Tabla1[[#This Row],[SISMED]],TblDisponibilidad[],20,FALSE), 0)</f>
        <v>0</v>
      </c>
      <c r="Q592">
        <f>IFERROR(VLOOKUP(Tabla1[[#This Row],[SISMED]],TblDisponibilidad[],21,FALSE), 0)</f>
        <v>0</v>
      </c>
      <c r="R592">
        <f>IFERROR(VLOOKUP(Tabla1[[#This Row],[SISMED]],TblDisponibilidad[],22,FALSE), 0)</f>
        <v>0</v>
      </c>
      <c r="S592" s="15">
        <f>IFERROR(VLOOKUP(Tabla1[[#This Row],[SISMED]],TblDisponibilidad[],23,FALSE), 0)</f>
        <v>0</v>
      </c>
    </row>
    <row r="593" spans="1:19" x14ac:dyDescent="0.3">
      <c r="A593" s="15" t="s">
        <v>623</v>
      </c>
      <c r="B593" t="str">
        <f>IFERROR(VLOOKUP(Tabla1[[#This Row],[SISMED]],TblDisponibilidad[],2,FALSE), "")</f>
        <v/>
      </c>
      <c r="C593">
        <f>IFERROR(VLOOKUP(Tabla1[[#This Row],[SISMED]],TblDisponibilidad[],7,FALSE), 0)</f>
        <v>0</v>
      </c>
      <c r="D593">
        <f>IFERROR(VLOOKUP(Tabla1[[#This Row],[SISMED]],TblDisponibilidad[],8,FALSE), 0)</f>
        <v>0</v>
      </c>
      <c r="E593">
        <f>IFERROR(VLOOKUP(Tabla1[[#This Row],[SISMED]],TblDisponibilidad[],9,FALSE), 0)</f>
        <v>0</v>
      </c>
      <c r="F593">
        <f>IFERROR(VLOOKUP(Tabla1[[#This Row],[SISMED]],TblDisponibilidad[],10,FALSE), 0)</f>
        <v>0</v>
      </c>
      <c r="G593">
        <f>IFERROR(VLOOKUP(Tabla1[[#This Row],[SISMED]],TblDisponibilidad[],11,FALSE), 0)</f>
        <v>0</v>
      </c>
      <c r="H593">
        <f>IFERROR(VLOOKUP(Tabla1[[#This Row],[SISMED]],TblDisponibilidad[],12,FALSE), 0)</f>
        <v>0</v>
      </c>
      <c r="I593">
        <f>IFERROR(VLOOKUP(Tabla1[[#This Row],[SISMED]],TblDisponibilidad[],13,FALSE), 0)</f>
        <v>0</v>
      </c>
      <c r="J593">
        <f>IFERROR(VLOOKUP(Tabla1[[#This Row],[SISMED]],TblDisponibilidad[],14,FALSE), 0)</f>
        <v>0</v>
      </c>
      <c r="K593">
        <f>IFERROR(VLOOKUP(Tabla1[[#This Row],[SISMED]],TblDisponibilidad[],15,FALSE), 0)</f>
        <v>0</v>
      </c>
      <c r="L593">
        <f>IFERROR(VLOOKUP(Tabla1[[#This Row],[SISMED]],TblDisponibilidad[],16,FALSE), 0)</f>
        <v>0</v>
      </c>
      <c r="M593">
        <f>IFERROR(VLOOKUP(Tabla1[[#This Row],[SISMED]],TblDisponibilidad[],17,FALSE), 0)</f>
        <v>0</v>
      </c>
      <c r="N593">
        <f>IFERROR(VLOOKUP(Tabla1[[#This Row],[SISMED]],TblDisponibilidad[],18,FALSE), 0)</f>
        <v>0</v>
      </c>
      <c r="O593">
        <f>IFERROR(VLOOKUP(Tabla1[[#This Row],[SISMED]],TblDisponibilidad[],19,FALSE), 0)</f>
        <v>0</v>
      </c>
      <c r="P593">
        <f>IFERROR(VLOOKUP(Tabla1[[#This Row],[SISMED]],TblDisponibilidad[],20,FALSE), 0)</f>
        <v>0</v>
      </c>
      <c r="Q593">
        <f>IFERROR(VLOOKUP(Tabla1[[#This Row],[SISMED]],TblDisponibilidad[],21,FALSE), 0)</f>
        <v>0</v>
      </c>
      <c r="R593">
        <f>IFERROR(VLOOKUP(Tabla1[[#This Row],[SISMED]],TblDisponibilidad[],22,FALSE), 0)</f>
        <v>0</v>
      </c>
      <c r="S593" s="15">
        <f>IFERROR(VLOOKUP(Tabla1[[#This Row],[SISMED]],TblDisponibilidad[],23,FALSE), 0)</f>
        <v>0</v>
      </c>
    </row>
    <row r="594" spans="1:19" x14ac:dyDescent="0.3">
      <c r="A594" s="15" t="s">
        <v>624</v>
      </c>
      <c r="B594" t="str">
        <f>IFERROR(VLOOKUP(Tabla1[[#This Row],[SISMED]],TblDisponibilidad[],2,FALSE), "")</f>
        <v/>
      </c>
      <c r="C594">
        <f>IFERROR(VLOOKUP(Tabla1[[#This Row],[SISMED]],TblDisponibilidad[],7,FALSE), 0)</f>
        <v>0</v>
      </c>
      <c r="D594">
        <f>IFERROR(VLOOKUP(Tabla1[[#This Row],[SISMED]],TblDisponibilidad[],8,FALSE), 0)</f>
        <v>0</v>
      </c>
      <c r="E594">
        <f>IFERROR(VLOOKUP(Tabla1[[#This Row],[SISMED]],TblDisponibilidad[],9,FALSE), 0)</f>
        <v>0</v>
      </c>
      <c r="F594">
        <f>IFERROR(VLOOKUP(Tabla1[[#This Row],[SISMED]],TblDisponibilidad[],10,FALSE), 0)</f>
        <v>0</v>
      </c>
      <c r="G594">
        <f>IFERROR(VLOOKUP(Tabla1[[#This Row],[SISMED]],TblDisponibilidad[],11,FALSE), 0)</f>
        <v>0</v>
      </c>
      <c r="H594">
        <f>IFERROR(VLOOKUP(Tabla1[[#This Row],[SISMED]],TblDisponibilidad[],12,FALSE), 0)</f>
        <v>0</v>
      </c>
      <c r="I594">
        <f>IFERROR(VLOOKUP(Tabla1[[#This Row],[SISMED]],TblDisponibilidad[],13,FALSE), 0)</f>
        <v>0</v>
      </c>
      <c r="J594">
        <f>IFERROR(VLOOKUP(Tabla1[[#This Row],[SISMED]],TblDisponibilidad[],14,FALSE), 0)</f>
        <v>0</v>
      </c>
      <c r="K594">
        <f>IFERROR(VLOOKUP(Tabla1[[#This Row],[SISMED]],TblDisponibilidad[],15,FALSE), 0)</f>
        <v>0</v>
      </c>
      <c r="L594">
        <f>IFERROR(VLOOKUP(Tabla1[[#This Row],[SISMED]],TblDisponibilidad[],16,FALSE), 0)</f>
        <v>0</v>
      </c>
      <c r="M594">
        <f>IFERROR(VLOOKUP(Tabla1[[#This Row],[SISMED]],TblDisponibilidad[],17,FALSE), 0)</f>
        <v>0</v>
      </c>
      <c r="N594">
        <f>IFERROR(VLOOKUP(Tabla1[[#This Row],[SISMED]],TblDisponibilidad[],18,FALSE), 0)</f>
        <v>0</v>
      </c>
      <c r="O594">
        <f>IFERROR(VLOOKUP(Tabla1[[#This Row],[SISMED]],TblDisponibilidad[],19,FALSE), 0)</f>
        <v>0</v>
      </c>
      <c r="P594">
        <f>IFERROR(VLOOKUP(Tabla1[[#This Row],[SISMED]],TblDisponibilidad[],20,FALSE), 0)</f>
        <v>0</v>
      </c>
      <c r="Q594">
        <f>IFERROR(VLOOKUP(Tabla1[[#This Row],[SISMED]],TblDisponibilidad[],21,FALSE), 0)</f>
        <v>0</v>
      </c>
      <c r="R594">
        <f>IFERROR(VLOOKUP(Tabla1[[#This Row],[SISMED]],TblDisponibilidad[],22,FALSE), 0)</f>
        <v>0</v>
      </c>
      <c r="S594" s="15">
        <f>IFERROR(VLOOKUP(Tabla1[[#This Row],[SISMED]],TblDisponibilidad[],23,FALSE), 0)</f>
        <v>0</v>
      </c>
    </row>
    <row r="595" spans="1:19" x14ac:dyDescent="0.3">
      <c r="A595" s="15" t="s">
        <v>625</v>
      </c>
      <c r="B595" t="str">
        <f>IFERROR(VLOOKUP(Tabla1[[#This Row],[SISMED]],TblDisponibilidad[],2,FALSE), "")</f>
        <v/>
      </c>
      <c r="C595">
        <f>IFERROR(VLOOKUP(Tabla1[[#This Row],[SISMED]],TblDisponibilidad[],7,FALSE), 0)</f>
        <v>0</v>
      </c>
      <c r="D595">
        <f>IFERROR(VLOOKUP(Tabla1[[#This Row],[SISMED]],TblDisponibilidad[],8,FALSE), 0)</f>
        <v>0</v>
      </c>
      <c r="E595">
        <f>IFERROR(VLOOKUP(Tabla1[[#This Row],[SISMED]],TblDisponibilidad[],9,FALSE), 0)</f>
        <v>0</v>
      </c>
      <c r="F595">
        <f>IFERROR(VLOOKUP(Tabla1[[#This Row],[SISMED]],TblDisponibilidad[],10,FALSE), 0)</f>
        <v>0</v>
      </c>
      <c r="G595">
        <f>IFERROR(VLOOKUP(Tabla1[[#This Row],[SISMED]],TblDisponibilidad[],11,FALSE), 0)</f>
        <v>0</v>
      </c>
      <c r="H595">
        <f>IFERROR(VLOOKUP(Tabla1[[#This Row],[SISMED]],TblDisponibilidad[],12,FALSE), 0)</f>
        <v>0</v>
      </c>
      <c r="I595">
        <f>IFERROR(VLOOKUP(Tabla1[[#This Row],[SISMED]],TblDisponibilidad[],13,FALSE), 0)</f>
        <v>0</v>
      </c>
      <c r="J595">
        <f>IFERROR(VLOOKUP(Tabla1[[#This Row],[SISMED]],TblDisponibilidad[],14,FALSE), 0)</f>
        <v>0</v>
      </c>
      <c r="K595">
        <f>IFERROR(VLOOKUP(Tabla1[[#This Row],[SISMED]],TblDisponibilidad[],15,FALSE), 0)</f>
        <v>0</v>
      </c>
      <c r="L595">
        <f>IFERROR(VLOOKUP(Tabla1[[#This Row],[SISMED]],TblDisponibilidad[],16,FALSE), 0)</f>
        <v>0</v>
      </c>
      <c r="M595">
        <f>IFERROR(VLOOKUP(Tabla1[[#This Row],[SISMED]],TblDisponibilidad[],17,FALSE), 0)</f>
        <v>0</v>
      </c>
      <c r="N595">
        <f>IFERROR(VLOOKUP(Tabla1[[#This Row],[SISMED]],TblDisponibilidad[],18,FALSE), 0)</f>
        <v>0</v>
      </c>
      <c r="O595">
        <f>IFERROR(VLOOKUP(Tabla1[[#This Row],[SISMED]],TblDisponibilidad[],19,FALSE), 0)</f>
        <v>0</v>
      </c>
      <c r="P595">
        <f>IFERROR(VLOOKUP(Tabla1[[#This Row],[SISMED]],TblDisponibilidad[],20,FALSE), 0)</f>
        <v>0</v>
      </c>
      <c r="Q595">
        <f>IFERROR(VLOOKUP(Tabla1[[#This Row],[SISMED]],TblDisponibilidad[],21,FALSE), 0)</f>
        <v>0</v>
      </c>
      <c r="R595">
        <f>IFERROR(VLOOKUP(Tabla1[[#This Row],[SISMED]],TblDisponibilidad[],22,FALSE), 0)</f>
        <v>0</v>
      </c>
      <c r="S595" s="15">
        <f>IFERROR(VLOOKUP(Tabla1[[#This Row],[SISMED]],TblDisponibilidad[],23,FALSE), 0)</f>
        <v>0</v>
      </c>
    </row>
    <row r="596" spans="1:19" x14ac:dyDescent="0.3">
      <c r="A596" s="15" t="s">
        <v>626</v>
      </c>
      <c r="B596" t="str">
        <f>IFERROR(VLOOKUP(Tabla1[[#This Row],[SISMED]],TblDisponibilidad[],2,FALSE), "")</f>
        <v/>
      </c>
      <c r="C596">
        <f>IFERROR(VLOOKUP(Tabla1[[#This Row],[SISMED]],TblDisponibilidad[],7,FALSE), 0)</f>
        <v>0</v>
      </c>
      <c r="D596">
        <f>IFERROR(VLOOKUP(Tabla1[[#This Row],[SISMED]],TblDisponibilidad[],8,FALSE), 0)</f>
        <v>0</v>
      </c>
      <c r="E596">
        <f>IFERROR(VLOOKUP(Tabla1[[#This Row],[SISMED]],TblDisponibilidad[],9,FALSE), 0)</f>
        <v>0</v>
      </c>
      <c r="F596">
        <f>IFERROR(VLOOKUP(Tabla1[[#This Row],[SISMED]],TblDisponibilidad[],10,FALSE), 0)</f>
        <v>0</v>
      </c>
      <c r="G596">
        <f>IFERROR(VLOOKUP(Tabla1[[#This Row],[SISMED]],TblDisponibilidad[],11,FALSE), 0)</f>
        <v>0</v>
      </c>
      <c r="H596">
        <f>IFERROR(VLOOKUP(Tabla1[[#This Row],[SISMED]],TblDisponibilidad[],12,FALSE), 0)</f>
        <v>0</v>
      </c>
      <c r="I596">
        <f>IFERROR(VLOOKUP(Tabla1[[#This Row],[SISMED]],TblDisponibilidad[],13,FALSE), 0)</f>
        <v>0</v>
      </c>
      <c r="J596">
        <f>IFERROR(VLOOKUP(Tabla1[[#This Row],[SISMED]],TblDisponibilidad[],14,FALSE), 0)</f>
        <v>0</v>
      </c>
      <c r="K596">
        <f>IFERROR(VLOOKUP(Tabla1[[#This Row],[SISMED]],TblDisponibilidad[],15,FALSE), 0)</f>
        <v>0</v>
      </c>
      <c r="L596">
        <f>IFERROR(VLOOKUP(Tabla1[[#This Row],[SISMED]],TblDisponibilidad[],16,FALSE), 0)</f>
        <v>0</v>
      </c>
      <c r="M596">
        <f>IFERROR(VLOOKUP(Tabla1[[#This Row],[SISMED]],TblDisponibilidad[],17,FALSE), 0)</f>
        <v>0</v>
      </c>
      <c r="N596">
        <f>IFERROR(VLOOKUP(Tabla1[[#This Row],[SISMED]],TblDisponibilidad[],18,FALSE), 0)</f>
        <v>0</v>
      </c>
      <c r="O596">
        <f>IFERROR(VLOOKUP(Tabla1[[#This Row],[SISMED]],TblDisponibilidad[],19,FALSE), 0)</f>
        <v>0</v>
      </c>
      <c r="P596">
        <f>IFERROR(VLOOKUP(Tabla1[[#This Row],[SISMED]],TblDisponibilidad[],20,FALSE), 0)</f>
        <v>0</v>
      </c>
      <c r="Q596">
        <f>IFERROR(VLOOKUP(Tabla1[[#This Row],[SISMED]],TblDisponibilidad[],21,FALSE), 0)</f>
        <v>0</v>
      </c>
      <c r="R596">
        <f>IFERROR(VLOOKUP(Tabla1[[#This Row],[SISMED]],TblDisponibilidad[],22,FALSE), 0)</f>
        <v>0</v>
      </c>
      <c r="S596" s="15">
        <f>IFERROR(VLOOKUP(Tabla1[[#This Row],[SISMED]],TblDisponibilidad[],23,FALSE), 0)</f>
        <v>0</v>
      </c>
    </row>
    <row r="597" spans="1:19" x14ac:dyDescent="0.3">
      <c r="A597" s="15" t="s">
        <v>627</v>
      </c>
      <c r="B597" t="str">
        <f>IFERROR(VLOOKUP(Tabla1[[#This Row],[SISMED]],TblDisponibilidad[],2,FALSE), "")</f>
        <v/>
      </c>
      <c r="C597">
        <f>IFERROR(VLOOKUP(Tabla1[[#This Row],[SISMED]],TblDisponibilidad[],7,FALSE), 0)</f>
        <v>0</v>
      </c>
      <c r="D597">
        <f>IFERROR(VLOOKUP(Tabla1[[#This Row],[SISMED]],TblDisponibilidad[],8,FALSE), 0)</f>
        <v>0</v>
      </c>
      <c r="E597">
        <f>IFERROR(VLOOKUP(Tabla1[[#This Row],[SISMED]],TblDisponibilidad[],9,FALSE), 0)</f>
        <v>0</v>
      </c>
      <c r="F597">
        <f>IFERROR(VLOOKUP(Tabla1[[#This Row],[SISMED]],TblDisponibilidad[],10,FALSE), 0)</f>
        <v>0</v>
      </c>
      <c r="G597">
        <f>IFERROR(VLOOKUP(Tabla1[[#This Row],[SISMED]],TblDisponibilidad[],11,FALSE), 0)</f>
        <v>0</v>
      </c>
      <c r="H597">
        <f>IFERROR(VLOOKUP(Tabla1[[#This Row],[SISMED]],TblDisponibilidad[],12,FALSE), 0)</f>
        <v>0</v>
      </c>
      <c r="I597">
        <f>IFERROR(VLOOKUP(Tabla1[[#This Row],[SISMED]],TblDisponibilidad[],13,FALSE), 0)</f>
        <v>0</v>
      </c>
      <c r="J597">
        <f>IFERROR(VLOOKUP(Tabla1[[#This Row],[SISMED]],TblDisponibilidad[],14,FALSE), 0)</f>
        <v>0</v>
      </c>
      <c r="K597">
        <f>IFERROR(VLOOKUP(Tabla1[[#This Row],[SISMED]],TblDisponibilidad[],15,FALSE), 0)</f>
        <v>0</v>
      </c>
      <c r="L597">
        <f>IFERROR(VLOOKUP(Tabla1[[#This Row],[SISMED]],TblDisponibilidad[],16,FALSE), 0)</f>
        <v>0</v>
      </c>
      <c r="M597">
        <f>IFERROR(VLOOKUP(Tabla1[[#This Row],[SISMED]],TblDisponibilidad[],17,FALSE), 0)</f>
        <v>0</v>
      </c>
      <c r="N597">
        <f>IFERROR(VLOOKUP(Tabla1[[#This Row],[SISMED]],TblDisponibilidad[],18,FALSE), 0)</f>
        <v>0</v>
      </c>
      <c r="O597">
        <f>IFERROR(VLOOKUP(Tabla1[[#This Row],[SISMED]],TblDisponibilidad[],19,FALSE), 0)</f>
        <v>0</v>
      </c>
      <c r="P597">
        <f>IFERROR(VLOOKUP(Tabla1[[#This Row],[SISMED]],TblDisponibilidad[],20,FALSE), 0)</f>
        <v>0</v>
      </c>
      <c r="Q597">
        <f>IFERROR(VLOOKUP(Tabla1[[#This Row],[SISMED]],TblDisponibilidad[],21,FALSE), 0)</f>
        <v>0</v>
      </c>
      <c r="R597">
        <f>IFERROR(VLOOKUP(Tabla1[[#This Row],[SISMED]],TblDisponibilidad[],22,FALSE), 0)</f>
        <v>0</v>
      </c>
      <c r="S597" s="15">
        <f>IFERROR(VLOOKUP(Tabla1[[#This Row],[SISMED]],TblDisponibilidad[],23,FALSE), 0)</f>
        <v>0</v>
      </c>
    </row>
    <row r="598" spans="1:19" x14ac:dyDescent="0.3">
      <c r="A598" s="15" t="s">
        <v>628</v>
      </c>
      <c r="B598" t="str">
        <f>IFERROR(VLOOKUP(Tabla1[[#This Row],[SISMED]],TblDisponibilidad[],2,FALSE), "")</f>
        <v/>
      </c>
      <c r="C598">
        <f>IFERROR(VLOOKUP(Tabla1[[#This Row],[SISMED]],TblDisponibilidad[],7,FALSE), 0)</f>
        <v>0</v>
      </c>
      <c r="D598">
        <f>IFERROR(VLOOKUP(Tabla1[[#This Row],[SISMED]],TblDisponibilidad[],8,FALSE), 0)</f>
        <v>0</v>
      </c>
      <c r="E598">
        <f>IFERROR(VLOOKUP(Tabla1[[#This Row],[SISMED]],TblDisponibilidad[],9,FALSE), 0)</f>
        <v>0</v>
      </c>
      <c r="F598">
        <f>IFERROR(VLOOKUP(Tabla1[[#This Row],[SISMED]],TblDisponibilidad[],10,FALSE), 0)</f>
        <v>0</v>
      </c>
      <c r="G598">
        <f>IFERROR(VLOOKUP(Tabla1[[#This Row],[SISMED]],TblDisponibilidad[],11,FALSE), 0)</f>
        <v>0</v>
      </c>
      <c r="H598">
        <f>IFERROR(VLOOKUP(Tabla1[[#This Row],[SISMED]],TblDisponibilidad[],12,FALSE), 0)</f>
        <v>0</v>
      </c>
      <c r="I598">
        <f>IFERROR(VLOOKUP(Tabla1[[#This Row],[SISMED]],TblDisponibilidad[],13,FALSE), 0)</f>
        <v>0</v>
      </c>
      <c r="J598">
        <f>IFERROR(VLOOKUP(Tabla1[[#This Row],[SISMED]],TblDisponibilidad[],14,FALSE), 0)</f>
        <v>0</v>
      </c>
      <c r="K598">
        <f>IFERROR(VLOOKUP(Tabla1[[#This Row],[SISMED]],TblDisponibilidad[],15,FALSE), 0)</f>
        <v>0</v>
      </c>
      <c r="L598">
        <f>IFERROR(VLOOKUP(Tabla1[[#This Row],[SISMED]],TblDisponibilidad[],16,FALSE), 0)</f>
        <v>0</v>
      </c>
      <c r="M598">
        <f>IFERROR(VLOOKUP(Tabla1[[#This Row],[SISMED]],TblDisponibilidad[],17,FALSE), 0)</f>
        <v>0</v>
      </c>
      <c r="N598">
        <f>IFERROR(VLOOKUP(Tabla1[[#This Row],[SISMED]],TblDisponibilidad[],18,FALSE), 0)</f>
        <v>0</v>
      </c>
      <c r="O598">
        <f>IFERROR(VLOOKUP(Tabla1[[#This Row],[SISMED]],TblDisponibilidad[],19,FALSE), 0)</f>
        <v>0</v>
      </c>
      <c r="P598">
        <f>IFERROR(VLOOKUP(Tabla1[[#This Row],[SISMED]],TblDisponibilidad[],20,FALSE), 0)</f>
        <v>0</v>
      </c>
      <c r="Q598">
        <f>IFERROR(VLOOKUP(Tabla1[[#This Row],[SISMED]],TblDisponibilidad[],21,FALSE), 0)</f>
        <v>0</v>
      </c>
      <c r="R598">
        <f>IFERROR(VLOOKUP(Tabla1[[#This Row],[SISMED]],TblDisponibilidad[],22,FALSE), 0)</f>
        <v>0</v>
      </c>
      <c r="S598" s="15">
        <f>IFERROR(VLOOKUP(Tabla1[[#This Row],[SISMED]],TblDisponibilidad[],23,FALSE), 0)</f>
        <v>0</v>
      </c>
    </row>
    <row r="599" spans="1:19" x14ac:dyDescent="0.3">
      <c r="A599" s="15" t="s">
        <v>629</v>
      </c>
      <c r="B599" t="str">
        <f>IFERROR(VLOOKUP(Tabla1[[#This Row],[SISMED]],TblDisponibilidad[],2,FALSE), "")</f>
        <v/>
      </c>
      <c r="C599">
        <f>IFERROR(VLOOKUP(Tabla1[[#This Row],[SISMED]],TblDisponibilidad[],7,FALSE), 0)</f>
        <v>0</v>
      </c>
      <c r="D599">
        <f>IFERROR(VLOOKUP(Tabla1[[#This Row],[SISMED]],TblDisponibilidad[],8,FALSE), 0)</f>
        <v>0</v>
      </c>
      <c r="E599">
        <f>IFERROR(VLOOKUP(Tabla1[[#This Row],[SISMED]],TblDisponibilidad[],9,FALSE), 0)</f>
        <v>0</v>
      </c>
      <c r="F599">
        <f>IFERROR(VLOOKUP(Tabla1[[#This Row],[SISMED]],TblDisponibilidad[],10,FALSE), 0)</f>
        <v>0</v>
      </c>
      <c r="G599">
        <f>IFERROR(VLOOKUP(Tabla1[[#This Row],[SISMED]],TblDisponibilidad[],11,FALSE), 0)</f>
        <v>0</v>
      </c>
      <c r="H599">
        <f>IFERROR(VLOOKUP(Tabla1[[#This Row],[SISMED]],TblDisponibilidad[],12,FALSE), 0)</f>
        <v>0</v>
      </c>
      <c r="I599">
        <f>IFERROR(VLOOKUP(Tabla1[[#This Row],[SISMED]],TblDisponibilidad[],13,FALSE), 0)</f>
        <v>0</v>
      </c>
      <c r="J599">
        <f>IFERROR(VLOOKUP(Tabla1[[#This Row],[SISMED]],TblDisponibilidad[],14,FALSE), 0)</f>
        <v>0</v>
      </c>
      <c r="K599">
        <f>IFERROR(VLOOKUP(Tabla1[[#This Row],[SISMED]],TblDisponibilidad[],15,FALSE), 0)</f>
        <v>0</v>
      </c>
      <c r="L599">
        <f>IFERROR(VLOOKUP(Tabla1[[#This Row],[SISMED]],TblDisponibilidad[],16,FALSE), 0)</f>
        <v>0</v>
      </c>
      <c r="M599">
        <f>IFERROR(VLOOKUP(Tabla1[[#This Row],[SISMED]],TblDisponibilidad[],17,FALSE), 0)</f>
        <v>0</v>
      </c>
      <c r="N599">
        <f>IFERROR(VLOOKUP(Tabla1[[#This Row],[SISMED]],TblDisponibilidad[],18,FALSE), 0)</f>
        <v>0</v>
      </c>
      <c r="O599">
        <f>IFERROR(VLOOKUP(Tabla1[[#This Row],[SISMED]],TblDisponibilidad[],19,FALSE), 0)</f>
        <v>0</v>
      </c>
      <c r="P599">
        <f>IFERROR(VLOOKUP(Tabla1[[#This Row],[SISMED]],TblDisponibilidad[],20,FALSE), 0)</f>
        <v>0</v>
      </c>
      <c r="Q599">
        <f>IFERROR(VLOOKUP(Tabla1[[#This Row],[SISMED]],TblDisponibilidad[],21,FALSE), 0)</f>
        <v>0</v>
      </c>
      <c r="R599">
        <f>IFERROR(VLOOKUP(Tabla1[[#This Row],[SISMED]],TblDisponibilidad[],22,FALSE), 0)</f>
        <v>0</v>
      </c>
      <c r="S599" s="15">
        <f>IFERROR(VLOOKUP(Tabla1[[#This Row],[SISMED]],TblDisponibilidad[],23,FALSE), 0)</f>
        <v>0</v>
      </c>
    </row>
    <row r="600" spans="1:19" x14ac:dyDescent="0.3">
      <c r="A600" s="15" t="s">
        <v>630</v>
      </c>
      <c r="B600" t="str">
        <f>IFERROR(VLOOKUP(Tabla1[[#This Row],[SISMED]],TblDisponibilidad[],2,FALSE), "")</f>
        <v/>
      </c>
      <c r="C600">
        <f>IFERROR(VLOOKUP(Tabla1[[#This Row],[SISMED]],TblDisponibilidad[],7,FALSE), 0)</f>
        <v>0</v>
      </c>
      <c r="D600">
        <f>IFERROR(VLOOKUP(Tabla1[[#This Row],[SISMED]],TblDisponibilidad[],8,FALSE), 0)</f>
        <v>0</v>
      </c>
      <c r="E600">
        <f>IFERROR(VLOOKUP(Tabla1[[#This Row],[SISMED]],TblDisponibilidad[],9,FALSE), 0)</f>
        <v>0</v>
      </c>
      <c r="F600">
        <f>IFERROR(VLOOKUP(Tabla1[[#This Row],[SISMED]],TblDisponibilidad[],10,FALSE), 0)</f>
        <v>0</v>
      </c>
      <c r="G600">
        <f>IFERROR(VLOOKUP(Tabla1[[#This Row],[SISMED]],TblDisponibilidad[],11,FALSE), 0)</f>
        <v>0</v>
      </c>
      <c r="H600">
        <f>IFERROR(VLOOKUP(Tabla1[[#This Row],[SISMED]],TblDisponibilidad[],12,FALSE), 0)</f>
        <v>0</v>
      </c>
      <c r="I600">
        <f>IFERROR(VLOOKUP(Tabla1[[#This Row],[SISMED]],TblDisponibilidad[],13,FALSE), 0)</f>
        <v>0</v>
      </c>
      <c r="J600">
        <f>IFERROR(VLOOKUP(Tabla1[[#This Row],[SISMED]],TblDisponibilidad[],14,FALSE), 0)</f>
        <v>0</v>
      </c>
      <c r="K600">
        <f>IFERROR(VLOOKUP(Tabla1[[#This Row],[SISMED]],TblDisponibilidad[],15,FALSE), 0)</f>
        <v>0</v>
      </c>
      <c r="L600">
        <f>IFERROR(VLOOKUP(Tabla1[[#This Row],[SISMED]],TblDisponibilidad[],16,FALSE), 0)</f>
        <v>0</v>
      </c>
      <c r="M600">
        <f>IFERROR(VLOOKUP(Tabla1[[#This Row],[SISMED]],TblDisponibilidad[],17,FALSE), 0)</f>
        <v>0</v>
      </c>
      <c r="N600">
        <f>IFERROR(VLOOKUP(Tabla1[[#This Row],[SISMED]],TblDisponibilidad[],18,FALSE), 0)</f>
        <v>0</v>
      </c>
      <c r="O600">
        <f>IFERROR(VLOOKUP(Tabla1[[#This Row],[SISMED]],TblDisponibilidad[],19,FALSE), 0)</f>
        <v>0</v>
      </c>
      <c r="P600">
        <f>IFERROR(VLOOKUP(Tabla1[[#This Row],[SISMED]],TblDisponibilidad[],20,FALSE), 0)</f>
        <v>0</v>
      </c>
      <c r="Q600">
        <f>IFERROR(VLOOKUP(Tabla1[[#This Row],[SISMED]],TblDisponibilidad[],21,FALSE), 0)</f>
        <v>0</v>
      </c>
      <c r="R600">
        <f>IFERROR(VLOOKUP(Tabla1[[#This Row],[SISMED]],TblDisponibilidad[],22,FALSE), 0)</f>
        <v>0</v>
      </c>
      <c r="S600" s="15">
        <f>IFERROR(VLOOKUP(Tabla1[[#This Row],[SISMED]],TblDisponibilidad[],23,FALSE), 0)</f>
        <v>0</v>
      </c>
    </row>
    <row r="601" spans="1:19" x14ac:dyDescent="0.3">
      <c r="A601" s="15" t="s">
        <v>631</v>
      </c>
      <c r="B601" t="str">
        <f>IFERROR(VLOOKUP(Tabla1[[#This Row],[SISMED]],TblDisponibilidad[],2,FALSE), "")</f>
        <v/>
      </c>
      <c r="C601">
        <f>IFERROR(VLOOKUP(Tabla1[[#This Row],[SISMED]],TblDisponibilidad[],7,FALSE), 0)</f>
        <v>0</v>
      </c>
      <c r="D601">
        <f>IFERROR(VLOOKUP(Tabla1[[#This Row],[SISMED]],TblDisponibilidad[],8,FALSE), 0)</f>
        <v>0</v>
      </c>
      <c r="E601">
        <f>IFERROR(VLOOKUP(Tabla1[[#This Row],[SISMED]],TblDisponibilidad[],9,FALSE), 0)</f>
        <v>0</v>
      </c>
      <c r="F601">
        <f>IFERROR(VLOOKUP(Tabla1[[#This Row],[SISMED]],TblDisponibilidad[],10,FALSE), 0)</f>
        <v>0</v>
      </c>
      <c r="G601">
        <f>IFERROR(VLOOKUP(Tabla1[[#This Row],[SISMED]],TblDisponibilidad[],11,FALSE), 0)</f>
        <v>0</v>
      </c>
      <c r="H601">
        <f>IFERROR(VLOOKUP(Tabla1[[#This Row],[SISMED]],TblDisponibilidad[],12,FALSE), 0)</f>
        <v>0</v>
      </c>
      <c r="I601">
        <f>IFERROR(VLOOKUP(Tabla1[[#This Row],[SISMED]],TblDisponibilidad[],13,FALSE), 0)</f>
        <v>0</v>
      </c>
      <c r="J601">
        <f>IFERROR(VLOOKUP(Tabla1[[#This Row],[SISMED]],TblDisponibilidad[],14,FALSE), 0)</f>
        <v>0</v>
      </c>
      <c r="K601">
        <f>IFERROR(VLOOKUP(Tabla1[[#This Row],[SISMED]],TblDisponibilidad[],15,FALSE), 0)</f>
        <v>0</v>
      </c>
      <c r="L601">
        <f>IFERROR(VLOOKUP(Tabla1[[#This Row],[SISMED]],TblDisponibilidad[],16,FALSE), 0)</f>
        <v>0</v>
      </c>
      <c r="M601">
        <f>IFERROR(VLOOKUP(Tabla1[[#This Row],[SISMED]],TblDisponibilidad[],17,FALSE), 0)</f>
        <v>0</v>
      </c>
      <c r="N601">
        <f>IFERROR(VLOOKUP(Tabla1[[#This Row],[SISMED]],TblDisponibilidad[],18,FALSE), 0)</f>
        <v>0</v>
      </c>
      <c r="O601">
        <f>IFERROR(VLOOKUP(Tabla1[[#This Row],[SISMED]],TblDisponibilidad[],19,FALSE), 0)</f>
        <v>0</v>
      </c>
      <c r="P601">
        <f>IFERROR(VLOOKUP(Tabla1[[#This Row],[SISMED]],TblDisponibilidad[],20,FALSE), 0)</f>
        <v>0</v>
      </c>
      <c r="Q601">
        <f>IFERROR(VLOOKUP(Tabla1[[#This Row],[SISMED]],TblDisponibilidad[],21,FALSE), 0)</f>
        <v>0</v>
      </c>
      <c r="R601">
        <f>IFERROR(VLOOKUP(Tabla1[[#This Row],[SISMED]],TblDisponibilidad[],22,FALSE), 0)</f>
        <v>0</v>
      </c>
      <c r="S601" s="15">
        <f>IFERROR(VLOOKUP(Tabla1[[#This Row],[SISMED]],TblDisponibilidad[],23,FALSE), 0)</f>
        <v>0</v>
      </c>
    </row>
    <row r="602" spans="1:19" x14ac:dyDescent="0.3">
      <c r="A602" s="15" t="s">
        <v>632</v>
      </c>
      <c r="B602" t="str">
        <f>IFERROR(VLOOKUP(Tabla1[[#This Row],[SISMED]],TblDisponibilidad[],2,FALSE), "")</f>
        <v/>
      </c>
      <c r="C602">
        <f>IFERROR(VLOOKUP(Tabla1[[#This Row],[SISMED]],TblDisponibilidad[],7,FALSE), 0)</f>
        <v>0</v>
      </c>
      <c r="D602">
        <f>IFERROR(VLOOKUP(Tabla1[[#This Row],[SISMED]],TblDisponibilidad[],8,FALSE), 0)</f>
        <v>0</v>
      </c>
      <c r="E602">
        <f>IFERROR(VLOOKUP(Tabla1[[#This Row],[SISMED]],TblDisponibilidad[],9,FALSE), 0)</f>
        <v>0</v>
      </c>
      <c r="F602">
        <f>IFERROR(VLOOKUP(Tabla1[[#This Row],[SISMED]],TblDisponibilidad[],10,FALSE), 0)</f>
        <v>0</v>
      </c>
      <c r="G602">
        <f>IFERROR(VLOOKUP(Tabla1[[#This Row],[SISMED]],TblDisponibilidad[],11,FALSE), 0)</f>
        <v>0</v>
      </c>
      <c r="H602">
        <f>IFERROR(VLOOKUP(Tabla1[[#This Row],[SISMED]],TblDisponibilidad[],12,FALSE), 0)</f>
        <v>0</v>
      </c>
      <c r="I602">
        <f>IFERROR(VLOOKUP(Tabla1[[#This Row],[SISMED]],TblDisponibilidad[],13,FALSE), 0)</f>
        <v>0</v>
      </c>
      <c r="J602">
        <f>IFERROR(VLOOKUP(Tabla1[[#This Row],[SISMED]],TblDisponibilidad[],14,FALSE), 0)</f>
        <v>0</v>
      </c>
      <c r="K602">
        <f>IFERROR(VLOOKUP(Tabla1[[#This Row],[SISMED]],TblDisponibilidad[],15,FALSE), 0)</f>
        <v>0</v>
      </c>
      <c r="L602">
        <f>IFERROR(VLOOKUP(Tabla1[[#This Row],[SISMED]],TblDisponibilidad[],16,FALSE), 0)</f>
        <v>0</v>
      </c>
      <c r="M602">
        <f>IFERROR(VLOOKUP(Tabla1[[#This Row],[SISMED]],TblDisponibilidad[],17,FALSE), 0)</f>
        <v>0</v>
      </c>
      <c r="N602">
        <f>IFERROR(VLOOKUP(Tabla1[[#This Row],[SISMED]],TblDisponibilidad[],18,FALSE), 0)</f>
        <v>0</v>
      </c>
      <c r="O602">
        <f>IFERROR(VLOOKUP(Tabla1[[#This Row],[SISMED]],TblDisponibilidad[],19,FALSE), 0)</f>
        <v>0</v>
      </c>
      <c r="P602">
        <f>IFERROR(VLOOKUP(Tabla1[[#This Row],[SISMED]],TblDisponibilidad[],20,FALSE), 0)</f>
        <v>0</v>
      </c>
      <c r="Q602">
        <f>IFERROR(VLOOKUP(Tabla1[[#This Row],[SISMED]],TblDisponibilidad[],21,FALSE), 0)</f>
        <v>0</v>
      </c>
      <c r="R602">
        <f>IFERROR(VLOOKUP(Tabla1[[#This Row],[SISMED]],TblDisponibilidad[],22,FALSE), 0)</f>
        <v>0</v>
      </c>
      <c r="S602" s="15">
        <f>IFERROR(VLOOKUP(Tabla1[[#This Row],[SISMED]],TblDisponibilidad[],23,FALSE), 0)</f>
        <v>0</v>
      </c>
    </row>
    <row r="603" spans="1:19" x14ac:dyDescent="0.3">
      <c r="A603" s="15" t="s">
        <v>633</v>
      </c>
      <c r="B603" t="str">
        <f>IFERROR(VLOOKUP(Tabla1[[#This Row],[SISMED]],TblDisponibilidad[],2,FALSE), "")</f>
        <v/>
      </c>
      <c r="C603">
        <f>IFERROR(VLOOKUP(Tabla1[[#This Row],[SISMED]],TblDisponibilidad[],7,FALSE), 0)</f>
        <v>0</v>
      </c>
      <c r="D603">
        <f>IFERROR(VLOOKUP(Tabla1[[#This Row],[SISMED]],TblDisponibilidad[],8,FALSE), 0)</f>
        <v>0</v>
      </c>
      <c r="E603">
        <f>IFERROR(VLOOKUP(Tabla1[[#This Row],[SISMED]],TblDisponibilidad[],9,FALSE), 0)</f>
        <v>0</v>
      </c>
      <c r="F603">
        <f>IFERROR(VLOOKUP(Tabla1[[#This Row],[SISMED]],TblDisponibilidad[],10,FALSE), 0)</f>
        <v>0</v>
      </c>
      <c r="G603">
        <f>IFERROR(VLOOKUP(Tabla1[[#This Row],[SISMED]],TblDisponibilidad[],11,FALSE), 0)</f>
        <v>0</v>
      </c>
      <c r="H603">
        <f>IFERROR(VLOOKUP(Tabla1[[#This Row],[SISMED]],TblDisponibilidad[],12,FALSE), 0)</f>
        <v>0</v>
      </c>
      <c r="I603">
        <f>IFERROR(VLOOKUP(Tabla1[[#This Row],[SISMED]],TblDisponibilidad[],13,FALSE), 0)</f>
        <v>0</v>
      </c>
      <c r="J603">
        <f>IFERROR(VLOOKUP(Tabla1[[#This Row],[SISMED]],TblDisponibilidad[],14,FALSE), 0)</f>
        <v>0</v>
      </c>
      <c r="K603">
        <f>IFERROR(VLOOKUP(Tabla1[[#This Row],[SISMED]],TblDisponibilidad[],15,FALSE), 0)</f>
        <v>0</v>
      </c>
      <c r="L603">
        <f>IFERROR(VLOOKUP(Tabla1[[#This Row],[SISMED]],TblDisponibilidad[],16,FALSE), 0)</f>
        <v>0</v>
      </c>
      <c r="M603">
        <f>IFERROR(VLOOKUP(Tabla1[[#This Row],[SISMED]],TblDisponibilidad[],17,FALSE), 0)</f>
        <v>0</v>
      </c>
      <c r="N603">
        <f>IFERROR(VLOOKUP(Tabla1[[#This Row],[SISMED]],TblDisponibilidad[],18,FALSE), 0)</f>
        <v>0</v>
      </c>
      <c r="O603">
        <f>IFERROR(VLOOKUP(Tabla1[[#This Row],[SISMED]],TblDisponibilidad[],19,FALSE), 0)</f>
        <v>0</v>
      </c>
      <c r="P603">
        <f>IFERROR(VLOOKUP(Tabla1[[#This Row],[SISMED]],TblDisponibilidad[],20,FALSE), 0)</f>
        <v>0</v>
      </c>
      <c r="Q603">
        <f>IFERROR(VLOOKUP(Tabla1[[#This Row],[SISMED]],TblDisponibilidad[],21,FALSE), 0)</f>
        <v>0</v>
      </c>
      <c r="R603">
        <f>IFERROR(VLOOKUP(Tabla1[[#This Row],[SISMED]],TblDisponibilidad[],22,FALSE), 0)</f>
        <v>0</v>
      </c>
      <c r="S603" s="15">
        <f>IFERROR(VLOOKUP(Tabla1[[#This Row],[SISMED]],TblDisponibilidad[],23,FALSE), 0)</f>
        <v>0</v>
      </c>
    </row>
    <row r="604" spans="1:19" x14ac:dyDescent="0.3">
      <c r="A604" s="15" t="s">
        <v>634</v>
      </c>
      <c r="B604" t="str">
        <f>IFERROR(VLOOKUP(Tabla1[[#This Row],[SISMED]],TblDisponibilidad[],2,FALSE), "")</f>
        <v/>
      </c>
      <c r="C604">
        <f>IFERROR(VLOOKUP(Tabla1[[#This Row],[SISMED]],TblDisponibilidad[],7,FALSE), 0)</f>
        <v>0</v>
      </c>
      <c r="D604">
        <f>IFERROR(VLOOKUP(Tabla1[[#This Row],[SISMED]],TblDisponibilidad[],8,FALSE), 0)</f>
        <v>0</v>
      </c>
      <c r="E604">
        <f>IFERROR(VLOOKUP(Tabla1[[#This Row],[SISMED]],TblDisponibilidad[],9,FALSE), 0)</f>
        <v>0</v>
      </c>
      <c r="F604">
        <f>IFERROR(VLOOKUP(Tabla1[[#This Row],[SISMED]],TblDisponibilidad[],10,FALSE), 0)</f>
        <v>0</v>
      </c>
      <c r="G604">
        <f>IFERROR(VLOOKUP(Tabla1[[#This Row],[SISMED]],TblDisponibilidad[],11,FALSE), 0)</f>
        <v>0</v>
      </c>
      <c r="H604">
        <f>IFERROR(VLOOKUP(Tabla1[[#This Row],[SISMED]],TblDisponibilidad[],12,FALSE), 0)</f>
        <v>0</v>
      </c>
      <c r="I604">
        <f>IFERROR(VLOOKUP(Tabla1[[#This Row],[SISMED]],TblDisponibilidad[],13,FALSE), 0)</f>
        <v>0</v>
      </c>
      <c r="J604">
        <f>IFERROR(VLOOKUP(Tabla1[[#This Row],[SISMED]],TblDisponibilidad[],14,FALSE), 0)</f>
        <v>0</v>
      </c>
      <c r="K604">
        <f>IFERROR(VLOOKUP(Tabla1[[#This Row],[SISMED]],TblDisponibilidad[],15,FALSE), 0)</f>
        <v>0</v>
      </c>
      <c r="L604">
        <f>IFERROR(VLOOKUP(Tabla1[[#This Row],[SISMED]],TblDisponibilidad[],16,FALSE), 0)</f>
        <v>0</v>
      </c>
      <c r="M604">
        <f>IFERROR(VLOOKUP(Tabla1[[#This Row],[SISMED]],TblDisponibilidad[],17,FALSE), 0)</f>
        <v>0</v>
      </c>
      <c r="N604">
        <f>IFERROR(VLOOKUP(Tabla1[[#This Row],[SISMED]],TblDisponibilidad[],18,FALSE), 0)</f>
        <v>0</v>
      </c>
      <c r="O604">
        <f>IFERROR(VLOOKUP(Tabla1[[#This Row],[SISMED]],TblDisponibilidad[],19,FALSE), 0)</f>
        <v>0</v>
      </c>
      <c r="P604">
        <f>IFERROR(VLOOKUP(Tabla1[[#This Row],[SISMED]],TblDisponibilidad[],20,FALSE), 0)</f>
        <v>0</v>
      </c>
      <c r="Q604">
        <f>IFERROR(VLOOKUP(Tabla1[[#This Row],[SISMED]],TblDisponibilidad[],21,FALSE), 0)</f>
        <v>0</v>
      </c>
      <c r="R604">
        <f>IFERROR(VLOOKUP(Tabla1[[#This Row],[SISMED]],TblDisponibilidad[],22,FALSE), 0)</f>
        <v>0</v>
      </c>
      <c r="S604" s="15">
        <f>IFERROR(VLOOKUP(Tabla1[[#This Row],[SISMED]],TblDisponibilidad[],23,FALSE), 0)</f>
        <v>0</v>
      </c>
    </row>
    <row r="605" spans="1:19" x14ac:dyDescent="0.3">
      <c r="A605" s="15" t="s">
        <v>635</v>
      </c>
      <c r="B605" t="str">
        <f>IFERROR(VLOOKUP(Tabla1[[#This Row],[SISMED]],TblDisponibilidad[],2,FALSE), "")</f>
        <v/>
      </c>
      <c r="C605">
        <f>IFERROR(VLOOKUP(Tabla1[[#This Row],[SISMED]],TblDisponibilidad[],7,FALSE), 0)</f>
        <v>0</v>
      </c>
      <c r="D605">
        <f>IFERROR(VLOOKUP(Tabla1[[#This Row],[SISMED]],TblDisponibilidad[],8,FALSE), 0)</f>
        <v>0</v>
      </c>
      <c r="E605">
        <f>IFERROR(VLOOKUP(Tabla1[[#This Row],[SISMED]],TblDisponibilidad[],9,FALSE), 0)</f>
        <v>0</v>
      </c>
      <c r="F605">
        <f>IFERROR(VLOOKUP(Tabla1[[#This Row],[SISMED]],TblDisponibilidad[],10,FALSE), 0)</f>
        <v>0</v>
      </c>
      <c r="G605">
        <f>IFERROR(VLOOKUP(Tabla1[[#This Row],[SISMED]],TblDisponibilidad[],11,FALSE), 0)</f>
        <v>0</v>
      </c>
      <c r="H605">
        <f>IFERROR(VLOOKUP(Tabla1[[#This Row],[SISMED]],TblDisponibilidad[],12,FALSE), 0)</f>
        <v>0</v>
      </c>
      <c r="I605">
        <f>IFERROR(VLOOKUP(Tabla1[[#This Row],[SISMED]],TblDisponibilidad[],13,FALSE), 0)</f>
        <v>0</v>
      </c>
      <c r="J605">
        <f>IFERROR(VLOOKUP(Tabla1[[#This Row],[SISMED]],TblDisponibilidad[],14,FALSE), 0)</f>
        <v>0</v>
      </c>
      <c r="K605">
        <f>IFERROR(VLOOKUP(Tabla1[[#This Row],[SISMED]],TblDisponibilidad[],15,FALSE), 0)</f>
        <v>0</v>
      </c>
      <c r="L605">
        <f>IFERROR(VLOOKUP(Tabla1[[#This Row],[SISMED]],TblDisponibilidad[],16,FALSE), 0)</f>
        <v>0</v>
      </c>
      <c r="M605">
        <f>IFERROR(VLOOKUP(Tabla1[[#This Row],[SISMED]],TblDisponibilidad[],17,FALSE), 0)</f>
        <v>0</v>
      </c>
      <c r="N605">
        <f>IFERROR(VLOOKUP(Tabla1[[#This Row],[SISMED]],TblDisponibilidad[],18,FALSE), 0)</f>
        <v>0</v>
      </c>
      <c r="O605">
        <f>IFERROR(VLOOKUP(Tabla1[[#This Row],[SISMED]],TblDisponibilidad[],19,FALSE), 0)</f>
        <v>0</v>
      </c>
      <c r="P605">
        <f>IFERROR(VLOOKUP(Tabla1[[#This Row],[SISMED]],TblDisponibilidad[],20,FALSE), 0)</f>
        <v>0</v>
      </c>
      <c r="Q605">
        <f>IFERROR(VLOOKUP(Tabla1[[#This Row],[SISMED]],TblDisponibilidad[],21,FALSE), 0)</f>
        <v>0</v>
      </c>
      <c r="R605">
        <f>IFERROR(VLOOKUP(Tabla1[[#This Row],[SISMED]],TblDisponibilidad[],22,FALSE), 0)</f>
        <v>0</v>
      </c>
      <c r="S605" s="15">
        <f>IFERROR(VLOOKUP(Tabla1[[#This Row],[SISMED]],TblDisponibilidad[],23,FALSE), 0)</f>
        <v>0</v>
      </c>
    </row>
    <row r="606" spans="1:19" x14ac:dyDescent="0.3">
      <c r="A606" s="15" t="s">
        <v>636</v>
      </c>
      <c r="B606" t="str">
        <f>IFERROR(VLOOKUP(Tabla1[[#This Row],[SISMED]],TblDisponibilidad[],2,FALSE), "")</f>
        <v/>
      </c>
      <c r="C606">
        <f>IFERROR(VLOOKUP(Tabla1[[#This Row],[SISMED]],TblDisponibilidad[],7,FALSE), 0)</f>
        <v>0</v>
      </c>
      <c r="D606">
        <f>IFERROR(VLOOKUP(Tabla1[[#This Row],[SISMED]],TblDisponibilidad[],8,FALSE), 0)</f>
        <v>0</v>
      </c>
      <c r="E606">
        <f>IFERROR(VLOOKUP(Tabla1[[#This Row],[SISMED]],TblDisponibilidad[],9,FALSE), 0)</f>
        <v>0</v>
      </c>
      <c r="F606">
        <f>IFERROR(VLOOKUP(Tabla1[[#This Row],[SISMED]],TblDisponibilidad[],10,FALSE), 0)</f>
        <v>0</v>
      </c>
      <c r="G606">
        <f>IFERROR(VLOOKUP(Tabla1[[#This Row],[SISMED]],TblDisponibilidad[],11,FALSE), 0)</f>
        <v>0</v>
      </c>
      <c r="H606">
        <f>IFERROR(VLOOKUP(Tabla1[[#This Row],[SISMED]],TblDisponibilidad[],12,FALSE), 0)</f>
        <v>0</v>
      </c>
      <c r="I606">
        <f>IFERROR(VLOOKUP(Tabla1[[#This Row],[SISMED]],TblDisponibilidad[],13,FALSE), 0)</f>
        <v>0</v>
      </c>
      <c r="J606">
        <f>IFERROR(VLOOKUP(Tabla1[[#This Row],[SISMED]],TblDisponibilidad[],14,FALSE), 0)</f>
        <v>0</v>
      </c>
      <c r="K606">
        <f>IFERROR(VLOOKUP(Tabla1[[#This Row],[SISMED]],TblDisponibilidad[],15,FALSE), 0)</f>
        <v>0</v>
      </c>
      <c r="L606">
        <f>IFERROR(VLOOKUP(Tabla1[[#This Row],[SISMED]],TblDisponibilidad[],16,FALSE), 0)</f>
        <v>0</v>
      </c>
      <c r="M606">
        <f>IFERROR(VLOOKUP(Tabla1[[#This Row],[SISMED]],TblDisponibilidad[],17,FALSE), 0)</f>
        <v>0</v>
      </c>
      <c r="N606">
        <f>IFERROR(VLOOKUP(Tabla1[[#This Row],[SISMED]],TblDisponibilidad[],18,FALSE), 0)</f>
        <v>0</v>
      </c>
      <c r="O606">
        <f>IFERROR(VLOOKUP(Tabla1[[#This Row],[SISMED]],TblDisponibilidad[],19,FALSE), 0)</f>
        <v>0</v>
      </c>
      <c r="P606">
        <f>IFERROR(VLOOKUP(Tabla1[[#This Row],[SISMED]],TblDisponibilidad[],20,FALSE), 0)</f>
        <v>0</v>
      </c>
      <c r="Q606">
        <f>IFERROR(VLOOKUP(Tabla1[[#This Row],[SISMED]],TblDisponibilidad[],21,FALSE), 0)</f>
        <v>0</v>
      </c>
      <c r="R606">
        <f>IFERROR(VLOOKUP(Tabla1[[#This Row],[SISMED]],TblDisponibilidad[],22,FALSE), 0)</f>
        <v>0</v>
      </c>
      <c r="S606" s="15">
        <f>IFERROR(VLOOKUP(Tabla1[[#This Row],[SISMED]],TblDisponibilidad[],23,FALSE), 0)</f>
        <v>0</v>
      </c>
    </row>
    <row r="607" spans="1:19" x14ac:dyDescent="0.3">
      <c r="A607" s="15" t="s">
        <v>637</v>
      </c>
      <c r="B607" t="str">
        <f>IFERROR(VLOOKUP(Tabla1[[#This Row],[SISMED]],TblDisponibilidad[],2,FALSE), "")</f>
        <v/>
      </c>
      <c r="C607">
        <f>IFERROR(VLOOKUP(Tabla1[[#This Row],[SISMED]],TblDisponibilidad[],7,FALSE), 0)</f>
        <v>0</v>
      </c>
      <c r="D607">
        <f>IFERROR(VLOOKUP(Tabla1[[#This Row],[SISMED]],TblDisponibilidad[],8,FALSE), 0)</f>
        <v>0</v>
      </c>
      <c r="E607">
        <f>IFERROR(VLOOKUP(Tabla1[[#This Row],[SISMED]],TblDisponibilidad[],9,FALSE), 0)</f>
        <v>0</v>
      </c>
      <c r="F607">
        <f>IFERROR(VLOOKUP(Tabla1[[#This Row],[SISMED]],TblDisponibilidad[],10,FALSE), 0)</f>
        <v>0</v>
      </c>
      <c r="G607">
        <f>IFERROR(VLOOKUP(Tabla1[[#This Row],[SISMED]],TblDisponibilidad[],11,FALSE), 0)</f>
        <v>0</v>
      </c>
      <c r="H607">
        <f>IFERROR(VLOOKUP(Tabla1[[#This Row],[SISMED]],TblDisponibilidad[],12,FALSE), 0)</f>
        <v>0</v>
      </c>
      <c r="I607">
        <f>IFERROR(VLOOKUP(Tabla1[[#This Row],[SISMED]],TblDisponibilidad[],13,FALSE), 0)</f>
        <v>0</v>
      </c>
      <c r="J607">
        <f>IFERROR(VLOOKUP(Tabla1[[#This Row],[SISMED]],TblDisponibilidad[],14,FALSE), 0)</f>
        <v>0</v>
      </c>
      <c r="K607">
        <f>IFERROR(VLOOKUP(Tabla1[[#This Row],[SISMED]],TblDisponibilidad[],15,FALSE), 0)</f>
        <v>0</v>
      </c>
      <c r="L607">
        <f>IFERROR(VLOOKUP(Tabla1[[#This Row],[SISMED]],TblDisponibilidad[],16,FALSE), 0)</f>
        <v>0</v>
      </c>
      <c r="M607">
        <f>IFERROR(VLOOKUP(Tabla1[[#This Row],[SISMED]],TblDisponibilidad[],17,FALSE), 0)</f>
        <v>0</v>
      </c>
      <c r="N607">
        <f>IFERROR(VLOOKUP(Tabla1[[#This Row],[SISMED]],TblDisponibilidad[],18,FALSE), 0)</f>
        <v>0</v>
      </c>
      <c r="O607">
        <f>IFERROR(VLOOKUP(Tabla1[[#This Row],[SISMED]],TblDisponibilidad[],19,FALSE), 0)</f>
        <v>0</v>
      </c>
      <c r="P607">
        <f>IFERROR(VLOOKUP(Tabla1[[#This Row],[SISMED]],TblDisponibilidad[],20,FALSE), 0)</f>
        <v>0</v>
      </c>
      <c r="Q607">
        <f>IFERROR(VLOOKUP(Tabla1[[#This Row],[SISMED]],TblDisponibilidad[],21,FALSE), 0)</f>
        <v>0</v>
      </c>
      <c r="R607">
        <f>IFERROR(VLOOKUP(Tabla1[[#This Row],[SISMED]],TblDisponibilidad[],22,FALSE), 0)</f>
        <v>0</v>
      </c>
      <c r="S607" s="15">
        <f>IFERROR(VLOOKUP(Tabla1[[#This Row],[SISMED]],TblDisponibilidad[],23,FALSE), 0)</f>
        <v>0</v>
      </c>
    </row>
    <row r="608" spans="1:19" x14ac:dyDescent="0.3">
      <c r="A608" s="15" t="s">
        <v>638</v>
      </c>
      <c r="B608" t="str">
        <f>IFERROR(VLOOKUP(Tabla1[[#This Row],[SISMED]],TblDisponibilidad[],2,FALSE), "")</f>
        <v/>
      </c>
      <c r="C608">
        <f>IFERROR(VLOOKUP(Tabla1[[#This Row],[SISMED]],TblDisponibilidad[],7,FALSE), 0)</f>
        <v>0</v>
      </c>
      <c r="D608">
        <f>IFERROR(VLOOKUP(Tabla1[[#This Row],[SISMED]],TblDisponibilidad[],8,FALSE), 0)</f>
        <v>0</v>
      </c>
      <c r="E608">
        <f>IFERROR(VLOOKUP(Tabla1[[#This Row],[SISMED]],TblDisponibilidad[],9,FALSE), 0)</f>
        <v>0</v>
      </c>
      <c r="F608">
        <f>IFERROR(VLOOKUP(Tabla1[[#This Row],[SISMED]],TblDisponibilidad[],10,FALSE), 0)</f>
        <v>0</v>
      </c>
      <c r="G608">
        <f>IFERROR(VLOOKUP(Tabla1[[#This Row],[SISMED]],TblDisponibilidad[],11,FALSE), 0)</f>
        <v>0</v>
      </c>
      <c r="H608">
        <f>IFERROR(VLOOKUP(Tabla1[[#This Row],[SISMED]],TblDisponibilidad[],12,FALSE), 0)</f>
        <v>0</v>
      </c>
      <c r="I608">
        <f>IFERROR(VLOOKUP(Tabla1[[#This Row],[SISMED]],TblDisponibilidad[],13,FALSE), 0)</f>
        <v>0</v>
      </c>
      <c r="J608">
        <f>IFERROR(VLOOKUP(Tabla1[[#This Row],[SISMED]],TblDisponibilidad[],14,FALSE), 0)</f>
        <v>0</v>
      </c>
      <c r="K608">
        <f>IFERROR(VLOOKUP(Tabla1[[#This Row],[SISMED]],TblDisponibilidad[],15,FALSE), 0)</f>
        <v>0</v>
      </c>
      <c r="L608">
        <f>IFERROR(VLOOKUP(Tabla1[[#This Row],[SISMED]],TblDisponibilidad[],16,FALSE), 0)</f>
        <v>0</v>
      </c>
      <c r="M608">
        <f>IFERROR(VLOOKUP(Tabla1[[#This Row],[SISMED]],TblDisponibilidad[],17,FALSE), 0)</f>
        <v>0</v>
      </c>
      <c r="N608">
        <f>IFERROR(VLOOKUP(Tabla1[[#This Row],[SISMED]],TblDisponibilidad[],18,FALSE), 0)</f>
        <v>0</v>
      </c>
      <c r="O608">
        <f>IFERROR(VLOOKUP(Tabla1[[#This Row],[SISMED]],TblDisponibilidad[],19,FALSE), 0)</f>
        <v>0</v>
      </c>
      <c r="P608">
        <f>IFERROR(VLOOKUP(Tabla1[[#This Row],[SISMED]],TblDisponibilidad[],20,FALSE), 0)</f>
        <v>0</v>
      </c>
      <c r="Q608">
        <f>IFERROR(VLOOKUP(Tabla1[[#This Row],[SISMED]],TblDisponibilidad[],21,FALSE), 0)</f>
        <v>0</v>
      </c>
      <c r="R608">
        <f>IFERROR(VLOOKUP(Tabla1[[#This Row],[SISMED]],TblDisponibilidad[],22,FALSE), 0)</f>
        <v>0</v>
      </c>
      <c r="S608" s="15">
        <f>IFERROR(VLOOKUP(Tabla1[[#This Row],[SISMED]],TblDisponibilidad[],23,FALSE), 0)</f>
        <v>0</v>
      </c>
    </row>
    <row r="609" spans="1:19" x14ac:dyDescent="0.3">
      <c r="A609" s="15" t="s">
        <v>639</v>
      </c>
      <c r="B609" t="str">
        <f>IFERROR(VLOOKUP(Tabla1[[#This Row],[SISMED]],TblDisponibilidad[],2,FALSE), "")</f>
        <v/>
      </c>
      <c r="C609">
        <f>IFERROR(VLOOKUP(Tabla1[[#This Row],[SISMED]],TblDisponibilidad[],7,FALSE), 0)</f>
        <v>0</v>
      </c>
      <c r="D609">
        <f>IFERROR(VLOOKUP(Tabla1[[#This Row],[SISMED]],TblDisponibilidad[],8,FALSE), 0)</f>
        <v>0</v>
      </c>
      <c r="E609">
        <f>IFERROR(VLOOKUP(Tabla1[[#This Row],[SISMED]],TblDisponibilidad[],9,FALSE), 0)</f>
        <v>0</v>
      </c>
      <c r="F609">
        <f>IFERROR(VLOOKUP(Tabla1[[#This Row],[SISMED]],TblDisponibilidad[],10,FALSE), 0)</f>
        <v>0</v>
      </c>
      <c r="G609">
        <f>IFERROR(VLOOKUP(Tabla1[[#This Row],[SISMED]],TblDisponibilidad[],11,FALSE), 0)</f>
        <v>0</v>
      </c>
      <c r="H609">
        <f>IFERROR(VLOOKUP(Tabla1[[#This Row],[SISMED]],TblDisponibilidad[],12,FALSE), 0)</f>
        <v>0</v>
      </c>
      <c r="I609">
        <f>IFERROR(VLOOKUP(Tabla1[[#This Row],[SISMED]],TblDisponibilidad[],13,FALSE), 0)</f>
        <v>0</v>
      </c>
      <c r="J609">
        <f>IFERROR(VLOOKUP(Tabla1[[#This Row],[SISMED]],TblDisponibilidad[],14,FALSE), 0)</f>
        <v>0</v>
      </c>
      <c r="K609">
        <f>IFERROR(VLOOKUP(Tabla1[[#This Row],[SISMED]],TblDisponibilidad[],15,FALSE), 0)</f>
        <v>0</v>
      </c>
      <c r="L609">
        <f>IFERROR(VLOOKUP(Tabla1[[#This Row],[SISMED]],TblDisponibilidad[],16,FALSE), 0)</f>
        <v>0</v>
      </c>
      <c r="M609">
        <f>IFERROR(VLOOKUP(Tabla1[[#This Row],[SISMED]],TblDisponibilidad[],17,FALSE), 0)</f>
        <v>0</v>
      </c>
      <c r="N609">
        <f>IFERROR(VLOOKUP(Tabla1[[#This Row],[SISMED]],TblDisponibilidad[],18,FALSE), 0)</f>
        <v>0</v>
      </c>
      <c r="O609">
        <f>IFERROR(VLOOKUP(Tabla1[[#This Row],[SISMED]],TblDisponibilidad[],19,FALSE), 0)</f>
        <v>0</v>
      </c>
      <c r="P609">
        <f>IFERROR(VLOOKUP(Tabla1[[#This Row],[SISMED]],TblDisponibilidad[],20,FALSE), 0)</f>
        <v>0</v>
      </c>
      <c r="Q609">
        <f>IFERROR(VLOOKUP(Tabla1[[#This Row],[SISMED]],TblDisponibilidad[],21,FALSE), 0)</f>
        <v>0</v>
      </c>
      <c r="R609">
        <f>IFERROR(VLOOKUP(Tabla1[[#This Row],[SISMED]],TblDisponibilidad[],22,FALSE), 0)</f>
        <v>0</v>
      </c>
      <c r="S609" s="15">
        <f>IFERROR(VLOOKUP(Tabla1[[#This Row],[SISMED]],TblDisponibilidad[],23,FALSE), 0)</f>
        <v>0</v>
      </c>
    </row>
    <row r="610" spans="1:19" x14ac:dyDescent="0.3">
      <c r="A610" s="15" t="s">
        <v>640</v>
      </c>
      <c r="B610" t="str">
        <f>IFERROR(VLOOKUP(Tabla1[[#This Row],[SISMED]],TblDisponibilidad[],2,FALSE), "")</f>
        <v/>
      </c>
      <c r="C610">
        <f>IFERROR(VLOOKUP(Tabla1[[#This Row],[SISMED]],TblDisponibilidad[],7,FALSE), 0)</f>
        <v>0</v>
      </c>
      <c r="D610">
        <f>IFERROR(VLOOKUP(Tabla1[[#This Row],[SISMED]],TblDisponibilidad[],8,FALSE), 0)</f>
        <v>0</v>
      </c>
      <c r="E610">
        <f>IFERROR(VLOOKUP(Tabla1[[#This Row],[SISMED]],TblDisponibilidad[],9,FALSE), 0)</f>
        <v>0</v>
      </c>
      <c r="F610">
        <f>IFERROR(VLOOKUP(Tabla1[[#This Row],[SISMED]],TblDisponibilidad[],10,FALSE), 0)</f>
        <v>0</v>
      </c>
      <c r="G610">
        <f>IFERROR(VLOOKUP(Tabla1[[#This Row],[SISMED]],TblDisponibilidad[],11,FALSE), 0)</f>
        <v>0</v>
      </c>
      <c r="H610">
        <f>IFERROR(VLOOKUP(Tabla1[[#This Row],[SISMED]],TblDisponibilidad[],12,FALSE), 0)</f>
        <v>0</v>
      </c>
      <c r="I610">
        <f>IFERROR(VLOOKUP(Tabla1[[#This Row],[SISMED]],TblDisponibilidad[],13,FALSE), 0)</f>
        <v>0</v>
      </c>
      <c r="J610">
        <f>IFERROR(VLOOKUP(Tabla1[[#This Row],[SISMED]],TblDisponibilidad[],14,FALSE), 0)</f>
        <v>0</v>
      </c>
      <c r="K610">
        <f>IFERROR(VLOOKUP(Tabla1[[#This Row],[SISMED]],TblDisponibilidad[],15,FALSE), 0)</f>
        <v>0</v>
      </c>
      <c r="L610">
        <f>IFERROR(VLOOKUP(Tabla1[[#This Row],[SISMED]],TblDisponibilidad[],16,FALSE), 0)</f>
        <v>0</v>
      </c>
      <c r="M610">
        <f>IFERROR(VLOOKUP(Tabla1[[#This Row],[SISMED]],TblDisponibilidad[],17,FALSE), 0)</f>
        <v>0</v>
      </c>
      <c r="N610">
        <f>IFERROR(VLOOKUP(Tabla1[[#This Row],[SISMED]],TblDisponibilidad[],18,FALSE), 0)</f>
        <v>0</v>
      </c>
      <c r="O610">
        <f>IFERROR(VLOOKUP(Tabla1[[#This Row],[SISMED]],TblDisponibilidad[],19,FALSE), 0)</f>
        <v>0</v>
      </c>
      <c r="P610">
        <f>IFERROR(VLOOKUP(Tabla1[[#This Row],[SISMED]],TblDisponibilidad[],20,FALSE), 0)</f>
        <v>0</v>
      </c>
      <c r="Q610">
        <f>IFERROR(VLOOKUP(Tabla1[[#This Row],[SISMED]],TblDisponibilidad[],21,FALSE), 0)</f>
        <v>0</v>
      </c>
      <c r="R610">
        <f>IFERROR(VLOOKUP(Tabla1[[#This Row],[SISMED]],TblDisponibilidad[],22,FALSE), 0)</f>
        <v>0</v>
      </c>
      <c r="S610" s="15">
        <f>IFERROR(VLOOKUP(Tabla1[[#This Row],[SISMED]],TblDisponibilidad[],23,FALSE), 0)</f>
        <v>0</v>
      </c>
    </row>
    <row r="611" spans="1:19" x14ac:dyDescent="0.3">
      <c r="A611" s="15" t="s">
        <v>641</v>
      </c>
      <c r="B611" t="str">
        <f>IFERROR(VLOOKUP(Tabla1[[#This Row],[SISMED]],TblDisponibilidad[],2,FALSE), "")</f>
        <v/>
      </c>
      <c r="C611">
        <f>IFERROR(VLOOKUP(Tabla1[[#This Row],[SISMED]],TblDisponibilidad[],7,FALSE), 0)</f>
        <v>0</v>
      </c>
      <c r="D611">
        <f>IFERROR(VLOOKUP(Tabla1[[#This Row],[SISMED]],TblDisponibilidad[],8,FALSE), 0)</f>
        <v>0</v>
      </c>
      <c r="E611">
        <f>IFERROR(VLOOKUP(Tabla1[[#This Row],[SISMED]],TblDisponibilidad[],9,FALSE), 0)</f>
        <v>0</v>
      </c>
      <c r="F611">
        <f>IFERROR(VLOOKUP(Tabla1[[#This Row],[SISMED]],TblDisponibilidad[],10,FALSE), 0)</f>
        <v>0</v>
      </c>
      <c r="G611">
        <f>IFERROR(VLOOKUP(Tabla1[[#This Row],[SISMED]],TblDisponibilidad[],11,FALSE), 0)</f>
        <v>0</v>
      </c>
      <c r="H611">
        <f>IFERROR(VLOOKUP(Tabla1[[#This Row],[SISMED]],TblDisponibilidad[],12,FALSE), 0)</f>
        <v>0</v>
      </c>
      <c r="I611">
        <f>IFERROR(VLOOKUP(Tabla1[[#This Row],[SISMED]],TblDisponibilidad[],13,FALSE), 0)</f>
        <v>0</v>
      </c>
      <c r="J611">
        <f>IFERROR(VLOOKUP(Tabla1[[#This Row],[SISMED]],TblDisponibilidad[],14,FALSE), 0)</f>
        <v>0</v>
      </c>
      <c r="K611">
        <f>IFERROR(VLOOKUP(Tabla1[[#This Row],[SISMED]],TblDisponibilidad[],15,FALSE), 0)</f>
        <v>0</v>
      </c>
      <c r="L611">
        <f>IFERROR(VLOOKUP(Tabla1[[#This Row],[SISMED]],TblDisponibilidad[],16,FALSE), 0)</f>
        <v>0</v>
      </c>
      <c r="M611">
        <f>IFERROR(VLOOKUP(Tabla1[[#This Row],[SISMED]],TblDisponibilidad[],17,FALSE), 0)</f>
        <v>0</v>
      </c>
      <c r="N611">
        <f>IFERROR(VLOOKUP(Tabla1[[#This Row],[SISMED]],TblDisponibilidad[],18,FALSE), 0)</f>
        <v>0</v>
      </c>
      <c r="O611">
        <f>IFERROR(VLOOKUP(Tabla1[[#This Row],[SISMED]],TblDisponibilidad[],19,FALSE), 0)</f>
        <v>0</v>
      </c>
      <c r="P611">
        <f>IFERROR(VLOOKUP(Tabla1[[#This Row],[SISMED]],TblDisponibilidad[],20,FALSE), 0)</f>
        <v>0</v>
      </c>
      <c r="Q611">
        <f>IFERROR(VLOOKUP(Tabla1[[#This Row],[SISMED]],TblDisponibilidad[],21,FALSE), 0)</f>
        <v>0</v>
      </c>
      <c r="R611">
        <f>IFERROR(VLOOKUP(Tabla1[[#This Row],[SISMED]],TblDisponibilidad[],22,FALSE), 0)</f>
        <v>0</v>
      </c>
      <c r="S611" s="15">
        <f>IFERROR(VLOOKUP(Tabla1[[#This Row],[SISMED]],TblDisponibilidad[],23,FALSE), 0)</f>
        <v>0</v>
      </c>
    </row>
    <row r="612" spans="1:19" x14ac:dyDescent="0.3">
      <c r="A612" s="15" t="s">
        <v>642</v>
      </c>
      <c r="B612" t="str">
        <f>IFERROR(VLOOKUP(Tabla1[[#This Row],[SISMED]],TblDisponibilidad[],2,FALSE), "")</f>
        <v/>
      </c>
      <c r="C612">
        <f>IFERROR(VLOOKUP(Tabla1[[#This Row],[SISMED]],TblDisponibilidad[],7,FALSE), 0)</f>
        <v>0</v>
      </c>
      <c r="D612">
        <f>IFERROR(VLOOKUP(Tabla1[[#This Row],[SISMED]],TblDisponibilidad[],8,FALSE), 0)</f>
        <v>0</v>
      </c>
      <c r="E612">
        <f>IFERROR(VLOOKUP(Tabla1[[#This Row],[SISMED]],TblDisponibilidad[],9,FALSE), 0)</f>
        <v>0</v>
      </c>
      <c r="F612">
        <f>IFERROR(VLOOKUP(Tabla1[[#This Row],[SISMED]],TblDisponibilidad[],10,FALSE), 0)</f>
        <v>0</v>
      </c>
      <c r="G612">
        <f>IFERROR(VLOOKUP(Tabla1[[#This Row],[SISMED]],TblDisponibilidad[],11,FALSE), 0)</f>
        <v>0</v>
      </c>
      <c r="H612">
        <f>IFERROR(VLOOKUP(Tabla1[[#This Row],[SISMED]],TblDisponibilidad[],12,FALSE), 0)</f>
        <v>0</v>
      </c>
      <c r="I612">
        <f>IFERROR(VLOOKUP(Tabla1[[#This Row],[SISMED]],TblDisponibilidad[],13,FALSE), 0)</f>
        <v>0</v>
      </c>
      <c r="J612">
        <f>IFERROR(VLOOKUP(Tabla1[[#This Row],[SISMED]],TblDisponibilidad[],14,FALSE), 0)</f>
        <v>0</v>
      </c>
      <c r="K612">
        <f>IFERROR(VLOOKUP(Tabla1[[#This Row],[SISMED]],TblDisponibilidad[],15,FALSE), 0)</f>
        <v>0</v>
      </c>
      <c r="L612">
        <f>IFERROR(VLOOKUP(Tabla1[[#This Row],[SISMED]],TblDisponibilidad[],16,FALSE), 0)</f>
        <v>0</v>
      </c>
      <c r="M612">
        <f>IFERROR(VLOOKUP(Tabla1[[#This Row],[SISMED]],TblDisponibilidad[],17,FALSE), 0)</f>
        <v>0</v>
      </c>
      <c r="N612">
        <f>IFERROR(VLOOKUP(Tabla1[[#This Row],[SISMED]],TblDisponibilidad[],18,FALSE), 0)</f>
        <v>0</v>
      </c>
      <c r="O612">
        <f>IFERROR(VLOOKUP(Tabla1[[#This Row],[SISMED]],TblDisponibilidad[],19,FALSE), 0)</f>
        <v>0</v>
      </c>
      <c r="P612">
        <f>IFERROR(VLOOKUP(Tabla1[[#This Row],[SISMED]],TblDisponibilidad[],20,FALSE), 0)</f>
        <v>0</v>
      </c>
      <c r="Q612">
        <f>IFERROR(VLOOKUP(Tabla1[[#This Row],[SISMED]],TblDisponibilidad[],21,FALSE), 0)</f>
        <v>0</v>
      </c>
      <c r="R612">
        <f>IFERROR(VLOOKUP(Tabla1[[#This Row],[SISMED]],TblDisponibilidad[],22,FALSE), 0)</f>
        <v>0</v>
      </c>
      <c r="S612" s="15">
        <f>IFERROR(VLOOKUP(Tabla1[[#This Row],[SISMED]],TblDisponibilidad[],23,FALSE), 0)</f>
        <v>0</v>
      </c>
    </row>
    <row r="613" spans="1:19" x14ac:dyDescent="0.3">
      <c r="A613" s="15" t="s">
        <v>643</v>
      </c>
      <c r="B613" t="str">
        <f>IFERROR(VLOOKUP(Tabla1[[#This Row],[SISMED]],TblDisponibilidad[],2,FALSE), "")</f>
        <v/>
      </c>
      <c r="C613">
        <f>IFERROR(VLOOKUP(Tabla1[[#This Row],[SISMED]],TblDisponibilidad[],7,FALSE), 0)</f>
        <v>0</v>
      </c>
      <c r="D613">
        <f>IFERROR(VLOOKUP(Tabla1[[#This Row],[SISMED]],TblDisponibilidad[],8,FALSE), 0)</f>
        <v>0</v>
      </c>
      <c r="E613">
        <f>IFERROR(VLOOKUP(Tabla1[[#This Row],[SISMED]],TblDisponibilidad[],9,FALSE), 0)</f>
        <v>0</v>
      </c>
      <c r="F613">
        <f>IFERROR(VLOOKUP(Tabla1[[#This Row],[SISMED]],TblDisponibilidad[],10,FALSE), 0)</f>
        <v>0</v>
      </c>
      <c r="G613">
        <f>IFERROR(VLOOKUP(Tabla1[[#This Row],[SISMED]],TblDisponibilidad[],11,FALSE), 0)</f>
        <v>0</v>
      </c>
      <c r="H613">
        <f>IFERROR(VLOOKUP(Tabla1[[#This Row],[SISMED]],TblDisponibilidad[],12,FALSE), 0)</f>
        <v>0</v>
      </c>
      <c r="I613">
        <f>IFERROR(VLOOKUP(Tabla1[[#This Row],[SISMED]],TblDisponibilidad[],13,FALSE), 0)</f>
        <v>0</v>
      </c>
      <c r="J613">
        <f>IFERROR(VLOOKUP(Tabla1[[#This Row],[SISMED]],TblDisponibilidad[],14,FALSE), 0)</f>
        <v>0</v>
      </c>
      <c r="K613">
        <f>IFERROR(VLOOKUP(Tabla1[[#This Row],[SISMED]],TblDisponibilidad[],15,FALSE), 0)</f>
        <v>0</v>
      </c>
      <c r="L613">
        <f>IFERROR(VLOOKUP(Tabla1[[#This Row],[SISMED]],TblDisponibilidad[],16,FALSE), 0)</f>
        <v>0</v>
      </c>
      <c r="M613">
        <f>IFERROR(VLOOKUP(Tabla1[[#This Row],[SISMED]],TblDisponibilidad[],17,FALSE), 0)</f>
        <v>0</v>
      </c>
      <c r="N613">
        <f>IFERROR(VLOOKUP(Tabla1[[#This Row],[SISMED]],TblDisponibilidad[],18,FALSE), 0)</f>
        <v>0</v>
      </c>
      <c r="O613">
        <f>IFERROR(VLOOKUP(Tabla1[[#This Row],[SISMED]],TblDisponibilidad[],19,FALSE), 0)</f>
        <v>0</v>
      </c>
      <c r="P613">
        <f>IFERROR(VLOOKUP(Tabla1[[#This Row],[SISMED]],TblDisponibilidad[],20,FALSE), 0)</f>
        <v>0</v>
      </c>
      <c r="Q613">
        <f>IFERROR(VLOOKUP(Tabla1[[#This Row],[SISMED]],TblDisponibilidad[],21,FALSE), 0)</f>
        <v>0</v>
      </c>
      <c r="R613">
        <f>IFERROR(VLOOKUP(Tabla1[[#This Row],[SISMED]],TblDisponibilidad[],22,FALSE), 0)</f>
        <v>0</v>
      </c>
      <c r="S613" s="15">
        <f>IFERROR(VLOOKUP(Tabla1[[#This Row],[SISMED]],TblDisponibilidad[],23,FALSE), 0)</f>
        <v>0</v>
      </c>
    </row>
    <row r="614" spans="1:19" x14ac:dyDescent="0.3">
      <c r="A614" s="15" t="s">
        <v>644</v>
      </c>
      <c r="B614" t="str">
        <f>IFERROR(VLOOKUP(Tabla1[[#This Row],[SISMED]],TblDisponibilidad[],2,FALSE), "")</f>
        <v/>
      </c>
      <c r="C614">
        <f>IFERROR(VLOOKUP(Tabla1[[#This Row],[SISMED]],TblDisponibilidad[],7,FALSE), 0)</f>
        <v>0</v>
      </c>
      <c r="D614">
        <f>IFERROR(VLOOKUP(Tabla1[[#This Row],[SISMED]],TblDisponibilidad[],8,FALSE), 0)</f>
        <v>0</v>
      </c>
      <c r="E614">
        <f>IFERROR(VLOOKUP(Tabla1[[#This Row],[SISMED]],TblDisponibilidad[],9,FALSE), 0)</f>
        <v>0</v>
      </c>
      <c r="F614">
        <f>IFERROR(VLOOKUP(Tabla1[[#This Row],[SISMED]],TblDisponibilidad[],10,FALSE), 0)</f>
        <v>0</v>
      </c>
      <c r="G614">
        <f>IFERROR(VLOOKUP(Tabla1[[#This Row],[SISMED]],TblDisponibilidad[],11,FALSE), 0)</f>
        <v>0</v>
      </c>
      <c r="H614">
        <f>IFERROR(VLOOKUP(Tabla1[[#This Row],[SISMED]],TblDisponibilidad[],12,FALSE), 0)</f>
        <v>0</v>
      </c>
      <c r="I614">
        <f>IFERROR(VLOOKUP(Tabla1[[#This Row],[SISMED]],TblDisponibilidad[],13,FALSE), 0)</f>
        <v>0</v>
      </c>
      <c r="J614">
        <f>IFERROR(VLOOKUP(Tabla1[[#This Row],[SISMED]],TblDisponibilidad[],14,FALSE), 0)</f>
        <v>0</v>
      </c>
      <c r="K614">
        <f>IFERROR(VLOOKUP(Tabla1[[#This Row],[SISMED]],TblDisponibilidad[],15,FALSE), 0)</f>
        <v>0</v>
      </c>
      <c r="L614">
        <f>IFERROR(VLOOKUP(Tabla1[[#This Row],[SISMED]],TblDisponibilidad[],16,FALSE), 0)</f>
        <v>0</v>
      </c>
      <c r="M614">
        <f>IFERROR(VLOOKUP(Tabla1[[#This Row],[SISMED]],TblDisponibilidad[],17,FALSE), 0)</f>
        <v>0</v>
      </c>
      <c r="N614">
        <f>IFERROR(VLOOKUP(Tabla1[[#This Row],[SISMED]],TblDisponibilidad[],18,FALSE), 0)</f>
        <v>0</v>
      </c>
      <c r="O614">
        <f>IFERROR(VLOOKUP(Tabla1[[#This Row],[SISMED]],TblDisponibilidad[],19,FALSE), 0)</f>
        <v>0</v>
      </c>
      <c r="P614">
        <f>IFERROR(VLOOKUP(Tabla1[[#This Row],[SISMED]],TblDisponibilidad[],20,FALSE), 0)</f>
        <v>0</v>
      </c>
      <c r="Q614">
        <f>IFERROR(VLOOKUP(Tabla1[[#This Row],[SISMED]],TblDisponibilidad[],21,FALSE), 0)</f>
        <v>0</v>
      </c>
      <c r="R614">
        <f>IFERROR(VLOOKUP(Tabla1[[#This Row],[SISMED]],TblDisponibilidad[],22,FALSE), 0)</f>
        <v>0</v>
      </c>
      <c r="S614" s="15">
        <f>IFERROR(VLOOKUP(Tabla1[[#This Row],[SISMED]],TblDisponibilidad[],23,FALSE), 0)</f>
        <v>0</v>
      </c>
    </row>
    <row r="615" spans="1:19" x14ac:dyDescent="0.3">
      <c r="A615" s="15" t="s">
        <v>645</v>
      </c>
      <c r="B615" t="str">
        <f>IFERROR(VLOOKUP(Tabla1[[#This Row],[SISMED]],TblDisponibilidad[],2,FALSE), "")</f>
        <v/>
      </c>
      <c r="C615">
        <f>IFERROR(VLOOKUP(Tabla1[[#This Row],[SISMED]],TblDisponibilidad[],7,FALSE), 0)</f>
        <v>0</v>
      </c>
      <c r="D615">
        <f>IFERROR(VLOOKUP(Tabla1[[#This Row],[SISMED]],TblDisponibilidad[],8,FALSE), 0)</f>
        <v>0</v>
      </c>
      <c r="E615">
        <f>IFERROR(VLOOKUP(Tabla1[[#This Row],[SISMED]],TblDisponibilidad[],9,FALSE), 0)</f>
        <v>0</v>
      </c>
      <c r="F615">
        <f>IFERROR(VLOOKUP(Tabla1[[#This Row],[SISMED]],TblDisponibilidad[],10,FALSE), 0)</f>
        <v>0</v>
      </c>
      <c r="G615">
        <f>IFERROR(VLOOKUP(Tabla1[[#This Row],[SISMED]],TblDisponibilidad[],11,FALSE), 0)</f>
        <v>0</v>
      </c>
      <c r="H615">
        <f>IFERROR(VLOOKUP(Tabla1[[#This Row],[SISMED]],TblDisponibilidad[],12,FALSE), 0)</f>
        <v>0</v>
      </c>
      <c r="I615">
        <f>IFERROR(VLOOKUP(Tabla1[[#This Row],[SISMED]],TblDisponibilidad[],13,FALSE), 0)</f>
        <v>0</v>
      </c>
      <c r="J615">
        <f>IFERROR(VLOOKUP(Tabla1[[#This Row],[SISMED]],TblDisponibilidad[],14,FALSE), 0)</f>
        <v>0</v>
      </c>
      <c r="K615">
        <f>IFERROR(VLOOKUP(Tabla1[[#This Row],[SISMED]],TblDisponibilidad[],15,FALSE), 0)</f>
        <v>0</v>
      </c>
      <c r="L615">
        <f>IFERROR(VLOOKUP(Tabla1[[#This Row],[SISMED]],TblDisponibilidad[],16,FALSE), 0)</f>
        <v>0</v>
      </c>
      <c r="M615">
        <f>IFERROR(VLOOKUP(Tabla1[[#This Row],[SISMED]],TblDisponibilidad[],17,FALSE), 0)</f>
        <v>0</v>
      </c>
      <c r="N615">
        <f>IFERROR(VLOOKUP(Tabla1[[#This Row],[SISMED]],TblDisponibilidad[],18,FALSE), 0)</f>
        <v>0</v>
      </c>
      <c r="O615">
        <f>IFERROR(VLOOKUP(Tabla1[[#This Row],[SISMED]],TblDisponibilidad[],19,FALSE), 0)</f>
        <v>0</v>
      </c>
      <c r="P615">
        <f>IFERROR(VLOOKUP(Tabla1[[#This Row],[SISMED]],TblDisponibilidad[],20,FALSE), 0)</f>
        <v>0</v>
      </c>
      <c r="Q615">
        <f>IFERROR(VLOOKUP(Tabla1[[#This Row],[SISMED]],TblDisponibilidad[],21,FALSE), 0)</f>
        <v>0</v>
      </c>
      <c r="R615">
        <f>IFERROR(VLOOKUP(Tabla1[[#This Row],[SISMED]],TblDisponibilidad[],22,FALSE), 0)</f>
        <v>0</v>
      </c>
      <c r="S615" s="15">
        <f>IFERROR(VLOOKUP(Tabla1[[#This Row],[SISMED]],TblDisponibilidad[],23,FALSE), 0)</f>
        <v>0</v>
      </c>
    </row>
    <row r="616" spans="1:19" x14ac:dyDescent="0.3">
      <c r="A616" s="15" t="s">
        <v>646</v>
      </c>
      <c r="B616" t="str">
        <f>IFERROR(VLOOKUP(Tabla1[[#This Row],[SISMED]],TblDisponibilidad[],2,FALSE), "")</f>
        <v/>
      </c>
      <c r="C616">
        <f>IFERROR(VLOOKUP(Tabla1[[#This Row],[SISMED]],TblDisponibilidad[],7,FALSE), 0)</f>
        <v>0</v>
      </c>
      <c r="D616">
        <f>IFERROR(VLOOKUP(Tabla1[[#This Row],[SISMED]],TblDisponibilidad[],8,FALSE), 0)</f>
        <v>0</v>
      </c>
      <c r="E616">
        <f>IFERROR(VLOOKUP(Tabla1[[#This Row],[SISMED]],TblDisponibilidad[],9,FALSE), 0)</f>
        <v>0</v>
      </c>
      <c r="F616">
        <f>IFERROR(VLOOKUP(Tabla1[[#This Row],[SISMED]],TblDisponibilidad[],10,FALSE), 0)</f>
        <v>0</v>
      </c>
      <c r="G616">
        <f>IFERROR(VLOOKUP(Tabla1[[#This Row],[SISMED]],TblDisponibilidad[],11,FALSE), 0)</f>
        <v>0</v>
      </c>
      <c r="H616">
        <f>IFERROR(VLOOKUP(Tabla1[[#This Row],[SISMED]],TblDisponibilidad[],12,FALSE), 0)</f>
        <v>0</v>
      </c>
      <c r="I616">
        <f>IFERROR(VLOOKUP(Tabla1[[#This Row],[SISMED]],TblDisponibilidad[],13,FALSE), 0)</f>
        <v>0</v>
      </c>
      <c r="J616">
        <f>IFERROR(VLOOKUP(Tabla1[[#This Row],[SISMED]],TblDisponibilidad[],14,FALSE), 0)</f>
        <v>0</v>
      </c>
      <c r="K616">
        <f>IFERROR(VLOOKUP(Tabla1[[#This Row],[SISMED]],TblDisponibilidad[],15,FALSE), 0)</f>
        <v>0</v>
      </c>
      <c r="L616">
        <f>IFERROR(VLOOKUP(Tabla1[[#This Row],[SISMED]],TblDisponibilidad[],16,FALSE), 0)</f>
        <v>0</v>
      </c>
      <c r="M616">
        <f>IFERROR(VLOOKUP(Tabla1[[#This Row],[SISMED]],TblDisponibilidad[],17,FALSE), 0)</f>
        <v>0</v>
      </c>
      <c r="N616">
        <f>IFERROR(VLOOKUP(Tabla1[[#This Row],[SISMED]],TblDisponibilidad[],18,FALSE), 0)</f>
        <v>0</v>
      </c>
      <c r="O616">
        <f>IFERROR(VLOOKUP(Tabla1[[#This Row],[SISMED]],TblDisponibilidad[],19,FALSE), 0)</f>
        <v>0</v>
      </c>
      <c r="P616">
        <f>IFERROR(VLOOKUP(Tabla1[[#This Row],[SISMED]],TblDisponibilidad[],20,FALSE), 0)</f>
        <v>0</v>
      </c>
      <c r="Q616">
        <f>IFERROR(VLOOKUP(Tabla1[[#This Row],[SISMED]],TblDisponibilidad[],21,FALSE), 0)</f>
        <v>0</v>
      </c>
      <c r="R616">
        <f>IFERROR(VLOOKUP(Tabla1[[#This Row],[SISMED]],TblDisponibilidad[],22,FALSE), 0)</f>
        <v>0</v>
      </c>
      <c r="S616" s="15">
        <f>IFERROR(VLOOKUP(Tabla1[[#This Row],[SISMED]],TblDisponibilidad[],23,FALSE), 0)</f>
        <v>0</v>
      </c>
    </row>
    <row r="617" spans="1:19" x14ac:dyDescent="0.3">
      <c r="A617" s="15" t="s">
        <v>647</v>
      </c>
      <c r="B617" t="str">
        <f>IFERROR(VLOOKUP(Tabla1[[#This Row],[SISMED]],TblDisponibilidad[],2,FALSE), "")</f>
        <v/>
      </c>
      <c r="C617">
        <f>IFERROR(VLOOKUP(Tabla1[[#This Row],[SISMED]],TblDisponibilidad[],7,FALSE), 0)</f>
        <v>0</v>
      </c>
      <c r="D617">
        <f>IFERROR(VLOOKUP(Tabla1[[#This Row],[SISMED]],TblDisponibilidad[],8,FALSE), 0)</f>
        <v>0</v>
      </c>
      <c r="E617">
        <f>IFERROR(VLOOKUP(Tabla1[[#This Row],[SISMED]],TblDisponibilidad[],9,FALSE), 0)</f>
        <v>0</v>
      </c>
      <c r="F617">
        <f>IFERROR(VLOOKUP(Tabla1[[#This Row],[SISMED]],TblDisponibilidad[],10,FALSE), 0)</f>
        <v>0</v>
      </c>
      <c r="G617">
        <f>IFERROR(VLOOKUP(Tabla1[[#This Row],[SISMED]],TblDisponibilidad[],11,FALSE), 0)</f>
        <v>0</v>
      </c>
      <c r="H617">
        <f>IFERROR(VLOOKUP(Tabla1[[#This Row],[SISMED]],TblDisponibilidad[],12,FALSE), 0)</f>
        <v>0</v>
      </c>
      <c r="I617">
        <f>IFERROR(VLOOKUP(Tabla1[[#This Row],[SISMED]],TblDisponibilidad[],13,FALSE), 0)</f>
        <v>0</v>
      </c>
      <c r="J617">
        <f>IFERROR(VLOOKUP(Tabla1[[#This Row],[SISMED]],TblDisponibilidad[],14,FALSE), 0)</f>
        <v>0</v>
      </c>
      <c r="K617">
        <f>IFERROR(VLOOKUP(Tabla1[[#This Row],[SISMED]],TblDisponibilidad[],15,FALSE), 0)</f>
        <v>0</v>
      </c>
      <c r="L617">
        <f>IFERROR(VLOOKUP(Tabla1[[#This Row],[SISMED]],TblDisponibilidad[],16,FALSE), 0)</f>
        <v>0</v>
      </c>
      <c r="M617">
        <f>IFERROR(VLOOKUP(Tabla1[[#This Row],[SISMED]],TblDisponibilidad[],17,FALSE), 0)</f>
        <v>0</v>
      </c>
      <c r="N617">
        <f>IFERROR(VLOOKUP(Tabla1[[#This Row],[SISMED]],TblDisponibilidad[],18,FALSE), 0)</f>
        <v>0</v>
      </c>
      <c r="O617">
        <f>IFERROR(VLOOKUP(Tabla1[[#This Row],[SISMED]],TblDisponibilidad[],19,FALSE), 0)</f>
        <v>0</v>
      </c>
      <c r="P617">
        <f>IFERROR(VLOOKUP(Tabla1[[#This Row],[SISMED]],TblDisponibilidad[],20,FALSE), 0)</f>
        <v>0</v>
      </c>
      <c r="Q617">
        <f>IFERROR(VLOOKUP(Tabla1[[#This Row],[SISMED]],TblDisponibilidad[],21,FALSE), 0)</f>
        <v>0</v>
      </c>
      <c r="R617">
        <f>IFERROR(VLOOKUP(Tabla1[[#This Row],[SISMED]],TblDisponibilidad[],22,FALSE), 0)</f>
        <v>0</v>
      </c>
      <c r="S617" s="15">
        <f>IFERROR(VLOOKUP(Tabla1[[#This Row],[SISMED]],TblDisponibilidad[],23,FALSE), 0)</f>
        <v>0</v>
      </c>
    </row>
    <row r="618" spans="1:19" x14ac:dyDescent="0.3">
      <c r="A618" s="15" t="s">
        <v>648</v>
      </c>
      <c r="B618" t="str">
        <f>IFERROR(VLOOKUP(Tabla1[[#This Row],[SISMED]],TblDisponibilidad[],2,FALSE), "")</f>
        <v/>
      </c>
      <c r="C618">
        <f>IFERROR(VLOOKUP(Tabla1[[#This Row],[SISMED]],TblDisponibilidad[],7,FALSE), 0)</f>
        <v>0</v>
      </c>
      <c r="D618">
        <f>IFERROR(VLOOKUP(Tabla1[[#This Row],[SISMED]],TblDisponibilidad[],8,FALSE), 0)</f>
        <v>0</v>
      </c>
      <c r="E618">
        <f>IFERROR(VLOOKUP(Tabla1[[#This Row],[SISMED]],TblDisponibilidad[],9,FALSE), 0)</f>
        <v>0</v>
      </c>
      <c r="F618">
        <f>IFERROR(VLOOKUP(Tabla1[[#This Row],[SISMED]],TblDisponibilidad[],10,FALSE), 0)</f>
        <v>0</v>
      </c>
      <c r="G618">
        <f>IFERROR(VLOOKUP(Tabla1[[#This Row],[SISMED]],TblDisponibilidad[],11,FALSE), 0)</f>
        <v>0</v>
      </c>
      <c r="H618">
        <f>IFERROR(VLOOKUP(Tabla1[[#This Row],[SISMED]],TblDisponibilidad[],12,FALSE), 0)</f>
        <v>0</v>
      </c>
      <c r="I618">
        <f>IFERROR(VLOOKUP(Tabla1[[#This Row],[SISMED]],TblDisponibilidad[],13,FALSE), 0)</f>
        <v>0</v>
      </c>
      <c r="J618">
        <f>IFERROR(VLOOKUP(Tabla1[[#This Row],[SISMED]],TblDisponibilidad[],14,FALSE), 0)</f>
        <v>0</v>
      </c>
      <c r="K618">
        <f>IFERROR(VLOOKUP(Tabla1[[#This Row],[SISMED]],TblDisponibilidad[],15,FALSE), 0)</f>
        <v>0</v>
      </c>
      <c r="L618">
        <f>IFERROR(VLOOKUP(Tabla1[[#This Row],[SISMED]],TblDisponibilidad[],16,FALSE), 0)</f>
        <v>0</v>
      </c>
      <c r="M618">
        <f>IFERROR(VLOOKUP(Tabla1[[#This Row],[SISMED]],TblDisponibilidad[],17,FALSE), 0)</f>
        <v>0</v>
      </c>
      <c r="N618">
        <f>IFERROR(VLOOKUP(Tabla1[[#This Row],[SISMED]],TblDisponibilidad[],18,FALSE), 0)</f>
        <v>0</v>
      </c>
      <c r="O618">
        <f>IFERROR(VLOOKUP(Tabla1[[#This Row],[SISMED]],TblDisponibilidad[],19,FALSE), 0)</f>
        <v>0</v>
      </c>
      <c r="P618">
        <f>IFERROR(VLOOKUP(Tabla1[[#This Row],[SISMED]],TblDisponibilidad[],20,FALSE), 0)</f>
        <v>0</v>
      </c>
      <c r="Q618">
        <f>IFERROR(VLOOKUP(Tabla1[[#This Row],[SISMED]],TblDisponibilidad[],21,FALSE), 0)</f>
        <v>0</v>
      </c>
      <c r="R618">
        <f>IFERROR(VLOOKUP(Tabla1[[#This Row],[SISMED]],TblDisponibilidad[],22,FALSE), 0)</f>
        <v>0</v>
      </c>
      <c r="S618" s="15">
        <f>IFERROR(VLOOKUP(Tabla1[[#This Row],[SISMED]],TblDisponibilidad[],23,FALSE), 0)</f>
        <v>0</v>
      </c>
    </row>
    <row r="619" spans="1:19" x14ac:dyDescent="0.3">
      <c r="A619" s="15" t="s">
        <v>649</v>
      </c>
      <c r="B619" t="str">
        <f>IFERROR(VLOOKUP(Tabla1[[#This Row],[SISMED]],TblDisponibilidad[],2,FALSE), "")</f>
        <v/>
      </c>
      <c r="C619">
        <f>IFERROR(VLOOKUP(Tabla1[[#This Row],[SISMED]],TblDisponibilidad[],7,FALSE), 0)</f>
        <v>0</v>
      </c>
      <c r="D619">
        <f>IFERROR(VLOOKUP(Tabla1[[#This Row],[SISMED]],TblDisponibilidad[],8,FALSE), 0)</f>
        <v>0</v>
      </c>
      <c r="E619">
        <f>IFERROR(VLOOKUP(Tabla1[[#This Row],[SISMED]],TblDisponibilidad[],9,FALSE), 0)</f>
        <v>0</v>
      </c>
      <c r="F619">
        <f>IFERROR(VLOOKUP(Tabla1[[#This Row],[SISMED]],TblDisponibilidad[],10,FALSE), 0)</f>
        <v>0</v>
      </c>
      <c r="G619">
        <f>IFERROR(VLOOKUP(Tabla1[[#This Row],[SISMED]],TblDisponibilidad[],11,FALSE), 0)</f>
        <v>0</v>
      </c>
      <c r="H619">
        <f>IFERROR(VLOOKUP(Tabla1[[#This Row],[SISMED]],TblDisponibilidad[],12,FALSE), 0)</f>
        <v>0</v>
      </c>
      <c r="I619">
        <f>IFERROR(VLOOKUP(Tabla1[[#This Row],[SISMED]],TblDisponibilidad[],13,FALSE), 0)</f>
        <v>0</v>
      </c>
      <c r="J619">
        <f>IFERROR(VLOOKUP(Tabla1[[#This Row],[SISMED]],TblDisponibilidad[],14,FALSE), 0)</f>
        <v>0</v>
      </c>
      <c r="K619">
        <f>IFERROR(VLOOKUP(Tabla1[[#This Row],[SISMED]],TblDisponibilidad[],15,FALSE), 0)</f>
        <v>0</v>
      </c>
      <c r="L619">
        <f>IFERROR(VLOOKUP(Tabla1[[#This Row],[SISMED]],TblDisponibilidad[],16,FALSE), 0)</f>
        <v>0</v>
      </c>
      <c r="M619">
        <f>IFERROR(VLOOKUP(Tabla1[[#This Row],[SISMED]],TblDisponibilidad[],17,FALSE), 0)</f>
        <v>0</v>
      </c>
      <c r="N619">
        <f>IFERROR(VLOOKUP(Tabla1[[#This Row],[SISMED]],TblDisponibilidad[],18,FALSE), 0)</f>
        <v>0</v>
      </c>
      <c r="O619">
        <f>IFERROR(VLOOKUP(Tabla1[[#This Row],[SISMED]],TblDisponibilidad[],19,FALSE), 0)</f>
        <v>0</v>
      </c>
      <c r="P619">
        <f>IFERROR(VLOOKUP(Tabla1[[#This Row],[SISMED]],TblDisponibilidad[],20,FALSE), 0)</f>
        <v>0</v>
      </c>
      <c r="Q619">
        <f>IFERROR(VLOOKUP(Tabla1[[#This Row],[SISMED]],TblDisponibilidad[],21,FALSE), 0)</f>
        <v>0</v>
      </c>
      <c r="R619">
        <f>IFERROR(VLOOKUP(Tabla1[[#This Row],[SISMED]],TblDisponibilidad[],22,FALSE), 0)</f>
        <v>0</v>
      </c>
      <c r="S619" s="15">
        <f>IFERROR(VLOOKUP(Tabla1[[#This Row],[SISMED]],TblDisponibilidad[],23,FALSE), 0)</f>
        <v>0</v>
      </c>
    </row>
    <row r="620" spans="1:19" x14ac:dyDescent="0.3">
      <c r="A620" s="15" t="s">
        <v>650</v>
      </c>
      <c r="B620" t="str">
        <f>IFERROR(VLOOKUP(Tabla1[[#This Row],[SISMED]],TblDisponibilidad[],2,FALSE), "")</f>
        <v/>
      </c>
      <c r="C620">
        <f>IFERROR(VLOOKUP(Tabla1[[#This Row],[SISMED]],TblDisponibilidad[],7,FALSE), 0)</f>
        <v>0</v>
      </c>
      <c r="D620">
        <f>IFERROR(VLOOKUP(Tabla1[[#This Row],[SISMED]],TblDisponibilidad[],8,FALSE), 0)</f>
        <v>0</v>
      </c>
      <c r="E620">
        <f>IFERROR(VLOOKUP(Tabla1[[#This Row],[SISMED]],TblDisponibilidad[],9,FALSE), 0)</f>
        <v>0</v>
      </c>
      <c r="F620">
        <f>IFERROR(VLOOKUP(Tabla1[[#This Row],[SISMED]],TblDisponibilidad[],10,FALSE), 0)</f>
        <v>0</v>
      </c>
      <c r="G620">
        <f>IFERROR(VLOOKUP(Tabla1[[#This Row],[SISMED]],TblDisponibilidad[],11,FALSE), 0)</f>
        <v>0</v>
      </c>
      <c r="H620">
        <f>IFERROR(VLOOKUP(Tabla1[[#This Row],[SISMED]],TblDisponibilidad[],12,FALSE), 0)</f>
        <v>0</v>
      </c>
      <c r="I620">
        <f>IFERROR(VLOOKUP(Tabla1[[#This Row],[SISMED]],TblDisponibilidad[],13,FALSE), 0)</f>
        <v>0</v>
      </c>
      <c r="J620">
        <f>IFERROR(VLOOKUP(Tabla1[[#This Row],[SISMED]],TblDisponibilidad[],14,FALSE), 0)</f>
        <v>0</v>
      </c>
      <c r="K620">
        <f>IFERROR(VLOOKUP(Tabla1[[#This Row],[SISMED]],TblDisponibilidad[],15,FALSE), 0)</f>
        <v>0</v>
      </c>
      <c r="L620">
        <f>IFERROR(VLOOKUP(Tabla1[[#This Row],[SISMED]],TblDisponibilidad[],16,FALSE), 0)</f>
        <v>0</v>
      </c>
      <c r="M620">
        <f>IFERROR(VLOOKUP(Tabla1[[#This Row],[SISMED]],TblDisponibilidad[],17,FALSE), 0)</f>
        <v>0</v>
      </c>
      <c r="N620">
        <f>IFERROR(VLOOKUP(Tabla1[[#This Row],[SISMED]],TblDisponibilidad[],18,FALSE), 0)</f>
        <v>0</v>
      </c>
      <c r="O620">
        <f>IFERROR(VLOOKUP(Tabla1[[#This Row],[SISMED]],TblDisponibilidad[],19,FALSE), 0)</f>
        <v>0</v>
      </c>
      <c r="P620">
        <f>IFERROR(VLOOKUP(Tabla1[[#This Row],[SISMED]],TblDisponibilidad[],20,FALSE), 0)</f>
        <v>0</v>
      </c>
      <c r="Q620">
        <f>IFERROR(VLOOKUP(Tabla1[[#This Row],[SISMED]],TblDisponibilidad[],21,FALSE), 0)</f>
        <v>0</v>
      </c>
      <c r="R620">
        <f>IFERROR(VLOOKUP(Tabla1[[#This Row],[SISMED]],TblDisponibilidad[],22,FALSE), 0)</f>
        <v>0</v>
      </c>
      <c r="S620" s="15">
        <f>IFERROR(VLOOKUP(Tabla1[[#This Row],[SISMED]],TblDisponibilidad[],23,FALSE), 0)</f>
        <v>0</v>
      </c>
    </row>
    <row r="621" spans="1:19" x14ac:dyDescent="0.3">
      <c r="A621" s="15" t="s">
        <v>651</v>
      </c>
      <c r="B621" t="str">
        <f>IFERROR(VLOOKUP(Tabla1[[#This Row],[SISMED]],TblDisponibilidad[],2,FALSE), "")</f>
        <v/>
      </c>
      <c r="C621">
        <f>IFERROR(VLOOKUP(Tabla1[[#This Row],[SISMED]],TblDisponibilidad[],7,FALSE), 0)</f>
        <v>0</v>
      </c>
      <c r="D621">
        <f>IFERROR(VLOOKUP(Tabla1[[#This Row],[SISMED]],TblDisponibilidad[],8,FALSE), 0)</f>
        <v>0</v>
      </c>
      <c r="E621">
        <f>IFERROR(VLOOKUP(Tabla1[[#This Row],[SISMED]],TblDisponibilidad[],9,FALSE), 0)</f>
        <v>0</v>
      </c>
      <c r="F621">
        <f>IFERROR(VLOOKUP(Tabla1[[#This Row],[SISMED]],TblDisponibilidad[],10,FALSE), 0)</f>
        <v>0</v>
      </c>
      <c r="G621">
        <f>IFERROR(VLOOKUP(Tabla1[[#This Row],[SISMED]],TblDisponibilidad[],11,FALSE), 0)</f>
        <v>0</v>
      </c>
      <c r="H621">
        <f>IFERROR(VLOOKUP(Tabla1[[#This Row],[SISMED]],TblDisponibilidad[],12,FALSE), 0)</f>
        <v>0</v>
      </c>
      <c r="I621">
        <f>IFERROR(VLOOKUP(Tabla1[[#This Row],[SISMED]],TblDisponibilidad[],13,FALSE), 0)</f>
        <v>0</v>
      </c>
      <c r="J621">
        <f>IFERROR(VLOOKUP(Tabla1[[#This Row],[SISMED]],TblDisponibilidad[],14,FALSE), 0)</f>
        <v>0</v>
      </c>
      <c r="K621">
        <f>IFERROR(VLOOKUP(Tabla1[[#This Row],[SISMED]],TblDisponibilidad[],15,FALSE), 0)</f>
        <v>0</v>
      </c>
      <c r="L621">
        <f>IFERROR(VLOOKUP(Tabla1[[#This Row],[SISMED]],TblDisponibilidad[],16,FALSE), 0)</f>
        <v>0</v>
      </c>
      <c r="M621">
        <f>IFERROR(VLOOKUP(Tabla1[[#This Row],[SISMED]],TblDisponibilidad[],17,FALSE), 0)</f>
        <v>0</v>
      </c>
      <c r="N621">
        <f>IFERROR(VLOOKUP(Tabla1[[#This Row],[SISMED]],TblDisponibilidad[],18,FALSE), 0)</f>
        <v>0</v>
      </c>
      <c r="O621">
        <f>IFERROR(VLOOKUP(Tabla1[[#This Row],[SISMED]],TblDisponibilidad[],19,FALSE), 0)</f>
        <v>0</v>
      </c>
      <c r="P621">
        <f>IFERROR(VLOOKUP(Tabla1[[#This Row],[SISMED]],TblDisponibilidad[],20,FALSE), 0)</f>
        <v>0</v>
      </c>
      <c r="Q621">
        <f>IFERROR(VLOOKUP(Tabla1[[#This Row],[SISMED]],TblDisponibilidad[],21,FALSE), 0)</f>
        <v>0</v>
      </c>
      <c r="R621">
        <f>IFERROR(VLOOKUP(Tabla1[[#This Row],[SISMED]],TblDisponibilidad[],22,FALSE), 0)</f>
        <v>0</v>
      </c>
      <c r="S621" s="15">
        <f>IFERROR(VLOOKUP(Tabla1[[#This Row],[SISMED]],TblDisponibilidad[],23,FALSE), 0)</f>
        <v>0</v>
      </c>
    </row>
    <row r="622" spans="1:19" x14ac:dyDescent="0.3">
      <c r="A622" s="15" t="s">
        <v>652</v>
      </c>
      <c r="B622" t="str">
        <f>IFERROR(VLOOKUP(Tabla1[[#This Row],[SISMED]],TblDisponibilidad[],2,FALSE), "")</f>
        <v/>
      </c>
      <c r="C622">
        <f>IFERROR(VLOOKUP(Tabla1[[#This Row],[SISMED]],TblDisponibilidad[],7,FALSE), 0)</f>
        <v>0</v>
      </c>
      <c r="D622">
        <f>IFERROR(VLOOKUP(Tabla1[[#This Row],[SISMED]],TblDisponibilidad[],8,FALSE), 0)</f>
        <v>0</v>
      </c>
      <c r="E622">
        <f>IFERROR(VLOOKUP(Tabla1[[#This Row],[SISMED]],TblDisponibilidad[],9,FALSE), 0)</f>
        <v>0</v>
      </c>
      <c r="F622">
        <f>IFERROR(VLOOKUP(Tabla1[[#This Row],[SISMED]],TblDisponibilidad[],10,FALSE), 0)</f>
        <v>0</v>
      </c>
      <c r="G622">
        <f>IFERROR(VLOOKUP(Tabla1[[#This Row],[SISMED]],TblDisponibilidad[],11,FALSE), 0)</f>
        <v>0</v>
      </c>
      <c r="H622">
        <f>IFERROR(VLOOKUP(Tabla1[[#This Row],[SISMED]],TblDisponibilidad[],12,FALSE), 0)</f>
        <v>0</v>
      </c>
      <c r="I622">
        <f>IFERROR(VLOOKUP(Tabla1[[#This Row],[SISMED]],TblDisponibilidad[],13,FALSE), 0)</f>
        <v>0</v>
      </c>
      <c r="J622">
        <f>IFERROR(VLOOKUP(Tabla1[[#This Row],[SISMED]],TblDisponibilidad[],14,FALSE), 0)</f>
        <v>0</v>
      </c>
      <c r="K622">
        <f>IFERROR(VLOOKUP(Tabla1[[#This Row],[SISMED]],TblDisponibilidad[],15,FALSE), 0)</f>
        <v>0</v>
      </c>
      <c r="L622">
        <f>IFERROR(VLOOKUP(Tabla1[[#This Row],[SISMED]],TblDisponibilidad[],16,FALSE), 0)</f>
        <v>0</v>
      </c>
      <c r="M622">
        <f>IFERROR(VLOOKUP(Tabla1[[#This Row],[SISMED]],TblDisponibilidad[],17,FALSE), 0)</f>
        <v>0</v>
      </c>
      <c r="N622">
        <f>IFERROR(VLOOKUP(Tabla1[[#This Row],[SISMED]],TblDisponibilidad[],18,FALSE), 0)</f>
        <v>0</v>
      </c>
      <c r="O622">
        <f>IFERROR(VLOOKUP(Tabla1[[#This Row],[SISMED]],TblDisponibilidad[],19,FALSE), 0)</f>
        <v>0</v>
      </c>
      <c r="P622">
        <f>IFERROR(VLOOKUP(Tabla1[[#This Row],[SISMED]],TblDisponibilidad[],20,FALSE), 0)</f>
        <v>0</v>
      </c>
      <c r="Q622">
        <f>IFERROR(VLOOKUP(Tabla1[[#This Row],[SISMED]],TblDisponibilidad[],21,FALSE), 0)</f>
        <v>0</v>
      </c>
      <c r="R622">
        <f>IFERROR(VLOOKUP(Tabla1[[#This Row],[SISMED]],TblDisponibilidad[],22,FALSE), 0)</f>
        <v>0</v>
      </c>
      <c r="S622" s="15">
        <f>IFERROR(VLOOKUP(Tabla1[[#This Row],[SISMED]],TblDisponibilidad[],23,FALSE), 0)</f>
        <v>0</v>
      </c>
    </row>
    <row r="623" spans="1:19" x14ac:dyDescent="0.3">
      <c r="A623" s="15" t="s">
        <v>653</v>
      </c>
      <c r="B623" t="str">
        <f>IFERROR(VLOOKUP(Tabla1[[#This Row],[SISMED]],TblDisponibilidad[],2,FALSE), "")</f>
        <v/>
      </c>
      <c r="C623">
        <f>IFERROR(VLOOKUP(Tabla1[[#This Row],[SISMED]],TblDisponibilidad[],7,FALSE), 0)</f>
        <v>0</v>
      </c>
      <c r="D623">
        <f>IFERROR(VLOOKUP(Tabla1[[#This Row],[SISMED]],TblDisponibilidad[],8,FALSE), 0)</f>
        <v>0</v>
      </c>
      <c r="E623">
        <f>IFERROR(VLOOKUP(Tabla1[[#This Row],[SISMED]],TblDisponibilidad[],9,FALSE), 0)</f>
        <v>0</v>
      </c>
      <c r="F623">
        <f>IFERROR(VLOOKUP(Tabla1[[#This Row],[SISMED]],TblDisponibilidad[],10,FALSE), 0)</f>
        <v>0</v>
      </c>
      <c r="G623">
        <f>IFERROR(VLOOKUP(Tabla1[[#This Row],[SISMED]],TblDisponibilidad[],11,FALSE), 0)</f>
        <v>0</v>
      </c>
      <c r="H623">
        <f>IFERROR(VLOOKUP(Tabla1[[#This Row],[SISMED]],TblDisponibilidad[],12,FALSE), 0)</f>
        <v>0</v>
      </c>
      <c r="I623">
        <f>IFERROR(VLOOKUP(Tabla1[[#This Row],[SISMED]],TblDisponibilidad[],13,FALSE), 0)</f>
        <v>0</v>
      </c>
      <c r="J623">
        <f>IFERROR(VLOOKUP(Tabla1[[#This Row],[SISMED]],TblDisponibilidad[],14,FALSE), 0)</f>
        <v>0</v>
      </c>
      <c r="K623">
        <f>IFERROR(VLOOKUP(Tabla1[[#This Row],[SISMED]],TblDisponibilidad[],15,FALSE), 0)</f>
        <v>0</v>
      </c>
      <c r="L623">
        <f>IFERROR(VLOOKUP(Tabla1[[#This Row],[SISMED]],TblDisponibilidad[],16,FALSE), 0)</f>
        <v>0</v>
      </c>
      <c r="M623">
        <f>IFERROR(VLOOKUP(Tabla1[[#This Row],[SISMED]],TblDisponibilidad[],17,FALSE), 0)</f>
        <v>0</v>
      </c>
      <c r="N623">
        <f>IFERROR(VLOOKUP(Tabla1[[#This Row],[SISMED]],TblDisponibilidad[],18,FALSE), 0)</f>
        <v>0</v>
      </c>
      <c r="O623">
        <f>IFERROR(VLOOKUP(Tabla1[[#This Row],[SISMED]],TblDisponibilidad[],19,FALSE), 0)</f>
        <v>0</v>
      </c>
      <c r="P623">
        <f>IFERROR(VLOOKUP(Tabla1[[#This Row],[SISMED]],TblDisponibilidad[],20,FALSE), 0)</f>
        <v>0</v>
      </c>
      <c r="Q623">
        <f>IFERROR(VLOOKUP(Tabla1[[#This Row],[SISMED]],TblDisponibilidad[],21,FALSE), 0)</f>
        <v>0</v>
      </c>
      <c r="R623">
        <f>IFERROR(VLOOKUP(Tabla1[[#This Row],[SISMED]],TblDisponibilidad[],22,FALSE), 0)</f>
        <v>0</v>
      </c>
      <c r="S623" s="15">
        <f>IFERROR(VLOOKUP(Tabla1[[#This Row],[SISMED]],TblDisponibilidad[],23,FALSE), 0)</f>
        <v>0</v>
      </c>
    </row>
    <row r="624" spans="1:19" x14ac:dyDescent="0.3">
      <c r="A624" s="15" t="s">
        <v>654</v>
      </c>
      <c r="B624" t="str">
        <f>IFERROR(VLOOKUP(Tabla1[[#This Row],[SISMED]],TblDisponibilidad[],2,FALSE), "")</f>
        <v/>
      </c>
      <c r="C624">
        <f>IFERROR(VLOOKUP(Tabla1[[#This Row],[SISMED]],TblDisponibilidad[],7,FALSE), 0)</f>
        <v>0</v>
      </c>
      <c r="D624">
        <f>IFERROR(VLOOKUP(Tabla1[[#This Row],[SISMED]],TblDisponibilidad[],8,FALSE), 0)</f>
        <v>0</v>
      </c>
      <c r="E624">
        <f>IFERROR(VLOOKUP(Tabla1[[#This Row],[SISMED]],TblDisponibilidad[],9,FALSE), 0)</f>
        <v>0</v>
      </c>
      <c r="F624">
        <f>IFERROR(VLOOKUP(Tabla1[[#This Row],[SISMED]],TblDisponibilidad[],10,FALSE), 0)</f>
        <v>0</v>
      </c>
      <c r="G624">
        <f>IFERROR(VLOOKUP(Tabla1[[#This Row],[SISMED]],TblDisponibilidad[],11,FALSE), 0)</f>
        <v>0</v>
      </c>
      <c r="H624">
        <f>IFERROR(VLOOKUP(Tabla1[[#This Row],[SISMED]],TblDisponibilidad[],12,FALSE), 0)</f>
        <v>0</v>
      </c>
      <c r="I624">
        <f>IFERROR(VLOOKUP(Tabla1[[#This Row],[SISMED]],TblDisponibilidad[],13,FALSE), 0)</f>
        <v>0</v>
      </c>
      <c r="J624">
        <f>IFERROR(VLOOKUP(Tabla1[[#This Row],[SISMED]],TblDisponibilidad[],14,FALSE), 0)</f>
        <v>0</v>
      </c>
      <c r="K624">
        <f>IFERROR(VLOOKUP(Tabla1[[#This Row],[SISMED]],TblDisponibilidad[],15,FALSE), 0)</f>
        <v>0</v>
      </c>
      <c r="L624">
        <f>IFERROR(VLOOKUP(Tabla1[[#This Row],[SISMED]],TblDisponibilidad[],16,FALSE), 0)</f>
        <v>0</v>
      </c>
      <c r="M624">
        <f>IFERROR(VLOOKUP(Tabla1[[#This Row],[SISMED]],TblDisponibilidad[],17,FALSE), 0)</f>
        <v>0</v>
      </c>
      <c r="N624">
        <f>IFERROR(VLOOKUP(Tabla1[[#This Row],[SISMED]],TblDisponibilidad[],18,FALSE), 0)</f>
        <v>0</v>
      </c>
      <c r="O624">
        <f>IFERROR(VLOOKUP(Tabla1[[#This Row],[SISMED]],TblDisponibilidad[],19,FALSE), 0)</f>
        <v>0</v>
      </c>
      <c r="P624">
        <f>IFERROR(VLOOKUP(Tabla1[[#This Row],[SISMED]],TblDisponibilidad[],20,FALSE), 0)</f>
        <v>0</v>
      </c>
      <c r="Q624">
        <f>IFERROR(VLOOKUP(Tabla1[[#This Row],[SISMED]],TblDisponibilidad[],21,FALSE), 0)</f>
        <v>0</v>
      </c>
      <c r="R624">
        <f>IFERROR(VLOOKUP(Tabla1[[#This Row],[SISMED]],TblDisponibilidad[],22,FALSE), 0)</f>
        <v>0</v>
      </c>
      <c r="S624" s="15">
        <f>IFERROR(VLOOKUP(Tabla1[[#This Row],[SISMED]],TblDisponibilidad[],23,FALSE), 0)</f>
        <v>0</v>
      </c>
    </row>
    <row r="625" spans="1:19" x14ac:dyDescent="0.3">
      <c r="A625" s="15" t="s">
        <v>655</v>
      </c>
      <c r="B625" t="str">
        <f>IFERROR(VLOOKUP(Tabla1[[#This Row],[SISMED]],TblDisponibilidad[],2,FALSE), "")</f>
        <v/>
      </c>
      <c r="C625">
        <f>IFERROR(VLOOKUP(Tabla1[[#This Row],[SISMED]],TblDisponibilidad[],7,FALSE), 0)</f>
        <v>0</v>
      </c>
      <c r="D625">
        <f>IFERROR(VLOOKUP(Tabla1[[#This Row],[SISMED]],TblDisponibilidad[],8,FALSE), 0)</f>
        <v>0</v>
      </c>
      <c r="E625">
        <f>IFERROR(VLOOKUP(Tabla1[[#This Row],[SISMED]],TblDisponibilidad[],9,FALSE), 0)</f>
        <v>0</v>
      </c>
      <c r="F625">
        <f>IFERROR(VLOOKUP(Tabla1[[#This Row],[SISMED]],TblDisponibilidad[],10,FALSE), 0)</f>
        <v>0</v>
      </c>
      <c r="G625">
        <f>IFERROR(VLOOKUP(Tabla1[[#This Row],[SISMED]],TblDisponibilidad[],11,FALSE), 0)</f>
        <v>0</v>
      </c>
      <c r="H625">
        <f>IFERROR(VLOOKUP(Tabla1[[#This Row],[SISMED]],TblDisponibilidad[],12,FALSE), 0)</f>
        <v>0</v>
      </c>
      <c r="I625">
        <f>IFERROR(VLOOKUP(Tabla1[[#This Row],[SISMED]],TblDisponibilidad[],13,FALSE), 0)</f>
        <v>0</v>
      </c>
      <c r="J625">
        <f>IFERROR(VLOOKUP(Tabla1[[#This Row],[SISMED]],TblDisponibilidad[],14,FALSE), 0)</f>
        <v>0</v>
      </c>
      <c r="K625">
        <f>IFERROR(VLOOKUP(Tabla1[[#This Row],[SISMED]],TblDisponibilidad[],15,FALSE), 0)</f>
        <v>0</v>
      </c>
      <c r="L625">
        <f>IFERROR(VLOOKUP(Tabla1[[#This Row],[SISMED]],TblDisponibilidad[],16,FALSE), 0)</f>
        <v>0</v>
      </c>
      <c r="M625">
        <f>IFERROR(VLOOKUP(Tabla1[[#This Row],[SISMED]],TblDisponibilidad[],17,FALSE), 0)</f>
        <v>0</v>
      </c>
      <c r="N625">
        <f>IFERROR(VLOOKUP(Tabla1[[#This Row],[SISMED]],TblDisponibilidad[],18,FALSE), 0)</f>
        <v>0</v>
      </c>
      <c r="O625">
        <f>IFERROR(VLOOKUP(Tabla1[[#This Row],[SISMED]],TblDisponibilidad[],19,FALSE), 0)</f>
        <v>0</v>
      </c>
      <c r="P625">
        <f>IFERROR(VLOOKUP(Tabla1[[#This Row],[SISMED]],TblDisponibilidad[],20,FALSE), 0)</f>
        <v>0</v>
      </c>
      <c r="Q625">
        <f>IFERROR(VLOOKUP(Tabla1[[#This Row],[SISMED]],TblDisponibilidad[],21,FALSE), 0)</f>
        <v>0</v>
      </c>
      <c r="R625">
        <f>IFERROR(VLOOKUP(Tabla1[[#This Row],[SISMED]],TblDisponibilidad[],22,FALSE), 0)</f>
        <v>0</v>
      </c>
      <c r="S625" s="15">
        <f>IFERROR(VLOOKUP(Tabla1[[#This Row],[SISMED]],TblDisponibilidad[],23,FALSE), 0)</f>
        <v>0</v>
      </c>
    </row>
    <row r="626" spans="1:19" x14ac:dyDescent="0.3">
      <c r="A626" s="15" t="s">
        <v>656</v>
      </c>
      <c r="B626" t="str">
        <f>IFERROR(VLOOKUP(Tabla1[[#This Row],[SISMED]],TblDisponibilidad[],2,FALSE), "")</f>
        <v/>
      </c>
      <c r="C626">
        <f>IFERROR(VLOOKUP(Tabla1[[#This Row],[SISMED]],TblDisponibilidad[],7,FALSE), 0)</f>
        <v>0</v>
      </c>
      <c r="D626">
        <f>IFERROR(VLOOKUP(Tabla1[[#This Row],[SISMED]],TblDisponibilidad[],8,FALSE), 0)</f>
        <v>0</v>
      </c>
      <c r="E626">
        <f>IFERROR(VLOOKUP(Tabla1[[#This Row],[SISMED]],TblDisponibilidad[],9,FALSE), 0)</f>
        <v>0</v>
      </c>
      <c r="F626">
        <f>IFERROR(VLOOKUP(Tabla1[[#This Row],[SISMED]],TblDisponibilidad[],10,FALSE), 0)</f>
        <v>0</v>
      </c>
      <c r="G626">
        <f>IFERROR(VLOOKUP(Tabla1[[#This Row],[SISMED]],TblDisponibilidad[],11,FALSE), 0)</f>
        <v>0</v>
      </c>
      <c r="H626">
        <f>IFERROR(VLOOKUP(Tabla1[[#This Row],[SISMED]],TblDisponibilidad[],12,FALSE), 0)</f>
        <v>0</v>
      </c>
      <c r="I626">
        <f>IFERROR(VLOOKUP(Tabla1[[#This Row],[SISMED]],TblDisponibilidad[],13,FALSE), 0)</f>
        <v>0</v>
      </c>
      <c r="J626">
        <f>IFERROR(VLOOKUP(Tabla1[[#This Row],[SISMED]],TblDisponibilidad[],14,FALSE), 0)</f>
        <v>0</v>
      </c>
      <c r="K626">
        <f>IFERROR(VLOOKUP(Tabla1[[#This Row],[SISMED]],TblDisponibilidad[],15,FALSE), 0)</f>
        <v>0</v>
      </c>
      <c r="L626">
        <f>IFERROR(VLOOKUP(Tabla1[[#This Row],[SISMED]],TblDisponibilidad[],16,FALSE), 0)</f>
        <v>0</v>
      </c>
      <c r="M626">
        <f>IFERROR(VLOOKUP(Tabla1[[#This Row],[SISMED]],TblDisponibilidad[],17,FALSE), 0)</f>
        <v>0</v>
      </c>
      <c r="N626">
        <f>IFERROR(VLOOKUP(Tabla1[[#This Row],[SISMED]],TblDisponibilidad[],18,FALSE), 0)</f>
        <v>0</v>
      </c>
      <c r="O626">
        <f>IFERROR(VLOOKUP(Tabla1[[#This Row],[SISMED]],TblDisponibilidad[],19,FALSE), 0)</f>
        <v>0</v>
      </c>
      <c r="P626">
        <f>IFERROR(VLOOKUP(Tabla1[[#This Row],[SISMED]],TblDisponibilidad[],20,FALSE), 0)</f>
        <v>0</v>
      </c>
      <c r="Q626">
        <f>IFERROR(VLOOKUP(Tabla1[[#This Row],[SISMED]],TblDisponibilidad[],21,FALSE), 0)</f>
        <v>0</v>
      </c>
      <c r="R626">
        <f>IFERROR(VLOOKUP(Tabla1[[#This Row],[SISMED]],TblDisponibilidad[],22,FALSE), 0)</f>
        <v>0</v>
      </c>
      <c r="S626" s="15">
        <f>IFERROR(VLOOKUP(Tabla1[[#This Row],[SISMED]],TblDisponibilidad[],23,FALSE), 0)</f>
        <v>0</v>
      </c>
    </row>
    <row r="627" spans="1:19" x14ac:dyDescent="0.3">
      <c r="A627" s="15" t="s">
        <v>657</v>
      </c>
      <c r="B627" t="str">
        <f>IFERROR(VLOOKUP(Tabla1[[#This Row],[SISMED]],TblDisponibilidad[],2,FALSE), "")</f>
        <v/>
      </c>
      <c r="C627">
        <f>IFERROR(VLOOKUP(Tabla1[[#This Row],[SISMED]],TblDisponibilidad[],7,FALSE), 0)</f>
        <v>0</v>
      </c>
      <c r="D627">
        <f>IFERROR(VLOOKUP(Tabla1[[#This Row],[SISMED]],TblDisponibilidad[],8,FALSE), 0)</f>
        <v>0</v>
      </c>
      <c r="E627">
        <f>IFERROR(VLOOKUP(Tabla1[[#This Row],[SISMED]],TblDisponibilidad[],9,FALSE), 0)</f>
        <v>0</v>
      </c>
      <c r="F627">
        <f>IFERROR(VLOOKUP(Tabla1[[#This Row],[SISMED]],TblDisponibilidad[],10,FALSE), 0)</f>
        <v>0</v>
      </c>
      <c r="G627">
        <f>IFERROR(VLOOKUP(Tabla1[[#This Row],[SISMED]],TblDisponibilidad[],11,FALSE), 0)</f>
        <v>0</v>
      </c>
      <c r="H627">
        <f>IFERROR(VLOOKUP(Tabla1[[#This Row],[SISMED]],TblDisponibilidad[],12,FALSE), 0)</f>
        <v>0</v>
      </c>
      <c r="I627">
        <f>IFERROR(VLOOKUP(Tabla1[[#This Row],[SISMED]],TblDisponibilidad[],13,FALSE), 0)</f>
        <v>0</v>
      </c>
      <c r="J627">
        <f>IFERROR(VLOOKUP(Tabla1[[#This Row],[SISMED]],TblDisponibilidad[],14,FALSE), 0)</f>
        <v>0</v>
      </c>
      <c r="K627">
        <f>IFERROR(VLOOKUP(Tabla1[[#This Row],[SISMED]],TblDisponibilidad[],15,FALSE), 0)</f>
        <v>0</v>
      </c>
      <c r="L627">
        <f>IFERROR(VLOOKUP(Tabla1[[#This Row],[SISMED]],TblDisponibilidad[],16,FALSE), 0)</f>
        <v>0</v>
      </c>
      <c r="M627">
        <f>IFERROR(VLOOKUP(Tabla1[[#This Row],[SISMED]],TblDisponibilidad[],17,FALSE), 0)</f>
        <v>0</v>
      </c>
      <c r="N627">
        <f>IFERROR(VLOOKUP(Tabla1[[#This Row],[SISMED]],TblDisponibilidad[],18,FALSE), 0)</f>
        <v>0</v>
      </c>
      <c r="O627">
        <f>IFERROR(VLOOKUP(Tabla1[[#This Row],[SISMED]],TblDisponibilidad[],19,FALSE), 0)</f>
        <v>0</v>
      </c>
      <c r="P627">
        <f>IFERROR(VLOOKUP(Tabla1[[#This Row],[SISMED]],TblDisponibilidad[],20,FALSE), 0)</f>
        <v>0</v>
      </c>
      <c r="Q627">
        <f>IFERROR(VLOOKUP(Tabla1[[#This Row],[SISMED]],TblDisponibilidad[],21,FALSE), 0)</f>
        <v>0</v>
      </c>
      <c r="R627">
        <f>IFERROR(VLOOKUP(Tabla1[[#This Row],[SISMED]],TblDisponibilidad[],22,FALSE), 0)</f>
        <v>0</v>
      </c>
      <c r="S627" s="15">
        <f>IFERROR(VLOOKUP(Tabla1[[#This Row],[SISMED]],TblDisponibilidad[],23,FALSE), 0)</f>
        <v>0</v>
      </c>
    </row>
    <row r="628" spans="1:19" x14ac:dyDescent="0.3">
      <c r="A628" s="15" t="s">
        <v>658</v>
      </c>
      <c r="B628" t="str">
        <f>IFERROR(VLOOKUP(Tabla1[[#This Row],[SISMED]],TblDisponibilidad[],2,FALSE), "")</f>
        <v/>
      </c>
      <c r="C628">
        <f>IFERROR(VLOOKUP(Tabla1[[#This Row],[SISMED]],TblDisponibilidad[],7,FALSE), 0)</f>
        <v>0</v>
      </c>
      <c r="D628">
        <f>IFERROR(VLOOKUP(Tabla1[[#This Row],[SISMED]],TblDisponibilidad[],8,FALSE), 0)</f>
        <v>0</v>
      </c>
      <c r="E628">
        <f>IFERROR(VLOOKUP(Tabla1[[#This Row],[SISMED]],TblDisponibilidad[],9,FALSE), 0)</f>
        <v>0</v>
      </c>
      <c r="F628">
        <f>IFERROR(VLOOKUP(Tabla1[[#This Row],[SISMED]],TblDisponibilidad[],10,FALSE), 0)</f>
        <v>0</v>
      </c>
      <c r="G628">
        <f>IFERROR(VLOOKUP(Tabla1[[#This Row],[SISMED]],TblDisponibilidad[],11,FALSE), 0)</f>
        <v>0</v>
      </c>
      <c r="H628">
        <f>IFERROR(VLOOKUP(Tabla1[[#This Row],[SISMED]],TblDisponibilidad[],12,FALSE), 0)</f>
        <v>0</v>
      </c>
      <c r="I628">
        <f>IFERROR(VLOOKUP(Tabla1[[#This Row],[SISMED]],TblDisponibilidad[],13,FALSE), 0)</f>
        <v>0</v>
      </c>
      <c r="J628">
        <f>IFERROR(VLOOKUP(Tabla1[[#This Row],[SISMED]],TblDisponibilidad[],14,FALSE), 0)</f>
        <v>0</v>
      </c>
      <c r="K628">
        <f>IFERROR(VLOOKUP(Tabla1[[#This Row],[SISMED]],TblDisponibilidad[],15,FALSE), 0)</f>
        <v>0</v>
      </c>
      <c r="L628">
        <f>IFERROR(VLOOKUP(Tabla1[[#This Row],[SISMED]],TblDisponibilidad[],16,FALSE), 0)</f>
        <v>0</v>
      </c>
      <c r="M628">
        <f>IFERROR(VLOOKUP(Tabla1[[#This Row],[SISMED]],TblDisponibilidad[],17,FALSE), 0)</f>
        <v>0</v>
      </c>
      <c r="N628">
        <f>IFERROR(VLOOKUP(Tabla1[[#This Row],[SISMED]],TblDisponibilidad[],18,FALSE), 0)</f>
        <v>0</v>
      </c>
      <c r="O628">
        <f>IFERROR(VLOOKUP(Tabla1[[#This Row],[SISMED]],TblDisponibilidad[],19,FALSE), 0)</f>
        <v>0</v>
      </c>
      <c r="P628">
        <f>IFERROR(VLOOKUP(Tabla1[[#This Row],[SISMED]],TblDisponibilidad[],20,FALSE), 0)</f>
        <v>0</v>
      </c>
      <c r="Q628">
        <f>IFERROR(VLOOKUP(Tabla1[[#This Row],[SISMED]],TblDisponibilidad[],21,FALSE), 0)</f>
        <v>0</v>
      </c>
      <c r="R628">
        <f>IFERROR(VLOOKUP(Tabla1[[#This Row],[SISMED]],TblDisponibilidad[],22,FALSE), 0)</f>
        <v>0</v>
      </c>
      <c r="S628" s="15">
        <f>IFERROR(VLOOKUP(Tabla1[[#This Row],[SISMED]],TblDisponibilidad[],23,FALSE), 0)</f>
        <v>0</v>
      </c>
    </row>
    <row r="629" spans="1:19" x14ac:dyDescent="0.3">
      <c r="A629" s="15" t="s">
        <v>659</v>
      </c>
      <c r="B629" t="str">
        <f>IFERROR(VLOOKUP(Tabla1[[#This Row],[SISMED]],TblDisponibilidad[],2,FALSE), "")</f>
        <v/>
      </c>
      <c r="C629">
        <f>IFERROR(VLOOKUP(Tabla1[[#This Row],[SISMED]],TblDisponibilidad[],7,FALSE), 0)</f>
        <v>0</v>
      </c>
      <c r="D629">
        <f>IFERROR(VLOOKUP(Tabla1[[#This Row],[SISMED]],TblDisponibilidad[],8,FALSE), 0)</f>
        <v>0</v>
      </c>
      <c r="E629">
        <f>IFERROR(VLOOKUP(Tabla1[[#This Row],[SISMED]],TblDisponibilidad[],9,FALSE), 0)</f>
        <v>0</v>
      </c>
      <c r="F629">
        <f>IFERROR(VLOOKUP(Tabla1[[#This Row],[SISMED]],TblDisponibilidad[],10,FALSE), 0)</f>
        <v>0</v>
      </c>
      <c r="G629">
        <f>IFERROR(VLOOKUP(Tabla1[[#This Row],[SISMED]],TblDisponibilidad[],11,FALSE), 0)</f>
        <v>0</v>
      </c>
      <c r="H629">
        <f>IFERROR(VLOOKUP(Tabla1[[#This Row],[SISMED]],TblDisponibilidad[],12,FALSE), 0)</f>
        <v>0</v>
      </c>
      <c r="I629">
        <f>IFERROR(VLOOKUP(Tabla1[[#This Row],[SISMED]],TblDisponibilidad[],13,FALSE), 0)</f>
        <v>0</v>
      </c>
      <c r="J629">
        <f>IFERROR(VLOOKUP(Tabla1[[#This Row],[SISMED]],TblDisponibilidad[],14,FALSE), 0)</f>
        <v>0</v>
      </c>
      <c r="K629">
        <f>IFERROR(VLOOKUP(Tabla1[[#This Row],[SISMED]],TblDisponibilidad[],15,FALSE), 0)</f>
        <v>0</v>
      </c>
      <c r="L629">
        <f>IFERROR(VLOOKUP(Tabla1[[#This Row],[SISMED]],TblDisponibilidad[],16,FALSE), 0)</f>
        <v>0</v>
      </c>
      <c r="M629">
        <f>IFERROR(VLOOKUP(Tabla1[[#This Row],[SISMED]],TblDisponibilidad[],17,FALSE), 0)</f>
        <v>0</v>
      </c>
      <c r="N629">
        <f>IFERROR(VLOOKUP(Tabla1[[#This Row],[SISMED]],TblDisponibilidad[],18,FALSE), 0)</f>
        <v>0</v>
      </c>
      <c r="O629">
        <f>IFERROR(VLOOKUP(Tabla1[[#This Row],[SISMED]],TblDisponibilidad[],19,FALSE), 0)</f>
        <v>0</v>
      </c>
      <c r="P629">
        <f>IFERROR(VLOOKUP(Tabla1[[#This Row],[SISMED]],TblDisponibilidad[],20,FALSE), 0)</f>
        <v>0</v>
      </c>
      <c r="Q629">
        <f>IFERROR(VLOOKUP(Tabla1[[#This Row],[SISMED]],TblDisponibilidad[],21,FALSE), 0)</f>
        <v>0</v>
      </c>
      <c r="R629">
        <f>IFERROR(VLOOKUP(Tabla1[[#This Row],[SISMED]],TblDisponibilidad[],22,FALSE), 0)</f>
        <v>0</v>
      </c>
      <c r="S629" s="15">
        <f>IFERROR(VLOOKUP(Tabla1[[#This Row],[SISMED]],TblDisponibilidad[],23,FALSE), 0)</f>
        <v>0</v>
      </c>
    </row>
    <row r="630" spans="1:19" x14ac:dyDescent="0.3">
      <c r="A630" s="15" t="s">
        <v>660</v>
      </c>
      <c r="B630" t="str">
        <f>IFERROR(VLOOKUP(Tabla1[[#This Row],[SISMED]],TblDisponibilidad[],2,FALSE), "")</f>
        <v/>
      </c>
      <c r="C630">
        <f>IFERROR(VLOOKUP(Tabla1[[#This Row],[SISMED]],TblDisponibilidad[],7,FALSE), 0)</f>
        <v>0</v>
      </c>
      <c r="D630">
        <f>IFERROR(VLOOKUP(Tabla1[[#This Row],[SISMED]],TblDisponibilidad[],8,FALSE), 0)</f>
        <v>0</v>
      </c>
      <c r="E630">
        <f>IFERROR(VLOOKUP(Tabla1[[#This Row],[SISMED]],TblDisponibilidad[],9,FALSE), 0)</f>
        <v>0</v>
      </c>
      <c r="F630">
        <f>IFERROR(VLOOKUP(Tabla1[[#This Row],[SISMED]],TblDisponibilidad[],10,FALSE), 0)</f>
        <v>0</v>
      </c>
      <c r="G630">
        <f>IFERROR(VLOOKUP(Tabla1[[#This Row],[SISMED]],TblDisponibilidad[],11,FALSE), 0)</f>
        <v>0</v>
      </c>
      <c r="H630">
        <f>IFERROR(VLOOKUP(Tabla1[[#This Row],[SISMED]],TblDisponibilidad[],12,FALSE), 0)</f>
        <v>0</v>
      </c>
      <c r="I630">
        <f>IFERROR(VLOOKUP(Tabla1[[#This Row],[SISMED]],TblDisponibilidad[],13,FALSE), 0)</f>
        <v>0</v>
      </c>
      <c r="J630">
        <f>IFERROR(VLOOKUP(Tabla1[[#This Row],[SISMED]],TblDisponibilidad[],14,FALSE), 0)</f>
        <v>0</v>
      </c>
      <c r="K630">
        <f>IFERROR(VLOOKUP(Tabla1[[#This Row],[SISMED]],TblDisponibilidad[],15,FALSE), 0)</f>
        <v>0</v>
      </c>
      <c r="L630">
        <f>IFERROR(VLOOKUP(Tabla1[[#This Row],[SISMED]],TblDisponibilidad[],16,FALSE), 0)</f>
        <v>0</v>
      </c>
      <c r="M630">
        <f>IFERROR(VLOOKUP(Tabla1[[#This Row],[SISMED]],TblDisponibilidad[],17,FALSE), 0)</f>
        <v>0</v>
      </c>
      <c r="N630">
        <f>IFERROR(VLOOKUP(Tabla1[[#This Row],[SISMED]],TblDisponibilidad[],18,FALSE), 0)</f>
        <v>0</v>
      </c>
      <c r="O630">
        <f>IFERROR(VLOOKUP(Tabla1[[#This Row],[SISMED]],TblDisponibilidad[],19,FALSE), 0)</f>
        <v>0</v>
      </c>
      <c r="P630">
        <f>IFERROR(VLOOKUP(Tabla1[[#This Row],[SISMED]],TblDisponibilidad[],20,FALSE), 0)</f>
        <v>0</v>
      </c>
      <c r="Q630">
        <f>IFERROR(VLOOKUP(Tabla1[[#This Row],[SISMED]],TblDisponibilidad[],21,FALSE), 0)</f>
        <v>0</v>
      </c>
      <c r="R630">
        <f>IFERROR(VLOOKUP(Tabla1[[#This Row],[SISMED]],TblDisponibilidad[],22,FALSE), 0)</f>
        <v>0</v>
      </c>
      <c r="S630" s="15">
        <f>IFERROR(VLOOKUP(Tabla1[[#This Row],[SISMED]],TblDisponibilidad[],23,FALSE), 0)</f>
        <v>0</v>
      </c>
    </row>
    <row r="631" spans="1:19" x14ac:dyDescent="0.3">
      <c r="A631" s="15" t="s">
        <v>661</v>
      </c>
      <c r="B631" t="str">
        <f>IFERROR(VLOOKUP(Tabla1[[#This Row],[SISMED]],TblDisponibilidad[],2,FALSE), "")</f>
        <v/>
      </c>
      <c r="C631">
        <f>IFERROR(VLOOKUP(Tabla1[[#This Row],[SISMED]],TblDisponibilidad[],7,FALSE), 0)</f>
        <v>0</v>
      </c>
      <c r="D631">
        <f>IFERROR(VLOOKUP(Tabla1[[#This Row],[SISMED]],TblDisponibilidad[],8,FALSE), 0)</f>
        <v>0</v>
      </c>
      <c r="E631">
        <f>IFERROR(VLOOKUP(Tabla1[[#This Row],[SISMED]],TblDisponibilidad[],9,FALSE), 0)</f>
        <v>0</v>
      </c>
      <c r="F631">
        <f>IFERROR(VLOOKUP(Tabla1[[#This Row],[SISMED]],TblDisponibilidad[],10,FALSE), 0)</f>
        <v>0</v>
      </c>
      <c r="G631">
        <f>IFERROR(VLOOKUP(Tabla1[[#This Row],[SISMED]],TblDisponibilidad[],11,FALSE), 0)</f>
        <v>0</v>
      </c>
      <c r="H631">
        <f>IFERROR(VLOOKUP(Tabla1[[#This Row],[SISMED]],TblDisponibilidad[],12,FALSE), 0)</f>
        <v>0</v>
      </c>
      <c r="I631">
        <f>IFERROR(VLOOKUP(Tabla1[[#This Row],[SISMED]],TblDisponibilidad[],13,FALSE), 0)</f>
        <v>0</v>
      </c>
      <c r="J631">
        <f>IFERROR(VLOOKUP(Tabla1[[#This Row],[SISMED]],TblDisponibilidad[],14,FALSE), 0)</f>
        <v>0</v>
      </c>
      <c r="K631">
        <f>IFERROR(VLOOKUP(Tabla1[[#This Row],[SISMED]],TblDisponibilidad[],15,FALSE), 0)</f>
        <v>0</v>
      </c>
      <c r="L631">
        <f>IFERROR(VLOOKUP(Tabla1[[#This Row],[SISMED]],TblDisponibilidad[],16,FALSE), 0)</f>
        <v>0</v>
      </c>
      <c r="M631">
        <f>IFERROR(VLOOKUP(Tabla1[[#This Row],[SISMED]],TblDisponibilidad[],17,FALSE), 0)</f>
        <v>0</v>
      </c>
      <c r="N631">
        <f>IFERROR(VLOOKUP(Tabla1[[#This Row],[SISMED]],TblDisponibilidad[],18,FALSE), 0)</f>
        <v>0</v>
      </c>
      <c r="O631">
        <f>IFERROR(VLOOKUP(Tabla1[[#This Row],[SISMED]],TblDisponibilidad[],19,FALSE), 0)</f>
        <v>0</v>
      </c>
      <c r="P631">
        <f>IFERROR(VLOOKUP(Tabla1[[#This Row],[SISMED]],TblDisponibilidad[],20,FALSE), 0)</f>
        <v>0</v>
      </c>
      <c r="Q631">
        <f>IFERROR(VLOOKUP(Tabla1[[#This Row],[SISMED]],TblDisponibilidad[],21,FALSE), 0)</f>
        <v>0</v>
      </c>
      <c r="R631">
        <f>IFERROR(VLOOKUP(Tabla1[[#This Row],[SISMED]],TblDisponibilidad[],22,FALSE), 0)</f>
        <v>0</v>
      </c>
      <c r="S631" s="15">
        <f>IFERROR(VLOOKUP(Tabla1[[#This Row],[SISMED]],TblDisponibilidad[],23,FALSE), 0)</f>
        <v>0</v>
      </c>
    </row>
    <row r="632" spans="1:19" x14ac:dyDescent="0.3">
      <c r="A632" s="15" t="s">
        <v>662</v>
      </c>
      <c r="B632" t="str">
        <f>IFERROR(VLOOKUP(Tabla1[[#This Row],[SISMED]],TblDisponibilidad[],2,FALSE), "")</f>
        <v/>
      </c>
      <c r="C632">
        <f>IFERROR(VLOOKUP(Tabla1[[#This Row],[SISMED]],TblDisponibilidad[],7,FALSE), 0)</f>
        <v>0</v>
      </c>
      <c r="D632">
        <f>IFERROR(VLOOKUP(Tabla1[[#This Row],[SISMED]],TblDisponibilidad[],8,FALSE), 0)</f>
        <v>0</v>
      </c>
      <c r="E632">
        <f>IFERROR(VLOOKUP(Tabla1[[#This Row],[SISMED]],TblDisponibilidad[],9,FALSE), 0)</f>
        <v>0</v>
      </c>
      <c r="F632">
        <f>IFERROR(VLOOKUP(Tabla1[[#This Row],[SISMED]],TblDisponibilidad[],10,FALSE), 0)</f>
        <v>0</v>
      </c>
      <c r="G632">
        <f>IFERROR(VLOOKUP(Tabla1[[#This Row],[SISMED]],TblDisponibilidad[],11,FALSE), 0)</f>
        <v>0</v>
      </c>
      <c r="H632">
        <f>IFERROR(VLOOKUP(Tabla1[[#This Row],[SISMED]],TblDisponibilidad[],12,FALSE), 0)</f>
        <v>0</v>
      </c>
      <c r="I632">
        <f>IFERROR(VLOOKUP(Tabla1[[#This Row],[SISMED]],TblDisponibilidad[],13,FALSE), 0)</f>
        <v>0</v>
      </c>
      <c r="J632">
        <f>IFERROR(VLOOKUP(Tabla1[[#This Row],[SISMED]],TblDisponibilidad[],14,FALSE), 0)</f>
        <v>0</v>
      </c>
      <c r="K632">
        <f>IFERROR(VLOOKUP(Tabla1[[#This Row],[SISMED]],TblDisponibilidad[],15,FALSE), 0)</f>
        <v>0</v>
      </c>
      <c r="L632">
        <f>IFERROR(VLOOKUP(Tabla1[[#This Row],[SISMED]],TblDisponibilidad[],16,FALSE), 0)</f>
        <v>0</v>
      </c>
      <c r="M632">
        <f>IFERROR(VLOOKUP(Tabla1[[#This Row],[SISMED]],TblDisponibilidad[],17,FALSE), 0)</f>
        <v>0</v>
      </c>
      <c r="N632">
        <f>IFERROR(VLOOKUP(Tabla1[[#This Row],[SISMED]],TblDisponibilidad[],18,FALSE), 0)</f>
        <v>0</v>
      </c>
      <c r="O632">
        <f>IFERROR(VLOOKUP(Tabla1[[#This Row],[SISMED]],TblDisponibilidad[],19,FALSE), 0)</f>
        <v>0</v>
      </c>
      <c r="P632">
        <f>IFERROR(VLOOKUP(Tabla1[[#This Row],[SISMED]],TblDisponibilidad[],20,FALSE), 0)</f>
        <v>0</v>
      </c>
      <c r="Q632">
        <f>IFERROR(VLOOKUP(Tabla1[[#This Row],[SISMED]],TblDisponibilidad[],21,FALSE), 0)</f>
        <v>0</v>
      </c>
      <c r="R632">
        <f>IFERROR(VLOOKUP(Tabla1[[#This Row],[SISMED]],TblDisponibilidad[],22,FALSE), 0)</f>
        <v>0</v>
      </c>
      <c r="S632" s="15">
        <f>IFERROR(VLOOKUP(Tabla1[[#This Row],[SISMED]],TblDisponibilidad[],23,FALSE), 0)</f>
        <v>0</v>
      </c>
    </row>
    <row r="633" spans="1:19" x14ac:dyDescent="0.3">
      <c r="A633" s="15" t="s">
        <v>663</v>
      </c>
      <c r="B633" t="str">
        <f>IFERROR(VLOOKUP(Tabla1[[#This Row],[SISMED]],TblDisponibilidad[],2,FALSE), "")</f>
        <v/>
      </c>
      <c r="C633">
        <f>IFERROR(VLOOKUP(Tabla1[[#This Row],[SISMED]],TblDisponibilidad[],7,FALSE), 0)</f>
        <v>0</v>
      </c>
      <c r="D633">
        <f>IFERROR(VLOOKUP(Tabla1[[#This Row],[SISMED]],TblDisponibilidad[],8,FALSE), 0)</f>
        <v>0</v>
      </c>
      <c r="E633">
        <f>IFERROR(VLOOKUP(Tabla1[[#This Row],[SISMED]],TblDisponibilidad[],9,FALSE), 0)</f>
        <v>0</v>
      </c>
      <c r="F633">
        <f>IFERROR(VLOOKUP(Tabla1[[#This Row],[SISMED]],TblDisponibilidad[],10,FALSE), 0)</f>
        <v>0</v>
      </c>
      <c r="G633">
        <f>IFERROR(VLOOKUP(Tabla1[[#This Row],[SISMED]],TblDisponibilidad[],11,FALSE), 0)</f>
        <v>0</v>
      </c>
      <c r="H633">
        <f>IFERROR(VLOOKUP(Tabla1[[#This Row],[SISMED]],TblDisponibilidad[],12,FALSE), 0)</f>
        <v>0</v>
      </c>
      <c r="I633">
        <f>IFERROR(VLOOKUP(Tabla1[[#This Row],[SISMED]],TblDisponibilidad[],13,FALSE), 0)</f>
        <v>0</v>
      </c>
      <c r="J633">
        <f>IFERROR(VLOOKUP(Tabla1[[#This Row],[SISMED]],TblDisponibilidad[],14,FALSE), 0)</f>
        <v>0</v>
      </c>
      <c r="K633">
        <f>IFERROR(VLOOKUP(Tabla1[[#This Row],[SISMED]],TblDisponibilidad[],15,FALSE), 0)</f>
        <v>0</v>
      </c>
      <c r="L633">
        <f>IFERROR(VLOOKUP(Tabla1[[#This Row],[SISMED]],TblDisponibilidad[],16,FALSE), 0)</f>
        <v>0</v>
      </c>
      <c r="M633">
        <f>IFERROR(VLOOKUP(Tabla1[[#This Row],[SISMED]],TblDisponibilidad[],17,FALSE), 0)</f>
        <v>0</v>
      </c>
      <c r="N633">
        <f>IFERROR(VLOOKUP(Tabla1[[#This Row],[SISMED]],TblDisponibilidad[],18,FALSE), 0)</f>
        <v>0</v>
      </c>
      <c r="O633">
        <f>IFERROR(VLOOKUP(Tabla1[[#This Row],[SISMED]],TblDisponibilidad[],19,FALSE), 0)</f>
        <v>0</v>
      </c>
      <c r="P633">
        <f>IFERROR(VLOOKUP(Tabla1[[#This Row],[SISMED]],TblDisponibilidad[],20,FALSE), 0)</f>
        <v>0</v>
      </c>
      <c r="Q633">
        <f>IFERROR(VLOOKUP(Tabla1[[#This Row],[SISMED]],TblDisponibilidad[],21,FALSE), 0)</f>
        <v>0</v>
      </c>
      <c r="R633">
        <f>IFERROR(VLOOKUP(Tabla1[[#This Row],[SISMED]],TblDisponibilidad[],22,FALSE), 0)</f>
        <v>0</v>
      </c>
      <c r="S633" s="15">
        <f>IFERROR(VLOOKUP(Tabla1[[#This Row],[SISMED]],TblDisponibilidad[],23,FALSE), 0)</f>
        <v>0</v>
      </c>
    </row>
    <row r="634" spans="1:19" x14ac:dyDescent="0.3">
      <c r="A634" s="15" t="s">
        <v>664</v>
      </c>
      <c r="B634" t="str">
        <f>IFERROR(VLOOKUP(Tabla1[[#This Row],[SISMED]],TblDisponibilidad[],2,FALSE), "")</f>
        <v/>
      </c>
      <c r="C634">
        <f>IFERROR(VLOOKUP(Tabla1[[#This Row],[SISMED]],TblDisponibilidad[],7,FALSE), 0)</f>
        <v>0</v>
      </c>
      <c r="D634">
        <f>IFERROR(VLOOKUP(Tabla1[[#This Row],[SISMED]],TblDisponibilidad[],8,FALSE), 0)</f>
        <v>0</v>
      </c>
      <c r="E634">
        <f>IFERROR(VLOOKUP(Tabla1[[#This Row],[SISMED]],TblDisponibilidad[],9,FALSE), 0)</f>
        <v>0</v>
      </c>
      <c r="F634">
        <f>IFERROR(VLOOKUP(Tabla1[[#This Row],[SISMED]],TblDisponibilidad[],10,FALSE), 0)</f>
        <v>0</v>
      </c>
      <c r="G634">
        <f>IFERROR(VLOOKUP(Tabla1[[#This Row],[SISMED]],TblDisponibilidad[],11,FALSE), 0)</f>
        <v>0</v>
      </c>
      <c r="H634">
        <f>IFERROR(VLOOKUP(Tabla1[[#This Row],[SISMED]],TblDisponibilidad[],12,FALSE), 0)</f>
        <v>0</v>
      </c>
      <c r="I634">
        <f>IFERROR(VLOOKUP(Tabla1[[#This Row],[SISMED]],TblDisponibilidad[],13,FALSE), 0)</f>
        <v>0</v>
      </c>
      <c r="J634">
        <f>IFERROR(VLOOKUP(Tabla1[[#This Row],[SISMED]],TblDisponibilidad[],14,FALSE), 0)</f>
        <v>0</v>
      </c>
      <c r="K634">
        <f>IFERROR(VLOOKUP(Tabla1[[#This Row],[SISMED]],TblDisponibilidad[],15,FALSE), 0)</f>
        <v>0</v>
      </c>
      <c r="L634">
        <f>IFERROR(VLOOKUP(Tabla1[[#This Row],[SISMED]],TblDisponibilidad[],16,FALSE), 0)</f>
        <v>0</v>
      </c>
      <c r="M634">
        <f>IFERROR(VLOOKUP(Tabla1[[#This Row],[SISMED]],TblDisponibilidad[],17,FALSE), 0)</f>
        <v>0</v>
      </c>
      <c r="N634">
        <f>IFERROR(VLOOKUP(Tabla1[[#This Row],[SISMED]],TblDisponibilidad[],18,FALSE), 0)</f>
        <v>0</v>
      </c>
      <c r="O634">
        <f>IFERROR(VLOOKUP(Tabla1[[#This Row],[SISMED]],TblDisponibilidad[],19,FALSE), 0)</f>
        <v>0</v>
      </c>
      <c r="P634">
        <f>IFERROR(VLOOKUP(Tabla1[[#This Row],[SISMED]],TblDisponibilidad[],20,FALSE), 0)</f>
        <v>0</v>
      </c>
      <c r="Q634">
        <f>IFERROR(VLOOKUP(Tabla1[[#This Row],[SISMED]],TblDisponibilidad[],21,FALSE), 0)</f>
        <v>0</v>
      </c>
      <c r="R634">
        <f>IFERROR(VLOOKUP(Tabla1[[#This Row],[SISMED]],TblDisponibilidad[],22,FALSE), 0)</f>
        <v>0</v>
      </c>
      <c r="S634" s="15">
        <f>IFERROR(VLOOKUP(Tabla1[[#This Row],[SISMED]],TblDisponibilidad[],23,FALSE), 0)</f>
        <v>0</v>
      </c>
    </row>
    <row r="635" spans="1:19" x14ac:dyDescent="0.3">
      <c r="A635" s="15" t="s">
        <v>665</v>
      </c>
      <c r="B635" t="str">
        <f>IFERROR(VLOOKUP(Tabla1[[#This Row],[SISMED]],TblDisponibilidad[],2,FALSE), "")</f>
        <v/>
      </c>
      <c r="C635">
        <f>IFERROR(VLOOKUP(Tabla1[[#This Row],[SISMED]],TblDisponibilidad[],7,FALSE), 0)</f>
        <v>0</v>
      </c>
      <c r="D635">
        <f>IFERROR(VLOOKUP(Tabla1[[#This Row],[SISMED]],TblDisponibilidad[],8,FALSE), 0)</f>
        <v>0</v>
      </c>
      <c r="E635">
        <f>IFERROR(VLOOKUP(Tabla1[[#This Row],[SISMED]],TblDisponibilidad[],9,FALSE), 0)</f>
        <v>0</v>
      </c>
      <c r="F635">
        <f>IFERROR(VLOOKUP(Tabla1[[#This Row],[SISMED]],TblDisponibilidad[],10,FALSE), 0)</f>
        <v>0</v>
      </c>
      <c r="G635">
        <f>IFERROR(VLOOKUP(Tabla1[[#This Row],[SISMED]],TblDisponibilidad[],11,FALSE), 0)</f>
        <v>0</v>
      </c>
      <c r="H635">
        <f>IFERROR(VLOOKUP(Tabla1[[#This Row],[SISMED]],TblDisponibilidad[],12,FALSE), 0)</f>
        <v>0</v>
      </c>
      <c r="I635">
        <f>IFERROR(VLOOKUP(Tabla1[[#This Row],[SISMED]],TblDisponibilidad[],13,FALSE), 0)</f>
        <v>0</v>
      </c>
      <c r="J635">
        <f>IFERROR(VLOOKUP(Tabla1[[#This Row],[SISMED]],TblDisponibilidad[],14,FALSE), 0)</f>
        <v>0</v>
      </c>
      <c r="K635">
        <f>IFERROR(VLOOKUP(Tabla1[[#This Row],[SISMED]],TblDisponibilidad[],15,FALSE), 0)</f>
        <v>0</v>
      </c>
      <c r="L635">
        <f>IFERROR(VLOOKUP(Tabla1[[#This Row],[SISMED]],TblDisponibilidad[],16,FALSE), 0)</f>
        <v>0</v>
      </c>
      <c r="M635">
        <f>IFERROR(VLOOKUP(Tabla1[[#This Row],[SISMED]],TblDisponibilidad[],17,FALSE), 0)</f>
        <v>0</v>
      </c>
      <c r="N635">
        <f>IFERROR(VLOOKUP(Tabla1[[#This Row],[SISMED]],TblDisponibilidad[],18,FALSE), 0)</f>
        <v>0</v>
      </c>
      <c r="O635">
        <f>IFERROR(VLOOKUP(Tabla1[[#This Row],[SISMED]],TblDisponibilidad[],19,FALSE), 0)</f>
        <v>0</v>
      </c>
      <c r="P635">
        <f>IFERROR(VLOOKUP(Tabla1[[#This Row],[SISMED]],TblDisponibilidad[],20,FALSE), 0)</f>
        <v>0</v>
      </c>
      <c r="Q635">
        <f>IFERROR(VLOOKUP(Tabla1[[#This Row],[SISMED]],TblDisponibilidad[],21,FALSE), 0)</f>
        <v>0</v>
      </c>
      <c r="R635">
        <f>IFERROR(VLOOKUP(Tabla1[[#This Row],[SISMED]],TblDisponibilidad[],22,FALSE), 0)</f>
        <v>0</v>
      </c>
      <c r="S635" s="15">
        <f>IFERROR(VLOOKUP(Tabla1[[#This Row],[SISMED]],TblDisponibilidad[],23,FALSE), 0)</f>
        <v>0</v>
      </c>
    </row>
    <row r="636" spans="1:19" x14ac:dyDescent="0.3">
      <c r="A636" s="15" t="s">
        <v>666</v>
      </c>
      <c r="B636" t="str">
        <f>IFERROR(VLOOKUP(Tabla1[[#This Row],[SISMED]],TblDisponibilidad[],2,FALSE), "")</f>
        <v/>
      </c>
      <c r="C636">
        <f>IFERROR(VLOOKUP(Tabla1[[#This Row],[SISMED]],TblDisponibilidad[],7,FALSE), 0)</f>
        <v>0</v>
      </c>
      <c r="D636">
        <f>IFERROR(VLOOKUP(Tabla1[[#This Row],[SISMED]],TblDisponibilidad[],8,FALSE), 0)</f>
        <v>0</v>
      </c>
      <c r="E636">
        <f>IFERROR(VLOOKUP(Tabla1[[#This Row],[SISMED]],TblDisponibilidad[],9,FALSE), 0)</f>
        <v>0</v>
      </c>
      <c r="F636">
        <f>IFERROR(VLOOKUP(Tabla1[[#This Row],[SISMED]],TblDisponibilidad[],10,FALSE), 0)</f>
        <v>0</v>
      </c>
      <c r="G636">
        <f>IFERROR(VLOOKUP(Tabla1[[#This Row],[SISMED]],TblDisponibilidad[],11,FALSE), 0)</f>
        <v>0</v>
      </c>
      <c r="H636">
        <f>IFERROR(VLOOKUP(Tabla1[[#This Row],[SISMED]],TblDisponibilidad[],12,FALSE), 0)</f>
        <v>0</v>
      </c>
      <c r="I636">
        <f>IFERROR(VLOOKUP(Tabla1[[#This Row],[SISMED]],TblDisponibilidad[],13,FALSE), 0)</f>
        <v>0</v>
      </c>
      <c r="J636">
        <f>IFERROR(VLOOKUP(Tabla1[[#This Row],[SISMED]],TblDisponibilidad[],14,FALSE), 0)</f>
        <v>0</v>
      </c>
      <c r="K636">
        <f>IFERROR(VLOOKUP(Tabla1[[#This Row],[SISMED]],TblDisponibilidad[],15,FALSE), 0)</f>
        <v>0</v>
      </c>
      <c r="L636">
        <f>IFERROR(VLOOKUP(Tabla1[[#This Row],[SISMED]],TblDisponibilidad[],16,FALSE), 0)</f>
        <v>0</v>
      </c>
      <c r="M636">
        <f>IFERROR(VLOOKUP(Tabla1[[#This Row],[SISMED]],TblDisponibilidad[],17,FALSE), 0)</f>
        <v>0</v>
      </c>
      <c r="N636">
        <f>IFERROR(VLOOKUP(Tabla1[[#This Row],[SISMED]],TblDisponibilidad[],18,FALSE), 0)</f>
        <v>0</v>
      </c>
      <c r="O636">
        <f>IFERROR(VLOOKUP(Tabla1[[#This Row],[SISMED]],TblDisponibilidad[],19,FALSE), 0)</f>
        <v>0</v>
      </c>
      <c r="P636">
        <f>IFERROR(VLOOKUP(Tabla1[[#This Row],[SISMED]],TblDisponibilidad[],20,FALSE), 0)</f>
        <v>0</v>
      </c>
      <c r="Q636">
        <f>IFERROR(VLOOKUP(Tabla1[[#This Row],[SISMED]],TblDisponibilidad[],21,FALSE), 0)</f>
        <v>0</v>
      </c>
      <c r="R636">
        <f>IFERROR(VLOOKUP(Tabla1[[#This Row],[SISMED]],TblDisponibilidad[],22,FALSE), 0)</f>
        <v>0</v>
      </c>
      <c r="S636" s="15">
        <f>IFERROR(VLOOKUP(Tabla1[[#This Row],[SISMED]],TblDisponibilidad[],23,FALSE), 0)</f>
        <v>0</v>
      </c>
    </row>
    <row r="637" spans="1:19" x14ac:dyDescent="0.3">
      <c r="A637" s="15" t="s">
        <v>667</v>
      </c>
      <c r="B637" t="str">
        <f>IFERROR(VLOOKUP(Tabla1[[#This Row],[SISMED]],TblDisponibilidad[],2,FALSE), "")</f>
        <v/>
      </c>
      <c r="C637">
        <f>IFERROR(VLOOKUP(Tabla1[[#This Row],[SISMED]],TblDisponibilidad[],7,FALSE), 0)</f>
        <v>0</v>
      </c>
      <c r="D637">
        <f>IFERROR(VLOOKUP(Tabla1[[#This Row],[SISMED]],TblDisponibilidad[],8,FALSE), 0)</f>
        <v>0</v>
      </c>
      <c r="E637">
        <f>IFERROR(VLOOKUP(Tabla1[[#This Row],[SISMED]],TblDisponibilidad[],9,FALSE), 0)</f>
        <v>0</v>
      </c>
      <c r="F637">
        <f>IFERROR(VLOOKUP(Tabla1[[#This Row],[SISMED]],TblDisponibilidad[],10,FALSE), 0)</f>
        <v>0</v>
      </c>
      <c r="G637">
        <f>IFERROR(VLOOKUP(Tabla1[[#This Row],[SISMED]],TblDisponibilidad[],11,FALSE), 0)</f>
        <v>0</v>
      </c>
      <c r="H637">
        <f>IFERROR(VLOOKUP(Tabla1[[#This Row],[SISMED]],TblDisponibilidad[],12,FALSE), 0)</f>
        <v>0</v>
      </c>
      <c r="I637">
        <f>IFERROR(VLOOKUP(Tabla1[[#This Row],[SISMED]],TblDisponibilidad[],13,FALSE), 0)</f>
        <v>0</v>
      </c>
      <c r="J637">
        <f>IFERROR(VLOOKUP(Tabla1[[#This Row],[SISMED]],TblDisponibilidad[],14,FALSE), 0)</f>
        <v>0</v>
      </c>
      <c r="K637">
        <f>IFERROR(VLOOKUP(Tabla1[[#This Row],[SISMED]],TblDisponibilidad[],15,FALSE), 0)</f>
        <v>0</v>
      </c>
      <c r="L637">
        <f>IFERROR(VLOOKUP(Tabla1[[#This Row],[SISMED]],TblDisponibilidad[],16,FALSE), 0)</f>
        <v>0</v>
      </c>
      <c r="M637">
        <f>IFERROR(VLOOKUP(Tabla1[[#This Row],[SISMED]],TblDisponibilidad[],17,FALSE), 0)</f>
        <v>0</v>
      </c>
      <c r="N637">
        <f>IFERROR(VLOOKUP(Tabla1[[#This Row],[SISMED]],TblDisponibilidad[],18,FALSE), 0)</f>
        <v>0</v>
      </c>
      <c r="O637">
        <f>IFERROR(VLOOKUP(Tabla1[[#This Row],[SISMED]],TblDisponibilidad[],19,FALSE), 0)</f>
        <v>0</v>
      </c>
      <c r="P637">
        <f>IFERROR(VLOOKUP(Tabla1[[#This Row],[SISMED]],TblDisponibilidad[],20,FALSE), 0)</f>
        <v>0</v>
      </c>
      <c r="Q637">
        <f>IFERROR(VLOOKUP(Tabla1[[#This Row],[SISMED]],TblDisponibilidad[],21,FALSE), 0)</f>
        <v>0</v>
      </c>
      <c r="R637">
        <f>IFERROR(VLOOKUP(Tabla1[[#This Row],[SISMED]],TblDisponibilidad[],22,FALSE), 0)</f>
        <v>0</v>
      </c>
      <c r="S637" s="15">
        <f>IFERROR(VLOOKUP(Tabla1[[#This Row],[SISMED]],TblDisponibilidad[],23,FALSE), 0)</f>
        <v>0</v>
      </c>
    </row>
    <row r="638" spans="1:19" x14ac:dyDescent="0.3">
      <c r="A638" s="15" t="s">
        <v>668</v>
      </c>
      <c r="B638" t="str">
        <f>IFERROR(VLOOKUP(Tabla1[[#This Row],[SISMED]],TblDisponibilidad[],2,FALSE), "")</f>
        <v/>
      </c>
      <c r="C638">
        <f>IFERROR(VLOOKUP(Tabla1[[#This Row],[SISMED]],TblDisponibilidad[],7,FALSE), 0)</f>
        <v>0</v>
      </c>
      <c r="D638">
        <f>IFERROR(VLOOKUP(Tabla1[[#This Row],[SISMED]],TblDisponibilidad[],8,FALSE), 0)</f>
        <v>0</v>
      </c>
      <c r="E638">
        <f>IFERROR(VLOOKUP(Tabla1[[#This Row],[SISMED]],TblDisponibilidad[],9,FALSE), 0)</f>
        <v>0</v>
      </c>
      <c r="F638">
        <f>IFERROR(VLOOKUP(Tabla1[[#This Row],[SISMED]],TblDisponibilidad[],10,FALSE), 0)</f>
        <v>0</v>
      </c>
      <c r="G638">
        <f>IFERROR(VLOOKUP(Tabla1[[#This Row],[SISMED]],TblDisponibilidad[],11,FALSE), 0)</f>
        <v>0</v>
      </c>
      <c r="H638">
        <f>IFERROR(VLOOKUP(Tabla1[[#This Row],[SISMED]],TblDisponibilidad[],12,FALSE), 0)</f>
        <v>0</v>
      </c>
      <c r="I638">
        <f>IFERROR(VLOOKUP(Tabla1[[#This Row],[SISMED]],TblDisponibilidad[],13,FALSE), 0)</f>
        <v>0</v>
      </c>
      <c r="J638">
        <f>IFERROR(VLOOKUP(Tabla1[[#This Row],[SISMED]],TblDisponibilidad[],14,FALSE), 0)</f>
        <v>0</v>
      </c>
      <c r="K638">
        <f>IFERROR(VLOOKUP(Tabla1[[#This Row],[SISMED]],TblDisponibilidad[],15,FALSE), 0)</f>
        <v>0</v>
      </c>
      <c r="L638">
        <f>IFERROR(VLOOKUP(Tabla1[[#This Row],[SISMED]],TblDisponibilidad[],16,FALSE), 0)</f>
        <v>0</v>
      </c>
      <c r="M638">
        <f>IFERROR(VLOOKUP(Tabla1[[#This Row],[SISMED]],TblDisponibilidad[],17,FALSE), 0)</f>
        <v>0</v>
      </c>
      <c r="N638">
        <f>IFERROR(VLOOKUP(Tabla1[[#This Row],[SISMED]],TblDisponibilidad[],18,FALSE), 0)</f>
        <v>0</v>
      </c>
      <c r="O638">
        <f>IFERROR(VLOOKUP(Tabla1[[#This Row],[SISMED]],TblDisponibilidad[],19,FALSE), 0)</f>
        <v>0</v>
      </c>
      <c r="P638">
        <f>IFERROR(VLOOKUP(Tabla1[[#This Row],[SISMED]],TblDisponibilidad[],20,FALSE), 0)</f>
        <v>0</v>
      </c>
      <c r="Q638">
        <f>IFERROR(VLOOKUP(Tabla1[[#This Row],[SISMED]],TblDisponibilidad[],21,FALSE), 0)</f>
        <v>0</v>
      </c>
      <c r="R638">
        <f>IFERROR(VLOOKUP(Tabla1[[#This Row],[SISMED]],TblDisponibilidad[],22,FALSE), 0)</f>
        <v>0</v>
      </c>
      <c r="S638" s="15">
        <f>IFERROR(VLOOKUP(Tabla1[[#This Row],[SISMED]],TblDisponibilidad[],23,FALSE), 0)</f>
        <v>0</v>
      </c>
    </row>
    <row r="639" spans="1:19" x14ac:dyDescent="0.3">
      <c r="A639" s="15" t="s">
        <v>669</v>
      </c>
      <c r="B639" t="str">
        <f>IFERROR(VLOOKUP(Tabla1[[#This Row],[SISMED]],TblDisponibilidad[],2,FALSE), "")</f>
        <v/>
      </c>
      <c r="C639">
        <f>IFERROR(VLOOKUP(Tabla1[[#This Row],[SISMED]],TblDisponibilidad[],7,FALSE), 0)</f>
        <v>0</v>
      </c>
      <c r="D639">
        <f>IFERROR(VLOOKUP(Tabla1[[#This Row],[SISMED]],TblDisponibilidad[],8,FALSE), 0)</f>
        <v>0</v>
      </c>
      <c r="E639">
        <f>IFERROR(VLOOKUP(Tabla1[[#This Row],[SISMED]],TblDisponibilidad[],9,FALSE), 0)</f>
        <v>0</v>
      </c>
      <c r="F639">
        <f>IFERROR(VLOOKUP(Tabla1[[#This Row],[SISMED]],TblDisponibilidad[],10,FALSE), 0)</f>
        <v>0</v>
      </c>
      <c r="G639">
        <f>IFERROR(VLOOKUP(Tabla1[[#This Row],[SISMED]],TblDisponibilidad[],11,FALSE), 0)</f>
        <v>0</v>
      </c>
      <c r="H639">
        <f>IFERROR(VLOOKUP(Tabla1[[#This Row],[SISMED]],TblDisponibilidad[],12,FALSE), 0)</f>
        <v>0</v>
      </c>
      <c r="I639">
        <f>IFERROR(VLOOKUP(Tabla1[[#This Row],[SISMED]],TblDisponibilidad[],13,FALSE), 0)</f>
        <v>0</v>
      </c>
      <c r="J639">
        <f>IFERROR(VLOOKUP(Tabla1[[#This Row],[SISMED]],TblDisponibilidad[],14,FALSE), 0)</f>
        <v>0</v>
      </c>
      <c r="K639">
        <f>IFERROR(VLOOKUP(Tabla1[[#This Row],[SISMED]],TblDisponibilidad[],15,FALSE), 0)</f>
        <v>0</v>
      </c>
      <c r="L639">
        <f>IFERROR(VLOOKUP(Tabla1[[#This Row],[SISMED]],TblDisponibilidad[],16,FALSE), 0)</f>
        <v>0</v>
      </c>
      <c r="M639">
        <f>IFERROR(VLOOKUP(Tabla1[[#This Row],[SISMED]],TblDisponibilidad[],17,FALSE), 0)</f>
        <v>0</v>
      </c>
      <c r="N639">
        <f>IFERROR(VLOOKUP(Tabla1[[#This Row],[SISMED]],TblDisponibilidad[],18,FALSE), 0)</f>
        <v>0</v>
      </c>
      <c r="O639">
        <f>IFERROR(VLOOKUP(Tabla1[[#This Row],[SISMED]],TblDisponibilidad[],19,FALSE), 0)</f>
        <v>0</v>
      </c>
      <c r="P639">
        <f>IFERROR(VLOOKUP(Tabla1[[#This Row],[SISMED]],TblDisponibilidad[],20,FALSE), 0)</f>
        <v>0</v>
      </c>
      <c r="Q639">
        <f>IFERROR(VLOOKUP(Tabla1[[#This Row],[SISMED]],TblDisponibilidad[],21,FALSE), 0)</f>
        <v>0</v>
      </c>
      <c r="R639">
        <f>IFERROR(VLOOKUP(Tabla1[[#This Row],[SISMED]],TblDisponibilidad[],22,FALSE), 0)</f>
        <v>0</v>
      </c>
      <c r="S639" s="15">
        <f>IFERROR(VLOOKUP(Tabla1[[#This Row],[SISMED]],TblDisponibilidad[],23,FALSE), 0)</f>
        <v>0</v>
      </c>
    </row>
    <row r="640" spans="1:19" x14ac:dyDescent="0.3">
      <c r="A640" s="15" t="s">
        <v>670</v>
      </c>
      <c r="B640" t="str">
        <f>IFERROR(VLOOKUP(Tabla1[[#This Row],[SISMED]],TblDisponibilidad[],2,FALSE), "")</f>
        <v/>
      </c>
      <c r="C640">
        <f>IFERROR(VLOOKUP(Tabla1[[#This Row],[SISMED]],TblDisponibilidad[],7,FALSE), 0)</f>
        <v>0</v>
      </c>
      <c r="D640">
        <f>IFERROR(VLOOKUP(Tabla1[[#This Row],[SISMED]],TblDisponibilidad[],8,FALSE), 0)</f>
        <v>0</v>
      </c>
      <c r="E640">
        <f>IFERROR(VLOOKUP(Tabla1[[#This Row],[SISMED]],TblDisponibilidad[],9,FALSE), 0)</f>
        <v>0</v>
      </c>
      <c r="F640">
        <f>IFERROR(VLOOKUP(Tabla1[[#This Row],[SISMED]],TblDisponibilidad[],10,FALSE), 0)</f>
        <v>0</v>
      </c>
      <c r="G640">
        <f>IFERROR(VLOOKUP(Tabla1[[#This Row],[SISMED]],TblDisponibilidad[],11,FALSE), 0)</f>
        <v>0</v>
      </c>
      <c r="H640">
        <f>IFERROR(VLOOKUP(Tabla1[[#This Row],[SISMED]],TblDisponibilidad[],12,FALSE), 0)</f>
        <v>0</v>
      </c>
      <c r="I640">
        <f>IFERROR(VLOOKUP(Tabla1[[#This Row],[SISMED]],TblDisponibilidad[],13,FALSE), 0)</f>
        <v>0</v>
      </c>
      <c r="J640">
        <f>IFERROR(VLOOKUP(Tabla1[[#This Row],[SISMED]],TblDisponibilidad[],14,FALSE), 0)</f>
        <v>0</v>
      </c>
      <c r="K640">
        <f>IFERROR(VLOOKUP(Tabla1[[#This Row],[SISMED]],TblDisponibilidad[],15,FALSE), 0)</f>
        <v>0</v>
      </c>
      <c r="L640">
        <f>IFERROR(VLOOKUP(Tabla1[[#This Row],[SISMED]],TblDisponibilidad[],16,FALSE), 0)</f>
        <v>0</v>
      </c>
      <c r="M640">
        <f>IFERROR(VLOOKUP(Tabla1[[#This Row],[SISMED]],TblDisponibilidad[],17,FALSE), 0)</f>
        <v>0</v>
      </c>
      <c r="N640">
        <f>IFERROR(VLOOKUP(Tabla1[[#This Row],[SISMED]],TblDisponibilidad[],18,FALSE), 0)</f>
        <v>0</v>
      </c>
      <c r="O640">
        <f>IFERROR(VLOOKUP(Tabla1[[#This Row],[SISMED]],TblDisponibilidad[],19,FALSE), 0)</f>
        <v>0</v>
      </c>
      <c r="P640">
        <f>IFERROR(VLOOKUP(Tabla1[[#This Row],[SISMED]],TblDisponibilidad[],20,FALSE), 0)</f>
        <v>0</v>
      </c>
      <c r="Q640">
        <f>IFERROR(VLOOKUP(Tabla1[[#This Row],[SISMED]],TblDisponibilidad[],21,FALSE), 0)</f>
        <v>0</v>
      </c>
      <c r="R640">
        <f>IFERROR(VLOOKUP(Tabla1[[#This Row],[SISMED]],TblDisponibilidad[],22,FALSE), 0)</f>
        <v>0</v>
      </c>
      <c r="S640" s="15">
        <f>IFERROR(VLOOKUP(Tabla1[[#This Row],[SISMED]],TblDisponibilidad[],23,FALSE), 0)</f>
        <v>0</v>
      </c>
    </row>
    <row r="641" spans="1:19" x14ac:dyDescent="0.3">
      <c r="A641" s="15" t="s">
        <v>671</v>
      </c>
      <c r="B641" t="str">
        <f>IFERROR(VLOOKUP(Tabla1[[#This Row],[SISMED]],TblDisponibilidad[],2,FALSE), "")</f>
        <v/>
      </c>
      <c r="C641">
        <f>IFERROR(VLOOKUP(Tabla1[[#This Row],[SISMED]],TblDisponibilidad[],7,FALSE), 0)</f>
        <v>0</v>
      </c>
      <c r="D641">
        <f>IFERROR(VLOOKUP(Tabla1[[#This Row],[SISMED]],TblDisponibilidad[],8,FALSE), 0)</f>
        <v>0</v>
      </c>
      <c r="E641">
        <f>IFERROR(VLOOKUP(Tabla1[[#This Row],[SISMED]],TblDisponibilidad[],9,FALSE), 0)</f>
        <v>0</v>
      </c>
      <c r="F641">
        <f>IFERROR(VLOOKUP(Tabla1[[#This Row],[SISMED]],TblDisponibilidad[],10,FALSE), 0)</f>
        <v>0</v>
      </c>
      <c r="G641">
        <f>IFERROR(VLOOKUP(Tabla1[[#This Row],[SISMED]],TblDisponibilidad[],11,FALSE), 0)</f>
        <v>0</v>
      </c>
      <c r="H641">
        <f>IFERROR(VLOOKUP(Tabla1[[#This Row],[SISMED]],TblDisponibilidad[],12,FALSE), 0)</f>
        <v>0</v>
      </c>
      <c r="I641">
        <f>IFERROR(VLOOKUP(Tabla1[[#This Row],[SISMED]],TblDisponibilidad[],13,FALSE), 0)</f>
        <v>0</v>
      </c>
      <c r="J641">
        <f>IFERROR(VLOOKUP(Tabla1[[#This Row],[SISMED]],TblDisponibilidad[],14,FALSE), 0)</f>
        <v>0</v>
      </c>
      <c r="K641">
        <f>IFERROR(VLOOKUP(Tabla1[[#This Row],[SISMED]],TblDisponibilidad[],15,FALSE), 0)</f>
        <v>0</v>
      </c>
      <c r="L641">
        <f>IFERROR(VLOOKUP(Tabla1[[#This Row],[SISMED]],TblDisponibilidad[],16,FALSE), 0)</f>
        <v>0</v>
      </c>
      <c r="M641">
        <f>IFERROR(VLOOKUP(Tabla1[[#This Row],[SISMED]],TblDisponibilidad[],17,FALSE), 0)</f>
        <v>0</v>
      </c>
      <c r="N641">
        <f>IFERROR(VLOOKUP(Tabla1[[#This Row],[SISMED]],TblDisponibilidad[],18,FALSE), 0)</f>
        <v>0</v>
      </c>
      <c r="O641">
        <f>IFERROR(VLOOKUP(Tabla1[[#This Row],[SISMED]],TblDisponibilidad[],19,FALSE), 0)</f>
        <v>0</v>
      </c>
      <c r="P641">
        <f>IFERROR(VLOOKUP(Tabla1[[#This Row],[SISMED]],TblDisponibilidad[],20,FALSE), 0)</f>
        <v>0</v>
      </c>
      <c r="Q641">
        <f>IFERROR(VLOOKUP(Tabla1[[#This Row],[SISMED]],TblDisponibilidad[],21,FALSE), 0)</f>
        <v>0</v>
      </c>
      <c r="R641">
        <f>IFERROR(VLOOKUP(Tabla1[[#This Row],[SISMED]],TblDisponibilidad[],22,FALSE), 0)</f>
        <v>0</v>
      </c>
      <c r="S641" s="15">
        <f>IFERROR(VLOOKUP(Tabla1[[#This Row],[SISMED]],TblDisponibilidad[],23,FALSE), 0)</f>
        <v>0</v>
      </c>
    </row>
    <row r="642" spans="1:19" x14ac:dyDescent="0.3">
      <c r="A642" s="15" t="s">
        <v>672</v>
      </c>
      <c r="B642" t="str">
        <f>IFERROR(VLOOKUP(Tabla1[[#This Row],[SISMED]],TblDisponibilidad[],2,FALSE), "")</f>
        <v/>
      </c>
      <c r="C642">
        <f>IFERROR(VLOOKUP(Tabla1[[#This Row],[SISMED]],TblDisponibilidad[],7,FALSE), 0)</f>
        <v>0</v>
      </c>
      <c r="D642">
        <f>IFERROR(VLOOKUP(Tabla1[[#This Row],[SISMED]],TblDisponibilidad[],8,FALSE), 0)</f>
        <v>0</v>
      </c>
      <c r="E642">
        <f>IFERROR(VLOOKUP(Tabla1[[#This Row],[SISMED]],TblDisponibilidad[],9,FALSE), 0)</f>
        <v>0</v>
      </c>
      <c r="F642">
        <f>IFERROR(VLOOKUP(Tabla1[[#This Row],[SISMED]],TblDisponibilidad[],10,FALSE), 0)</f>
        <v>0</v>
      </c>
      <c r="G642">
        <f>IFERROR(VLOOKUP(Tabla1[[#This Row],[SISMED]],TblDisponibilidad[],11,FALSE), 0)</f>
        <v>0</v>
      </c>
      <c r="H642">
        <f>IFERROR(VLOOKUP(Tabla1[[#This Row],[SISMED]],TblDisponibilidad[],12,FALSE), 0)</f>
        <v>0</v>
      </c>
      <c r="I642">
        <f>IFERROR(VLOOKUP(Tabla1[[#This Row],[SISMED]],TblDisponibilidad[],13,FALSE), 0)</f>
        <v>0</v>
      </c>
      <c r="J642">
        <f>IFERROR(VLOOKUP(Tabla1[[#This Row],[SISMED]],TblDisponibilidad[],14,FALSE), 0)</f>
        <v>0</v>
      </c>
      <c r="K642">
        <f>IFERROR(VLOOKUP(Tabla1[[#This Row],[SISMED]],TblDisponibilidad[],15,FALSE), 0)</f>
        <v>0</v>
      </c>
      <c r="L642">
        <f>IFERROR(VLOOKUP(Tabla1[[#This Row],[SISMED]],TblDisponibilidad[],16,FALSE), 0)</f>
        <v>0</v>
      </c>
      <c r="M642">
        <f>IFERROR(VLOOKUP(Tabla1[[#This Row],[SISMED]],TblDisponibilidad[],17,FALSE), 0)</f>
        <v>0</v>
      </c>
      <c r="N642">
        <f>IFERROR(VLOOKUP(Tabla1[[#This Row],[SISMED]],TblDisponibilidad[],18,FALSE), 0)</f>
        <v>0</v>
      </c>
      <c r="O642">
        <f>IFERROR(VLOOKUP(Tabla1[[#This Row],[SISMED]],TblDisponibilidad[],19,FALSE), 0)</f>
        <v>0</v>
      </c>
      <c r="P642">
        <f>IFERROR(VLOOKUP(Tabla1[[#This Row],[SISMED]],TblDisponibilidad[],20,FALSE), 0)</f>
        <v>0</v>
      </c>
      <c r="Q642">
        <f>IFERROR(VLOOKUP(Tabla1[[#This Row],[SISMED]],TblDisponibilidad[],21,FALSE), 0)</f>
        <v>0</v>
      </c>
      <c r="R642">
        <f>IFERROR(VLOOKUP(Tabla1[[#This Row],[SISMED]],TblDisponibilidad[],22,FALSE), 0)</f>
        <v>0</v>
      </c>
      <c r="S642" s="15">
        <f>IFERROR(VLOOKUP(Tabla1[[#This Row],[SISMED]],TblDisponibilidad[],23,FALSE), 0)</f>
        <v>0</v>
      </c>
    </row>
    <row r="643" spans="1:19" x14ac:dyDescent="0.3">
      <c r="A643" s="15" t="s">
        <v>673</v>
      </c>
      <c r="B643" t="str">
        <f>IFERROR(VLOOKUP(Tabla1[[#This Row],[SISMED]],TblDisponibilidad[],2,FALSE), "")</f>
        <v/>
      </c>
      <c r="C643">
        <f>IFERROR(VLOOKUP(Tabla1[[#This Row],[SISMED]],TblDisponibilidad[],7,FALSE), 0)</f>
        <v>0</v>
      </c>
      <c r="D643">
        <f>IFERROR(VLOOKUP(Tabla1[[#This Row],[SISMED]],TblDisponibilidad[],8,FALSE), 0)</f>
        <v>0</v>
      </c>
      <c r="E643">
        <f>IFERROR(VLOOKUP(Tabla1[[#This Row],[SISMED]],TblDisponibilidad[],9,FALSE), 0)</f>
        <v>0</v>
      </c>
      <c r="F643">
        <f>IFERROR(VLOOKUP(Tabla1[[#This Row],[SISMED]],TblDisponibilidad[],10,FALSE), 0)</f>
        <v>0</v>
      </c>
      <c r="G643">
        <f>IFERROR(VLOOKUP(Tabla1[[#This Row],[SISMED]],TblDisponibilidad[],11,FALSE), 0)</f>
        <v>0</v>
      </c>
      <c r="H643">
        <f>IFERROR(VLOOKUP(Tabla1[[#This Row],[SISMED]],TblDisponibilidad[],12,FALSE), 0)</f>
        <v>0</v>
      </c>
      <c r="I643">
        <f>IFERROR(VLOOKUP(Tabla1[[#This Row],[SISMED]],TblDisponibilidad[],13,FALSE), 0)</f>
        <v>0</v>
      </c>
      <c r="J643">
        <f>IFERROR(VLOOKUP(Tabla1[[#This Row],[SISMED]],TblDisponibilidad[],14,FALSE), 0)</f>
        <v>0</v>
      </c>
      <c r="K643">
        <f>IFERROR(VLOOKUP(Tabla1[[#This Row],[SISMED]],TblDisponibilidad[],15,FALSE), 0)</f>
        <v>0</v>
      </c>
      <c r="L643">
        <f>IFERROR(VLOOKUP(Tabla1[[#This Row],[SISMED]],TblDisponibilidad[],16,FALSE), 0)</f>
        <v>0</v>
      </c>
      <c r="M643">
        <f>IFERROR(VLOOKUP(Tabla1[[#This Row],[SISMED]],TblDisponibilidad[],17,FALSE), 0)</f>
        <v>0</v>
      </c>
      <c r="N643">
        <f>IFERROR(VLOOKUP(Tabla1[[#This Row],[SISMED]],TblDisponibilidad[],18,FALSE), 0)</f>
        <v>0</v>
      </c>
      <c r="O643">
        <f>IFERROR(VLOOKUP(Tabla1[[#This Row],[SISMED]],TblDisponibilidad[],19,FALSE), 0)</f>
        <v>0</v>
      </c>
      <c r="P643">
        <f>IFERROR(VLOOKUP(Tabla1[[#This Row],[SISMED]],TblDisponibilidad[],20,FALSE), 0)</f>
        <v>0</v>
      </c>
      <c r="Q643">
        <f>IFERROR(VLOOKUP(Tabla1[[#This Row],[SISMED]],TblDisponibilidad[],21,FALSE), 0)</f>
        <v>0</v>
      </c>
      <c r="R643">
        <f>IFERROR(VLOOKUP(Tabla1[[#This Row],[SISMED]],TblDisponibilidad[],22,FALSE), 0)</f>
        <v>0</v>
      </c>
      <c r="S643" s="15">
        <f>IFERROR(VLOOKUP(Tabla1[[#This Row],[SISMED]],TblDisponibilidad[],23,FALSE), 0)</f>
        <v>0</v>
      </c>
    </row>
    <row r="644" spans="1:19" x14ac:dyDescent="0.3">
      <c r="A644" s="15" t="s">
        <v>674</v>
      </c>
      <c r="B644" t="str">
        <f>IFERROR(VLOOKUP(Tabla1[[#This Row],[SISMED]],TblDisponibilidad[],2,FALSE), "")</f>
        <v/>
      </c>
      <c r="C644">
        <f>IFERROR(VLOOKUP(Tabla1[[#This Row],[SISMED]],TblDisponibilidad[],7,FALSE), 0)</f>
        <v>0</v>
      </c>
      <c r="D644">
        <f>IFERROR(VLOOKUP(Tabla1[[#This Row],[SISMED]],TblDisponibilidad[],8,FALSE), 0)</f>
        <v>0</v>
      </c>
      <c r="E644">
        <f>IFERROR(VLOOKUP(Tabla1[[#This Row],[SISMED]],TblDisponibilidad[],9,FALSE), 0)</f>
        <v>0</v>
      </c>
      <c r="F644">
        <f>IFERROR(VLOOKUP(Tabla1[[#This Row],[SISMED]],TblDisponibilidad[],10,FALSE), 0)</f>
        <v>0</v>
      </c>
      <c r="G644">
        <f>IFERROR(VLOOKUP(Tabla1[[#This Row],[SISMED]],TblDisponibilidad[],11,FALSE), 0)</f>
        <v>0</v>
      </c>
      <c r="H644">
        <f>IFERROR(VLOOKUP(Tabla1[[#This Row],[SISMED]],TblDisponibilidad[],12,FALSE), 0)</f>
        <v>0</v>
      </c>
      <c r="I644">
        <f>IFERROR(VLOOKUP(Tabla1[[#This Row],[SISMED]],TblDisponibilidad[],13,FALSE), 0)</f>
        <v>0</v>
      </c>
      <c r="J644">
        <f>IFERROR(VLOOKUP(Tabla1[[#This Row],[SISMED]],TblDisponibilidad[],14,FALSE), 0)</f>
        <v>0</v>
      </c>
      <c r="K644">
        <f>IFERROR(VLOOKUP(Tabla1[[#This Row],[SISMED]],TblDisponibilidad[],15,FALSE), 0)</f>
        <v>0</v>
      </c>
      <c r="L644">
        <f>IFERROR(VLOOKUP(Tabla1[[#This Row],[SISMED]],TblDisponibilidad[],16,FALSE), 0)</f>
        <v>0</v>
      </c>
      <c r="M644">
        <f>IFERROR(VLOOKUP(Tabla1[[#This Row],[SISMED]],TblDisponibilidad[],17,FALSE), 0)</f>
        <v>0</v>
      </c>
      <c r="N644">
        <f>IFERROR(VLOOKUP(Tabla1[[#This Row],[SISMED]],TblDisponibilidad[],18,FALSE), 0)</f>
        <v>0</v>
      </c>
      <c r="O644">
        <f>IFERROR(VLOOKUP(Tabla1[[#This Row],[SISMED]],TblDisponibilidad[],19,FALSE), 0)</f>
        <v>0</v>
      </c>
      <c r="P644">
        <f>IFERROR(VLOOKUP(Tabla1[[#This Row],[SISMED]],TblDisponibilidad[],20,FALSE), 0)</f>
        <v>0</v>
      </c>
      <c r="Q644">
        <f>IFERROR(VLOOKUP(Tabla1[[#This Row],[SISMED]],TblDisponibilidad[],21,FALSE), 0)</f>
        <v>0</v>
      </c>
      <c r="R644">
        <f>IFERROR(VLOOKUP(Tabla1[[#This Row],[SISMED]],TblDisponibilidad[],22,FALSE), 0)</f>
        <v>0</v>
      </c>
      <c r="S644" s="15">
        <f>IFERROR(VLOOKUP(Tabla1[[#This Row],[SISMED]],TblDisponibilidad[],23,FALSE), 0)</f>
        <v>0</v>
      </c>
    </row>
    <row r="645" spans="1:19" x14ac:dyDescent="0.3">
      <c r="A645" s="15" t="s">
        <v>675</v>
      </c>
      <c r="B645" t="str">
        <f>IFERROR(VLOOKUP(Tabla1[[#This Row],[SISMED]],TblDisponibilidad[],2,FALSE), "")</f>
        <v/>
      </c>
      <c r="C645">
        <f>IFERROR(VLOOKUP(Tabla1[[#This Row],[SISMED]],TblDisponibilidad[],7,FALSE), 0)</f>
        <v>0</v>
      </c>
      <c r="D645">
        <f>IFERROR(VLOOKUP(Tabla1[[#This Row],[SISMED]],TblDisponibilidad[],8,FALSE), 0)</f>
        <v>0</v>
      </c>
      <c r="E645">
        <f>IFERROR(VLOOKUP(Tabla1[[#This Row],[SISMED]],TblDisponibilidad[],9,FALSE), 0)</f>
        <v>0</v>
      </c>
      <c r="F645">
        <f>IFERROR(VLOOKUP(Tabla1[[#This Row],[SISMED]],TblDisponibilidad[],10,FALSE), 0)</f>
        <v>0</v>
      </c>
      <c r="G645">
        <f>IFERROR(VLOOKUP(Tabla1[[#This Row],[SISMED]],TblDisponibilidad[],11,FALSE), 0)</f>
        <v>0</v>
      </c>
      <c r="H645">
        <f>IFERROR(VLOOKUP(Tabla1[[#This Row],[SISMED]],TblDisponibilidad[],12,FALSE), 0)</f>
        <v>0</v>
      </c>
      <c r="I645">
        <f>IFERROR(VLOOKUP(Tabla1[[#This Row],[SISMED]],TblDisponibilidad[],13,FALSE), 0)</f>
        <v>0</v>
      </c>
      <c r="J645">
        <f>IFERROR(VLOOKUP(Tabla1[[#This Row],[SISMED]],TblDisponibilidad[],14,FALSE), 0)</f>
        <v>0</v>
      </c>
      <c r="K645">
        <f>IFERROR(VLOOKUP(Tabla1[[#This Row],[SISMED]],TblDisponibilidad[],15,FALSE), 0)</f>
        <v>0</v>
      </c>
      <c r="L645">
        <f>IFERROR(VLOOKUP(Tabla1[[#This Row],[SISMED]],TblDisponibilidad[],16,FALSE), 0)</f>
        <v>0</v>
      </c>
      <c r="M645">
        <f>IFERROR(VLOOKUP(Tabla1[[#This Row],[SISMED]],TblDisponibilidad[],17,FALSE), 0)</f>
        <v>0</v>
      </c>
      <c r="N645">
        <f>IFERROR(VLOOKUP(Tabla1[[#This Row],[SISMED]],TblDisponibilidad[],18,FALSE), 0)</f>
        <v>0</v>
      </c>
      <c r="O645">
        <f>IFERROR(VLOOKUP(Tabla1[[#This Row],[SISMED]],TblDisponibilidad[],19,FALSE), 0)</f>
        <v>0</v>
      </c>
      <c r="P645">
        <f>IFERROR(VLOOKUP(Tabla1[[#This Row],[SISMED]],TblDisponibilidad[],20,FALSE), 0)</f>
        <v>0</v>
      </c>
      <c r="Q645">
        <f>IFERROR(VLOOKUP(Tabla1[[#This Row],[SISMED]],TblDisponibilidad[],21,FALSE), 0)</f>
        <v>0</v>
      </c>
      <c r="R645">
        <f>IFERROR(VLOOKUP(Tabla1[[#This Row],[SISMED]],TblDisponibilidad[],22,FALSE), 0)</f>
        <v>0</v>
      </c>
      <c r="S645" s="15">
        <f>IFERROR(VLOOKUP(Tabla1[[#This Row],[SISMED]],TblDisponibilidad[],23,FALSE), 0)</f>
        <v>0</v>
      </c>
    </row>
    <row r="646" spans="1:19" x14ac:dyDescent="0.3">
      <c r="A646" s="15" t="s">
        <v>676</v>
      </c>
      <c r="B646" t="str">
        <f>IFERROR(VLOOKUP(Tabla1[[#This Row],[SISMED]],TblDisponibilidad[],2,FALSE), "")</f>
        <v/>
      </c>
      <c r="C646">
        <f>IFERROR(VLOOKUP(Tabla1[[#This Row],[SISMED]],TblDisponibilidad[],7,FALSE), 0)</f>
        <v>0</v>
      </c>
      <c r="D646">
        <f>IFERROR(VLOOKUP(Tabla1[[#This Row],[SISMED]],TblDisponibilidad[],8,FALSE), 0)</f>
        <v>0</v>
      </c>
      <c r="E646">
        <f>IFERROR(VLOOKUP(Tabla1[[#This Row],[SISMED]],TblDisponibilidad[],9,FALSE), 0)</f>
        <v>0</v>
      </c>
      <c r="F646">
        <f>IFERROR(VLOOKUP(Tabla1[[#This Row],[SISMED]],TblDisponibilidad[],10,FALSE), 0)</f>
        <v>0</v>
      </c>
      <c r="G646">
        <f>IFERROR(VLOOKUP(Tabla1[[#This Row],[SISMED]],TblDisponibilidad[],11,FALSE), 0)</f>
        <v>0</v>
      </c>
      <c r="H646">
        <f>IFERROR(VLOOKUP(Tabla1[[#This Row],[SISMED]],TblDisponibilidad[],12,FALSE), 0)</f>
        <v>0</v>
      </c>
      <c r="I646">
        <f>IFERROR(VLOOKUP(Tabla1[[#This Row],[SISMED]],TblDisponibilidad[],13,FALSE), 0)</f>
        <v>0</v>
      </c>
      <c r="J646">
        <f>IFERROR(VLOOKUP(Tabla1[[#This Row],[SISMED]],TblDisponibilidad[],14,FALSE), 0)</f>
        <v>0</v>
      </c>
      <c r="K646">
        <f>IFERROR(VLOOKUP(Tabla1[[#This Row],[SISMED]],TblDisponibilidad[],15,FALSE), 0)</f>
        <v>0</v>
      </c>
      <c r="L646">
        <f>IFERROR(VLOOKUP(Tabla1[[#This Row],[SISMED]],TblDisponibilidad[],16,FALSE), 0)</f>
        <v>0</v>
      </c>
      <c r="M646">
        <f>IFERROR(VLOOKUP(Tabla1[[#This Row],[SISMED]],TblDisponibilidad[],17,FALSE), 0)</f>
        <v>0</v>
      </c>
      <c r="N646">
        <f>IFERROR(VLOOKUP(Tabla1[[#This Row],[SISMED]],TblDisponibilidad[],18,FALSE), 0)</f>
        <v>0</v>
      </c>
      <c r="O646">
        <f>IFERROR(VLOOKUP(Tabla1[[#This Row],[SISMED]],TblDisponibilidad[],19,FALSE), 0)</f>
        <v>0</v>
      </c>
      <c r="P646">
        <f>IFERROR(VLOOKUP(Tabla1[[#This Row],[SISMED]],TblDisponibilidad[],20,FALSE), 0)</f>
        <v>0</v>
      </c>
      <c r="Q646">
        <f>IFERROR(VLOOKUP(Tabla1[[#This Row],[SISMED]],TblDisponibilidad[],21,FALSE), 0)</f>
        <v>0</v>
      </c>
      <c r="R646">
        <f>IFERROR(VLOOKUP(Tabla1[[#This Row],[SISMED]],TblDisponibilidad[],22,FALSE), 0)</f>
        <v>0</v>
      </c>
      <c r="S646" s="15">
        <f>IFERROR(VLOOKUP(Tabla1[[#This Row],[SISMED]],TblDisponibilidad[],23,FALSE), 0)</f>
        <v>0</v>
      </c>
    </row>
    <row r="647" spans="1:19" x14ac:dyDescent="0.3">
      <c r="A647" s="15" t="s">
        <v>677</v>
      </c>
      <c r="B647" t="str">
        <f>IFERROR(VLOOKUP(Tabla1[[#This Row],[SISMED]],TblDisponibilidad[],2,FALSE), "")</f>
        <v/>
      </c>
      <c r="C647">
        <f>IFERROR(VLOOKUP(Tabla1[[#This Row],[SISMED]],TblDisponibilidad[],7,FALSE), 0)</f>
        <v>0</v>
      </c>
      <c r="D647">
        <f>IFERROR(VLOOKUP(Tabla1[[#This Row],[SISMED]],TblDisponibilidad[],8,FALSE), 0)</f>
        <v>0</v>
      </c>
      <c r="E647">
        <f>IFERROR(VLOOKUP(Tabla1[[#This Row],[SISMED]],TblDisponibilidad[],9,FALSE), 0)</f>
        <v>0</v>
      </c>
      <c r="F647">
        <f>IFERROR(VLOOKUP(Tabla1[[#This Row],[SISMED]],TblDisponibilidad[],10,FALSE), 0)</f>
        <v>0</v>
      </c>
      <c r="G647">
        <f>IFERROR(VLOOKUP(Tabla1[[#This Row],[SISMED]],TblDisponibilidad[],11,FALSE), 0)</f>
        <v>0</v>
      </c>
      <c r="H647">
        <f>IFERROR(VLOOKUP(Tabla1[[#This Row],[SISMED]],TblDisponibilidad[],12,FALSE), 0)</f>
        <v>0</v>
      </c>
      <c r="I647">
        <f>IFERROR(VLOOKUP(Tabla1[[#This Row],[SISMED]],TblDisponibilidad[],13,FALSE), 0)</f>
        <v>0</v>
      </c>
      <c r="J647">
        <f>IFERROR(VLOOKUP(Tabla1[[#This Row],[SISMED]],TblDisponibilidad[],14,FALSE), 0)</f>
        <v>0</v>
      </c>
      <c r="K647">
        <f>IFERROR(VLOOKUP(Tabla1[[#This Row],[SISMED]],TblDisponibilidad[],15,FALSE), 0)</f>
        <v>0</v>
      </c>
      <c r="L647">
        <f>IFERROR(VLOOKUP(Tabla1[[#This Row],[SISMED]],TblDisponibilidad[],16,FALSE), 0)</f>
        <v>0</v>
      </c>
      <c r="M647">
        <f>IFERROR(VLOOKUP(Tabla1[[#This Row],[SISMED]],TblDisponibilidad[],17,FALSE), 0)</f>
        <v>0</v>
      </c>
      <c r="N647">
        <f>IFERROR(VLOOKUP(Tabla1[[#This Row],[SISMED]],TblDisponibilidad[],18,FALSE), 0)</f>
        <v>0</v>
      </c>
      <c r="O647">
        <f>IFERROR(VLOOKUP(Tabla1[[#This Row],[SISMED]],TblDisponibilidad[],19,FALSE), 0)</f>
        <v>0</v>
      </c>
      <c r="P647">
        <f>IFERROR(VLOOKUP(Tabla1[[#This Row],[SISMED]],TblDisponibilidad[],20,FALSE), 0)</f>
        <v>0</v>
      </c>
      <c r="Q647">
        <f>IFERROR(VLOOKUP(Tabla1[[#This Row],[SISMED]],TblDisponibilidad[],21,FALSE), 0)</f>
        <v>0</v>
      </c>
      <c r="R647">
        <f>IFERROR(VLOOKUP(Tabla1[[#This Row],[SISMED]],TblDisponibilidad[],22,FALSE), 0)</f>
        <v>0</v>
      </c>
      <c r="S647" s="15">
        <f>IFERROR(VLOOKUP(Tabla1[[#This Row],[SISMED]],TblDisponibilidad[],23,FALSE), 0)</f>
        <v>0</v>
      </c>
    </row>
    <row r="648" spans="1:19" x14ac:dyDescent="0.3">
      <c r="A648" s="15" t="s">
        <v>678</v>
      </c>
      <c r="B648" t="str">
        <f>IFERROR(VLOOKUP(Tabla1[[#This Row],[SISMED]],TblDisponibilidad[],2,FALSE), "")</f>
        <v/>
      </c>
      <c r="C648">
        <f>IFERROR(VLOOKUP(Tabla1[[#This Row],[SISMED]],TblDisponibilidad[],7,FALSE), 0)</f>
        <v>0</v>
      </c>
      <c r="D648">
        <f>IFERROR(VLOOKUP(Tabla1[[#This Row],[SISMED]],TblDisponibilidad[],8,FALSE), 0)</f>
        <v>0</v>
      </c>
      <c r="E648">
        <f>IFERROR(VLOOKUP(Tabla1[[#This Row],[SISMED]],TblDisponibilidad[],9,FALSE), 0)</f>
        <v>0</v>
      </c>
      <c r="F648">
        <f>IFERROR(VLOOKUP(Tabla1[[#This Row],[SISMED]],TblDisponibilidad[],10,FALSE), 0)</f>
        <v>0</v>
      </c>
      <c r="G648">
        <f>IFERROR(VLOOKUP(Tabla1[[#This Row],[SISMED]],TblDisponibilidad[],11,FALSE), 0)</f>
        <v>0</v>
      </c>
      <c r="H648">
        <f>IFERROR(VLOOKUP(Tabla1[[#This Row],[SISMED]],TblDisponibilidad[],12,FALSE), 0)</f>
        <v>0</v>
      </c>
      <c r="I648">
        <f>IFERROR(VLOOKUP(Tabla1[[#This Row],[SISMED]],TblDisponibilidad[],13,FALSE), 0)</f>
        <v>0</v>
      </c>
      <c r="J648">
        <f>IFERROR(VLOOKUP(Tabla1[[#This Row],[SISMED]],TblDisponibilidad[],14,FALSE), 0)</f>
        <v>0</v>
      </c>
      <c r="K648">
        <f>IFERROR(VLOOKUP(Tabla1[[#This Row],[SISMED]],TblDisponibilidad[],15,FALSE), 0)</f>
        <v>0</v>
      </c>
      <c r="L648">
        <f>IFERROR(VLOOKUP(Tabla1[[#This Row],[SISMED]],TblDisponibilidad[],16,FALSE), 0)</f>
        <v>0</v>
      </c>
      <c r="M648">
        <f>IFERROR(VLOOKUP(Tabla1[[#This Row],[SISMED]],TblDisponibilidad[],17,FALSE), 0)</f>
        <v>0</v>
      </c>
      <c r="N648">
        <f>IFERROR(VLOOKUP(Tabla1[[#This Row],[SISMED]],TblDisponibilidad[],18,FALSE), 0)</f>
        <v>0</v>
      </c>
      <c r="O648">
        <f>IFERROR(VLOOKUP(Tabla1[[#This Row],[SISMED]],TblDisponibilidad[],19,FALSE), 0)</f>
        <v>0</v>
      </c>
      <c r="P648">
        <f>IFERROR(VLOOKUP(Tabla1[[#This Row],[SISMED]],TblDisponibilidad[],20,FALSE), 0)</f>
        <v>0</v>
      </c>
      <c r="Q648">
        <f>IFERROR(VLOOKUP(Tabla1[[#This Row],[SISMED]],TblDisponibilidad[],21,FALSE), 0)</f>
        <v>0</v>
      </c>
      <c r="R648">
        <f>IFERROR(VLOOKUP(Tabla1[[#This Row],[SISMED]],TblDisponibilidad[],22,FALSE), 0)</f>
        <v>0</v>
      </c>
      <c r="S648" s="15">
        <f>IFERROR(VLOOKUP(Tabla1[[#This Row],[SISMED]],TblDisponibilidad[],23,FALSE), 0)</f>
        <v>0</v>
      </c>
    </row>
    <row r="649" spans="1:19" x14ac:dyDescent="0.3">
      <c r="A649" s="15" t="s">
        <v>679</v>
      </c>
      <c r="B649" t="str">
        <f>IFERROR(VLOOKUP(Tabla1[[#This Row],[SISMED]],TblDisponibilidad[],2,FALSE), "")</f>
        <v/>
      </c>
      <c r="C649">
        <f>IFERROR(VLOOKUP(Tabla1[[#This Row],[SISMED]],TblDisponibilidad[],7,FALSE), 0)</f>
        <v>0</v>
      </c>
      <c r="D649">
        <f>IFERROR(VLOOKUP(Tabla1[[#This Row],[SISMED]],TblDisponibilidad[],8,FALSE), 0)</f>
        <v>0</v>
      </c>
      <c r="E649">
        <f>IFERROR(VLOOKUP(Tabla1[[#This Row],[SISMED]],TblDisponibilidad[],9,FALSE), 0)</f>
        <v>0</v>
      </c>
      <c r="F649">
        <f>IFERROR(VLOOKUP(Tabla1[[#This Row],[SISMED]],TblDisponibilidad[],10,FALSE), 0)</f>
        <v>0</v>
      </c>
      <c r="G649">
        <f>IFERROR(VLOOKUP(Tabla1[[#This Row],[SISMED]],TblDisponibilidad[],11,FALSE), 0)</f>
        <v>0</v>
      </c>
      <c r="H649">
        <f>IFERROR(VLOOKUP(Tabla1[[#This Row],[SISMED]],TblDisponibilidad[],12,FALSE), 0)</f>
        <v>0</v>
      </c>
      <c r="I649">
        <f>IFERROR(VLOOKUP(Tabla1[[#This Row],[SISMED]],TblDisponibilidad[],13,FALSE), 0)</f>
        <v>0</v>
      </c>
      <c r="J649">
        <f>IFERROR(VLOOKUP(Tabla1[[#This Row],[SISMED]],TblDisponibilidad[],14,FALSE), 0)</f>
        <v>0</v>
      </c>
      <c r="K649">
        <f>IFERROR(VLOOKUP(Tabla1[[#This Row],[SISMED]],TblDisponibilidad[],15,FALSE), 0)</f>
        <v>0</v>
      </c>
      <c r="L649">
        <f>IFERROR(VLOOKUP(Tabla1[[#This Row],[SISMED]],TblDisponibilidad[],16,FALSE), 0)</f>
        <v>0</v>
      </c>
      <c r="M649">
        <f>IFERROR(VLOOKUP(Tabla1[[#This Row],[SISMED]],TblDisponibilidad[],17,FALSE), 0)</f>
        <v>0</v>
      </c>
      <c r="N649">
        <f>IFERROR(VLOOKUP(Tabla1[[#This Row],[SISMED]],TblDisponibilidad[],18,FALSE), 0)</f>
        <v>0</v>
      </c>
      <c r="O649">
        <f>IFERROR(VLOOKUP(Tabla1[[#This Row],[SISMED]],TblDisponibilidad[],19,FALSE), 0)</f>
        <v>0</v>
      </c>
      <c r="P649">
        <f>IFERROR(VLOOKUP(Tabla1[[#This Row],[SISMED]],TblDisponibilidad[],20,FALSE), 0)</f>
        <v>0</v>
      </c>
      <c r="Q649">
        <f>IFERROR(VLOOKUP(Tabla1[[#This Row],[SISMED]],TblDisponibilidad[],21,FALSE), 0)</f>
        <v>0</v>
      </c>
      <c r="R649">
        <f>IFERROR(VLOOKUP(Tabla1[[#This Row],[SISMED]],TblDisponibilidad[],22,FALSE), 0)</f>
        <v>0</v>
      </c>
      <c r="S649" s="15">
        <f>IFERROR(VLOOKUP(Tabla1[[#This Row],[SISMED]],TblDisponibilidad[],23,FALSE), 0)</f>
        <v>0</v>
      </c>
    </row>
    <row r="650" spans="1:19" x14ac:dyDescent="0.3">
      <c r="A650" s="15" t="s">
        <v>680</v>
      </c>
      <c r="B650" t="str">
        <f>IFERROR(VLOOKUP(Tabla1[[#This Row],[SISMED]],TblDisponibilidad[],2,FALSE), "")</f>
        <v/>
      </c>
      <c r="C650">
        <f>IFERROR(VLOOKUP(Tabla1[[#This Row],[SISMED]],TblDisponibilidad[],7,FALSE), 0)</f>
        <v>0</v>
      </c>
      <c r="D650">
        <f>IFERROR(VLOOKUP(Tabla1[[#This Row],[SISMED]],TblDisponibilidad[],8,FALSE), 0)</f>
        <v>0</v>
      </c>
      <c r="E650">
        <f>IFERROR(VLOOKUP(Tabla1[[#This Row],[SISMED]],TblDisponibilidad[],9,FALSE), 0)</f>
        <v>0</v>
      </c>
      <c r="F650">
        <f>IFERROR(VLOOKUP(Tabla1[[#This Row],[SISMED]],TblDisponibilidad[],10,FALSE), 0)</f>
        <v>0</v>
      </c>
      <c r="G650">
        <f>IFERROR(VLOOKUP(Tabla1[[#This Row],[SISMED]],TblDisponibilidad[],11,FALSE), 0)</f>
        <v>0</v>
      </c>
      <c r="H650">
        <f>IFERROR(VLOOKUP(Tabla1[[#This Row],[SISMED]],TblDisponibilidad[],12,FALSE), 0)</f>
        <v>0</v>
      </c>
      <c r="I650">
        <f>IFERROR(VLOOKUP(Tabla1[[#This Row],[SISMED]],TblDisponibilidad[],13,FALSE), 0)</f>
        <v>0</v>
      </c>
      <c r="J650">
        <f>IFERROR(VLOOKUP(Tabla1[[#This Row],[SISMED]],TblDisponibilidad[],14,FALSE), 0)</f>
        <v>0</v>
      </c>
      <c r="K650">
        <f>IFERROR(VLOOKUP(Tabla1[[#This Row],[SISMED]],TblDisponibilidad[],15,FALSE), 0)</f>
        <v>0</v>
      </c>
      <c r="L650">
        <f>IFERROR(VLOOKUP(Tabla1[[#This Row],[SISMED]],TblDisponibilidad[],16,FALSE), 0)</f>
        <v>0</v>
      </c>
      <c r="M650">
        <f>IFERROR(VLOOKUP(Tabla1[[#This Row],[SISMED]],TblDisponibilidad[],17,FALSE), 0)</f>
        <v>0</v>
      </c>
      <c r="N650">
        <f>IFERROR(VLOOKUP(Tabla1[[#This Row],[SISMED]],TblDisponibilidad[],18,FALSE), 0)</f>
        <v>0</v>
      </c>
      <c r="O650">
        <f>IFERROR(VLOOKUP(Tabla1[[#This Row],[SISMED]],TblDisponibilidad[],19,FALSE), 0)</f>
        <v>0</v>
      </c>
      <c r="P650">
        <f>IFERROR(VLOOKUP(Tabla1[[#This Row],[SISMED]],TblDisponibilidad[],20,FALSE), 0)</f>
        <v>0</v>
      </c>
      <c r="Q650">
        <f>IFERROR(VLOOKUP(Tabla1[[#This Row],[SISMED]],TblDisponibilidad[],21,FALSE), 0)</f>
        <v>0</v>
      </c>
      <c r="R650">
        <f>IFERROR(VLOOKUP(Tabla1[[#This Row],[SISMED]],TblDisponibilidad[],22,FALSE), 0)</f>
        <v>0</v>
      </c>
      <c r="S650" s="15">
        <f>IFERROR(VLOOKUP(Tabla1[[#This Row],[SISMED]],TblDisponibilidad[],23,FALSE), 0)</f>
        <v>0</v>
      </c>
    </row>
    <row r="651" spans="1:19" x14ac:dyDescent="0.3">
      <c r="A651" s="15" t="s">
        <v>681</v>
      </c>
      <c r="B651" t="str">
        <f>IFERROR(VLOOKUP(Tabla1[[#This Row],[SISMED]],TblDisponibilidad[],2,FALSE), "")</f>
        <v/>
      </c>
      <c r="C651">
        <f>IFERROR(VLOOKUP(Tabla1[[#This Row],[SISMED]],TblDisponibilidad[],7,FALSE), 0)</f>
        <v>0</v>
      </c>
      <c r="D651">
        <f>IFERROR(VLOOKUP(Tabla1[[#This Row],[SISMED]],TblDisponibilidad[],8,FALSE), 0)</f>
        <v>0</v>
      </c>
      <c r="E651">
        <f>IFERROR(VLOOKUP(Tabla1[[#This Row],[SISMED]],TblDisponibilidad[],9,FALSE), 0)</f>
        <v>0</v>
      </c>
      <c r="F651">
        <f>IFERROR(VLOOKUP(Tabla1[[#This Row],[SISMED]],TblDisponibilidad[],10,FALSE), 0)</f>
        <v>0</v>
      </c>
      <c r="G651">
        <f>IFERROR(VLOOKUP(Tabla1[[#This Row],[SISMED]],TblDisponibilidad[],11,FALSE), 0)</f>
        <v>0</v>
      </c>
      <c r="H651">
        <f>IFERROR(VLOOKUP(Tabla1[[#This Row],[SISMED]],TblDisponibilidad[],12,FALSE), 0)</f>
        <v>0</v>
      </c>
      <c r="I651">
        <f>IFERROR(VLOOKUP(Tabla1[[#This Row],[SISMED]],TblDisponibilidad[],13,FALSE), 0)</f>
        <v>0</v>
      </c>
      <c r="J651">
        <f>IFERROR(VLOOKUP(Tabla1[[#This Row],[SISMED]],TblDisponibilidad[],14,FALSE), 0)</f>
        <v>0</v>
      </c>
      <c r="K651">
        <f>IFERROR(VLOOKUP(Tabla1[[#This Row],[SISMED]],TblDisponibilidad[],15,FALSE), 0)</f>
        <v>0</v>
      </c>
      <c r="L651">
        <f>IFERROR(VLOOKUP(Tabla1[[#This Row],[SISMED]],TblDisponibilidad[],16,FALSE), 0)</f>
        <v>0</v>
      </c>
      <c r="M651">
        <f>IFERROR(VLOOKUP(Tabla1[[#This Row],[SISMED]],TblDisponibilidad[],17,FALSE), 0)</f>
        <v>0</v>
      </c>
      <c r="N651">
        <f>IFERROR(VLOOKUP(Tabla1[[#This Row],[SISMED]],TblDisponibilidad[],18,FALSE), 0)</f>
        <v>0</v>
      </c>
      <c r="O651">
        <f>IFERROR(VLOOKUP(Tabla1[[#This Row],[SISMED]],TblDisponibilidad[],19,FALSE), 0)</f>
        <v>0</v>
      </c>
      <c r="P651">
        <f>IFERROR(VLOOKUP(Tabla1[[#This Row],[SISMED]],TblDisponibilidad[],20,FALSE), 0)</f>
        <v>0</v>
      </c>
      <c r="Q651">
        <f>IFERROR(VLOOKUP(Tabla1[[#This Row],[SISMED]],TblDisponibilidad[],21,FALSE), 0)</f>
        <v>0</v>
      </c>
      <c r="R651">
        <f>IFERROR(VLOOKUP(Tabla1[[#This Row],[SISMED]],TblDisponibilidad[],22,FALSE), 0)</f>
        <v>0</v>
      </c>
      <c r="S651" s="15">
        <f>IFERROR(VLOOKUP(Tabla1[[#This Row],[SISMED]],TblDisponibilidad[],23,FALSE), 0)</f>
        <v>0</v>
      </c>
    </row>
    <row r="652" spans="1:19" x14ac:dyDescent="0.3">
      <c r="A652" s="15" t="s">
        <v>682</v>
      </c>
      <c r="B652" t="str">
        <f>IFERROR(VLOOKUP(Tabla1[[#This Row],[SISMED]],TblDisponibilidad[],2,FALSE), "")</f>
        <v/>
      </c>
      <c r="C652">
        <f>IFERROR(VLOOKUP(Tabla1[[#This Row],[SISMED]],TblDisponibilidad[],7,FALSE), 0)</f>
        <v>0</v>
      </c>
      <c r="D652">
        <f>IFERROR(VLOOKUP(Tabla1[[#This Row],[SISMED]],TblDisponibilidad[],8,FALSE), 0)</f>
        <v>0</v>
      </c>
      <c r="E652">
        <f>IFERROR(VLOOKUP(Tabla1[[#This Row],[SISMED]],TblDisponibilidad[],9,FALSE), 0)</f>
        <v>0</v>
      </c>
      <c r="F652">
        <f>IFERROR(VLOOKUP(Tabla1[[#This Row],[SISMED]],TblDisponibilidad[],10,FALSE), 0)</f>
        <v>0</v>
      </c>
      <c r="G652">
        <f>IFERROR(VLOOKUP(Tabla1[[#This Row],[SISMED]],TblDisponibilidad[],11,FALSE), 0)</f>
        <v>0</v>
      </c>
      <c r="H652">
        <f>IFERROR(VLOOKUP(Tabla1[[#This Row],[SISMED]],TblDisponibilidad[],12,FALSE), 0)</f>
        <v>0</v>
      </c>
      <c r="I652">
        <f>IFERROR(VLOOKUP(Tabla1[[#This Row],[SISMED]],TblDisponibilidad[],13,FALSE), 0)</f>
        <v>0</v>
      </c>
      <c r="J652">
        <f>IFERROR(VLOOKUP(Tabla1[[#This Row],[SISMED]],TblDisponibilidad[],14,FALSE), 0)</f>
        <v>0</v>
      </c>
      <c r="K652">
        <f>IFERROR(VLOOKUP(Tabla1[[#This Row],[SISMED]],TblDisponibilidad[],15,FALSE), 0)</f>
        <v>0</v>
      </c>
      <c r="L652">
        <f>IFERROR(VLOOKUP(Tabla1[[#This Row],[SISMED]],TblDisponibilidad[],16,FALSE), 0)</f>
        <v>0</v>
      </c>
      <c r="M652">
        <f>IFERROR(VLOOKUP(Tabla1[[#This Row],[SISMED]],TblDisponibilidad[],17,FALSE), 0)</f>
        <v>0</v>
      </c>
      <c r="N652">
        <f>IFERROR(VLOOKUP(Tabla1[[#This Row],[SISMED]],TblDisponibilidad[],18,FALSE), 0)</f>
        <v>0</v>
      </c>
      <c r="O652">
        <f>IFERROR(VLOOKUP(Tabla1[[#This Row],[SISMED]],TblDisponibilidad[],19,FALSE), 0)</f>
        <v>0</v>
      </c>
      <c r="P652">
        <f>IFERROR(VLOOKUP(Tabla1[[#This Row],[SISMED]],TblDisponibilidad[],20,FALSE), 0)</f>
        <v>0</v>
      </c>
      <c r="Q652">
        <f>IFERROR(VLOOKUP(Tabla1[[#This Row],[SISMED]],TblDisponibilidad[],21,FALSE), 0)</f>
        <v>0</v>
      </c>
      <c r="R652">
        <f>IFERROR(VLOOKUP(Tabla1[[#This Row],[SISMED]],TblDisponibilidad[],22,FALSE), 0)</f>
        <v>0</v>
      </c>
      <c r="S652" s="15">
        <f>IFERROR(VLOOKUP(Tabla1[[#This Row],[SISMED]],TblDisponibilidad[],23,FALSE), 0)</f>
        <v>0</v>
      </c>
    </row>
    <row r="653" spans="1:19" x14ac:dyDescent="0.3">
      <c r="A653" s="15" t="s">
        <v>683</v>
      </c>
      <c r="B653" t="str">
        <f>IFERROR(VLOOKUP(Tabla1[[#This Row],[SISMED]],TblDisponibilidad[],2,FALSE), "")</f>
        <v/>
      </c>
      <c r="C653">
        <f>IFERROR(VLOOKUP(Tabla1[[#This Row],[SISMED]],TblDisponibilidad[],7,FALSE), 0)</f>
        <v>0</v>
      </c>
      <c r="D653">
        <f>IFERROR(VLOOKUP(Tabla1[[#This Row],[SISMED]],TblDisponibilidad[],8,FALSE), 0)</f>
        <v>0</v>
      </c>
      <c r="E653">
        <f>IFERROR(VLOOKUP(Tabla1[[#This Row],[SISMED]],TblDisponibilidad[],9,FALSE), 0)</f>
        <v>0</v>
      </c>
      <c r="F653">
        <f>IFERROR(VLOOKUP(Tabla1[[#This Row],[SISMED]],TblDisponibilidad[],10,FALSE), 0)</f>
        <v>0</v>
      </c>
      <c r="G653">
        <f>IFERROR(VLOOKUP(Tabla1[[#This Row],[SISMED]],TblDisponibilidad[],11,FALSE), 0)</f>
        <v>0</v>
      </c>
      <c r="H653">
        <f>IFERROR(VLOOKUP(Tabla1[[#This Row],[SISMED]],TblDisponibilidad[],12,FALSE), 0)</f>
        <v>0</v>
      </c>
      <c r="I653">
        <f>IFERROR(VLOOKUP(Tabla1[[#This Row],[SISMED]],TblDisponibilidad[],13,FALSE), 0)</f>
        <v>0</v>
      </c>
      <c r="J653">
        <f>IFERROR(VLOOKUP(Tabla1[[#This Row],[SISMED]],TblDisponibilidad[],14,FALSE), 0)</f>
        <v>0</v>
      </c>
      <c r="K653">
        <f>IFERROR(VLOOKUP(Tabla1[[#This Row],[SISMED]],TblDisponibilidad[],15,FALSE), 0)</f>
        <v>0</v>
      </c>
      <c r="L653">
        <f>IFERROR(VLOOKUP(Tabla1[[#This Row],[SISMED]],TblDisponibilidad[],16,FALSE), 0)</f>
        <v>0</v>
      </c>
      <c r="M653">
        <f>IFERROR(VLOOKUP(Tabla1[[#This Row],[SISMED]],TblDisponibilidad[],17,FALSE), 0)</f>
        <v>0</v>
      </c>
      <c r="N653">
        <f>IFERROR(VLOOKUP(Tabla1[[#This Row],[SISMED]],TblDisponibilidad[],18,FALSE), 0)</f>
        <v>0</v>
      </c>
      <c r="O653">
        <f>IFERROR(VLOOKUP(Tabla1[[#This Row],[SISMED]],TblDisponibilidad[],19,FALSE), 0)</f>
        <v>0</v>
      </c>
      <c r="P653">
        <f>IFERROR(VLOOKUP(Tabla1[[#This Row],[SISMED]],TblDisponibilidad[],20,FALSE), 0)</f>
        <v>0</v>
      </c>
      <c r="Q653">
        <f>IFERROR(VLOOKUP(Tabla1[[#This Row],[SISMED]],TblDisponibilidad[],21,FALSE), 0)</f>
        <v>0</v>
      </c>
      <c r="R653">
        <f>IFERROR(VLOOKUP(Tabla1[[#This Row],[SISMED]],TblDisponibilidad[],22,FALSE), 0)</f>
        <v>0</v>
      </c>
      <c r="S653" s="15">
        <f>IFERROR(VLOOKUP(Tabla1[[#This Row],[SISMED]],TblDisponibilidad[],23,FALSE), 0)</f>
        <v>0</v>
      </c>
    </row>
    <row r="654" spans="1:19" x14ac:dyDescent="0.3">
      <c r="A654" s="15" t="s">
        <v>684</v>
      </c>
      <c r="B654" t="str">
        <f>IFERROR(VLOOKUP(Tabla1[[#This Row],[SISMED]],TblDisponibilidad[],2,FALSE), "")</f>
        <v/>
      </c>
      <c r="C654">
        <f>IFERROR(VLOOKUP(Tabla1[[#This Row],[SISMED]],TblDisponibilidad[],7,FALSE), 0)</f>
        <v>0</v>
      </c>
      <c r="D654">
        <f>IFERROR(VLOOKUP(Tabla1[[#This Row],[SISMED]],TblDisponibilidad[],8,FALSE), 0)</f>
        <v>0</v>
      </c>
      <c r="E654">
        <f>IFERROR(VLOOKUP(Tabla1[[#This Row],[SISMED]],TblDisponibilidad[],9,FALSE), 0)</f>
        <v>0</v>
      </c>
      <c r="F654">
        <f>IFERROR(VLOOKUP(Tabla1[[#This Row],[SISMED]],TblDisponibilidad[],10,FALSE), 0)</f>
        <v>0</v>
      </c>
      <c r="G654">
        <f>IFERROR(VLOOKUP(Tabla1[[#This Row],[SISMED]],TblDisponibilidad[],11,FALSE), 0)</f>
        <v>0</v>
      </c>
      <c r="H654">
        <f>IFERROR(VLOOKUP(Tabla1[[#This Row],[SISMED]],TblDisponibilidad[],12,FALSE), 0)</f>
        <v>0</v>
      </c>
      <c r="I654">
        <f>IFERROR(VLOOKUP(Tabla1[[#This Row],[SISMED]],TblDisponibilidad[],13,FALSE), 0)</f>
        <v>0</v>
      </c>
      <c r="J654">
        <f>IFERROR(VLOOKUP(Tabla1[[#This Row],[SISMED]],TblDisponibilidad[],14,FALSE), 0)</f>
        <v>0</v>
      </c>
      <c r="K654">
        <f>IFERROR(VLOOKUP(Tabla1[[#This Row],[SISMED]],TblDisponibilidad[],15,FALSE), 0)</f>
        <v>0</v>
      </c>
      <c r="L654">
        <f>IFERROR(VLOOKUP(Tabla1[[#This Row],[SISMED]],TblDisponibilidad[],16,FALSE), 0)</f>
        <v>0</v>
      </c>
      <c r="M654">
        <f>IFERROR(VLOOKUP(Tabla1[[#This Row],[SISMED]],TblDisponibilidad[],17,FALSE), 0)</f>
        <v>0</v>
      </c>
      <c r="N654">
        <f>IFERROR(VLOOKUP(Tabla1[[#This Row],[SISMED]],TblDisponibilidad[],18,FALSE), 0)</f>
        <v>0</v>
      </c>
      <c r="O654">
        <f>IFERROR(VLOOKUP(Tabla1[[#This Row],[SISMED]],TblDisponibilidad[],19,FALSE), 0)</f>
        <v>0</v>
      </c>
      <c r="P654">
        <f>IFERROR(VLOOKUP(Tabla1[[#This Row],[SISMED]],TblDisponibilidad[],20,FALSE), 0)</f>
        <v>0</v>
      </c>
      <c r="Q654">
        <f>IFERROR(VLOOKUP(Tabla1[[#This Row],[SISMED]],TblDisponibilidad[],21,FALSE), 0)</f>
        <v>0</v>
      </c>
      <c r="R654">
        <f>IFERROR(VLOOKUP(Tabla1[[#This Row],[SISMED]],TblDisponibilidad[],22,FALSE), 0)</f>
        <v>0</v>
      </c>
      <c r="S654" s="15">
        <f>IFERROR(VLOOKUP(Tabla1[[#This Row],[SISMED]],TblDisponibilidad[],23,FALSE), 0)</f>
        <v>0</v>
      </c>
    </row>
    <row r="655" spans="1:19" x14ac:dyDescent="0.3">
      <c r="A655" s="15" t="s">
        <v>685</v>
      </c>
      <c r="B655" t="str">
        <f>IFERROR(VLOOKUP(Tabla1[[#This Row],[SISMED]],TblDisponibilidad[],2,FALSE), "")</f>
        <v/>
      </c>
      <c r="C655">
        <f>IFERROR(VLOOKUP(Tabla1[[#This Row],[SISMED]],TblDisponibilidad[],7,FALSE), 0)</f>
        <v>0</v>
      </c>
      <c r="D655">
        <f>IFERROR(VLOOKUP(Tabla1[[#This Row],[SISMED]],TblDisponibilidad[],8,FALSE), 0)</f>
        <v>0</v>
      </c>
      <c r="E655">
        <f>IFERROR(VLOOKUP(Tabla1[[#This Row],[SISMED]],TblDisponibilidad[],9,FALSE), 0)</f>
        <v>0</v>
      </c>
      <c r="F655">
        <f>IFERROR(VLOOKUP(Tabla1[[#This Row],[SISMED]],TblDisponibilidad[],10,FALSE), 0)</f>
        <v>0</v>
      </c>
      <c r="G655">
        <f>IFERROR(VLOOKUP(Tabla1[[#This Row],[SISMED]],TblDisponibilidad[],11,FALSE), 0)</f>
        <v>0</v>
      </c>
      <c r="H655">
        <f>IFERROR(VLOOKUP(Tabla1[[#This Row],[SISMED]],TblDisponibilidad[],12,FALSE), 0)</f>
        <v>0</v>
      </c>
      <c r="I655">
        <f>IFERROR(VLOOKUP(Tabla1[[#This Row],[SISMED]],TblDisponibilidad[],13,FALSE), 0)</f>
        <v>0</v>
      </c>
      <c r="J655">
        <f>IFERROR(VLOOKUP(Tabla1[[#This Row],[SISMED]],TblDisponibilidad[],14,FALSE), 0)</f>
        <v>0</v>
      </c>
      <c r="K655">
        <f>IFERROR(VLOOKUP(Tabla1[[#This Row],[SISMED]],TblDisponibilidad[],15,FALSE), 0)</f>
        <v>0</v>
      </c>
      <c r="L655">
        <f>IFERROR(VLOOKUP(Tabla1[[#This Row],[SISMED]],TblDisponibilidad[],16,FALSE), 0)</f>
        <v>0</v>
      </c>
      <c r="M655">
        <f>IFERROR(VLOOKUP(Tabla1[[#This Row],[SISMED]],TblDisponibilidad[],17,FALSE), 0)</f>
        <v>0</v>
      </c>
      <c r="N655">
        <f>IFERROR(VLOOKUP(Tabla1[[#This Row],[SISMED]],TblDisponibilidad[],18,FALSE), 0)</f>
        <v>0</v>
      </c>
      <c r="O655">
        <f>IFERROR(VLOOKUP(Tabla1[[#This Row],[SISMED]],TblDisponibilidad[],19,FALSE), 0)</f>
        <v>0</v>
      </c>
      <c r="P655">
        <f>IFERROR(VLOOKUP(Tabla1[[#This Row],[SISMED]],TblDisponibilidad[],20,FALSE), 0)</f>
        <v>0</v>
      </c>
      <c r="Q655">
        <f>IFERROR(VLOOKUP(Tabla1[[#This Row],[SISMED]],TblDisponibilidad[],21,FALSE), 0)</f>
        <v>0</v>
      </c>
      <c r="R655">
        <f>IFERROR(VLOOKUP(Tabla1[[#This Row],[SISMED]],TblDisponibilidad[],22,FALSE), 0)</f>
        <v>0</v>
      </c>
      <c r="S655" s="15">
        <f>IFERROR(VLOOKUP(Tabla1[[#This Row],[SISMED]],TblDisponibilidad[],23,FALSE), 0)</f>
        <v>0</v>
      </c>
    </row>
    <row r="656" spans="1:19" x14ac:dyDescent="0.3">
      <c r="A656" s="15" t="s">
        <v>686</v>
      </c>
      <c r="B656" t="str">
        <f>IFERROR(VLOOKUP(Tabla1[[#This Row],[SISMED]],TblDisponibilidad[],2,FALSE), "")</f>
        <v/>
      </c>
      <c r="C656">
        <f>IFERROR(VLOOKUP(Tabla1[[#This Row],[SISMED]],TblDisponibilidad[],7,FALSE), 0)</f>
        <v>0</v>
      </c>
      <c r="D656">
        <f>IFERROR(VLOOKUP(Tabla1[[#This Row],[SISMED]],TblDisponibilidad[],8,FALSE), 0)</f>
        <v>0</v>
      </c>
      <c r="E656">
        <f>IFERROR(VLOOKUP(Tabla1[[#This Row],[SISMED]],TblDisponibilidad[],9,FALSE), 0)</f>
        <v>0</v>
      </c>
      <c r="F656">
        <f>IFERROR(VLOOKUP(Tabla1[[#This Row],[SISMED]],TblDisponibilidad[],10,FALSE), 0)</f>
        <v>0</v>
      </c>
      <c r="G656">
        <f>IFERROR(VLOOKUP(Tabla1[[#This Row],[SISMED]],TblDisponibilidad[],11,FALSE), 0)</f>
        <v>0</v>
      </c>
      <c r="H656">
        <f>IFERROR(VLOOKUP(Tabla1[[#This Row],[SISMED]],TblDisponibilidad[],12,FALSE), 0)</f>
        <v>0</v>
      </c>
      <c r="I656">
        <f>IFERROR(VLOOKUP(Tabla1[[#This Row],[SISMED]],TblDisponibilidad[],13,FALSE), 0)</f>
        <v>0</v>
      </c>
      <c r="J656">
        <f>IFERROR(VLOOKUP(Tabla1[[#This Row],[SISMED]],TblDisponibilidad[],14,FALSE), 0)</f>
        <v>0</v>
      </c>
      <c r="K656">
        <f>IFERROR(VLOOKUP(Tabla1[[#This Row],[SISMED]],TblDisponibilidad[],15,FALSE), 0)</f>
        <v>0</v>
      </c>
      <c r="L656">
        <f>IFERROR(VLOOKUP(Tabla1[[#This Row],[SISMED]],TblDisponibilidad[],16,FALSE), 0)</f>
        <v>0</v>
      </c>
      <c r="M656">
        <f>IFERROR(VLOOKUP(Tabla1[[#This Row],[SISMED]],TblDisponibilidad[],17,FALSE), 0)</f>
        <v>0</v>
      </c>
      <c r="N656">
        <f>IFERROR(VLOOKUP(Tabla1[[#This Row],[SISMED]],TblDisponibilidad[],18,FALSE), 0)</f>
        <v>0</v>
      </c>
      <c r="O656">
        <f>IFERROR(VLOOKUP(Tabla1[[#This Row],[SISMED]],TblDisponibilidad[],19,FALSE), 0)</f>
        <v>0</v>
      </c>
      <c r="P656">
        <f>IFERROR(VLOOKUP(Tabla1[[#This Row],[SISMED]],TblDisponibilidad[],20,FALSE), 0)</f>
        <v>0</v>
      </c>
      <c r="Q656">
        <f>IFERROR(VLOOKUP(Tabla1[[#This Row],[SISMED]],TblDisponibilidad[],21,FALSE), 0)</f>
        <v>0</v>
      </c>
      <c r="R656">
        <f>IFERROR(VLOOKUP(Tabla1[[#This Row],[SISMED]],TblDisponibilidad[],22,FALSE), 0)</f>
        <v>0</v>
      </c>
      <c r="S656" s="15">
        <f>IFERROR(VLOOKUP(Tabla1[[#This Row],[SISMED]],TblDisponibilidad[],23,FALSE), 0)</f>
        <v>0</v>
      </c>
    </row>
    <row r="657" spans="1:19" x14ac:dyDescent="0.3">
      <c r="A657" s="15" t="s">
        <v>687</v>
      </c>
      <c r="B657" t="str">
        <f>IFERROR(VLOOKUP(Tabla1[[#This Row],[SISMED]],TblDisponibilidad[],2,FALSE), "")</f>
        <v/>
      </c>
      <c r="C657">
        <f>IFERROR(VLOOKUP(Tabla1[[#This Row],[SISMED]],TblDisponibilidad[],7,FALSE), 0)</f>
        <v>0</v>
      </c>
      <c r="D657">
        <f>IFERROR(VLOOKUP(Tabla1[[#This Row],[SISMED]],TblDisponibilidad[],8,FALSE), 0)</f>
        <v>0</v>
      </c>
      <c r="E657">
        <f>IFERROR(VLOOKUP(Tabla1[[#This Row],[SISMED]],TblDisponibilidad[],9,FALSE), 0)</f>
        <v>0</v>
      </c>
      <c r="F657">
        <f>IFERROR(VLOOKUP(Tabla1[[#This Row],[SISMED]],TblDisponibilidad[],10,FALSE), 0)</f>
        <v>0</v>
      </c>
      <c r="G657">
        <f>IFERROR(VLOOKUP(Tabla1[[#This Row],[SISMED]],TblDisponibilidad[],11,FALSE), 0)</f>
        <v>0</v>
      </c>
      <c r="H657">
        <f>IFERROR(VLOOKUP(Tabla1[[#This Row],[SISMED]],TblDisponibilidad[],12,FALSE), 0)</f>
        <v>0</v>
      </c>
      <c r="I657">
        <f>IFERROR(VLOOKUP(Tabla1[[#This Row],[SISMED]],TblDisponibilidad[],13,FALSE), 0)</f>
        <v>0</v>
      </c>
      <c r="J657">
        <f>IFERROR(VLOOKUP(Tabla1[[#This Row],[SISMED]],TblDisponibilidad[],14,FALSE), 0)</f>
        <v>0</v>
      </c>
      <c r="K657">
        <f>IFERROR(VLOOKUP(Tabla1[[#This Row],[SISMED]],TblDisponibilidad[],15,FALSE), 0)</f>
        <v>0</v>
      </c>
      <c r="L657">
        <f>IFERROR(VLOOKUP(Tabla1[[#This Row],[SISMED]],TblDisponibilidad[],16,FALSE), 0)</f>
        <v>0</v>
      </c>
      <c r="M657">
        <f>IFERROR(VLOOKUP(Tabla1[[#This Row],[SISMED]],TblDisponibilidad[],17,FALSE), 0)</f>
        <v>0</v>
      </c>
      <c r="N657">
        <f>IFERROR(VLOOKUP(Tabla1[[#This Row],[SISMED]],TblDisponibilidad[],18,FALSE), 0)</f>
        <v>0</v>
      </c>
      <c r="O657">
        <f>IFERROR(VLOOKUP(Tabla1[[#This Row],[SISMED]],TblDisponibilidad[],19,FALSE), 0)</f>
        <v>0</v>
      </c>
      <c r="P657">
        <f>IFERROR(VLOOKUP(Tabla1[[#This Row],[SISMED]],TblDisponibilidad[],20,FALSE), 0)</f>
        <v>0</v>
      </c>
      <c r="Q657">
        <f>IFERROR(VLOOKUP(Tabla1[[#This Row],[SISMED]],TblDisponibilidad[],21,FALSE), 0)</f>
        <v>0</v>
      </c>
      <c r="R657">
        <f>IFERROR(VLOOKUP(Tabla1[[#This Row],[SISMED]],TblDisponibilidad[],22,FALSE), 0)</f>
        <v>0</v>
      </c>
      <c r="S657" s="15">
        <f>IFERROR(VLOOKUP(Tabla1[[#This Row],[SISMED]],TblDisponibilidad[],23,FALSE), 0)</f>
        <v>0</v>
      </c>
    </row>
    <row r="658" spans="1:19" x14ac:dyDescent="0.3">
      <c r="A658" s="15" t="s">
        <v>688</v>
      </c>
      <c r="B658" t="str">
        <f>IFERROR(VLOOKUP(Tabla1[[#This Row],[SISMED]],TblDisponibilidad[],2,FALSE), "")</f>
        <v/>
      </c>
      <c r="C658">
        <f>IFERROR(VLOOKUP(Tabla1[[#This Row],[SISMED]],TblDisponibilidad[],7,FALSE), 0)</f>
        <v>0</v>
      </c>
      <c r="D658">
        <f>IFERROR(VLOOKUP(Tabla1[[#This Row],[SISMED]],TblDisponibilidad[],8,FALSE), 0)</f>
        <v>0</v>
      </c>
      <c r="E658">
        <f>IFERROR(VLOOKUP(Tabla1[[#This Row],[SISMED]],TblDisponibilidad[],9,FALSE), 0)</f>
        <v>0</v>
      </c>
      <c r="F658">
        <f>IFERROR(VLOOKUP(Tabla1[[#This Row],[SISMED]],TblDisponibilidad[],10,FALSE), 0)</f>
        <v>0</v>
      </c>
      <c r="G658">
        <f>IFERROR(VLOOKUP(Tabla1[[#This Row],[SISMED]],TblDisponibilidad[],11,FALSE), 0)</f>
        <v>0</v>
      </c>
      <c r="H658">
        <f>IFERROR(VLOOKUP(Tabla1[[#This Row],[SISMED]],TblDisponibilidad[],12,FALSE), 0)</f>
        <v>0</v>
      </c>
      <c r="I658">
        <f>IFERROR(VLOOKUP(Tabla1[[#This Row],[SISMED]],TblDisponibilidad[],13,FALSE), 0)</f>
        <v>0</v>
      </c>
      <c r="J658">
        <f>IFERROR(VLOOKUP(Tabla1[[#This Row],[SISMED]],TblDisponibilidad[],14,FALSE), 0)</f>
        <v>0</v>
      </c>
      <c r="K658">
        <f>IFERROR(VLOOKUP(Tabla1[[#This Row],[SISMED]],TblDisponibilidad[],15,FALSE), 0)</f>
        <v>0</v>
      </c>
      <c r="L658">
        <f>IFERROR(VLOOKUP(Tabla1[[#This Row],[SISMED]],TblDisponibilidad[],16,FALSE), 0)</f>
        <v>0</v>
      </c>
      <c r="M658">
        <f>IFERROR(VLOOKUP(Tabla1[[#This Row],[SISMED]],TblDisponibilidad[],17,FALSE), 0)</f>
        <v>0</v>
      </c>
      <c r="N658">
        <f>IFERROR(VLOOKUP(Tabla1[[#This Row],[SISMED]],TblDisponibilidad[],18,FALSE), 0)</f>
        <v>0</v>
      </c>
      <c r="O658">
        <f>IFERROR(VLOOKUP(Tabla1[[#This Row],[SISMED]],TblDisponibilidad[],19,FALSE), 0)</f>
        <v>0</v>
      </c>
      <c r="P658">
        <f>IFERROR(VLOOKUP(Tabla1[[#This Row],[SISMED]],TblDisponibilidad[],20,FALSE), 0)</f>
        <v>0</v>
      </c>
      <c r="Q658">
        <f>IFERROR(VLOOKUP(Tabla1[[#This Row],[SISMED]],TblDisponibilidad[],21,FALSE), 0)</f>
        <v>0</v>
      </c>
      <c r="R658">
        <f>IFERROR(VLOOKUP(Tabla1[[#This Row],[SISMED]],TblDisponibilidad[],22,FALSE), 0)</f>
        <v>0</v>
      </c>
      <c r="S658" s="15">
        <f>IFERROR(VLOOKUP(Tabla1[[#This Row],[SISMED]],TblDisponibilidad[],23,FALSE), 0)</f>
        <v>0</v>
      </c>
    </row>
    <row r="659" spans="1:19" x14ac:dyDescent="0.3">
      <c r="A659" s="15" t="s">
        <v>689</v>
      </c>
      <c r="B659" t="str">
        <f>IFERROR(VLOOKUP(Tabla1[[#This Row],[SISMED]],TblDisponibilidad[],2,FALSE), "")</f>
        <v/>
      </c>
      <c r="C659">
        <f>IFERROR(VLOOKUP(Tabla1[[#This Row],[SISMED]],TblDisponibilidad[],7,FALSE), 0)</f>
        <v>0</v>
      </c>
      <c r="D659">
        <f>IFERROR(VLOOKUP(Tabla1[[#This Row],[SISMED]],TblDisponibilidad[],8,FALSE), 0)</f>
        <v>0</v>
      </c>
      <c r="E659">
        <f>IFERROR(VLOOKUP(Tabla1[[#This Row],[SISMED]],TblDisponibilidad[],9,FALSE), 0)</f>
        <v>0</v>
      </c>
      <c r="F659">
        <f>IFERROR(VLOOKUP(Tabla1[[#This Row],[SISMED]],TblDisponibilidad[],10,FALSE), 0)</f>
        <v>0</v>
      </c>
      <c r="G659">
        <f>IFERROR(VLOOKUP(Tabla1[[#This Row],[SISMED]],TblDisponibilidad[],11,FALSE), 0)</f>
        <v>0</v>
      </c>
      <c r="H659">
        <f>IFERROR(VLOOKUP(Tabla1[[#This Row],[SISMED]],TblDisponibilidad[],12,FALSE), 0)</f>
        <v>0</v>
      </c>
      <c r="I659">
        <f>IFERROR(VLOOKUP(Tabla1[[#This Row],[SISMED]],TblDisponibilidad[],13,FALSE), 0)</f>
        <v>0</v>
      </c>
      <c r="J659">
        <f>IFERROR(VLOOKUP(Tabla1[[#This Row],[SISMED]],TblDisponibilidad[],14,FALSE), 0)</f>
        <v>0</v>
      </c>
      <c r="K659">
        <f>IFERROR(VLOOKUP(Tabla1[[#This Row],[SISMED]],TblDisponibilidad[],15,FALSE), 0)</f>
        <v>0</v>
      </c>
      <c r="L659">
        <f>IFERROR(VLOOKUP(Tabla1[[#This Row],[SISMED]],TblDisponibilidad[],16,FALSE), 0)</f>
        <v>0</v>
      </c>
      <c r="M659">
        <f>IFERROR(VLOOKUP(Tabla1[[#This Row],[SISMED]],TblDisponibilidad[],17,FALSE), 0)</f>
        <v>0</v>
      </c>
      <c r="N659">
        <f>IFERROR(VLOOKUP(Tabla1[[#This Row],[SISMED]],TblDisponibilidad[],18,FALSE), 0)</f>
        <v>0</v>
      </c>
      <c r="O659">
        <f>IFERROR(VLOOKUP(Tabla1[[#This Row],[SISMED]],TblDisponibilidad[],19,FALSE), 0)</f>
        <v>0</v>
      </c>
      <c r="P659">
        <f>IFERROR(VLOOKUP(Tabla1[[#This Row],[SISMED]],TblDisponibilidad[],20,FALSE), 0)</f>
        <v>0</v>
      </c>
      <c r="Q659">
        <f>IFERROR(VLOOKUP(Tabla1[[#This Row],[SISMED]],TblDisponibilidad[],21,FALSE), 0)</f>
        <v>0</v>
      </c>
      <c r="R659">
        <f>IFERROR(VLOOKUP(Tabla1[[#This Row],[SISMED]],TblDisponibilidad[],22,FALSE), 0)</f>
        <v>0</v>
      </c>
      <c r="S659" s="15">
        <f>IFERROR(VLOOKUP(Tabla1[[#This Row],[SISMED]],TblDisponibilidad[],23,FALSE), 0)</f>
        <v>0</v>
      </c>
    </row>
    <row r="660" spans="1:19" x14ac:dyDescent="0.3">
      <c r="A660" s="15" t="s">
        <v>690</v>
      </c>
      <c r="B660" t="str">
        <f>IFERROR(VLOOKUP(Tabla1[[#This Row],[SISMED]],TblDisponibilidad[],2,FALSE), "")</f>
        <v/>
      </c>
      <c r="C660">
        <f>IFERROR(VLOOKUP(Tabla1[[#This Row],[SISMED]],TblDisponibilidad[],7,FALSE), 0)</f>
        <v>0</v>
      </c>
      <c r="D660">
        <f>IFERROR(VLOOKUP(Tabla1[[#This Row],[SISMED]],TblDisponibilidad[],8,FALSE), 0)</f>
        <v>0</v>
      </c>
      <c r="E660">
        <f>IFERROR(VLOOKUP(Tabla1[[#This Row],[SISMED]],TblDisponibilidad[],9,FALSE), 0)</f>
        <v>0</v>
      </c>
      <c r="F660">
        <f>IFERROR(VLOOKUP(Tabla1[[#This Row],[SISMED]],TblDisponibilidad[],10,FALSE), 0)</f>
        <v>0</v>
      </c>
      <c r="G660">
        <f>IFERROR(VLOOKUP(Tabla1[[#This Row],[SISMED]],TblDisponibilidad[],11,FALSE), 0)</f>
        <v>0</v>
      </c>
      <c r="H660">
        <f>IFERROR(VLOOKUP(Tabla1[[#This Row],[SISMED]],TblDisponibilidad[],12,FALSE), 0)</f>
        <v>0</v>
      </c>
      <c r="I660">
        <f>IFERROR(VLOOKUP(Tabla1[[#This Row],[SISMED]],TblDisponibilidad[],13,FALSE), 0)</f>
        <v>0</v>
      </c>
      <c r="J660">
        <f>IFERROR(VLOOKUP(Tabla1[[#This Row],[SISMED]],TblDisponibilidad[],14,FALSE), 0)</f>
        <v>0</v>
      </c>
      <c r="K660">
        <f>IFERROR(VLOOKUP(Tabla1[[#This Row],[SISMED]],TblDisponibilidad[],15,FALSE), 0)</f>
        <v>0</v>
      </c>
      <c r="L660">
        <f>IFERROR(VLOOKUP(Tabla1[[#This Row],[SISMED]],TblDisponibilidad[],16,FALSE), 0)</f>
        <v>0</v>
      </c>
      <c r="M660">
        <f>IFERROR(VLOOKUP(Tabla1[[#This Row],[SISMED]],TblDisponibilidad[],17,FALSE), 0)</f>
        <v>0</v>
      </c>
      <c r="N660">
        <f>IFERROR(VLOOKUP(Tabla1[[#This Row],[SISMED]],TblDisponibilidad[],18,FALSE), 0)</f>
        <v>0</v>
      </c>
      <c r="O660">
        <f>IFERROR(VLOOKUP(Tabla1[[#This Row],[SISMED]],TblDisponibilidad[],19,FALSE), 0)</f>
        <v>0</v>
      </c>
      <c r="P660">
        <f>IFERROR(VLOOKUP(Tabla1[[#This Row],[SISMED]],TblDisponibilidad[],20,FALSE), 0)</f>
        <v>0</v>
      </c>
      <c r="Q660">
        <f>IFERROR(VLOOKUP(Tabla1[[#This Row],[SISMED]],TblDisponibilidad[],21,FALSE), 0)</f>
        <v>0</v>
      </c>
      <c r="R660">
        <f>IFERROR(VLOOKUP(Tabla1[[#This Row],[SISMED]],TblDisponibilidad[],22,FALSE), 0)</f>
        <v>0</v>
      </c>
      <c r="S660" s="15">
        <f>IFERROR(VLOOKUP(Tabla1[[#This Row],[SISMED]],TblDisponibilidad[],23,FALSE), 0)</f>
        <v>0</v>
      </c>
    </row>
    <row r="661" spans="1:19" x14ac:dyDescent="0.3">
      <c r="A661" s="15" t="s">
        <v>691</v>
      </c>
      <c r="B661" t="str">
        <f>IFERROR(VLOOKUP(Tabla1[[#This Row],[SISMED]],TblDisponibilidad[],2,FALSE), "")</f>
        <v/>
      </c>
      <c r="C661">
        <f>IFERROR(VLOOKUP(Tabla1[[#This Row],[SISMED]],TblDisponibilidad[],7,FALSE), 0)</f>
        <v>0</v>
      </c>
      <c r="D661">
        <f>IFERROR(VLOOKUP(Tabla1[[#This Row],[SISMED]],TblDisponibilidad[],8,FALSE), 0)</f>
        <v>0</v>
      </c>
      <c r="E661">
        <f>IFERROR(VLOOKUP(Tabla1[[#This Row],[SISMED]],TblDisponibilidad[],9,FALSE), 0)</f>
        <v>0</v>
      </c>
      <c r="F661">
        <f>IFERROR(VLOOKUP(Tabla1[[#This Row],[SISMED]],TblDisponibilidad[],10,FALSE), 0)</f>
        <v>0</v>
      </c>
      <c r="G661">
        <f>IFERROR(VLOOKUP(Tabla1[[#This Row],[SISMED]],TblDisponibilidad[],11,FALSE), 0)</f>
        <v>0</v>
      </c>
      <c r="H661">
        <f>IFERROR(VLOOKUP(Tabla1[[#This Row],[SISMED]],TblDisponibilidad[],12,FALSE), 0)</f>
        <v>0</v>
      </c>
      <c r="I661">
        <f>IFERROR(VLOOKUP(Tabla1[[#This Row],[SISMED]],TblDisponibilidad[],13,FALSE), 0)</f>
        <v>0</v>
      </c>
      <c r="J661">
        <f>IFERROR(VLOOKUP(Tabla1[[#This Row],[SISMED]],TblDisponibilidad[],14,FALSE), 0)</f>
        <v>0</v>
      </c>
      <c r="K661">
        <f>IFERROR(VLOOKUP(Tabla1[[#This Row],[SISMED]],TblDisponibilidad[],15,FALSE), 0)</f>
        <v>0</v>
      </c>
      <c r="L661">
        <f>IFERROR(VLOOKUP(Tabla1[[#This Row],[SISMED]],TblDisponibilidad[],16,FALSE), 0)</f>
        <v>0</v>
      </c>
      <c r="M661">
        <f>IFERROR(VLOOKUP(Tabla1[[#This Row],[SISMED]],TblDisponibilidad[],17,FALSE), 0)</f>
        <v>0</v>
      </c>
      <c r="N661">
        <f>IFERROR(VLOOKUP(Tabla1[[#This Row],[SISMED]],TblDisponibilidad[],18,FALSE), 0)</f>
        <v>0</v>
      </c>
      <c r="O661">
        <f>IFERROR(VLOOKUP(Tabla1[[#This Row],[SISMED]],TblDisponibilidad[],19,FALSE), 0)</f>
        <v>0</v>
      </c>
      <c r="P661">
        <f>IFERROR(VLOOKUP(Tabla1[[#This Row],[SISMED]],TblDisponibilidad[],20,FALSE), 0)</f>
        <v>0</v>
      </c>
      <c r="Q661">
        <f>IFERROR(VLOOKUP(Tabla1[[#This Row],[SISMED]],TblDisponibilidad[],21,FALSE), 0)</f>
        <v>0</v>
      </c>
      <c r="R661">
        <f>IFERROR(VLOOKUP(Tabla1[[#This Row],[SISMED]],TblDisponibilidad[],22,FALSE), 0)</f>
        <v>0</v>
      </c>
      <c r="S661" s="15">
        <f>IFERROR(VLOOKUP(Tabla1[[#This Row],[SISMED]],TblDisponibilidad[],23,FALSE), 0)</f>
        <v>0</v>
      </c>
    </row>
    <row r="662" spans="1:19" x14ac:dyDescent="0.3">
      <c r="A662" s="15" t="s">
        <v>692</v>
      </c>
      <c r="B662" t="str">
        <f>IFERROR(VLOOKUP(Tabla1[[#This Row],[SISMED]],TblDisponibilidad[],2,FALSE), "")</f>
        <v/>
      </c>
      <c r="C662">
        <f>IFERROR(VLOOKUP(Tabla1[[#This Row],[SISMED]],TblDisponibilidad[],7,FALSE), 0)</f>
        <v>0</v>
      </c>
      <c r="D662">
        <f>IFERROR(VLOOKUP(Tabla1[[#This Row],[SISMED]],TblDisponibilidad[],8,FALSE), 0)</f>
        <v>0</v>
      </c>
      <c r="E662">
        <f>IFERROR(VLOOKUP(Tabla1[[#This Row],[SISMED]],TblDisponibilidad[],9,FALSE), 0)</f>
        <v>0</v>
      </c>
      <c r="F662">
        <f>IFERROR(VLOOKUP(Tabla1[[#This Row],[SISMED]],TblDisponibilidad[],10,FALSE), 0)</f>
        <v>0</v>
      </c>
      <c r="G662">
        <f>IFERROR(VLOOKUP(Tabla1[[#This Row],[SISMED]],TblDisponibilidad[],11,FALSE), 0)</f>
        <v>0</v>
      </c>
      <c r="H662">
        <f>IFERROR(VLOOKUP(Tabla1[[#This Row],[SISMED]],TblDisponibilidad[],12,FALSE), 0)</f>
        <v>0</v>
      </c>
      <c r="I662">
        <f>IFERROR(VLOOKUP(Tabla1[[#This Row],[SISMED]],TblDisponibilidad[],13,FALSE), 0)</f>
        <v>0</v>
      </c>
      <c r="J662">
        <f>IFERROR(VLOOKUP(Tabla1[[#This Row],[SISMED]],TblDisponibilidad[],14,FALSE), 0)</f>
        <v>0</v>
      </c>
      <c r="K662">
        <f>IFERROR(VLOOKUP(Tabla1[[#This Row],[SISMED]],TblDisponibilidad[],15,FALSE), 0)</f>
        <v>0</v>
      </c>
      <c r="L662">
        <f>IFERROR(VLOOKUP(Tabla1[[#This Row],[SISMED]],TblDisponibilidad[],16,FALSE), 0)</f>
        <v>0</v>
      </c>
      <c r="M662">
        <f>IFERROR(VLOOKUP(Tabla1[[#This Row],[SISMED]],TblDisponibilidad[],17,FALSE), 0)</f>
        <v>0</v>
      </c>
      <c r="N662">
        <f>IFERROR(VLOOKUP(Tabla1[[#This Row],[SISMED]],TblDisponibilidad[],18,FALSE), 0)</f>
        <v>0</v>
      </c>
      <c r="O662">
        <f>IFERROR(VLOOKUP(Tabla1[[#This Row],[SISMED]],TblDisponibilidad[],19,FALSE), 0)</f>
        <v>0</v>
      </c>
      <c r="P662">
        <f>IFERROR(VLOOKUP(Tabla1[[#This Row],[SISMED]],TblDisponibilidad[],20,FALSE), 0)</f>
        <v>0</v>
      </c>
      <c r="Q662">
        <f>IFERROR(VLOOKUP(Tabla1[[#This Row],[SISMED]],TblDisponibilidad[],21,FALSE), 0)</f>
        <v>0</v>
      </c>
      <c r="R662">
        <f>IFERROR(VLOOKUP(Tabla1[[#This Row],[SISMED]],TblDisponibilidad[],22,FALSE), 0)</f>
        <v>0</v>
      </c>
      <c r="S662" s="15">
        <f>IFERROR(VLOOKUP(Tabla1[[#This Row],[SISMED]],TblDisponibilidad[],23,FALSE), 0)</f>
        <v>0</v>
      </c>
    </row>
    <row r="663" spans="1:19" x14ac:dyDescent="0.3">
      <c r="A663" s="15" t="s">
        <v>693</v>
      </c>
      <c r="B663" t="str">
        <f>IFERROR(VLOOKUP(Tabla1[[#This Row],[SISMED]],TblDisponibilidad[],2,FALSE), "")</f>
        <v/>
      </c>
      <c r="C663">
        <f>IFERROR(VLOOKUP(Tabla1[[#This Row],[SISMED]],TblDisponibilidad[],7,FALSE), 0)</f>
        <v>0</v>
      </c>
      <c r="D663">
        <f>IFERROR(VLOOKUP(Tabla1[[#This Row],[SISMED]],TblDisponibilidad[],8,FALSE), 0)</f>
        <v>0</v>
      </c>
      <c r="E663">
        <f>IFERROR(VLOOKUP(Tabla1[[#This Row],[SISMED]],TblDisponibilidad[],9,FALSE), 0)</f>
        <v>0</v>
      </c>
      <c r="F663">
        <f>IFERROR(VLOOKUP(Tabla1[[#This Row],[SISMED]],TblDisponibilidad[],10,FALSE), 0)</f>
        <v>0</v>
      </c>
      <c r="G663">
        <f>IFERROR(VLOOKUP(Tabla1[[#This Row],[SISMED]],TblDisponibilidad[],11,FALSE), 0)</f>
        <v>0</v>
      </c>
      <c r="H663">
        <f>IFERROR(VLOOKUP(Tabla1[[#This Row],[SISMED]],TblDisponibilidad[],12,FALSE), 0)</f>
        <v>0</v>
      </c>
      <c r="I663">
        <f>IFERROR(VLOOKUP(Tabla1[[#This Row],[SISMED]],TblDisponibilidad[],13,FALSE), 0)</f>
        <v>0</v>
      </c>
      <c r="J663">
        <f>IFERROR(VLOOKUP(Tabla1[[#This Row],[SISMED]],TblDisponibilidad[],14,FALSE), 0)</f>
        <v>0</v>
      </c>
      <c r="K663">
        <f>IFERROR(VLOOKUP(Tabla1[[#This Row],[SISMED]],TblDisponibilidad[],15,FALSE), 0)</f>
        <v>0</v>
      </c>
      <c r="L663">
        <f>IFERROR(VLOOKUP(Tabla1[[#This Row],[SISMED]],TblDisponibilidad[],16,FALSE), 0)</f>
        <v>0</v>
      </c>
      <c r="M663">
        <f>IFERROR(VLOOKUP(Tabla1[[#This Row],[SISMED]],TblDisponibilidad[],17,FALSE), 0)</f>
        <v>0</v>
      </c>
      <c r="N663">
        <f>IFERROR(VLOOKUP(Tabla1[[#This Row],[SISMED]],TblDisponibilidad[],18,FALSE), 0)</f>
        <v>0</v>
      </c>
      <c r="O663">
        <f>IFERROR(VLOOKUP(Tabla1[[#This Row],[SISMED]],TblDisponibilidad[],19,FALSE), 0)</f>
        <v>0</v>
      </c>
      <c r="P663">
        <f>IFERROR(VLOOKUP(Tabla1[[#This Row],[SISMED]],TblDisponibilidad[],20,FALSE), 0)</f>
        <v>0</v>
      </c>
      <c r="Q663">
        <f>IFERROR(VLOOKUP(Tabla1[[#This Row],[SISMED]],TblDisponibilidad[],21,FALSE), 0)</f>
        <v>0</v>
      </c>
      <c r="R663">
        <f>IFERROR(VLOOKUP(Tabla1[[#This Row],[SISMED]],TblDisponibilidad[],22,FALSE), 0)</f>
        <v>0</v>
      </c>
      <c r="S663" s="15">
        <f>IFERROR(VLOOKUP(Tabla1[[#This Row],[SISMED]],TblDisponibilidad[],23,FALSE), 0)</f>
        <v>0</v>
      </c>
    </row>
    <row r="664" spans="1:19" x14ac:dyDescent="0.3">
      <c r="A664" s="15" t="s">
        <v>694</v>
      </c>
      <c r="B664" t="str">
        <f>IFERROR(VLOOKUP(Tabla1[[#This Row],[SISMED]],TblDisponibilidad[],2,FALSE), "")</f>
        <v/>
      </c>
      <c r="C664">
        <f>IFERROR(VLOOKUP(Tabla1[[#This Row],[SISMED]],TblDisponibilidad[],7,FALSE), 0)</f>
        <v>0</v>
      </c>
      <c r="D664">
        <f>IFERROR(VLOOKUP(Tabla1[[#This Row],[SISMED]],TblDisponibilidad[],8,FALSE), 0)</f>
        <v>0</v>
      </c>
      <c r="E664">
        <f>IFERROR(VLOOKUP(Tabla1[[#This Row],[SISMED]],TblDisponibilidad[],9,FALSE), 0)</f>
        <v>0</v>
      </c>
      <c r="F664">
        <f>IFERROR(VLOOKUP(Tabla1[[#This Row],[SISMED]],TblDisponibilidad[],10,FALSE), 0)</f>
        <v>0</v>
      </c>
      <c r="G664">
        <f>IFERROR(VLOOKUP(Tabla1[[#This Row],[SISMED]],TblDisponibilidad[],11,FALSE), 0)</f>
        <v>0</v>
      </c>
      <c r="H664">
        <f>IFERROR(VLOOKUP(Tabla1[[#This Row],[SISMED]],TblDisponibilidad[],12,FALSE), 0)</f>
        <v>0</v>
      </c>
      <c r="I664">
        <f>IFERROR(VLOOKUP(Tabla1[[#This Row],[SISMED]],TblDisponibilidad[],13,FALSE), 0)</f>
        <v>0</v>
      </c>
      <c r="J664">
        <f>IFERROR(VLOOKUP(Tabla1[[#This Row],[SISMED]],TblDisponibilidad[],14,FALSE), 0)</f>
        <v>0</v>
      </c>
      <c r="K664">
        <f>IFERROR(VLOOKUP(Tabla1[[#This Row],[SISMED]],TblDisponibilidad[],15,FALSE), 0)</f>
        <v>0</v>
      </c>
      <c r="L664">
        <f>IFERROR(VLOOKUP(Tabla1[[#This Row],[SISMED]],TblDisponibilidad[],16,FALSE), 0)</f>
        <v>0</v>
      </c>
      <c r="M664">
        <f>IFERROR(VLOOKUP(Tabla1[[#This Row],[SISMED]],TblDisponibilidad[],17,FALSE), 0)</f>
        <v>0</v>
      </c>
      <c r="N664">
        <f>IFERROR(VLOOKUP(Tabla1[[#This Row],[SISMED]],TblDisponibilidad[],18,FALSE), 0)</f>
        <v>0</v>
      </c>
      <c r="O664">
        <f>IFERROR(VLOOKUP(Tabla1[[#This Row],[SISMED]],TblDisponibilidad[],19,FALSE), 0)</f>
        <v>0</v>
      </c>
      <c r="P664">
        <f>IFERROR(VLOOKUP(Tabla1[[#This Row],[SISMED]],TblDisponibilidad[],20,FALSE), 0)</f>
        <v>0</v>
      </c>
      <c r="Q664">
        <f>IFERROR(VLOOKUP(Tabla1[[#This Row],[SISMED]],TblDisponibilidad[],21,FALSE), 0)</f>
        <v>0</v>
      </c>
      <c r="R664">
        <f>IFERROR(VLOOKUP(Tabla1[[#This Row],[SISMED]],TblDisponibilidad[],22,FALSE), 0)</f>
        <v>0</v>
      </c>
      <c r="S664" s="15">
        <f>IFERROR(VLOOKUP(Tabla1[[#This Row],[SISMED]],TblDisponibilidad[],23,FALSE), 0)</f>
        <v>0</v>
      </c>
    </row>
    <row r="665" spans="1:19" x14ac:dyDescent="0.3">
      <c r="A665" s="15" t="s">
        <v>695</v>
      </c>
      <c r="B665" t="str">
        <f>IFERROR(VLOOKUP(Tabla1[[#This Row],[SISMED]],TblDisponibilidad[],2,FALSE), "")</f>
        <v/>
      </c>
      <c r="C665">
        <f>IFERROR(VLOOKUP(Tabla1[[#This Row],[SISMED]],TblDisponibilidad[],7,FALSE), 0)</f>
        <v>0</v>
      </c>
      <c r="D665">
        <f>IFERROR(VLOOKUP(Tabla1[[#This Row],[SISMED]],TblDisponibilidad[],8,FALSE), 0)</f>
        <v>0</v>
      </c>
      <c r="E665">
        <f>IFERROR(VLOOKUP(Tabla1[[#This Row],[SISMED]],TblDisponibilidad[],9,FALSE), 0)</f>
        <v>0</v>
      </c>
      <c r="F665">
        <f>IFERROR(VLOOKUP(Tabla1[[#This Row],[SISMED]],TblDisponibilidad[],10,FALSE), 0)</f>
        <v>0</v>
      </c>
      <c r="G665">
        <f>IFERROR(VLOOKUP(Tabla1[[#This Row],[SISMED]],TblDisponibilidad[],11,FALSE), 0)</f>
        <v>0</v>
      </c>
      <c r="H665">
        <f>IFERROR(VLOOKUP(Tabla1[[#This Row],[SISMED]],TblDisponibilidad[],12,FALSE), 0)</f>
        <v>0</v>
      </c>
      <c r="I665">
        <f>IFERROR(VLOOKUP(Tabla1[[#This Row],[SISMED]],TblDisponibilidad[],13,FALSE), 0)</f>
        <v>0</v>
      </c>
      <c r="J665">
        <f>IFERROR(VLOOKUP(Tabla1[[#This Row],[SISMED]],TblDisponibilidad[],14,FALSE), 0)</f>
        <v>0</v>
      </c>
      <c r="K665">
        <f>IFERROR(VLOOKUP(Tabla1[[#This Row],[SISMED]],TblDisponibilidad[],15,FALSE), 0)</f>
        <v>0</v>
      </c>
      <c r="L665">
        <f>IFERROR(VLOOKUP(Tabla1[[#This Row],[SISMED]],TblDisponibilidad[],16,FALSE), 0)</f>
        <v>0</v>
      </c>
      <c r="M665">
        <f>IFERROR(VLOOKUP(Tabla1[[#This Row],[SISMED]],TblDisponibilidad[],17,FALSE), 0)</f>
        <v>0</v>
      </c>
      <c r="N665">
        <f>IFERROR(VLOOKUP(Tabla1[[#This Row],[SISMED]],TblDisponibilidad[],18,FALSE), 0)</f>
        <v>0</v>
      </c>
      <c r="O665">
        <f>IFERROR(VLOOKUP(Tabla1[[#This Row],[SISMED]],TblDisponibilidad[],19,FALSE), 0)</f>
        <v>0</v>
      </c>
      <c r="P665">
        <f>IFERROR(VLOOKUP(Tabla1[[#This Row],[SISMED]],TblDisponibilidad[],20,FALSE), 0)</f>
        <v>0</v>
      </c>
      <c r="Q665">
        <f>IFERROR(VLOOKUP(Tabla1[[#This Row],[SISMED]],TblDisponibilidad[],21,FALSE), 0)</f>
        <v>0</v>
      </c>
      <c r="R665">
        <f>IFERROR(VLOOKUP(Tabla1[[#This Row],[SISMED]],TblDisponibilidad[],22,FALSE), 0)</f>
        <v>0</v>
      </c>
      <c r="S665" s="15">
        <f>IFERROR(VLOOKUP(Tabla1[[#This Row],[SISMED]],TblDisponibilidad[],23,FALSE), 0)</f>
        <v>0</v>
      </c>
    </row>
    <row r="666" spans="1:19" x14ac:dyDescent="0.3">
      <c r="A666" s="15" t="s">
        <v>696</v>
      </c>
      <c r="B666" t="str">
        <f>IFERROR(VLOOKUP(Tabla1[[#This Row],[SISMED]],TblDisponibilidad[],2,FALSE), "")</f>
        <v/>
      </c>
      <c r="C666">
        <f>IFERROR(VLOOKUP(Tabla1[[#This Row],[SISMED]],TblDisponibilidad[],7,FALSE), 0)</f>
        <v>0</v>
      </c>
      <c r="D666">
        <f>IFERROR(VLOOKUP(Tabla1[[#This Row],[SISMED]],TblDisponibilidad[],8,FALSE), 0)</f>
        <v>0</v>
      </c>
      <c r="E666">
        <f>IFERROR(VLOOKUP(Tabla1[[#This Row],[SISMED]],TblDisponibilidad[],9,FALSE), 0)</f>
        <v>0</v>
      </c>
      <c r="F666">
        <f>IFERROR(VLOOKUP(Tabla1[[#This Row],[SISMED]],TblDisponibilidad[],10,FALSE), 0)</f>
        <v>0</v>
      </c>
      <c r="G666">
        <f>IFERROR(VLOOKUP(Tabla1[[#This Row],[SISMED]],TblDisponibilidad[],11,FALSE), 0)</f>
        <v>0</v>
      </c>
      <c r="H666">
        <f>IFERROR(VLOOKUP(Tabla1[[#This Row],[SISMED]],TblDisponibilidad[],12,FALSE), 0)</f>
        <v>0</v>
      </c>
      <c r="I666">
        <f>IFERROR(VLOOKUP(Tabla1[[#This Row],[SISMED]],TblDisponibilidad[],13,FALSE), 0)</f>
        <v>0</v>
      </c>
      <c r="J666">
        <f>IFERROR(VLOOKUP(Tabla1[[#This Row],[SISMED]],TblDisponibilidad[],14,FALSE), 0)</f>
        <v>0</v>
      </c>
      <c r="K666">
        <f>IFERROR(VLOOKUP(Tabla1[[#This Row],[SISMED]],TblDisponibilidad[],15,FALSE), 0)</f>
        <v>0</v>
      </c>
      <c r="L666">
        <f>IFERROR(VLOOKUP(Tabla1[[#This Row],[SISMED]],TblDisponibilidad[],16,FALSE), 0)</f>
        <v>0</v>
      </c>
      <c r="M666">
        <f>IFERROR(VLOOKUP(Tabla1[[#This Row],[SISMED]],TblDisponibilidad[],17,FALSE), 0)</f>
        <v>0</v>
      </c>
      <c r="N666">
        <f>IFERROR(VLOOKUP(Tabla1[[#This Row],[SISMED]],TblDisponibilidad[],18,FALSE), 0)</f>
        <v>0</v>
      </c>
      <c r="O666">
        <f>IFERROR(VLOOKUP(Tabla1[[#This Row],[SISMED]],TblDisponibilidad[],19,FALSE), 0)</f>
        <v>0</v>
      </c>
      <c r="P666">
        <f>IFERROR(VLOOKUP(Tabla1[[#This Row],[SISMED]],TblDisponibilidad[],20,FALSE), 0)</f>
        <v>0</v>
      </c>
      <c r="Q666">
        <f>IFERROR(VLOOKUP(Tabla1[[#This Row],[SISMED]],TblDisponibilidad[],21,FALSE), 0)</f>
        <v>0</v>
      </c>
      <c r="R666">
        <f>IFERROR(VLOOKUP(Tabla1[[#This Row],[SISMED]],TblDisponibilidad[],22,FALSE), 0)</f>
        <v>0</v>
      </c>
      <c r="S666" s="15">
        <f>IFERROR(VLOOKUP(Tabla1[[#This Row],[SISMED]],TblDisponibilidad[],23,FALSE), 0)</f>
        <v>0</v>
      </c>
    </row>
    <row r="667" spans="1:19" x14ac:dyDescent="0.3">
      <c r="A667" s="15" t="s">
        <v>697</v>
      </c>
      <c r="B667" t="str">
        <f>IFERROR(VLOOKUP(Tabla1[[#This Row],[SISMED]],TblDisponibilidad[],2,FALSE), "")</f>
        <v/>
      </c>
      <c r="C667">
        <f>IFERROR(VLOOKUP(Tabla1[[#This Row],[SISMED]],TblDisponibilidad[],7,FALSE), 0)</f>
        <v>0</v>
      </c>
      <c r="D667">
        <f>IFERROR(VLOOKUP(Tabla1[[#This Row],[SISMED]],TblDisponibilidad[],8,FALSE), 0)</f>
        <v>0</v>
      </c>
      <c r="E667">
        <f>IFERROR(VLOOKUP(Tabla1[[#This Row],[SISMED]],TblDisponibilidad[],9,FALSE), 0)</f>
        <v>0</v>
      </c>
      <c r="F667">
        <f>IFERROR(VLOOKUP(Tabla1[[#This Row],[SISMED]],TblDisponibilidad[],10,FALSE), 0)</f>
        <v>0</v>
      </c>
      <c r="G667">
        <f>IFERROR(VLOOKUP(Tabla1[[#This Row],[SISMED]],TblDisponibilidad[],11,FALSE), 0)</f>
        <v>0</v>
      </c>
      <c r="H667">
        <f>IFERROR(VLOOKUP(Tabla1[[#This Row],[SISMED]],TblDisponibilidad[],12,FALSE), 0)</f>
        <v>0</v>
      </c>
      <c r="I667">
        <f>IFERROR(VLOOKUP(Tabla1[[#This Row],[SISMED]],TblDisponibilidad[],13,FALSE), 0)</f>
        <v>0</v>
      </c>
      <c r="J667">
        <f>IFERROR(VLOOKUP(Tabla1[[#This Row],[SISMED]],TblDisponibilidad[],14,FALSE), 0)</f>
        <v>0</v>
      </c>
      <c r="K667">
        <f>IFERROR(VLOOKUP(Tabla1[[#This Row],[SISMED]],TblDisponibilidad[],15,FALSE), 0)</f>
        <v>0</v>
      </c>
      <c r="L667">
        <f>IFERROR(VLOOKUP(Tabla1[[#This Row],[SISMED]],TblDisponibilidad[],16,FALSE), 0)</f>
        <v>0</v>
      </c>
      <c r="M667">
        <f>IFERROR(VLOOKUP(Tabla1[[#This Row],[SISMED]],TblDisponibilidad[],17,FALSE), 0)</f>
        <v>0</v>
      </c>
      <c r="N667">
        <f>IFERROR(VLOOKUP(Tabla1[[#This Row],[SISMED]],TblDisponibilidad[],18,FALSE), 0)</f>
        <v>0</v>
      </c>
      <c r="O667">
        <f>IFERROR(VLOOKUP(Tabla1[[#This Row],[SISMED]],TblDisponibilidad[],19,FALSE), 0)</f>
        <v>0</v>
      </c>
      <c r="P667">
        <f>IFERROR(VLOOKUP(Tabla1[[#This Row],[SISMED]],TblDisponibilidad[],20,FALSE), 0)</f>
        <v>0</v>
      </c>
      <c r="Q667">
        <f>IFERROR(VLOOKUP(Tabla1[[#This Row],[SISMED]],TblDisponibilidad[],21,FALSE), 0)</f>
        <v>0</v>
      </c>
      <c r="R667">
        <f>IFERROR(VLOOKUP(Tabla1[[#This Row],[SISMED]],TblDisponibilidad[],22,FALSE), 0)</f>
        <v>0</v>
      </c>
      <c r="S667" s="15">
        <f>IFERROR(VLOOKUP(Tabla1[[#This Row],[SISMED]],TblDisponibilidad[],23,FALSE), 0)</f>
        <v>0</v>
      </c>
    </row>
    <row r="668" spans="1:19" x14ac:dyDescent="0.3">
      <c r="A668" s="15" t="s">
        <v>698</v>
      </c>
      <c r="B668" t="str">
        <f>IFERROR(VLOOKUP(Tabla1[[#This Row],[SISMED]],TblDisponibilidad[],2,FALSE), "")</f>
        <v/>
      </c>
      <c r="C668">
        <f>IFERROR(VLOOKUP(Tabla1[[#This Row],[SISMED]],TblDisponibilidad[],7,FALSE), 0)</f>
        <v>0</v>
      </c>
      <c r="D668">
        <f>IFERROR(VLOOKUP(Tabla1[[#This Row],[SISMED]],TblDisponibilidad[],8,FALSE), 0)</f>
        <v>0</v>
      </c>
      <c r="E668">
        <f>IFERROR(VLOOKUP(Tabla1[[#This Row],[SISMED]],TblDisponibilidad[],9,FALSE), 0)</f>
        <v>0</v>
      </c>
      <c r="F668">
        <f>IFERROR(VLOOKUP(Tabla1[[#This Row],[SISMED]],TblDisponibilidad[],10,FALSE), 0)</f>
        <v>0</v>
      </c>
      <c r="G668">
        <f>IFERROR(VLOOKUP(Tabla1[[#This Row],[SISMED]],TblDisponibilidad[],11,FALSE), 0)</f>
        <v>0</v>
      </c>
      <c r="H668">
        <f>IFERROR(VLOOKUP(Tabla1[[#This Row],[SISMED]],TblDisponibilidad[],12,FALSE), 0)</f>
        <v>0</v>
      </c>
      <c r="I668">
        <f>IFERROR(VLOOKUP(Tabla1[[#This Row],[SISMED]],TblDisponibilidad[],13,FALSE), 0)</f>
        <v>0</v>
      </c>
      <c r="J668">
        <f>IFERROR(VLOOKUP(Tabla1[[#This Row],[SISMED]],TblDisponibilidad[],14,FALSE), 0)</f>
        <v>0</v>
      </c>
      <c r="K668">
        <f>IFERROR(VLOOKUP(Tabla1[[#This Row],[SISMED]],TblDisponibilidad[],15,FALSE), 0)</f>
        <v>0</v>
      </c>
      <c r="L668">
        <f>IFERROR(VLOOKUP(Tabla1[[#This Row],[SISMED]],TblDisponibilidad[],16,FALSE), 0)</f>
        <v>0</v>
      </c>
      <c r="M668">
        <f>IFERROR(VLOOKUP(Tabla1[[#This Row],[SISMED]],TblDisponibilidad[],17,FALSE), 0)</f>
        <v>0</v>
      </c>
      <c r="N668">
        <f>IFERROR(VLOOKUP(Tabla1[[#This Row],[SISMED]],TblDisponibilidad[],18,FALSE), 0)</f>
        <v>0</v>
      </c>
      <c r="O668">
        <f>IFERROR(VLOOKUP(Tabla1[[#This Row],[SISMED]],TblDisponibilidad[],19,FALSE), 0)</f>
        <v>0</v>
      </c>
      <c r="P668">
        <f>IFERROR(VLOOKUP(Tabla1[[#This Row],[SISMED]],TblDisponibilidad[],20,FALSE), 0)</f>
        <v>0</v>
      </c>
      <c r="Q668">
        <f>IFERROR(VLOOKUP(Tabla1[[#This Row],[SISMED]],TblDisponibilidad[],21,FALSE), 0)</f>
        <v>0</v>
      </c>
      <c r="R668">
        <f>IFERROR(VLOOKUP(Tabla1[[#This Row],[SISMED]],TblDisponibilidad[],22,FALSE), 0)</f>
        <v>0</v>
      </c>
      <c r="S668" s="15">
        <f>IFERROR(VLOOKUP(Tabla1[[#This Row],[SISMED]],TblDisponibilidad[],23,FALSE), 0)</f>
        <v>0</v>
      </c>
    </row>
    <row r="669" spans="1:19" x14ac:dyDescent="0.3">
      <c r="A669" s="15" t="s">
        <v>699</v>
      </c>
      <c r="B669" t="str">
        <f>IFERROR(VLOOKUP(Tabla1[[#This Row],[SISMED]],TblDisponibilidad[],2,FALSE), "")</f>
        <v/>
      </c>
      <c r="C669">
        <f>IFERROR(VLOOKUP(Tabla1[[#This Row],[SISMED]],TblDisponibilidad[],7,FALSE), 0)</f>
        <v>0</v>
      </c>
      <c r="D669">
        <f>IFERROR(VLOOKUP(Tabla1[[#This Row],[SISMED]],TblDisponibilidad[],8,FALSE), 0)</f>
        <v>0</v>
      </c>
      <c r="E669">
        <f>IFERROR(VLOOKUP(Tabla1[[#This Row],[SISMED]],TblDisponibilidad[],9,FALSE), 0)</f>
        <v>0</v>
      </c>
      <c r="F669">
        <f>IFERROR(VLOOKUP(Tabla1[[#This Row],[SISMED]],TblDisponibilidad[],10,FALSE), 0)</f>
        <v>0</v>
      </c>
      <c r="G669">
        <f>IFERROR(VLOOKUP(Tabla1[[#This Row],[SISMED]],TblDisponibilidad[],11,FALSE), 0)</f>
        <v>0</v>
      </c>
      <c r="H669">
        <f>IFERROR(VLOOKUP(Tabla1[[#This Row],[SISMED]],TblDisponibilidad[],12,FALSE), 0)</f>
        <v>0</v>
      </c>
      <c r="I669">
        <f>IFERROR(VLOOKUP(Tabla1[[#This Row],[SISMED]],TblDisponibilidad[],13,FALSE), 0)</f>
        <v>0</v>
      </c>
      <c r="J669">
        <f>IFERROR(VLOOKUP(Tabla1[[#This Row],[SISMED]],TblDisponibilidad[],14,FALSE), 0)</f>
        <v>0</v>
      </c>
      <c r="K669">
        <f>IFERROR(VLOOKUP(Tabla1[[#This Row],[SISMED]],TblDisponibilidad[],15,FALSE), 0)</f>
        <v>0</v>
      </c>
      <c r="L669">
        <f>IFERROR(VLOOKUP(Tabla1[[#This Row],[SISMED]],TblDisponibilidad[],16,FALSE), 0)</f>
        <v>0</v>
      </c>
      <c r="M669">
        <f>IFERROR(VLOOKUP(Tabla1[[#This Row],[SISMED]],TblDisponibilidad[],17,FALSE), 0)</f>
        <v>0</v>
      </c>
      <c r="N669">
        <f>IFERROR(VLOOKUP(Tabla1[[#This Row],[SISMED]],TblDisponibilidad[],18,FALSE), 0)</f>
        <v>0</v>
      </c>
      <c r="O669">
        <f>IFERROR(VLOOKUP(Tabla1[[#This Row],[SISMED]],TblDisponibilidad[],19,FALSE), 0)</f>
        <v>0</v>
      </c>
      <c r="P669">
        <f>IFERROR(VLOOKUP(Tabla1[[#This Row],[SISMED]],TblDisponibilidad[],20,FALSE), 0)</f>
        <v>0</v>
      </c>
      <c r="Q669">
        <f>IFERROR(VLOOKUP(Tabla1[[#This Row],[SISMED]],TblDisponibilidad[],21,FALSE), 0)</f>
        <v>0</v>
      </c>
      <c r="R669">
        <f>IFERROR(VLOOKUP(Tabla1[[#This Row],[SISMED]],TblDisponibilidad[],22,FALSE), 0)</f>
        <v>0</v>
      </c>
      <c r="S669" s="15">
        <f>IFERROR(VLOOKUP(Tabla1[[#This Row],[SISMED]],TblDisponibilidad[],23,FALSE), 0)</f>
        <v>0</v>
      </c>
    </row>
    <row r="670" spans="1:19" x14ac:dyDescent="0.3">
      <c r="A670" s="15" t="s">
        <v>700</v>
      </c>
      <c r="B670" t="str">
        <f>IFERROR(VLOOKUP(Tabla1[[#This Row],[SISMED]],TblDisponibilidad[],2,FALSE), "")</f>
        <v/>
      </c>
      <c r="C670">
        <f>IFERROR(VLOOKUP(Tabla1[[#This Row],[SISMED]],TblDisponibilidad[],7,FALSE), 0)</f>
        <v>0</v>
      </c>
      <c r="D670">
        <f>IFERROR(VLOOKUP(Tabla1[[#This Row],[SISMED]],TblDisponibilidad[],8,FALSE), 0)</f>
        <v>0</v>
      </c>
      <c r="E670">
        <f>IFERROR(VLOOKUP(Tabla1[[#This Row],[SISMED]],TblDisponibilidad[],9,FALSE), 0)</f>
        <v>0</v>
      </c>
      <c r="F670">
        <f>IFERROR(VLOOKUP(Tabla1[[#This Row],[SISMED]],TblDisponibilidad[],10,FALSE), 0)</f>
        <v>0</v>
      </c>
      <c r="G670">
        <f>IFERROR(VLOOKUP(Tabla1[[#This Row],[SISMED]],TblDisponibilidad[],11,FALSE), 0)</f>
        <v>0</v>
      </c>
      <c r="H670">
        <f>IFERROR(VLOOKUP(Tabla1[[#This Row],[SISMED]],TblDisponibilidad[],12,FALSE), 0)</f>
        <v>0</v>
      </c>
      <c r="I670">
        <f>IFERROR(VLOOKUP(Tabla1[[#This Row],[SISMED]],TblDisponibilidad[],13,FALSE), 0)</f>
        <v>0</v>
      </c>
      <c r="J670">
        <f>IFERROR(VLOOKUP(Tabla1[[#This Row],[SISMED]],TblDisponibilidad[],14,FALSE), 0)</f>
        <v>0</v>
      </c>
      <c r="K670">
        <f>IFERROR(VLOOKUP(Tabla1[[#This Row],[SISMED]],TblDisponibilidad[],15,FALSE), 0)</f>
        <v>0</v>
      </c>
      <c r="L670">
        <f>IFERROR(VLOOKUP(Tabla1[[#This Row],[SISMED]],TblDisponibilidad[],16,FALSE), 0)</f>
        <v>0</v>
      </c>
      <c r="M670">
        <f>IFERROR(VLOOKUP(Tabla1[[#This Row],[SISMED]],TblDisponibilidad[],17,FALSE), 0)</f>
        <v>0</v>
      </c>
      <c r="N670">
        <f>IFERROR(VLOOKUP(Tabla1[[#This Row],[SISMED]],TblDisponibilidad[],18,FALSE), 0)</f>
        <v>0</v>
      </c>
      <c r="O670">
        <f>IFERROR(VLOOKUP(Tabla1[[#This Row],[SISMED]],TblDisponibilidad[],19,FALSE), 0)</f>
        <v>0</v>
      </c>
      <c r="P670">
        <f>IFERROR(VLOOKUP(Tabla1[[#This Row],[SISMED]],TblDisponibilidad[],20,FALSE), 0)</f>
        <v>0</v>
      </c>
      <c r="Q670">
        <f>IFERROR(VLOOKUP(Tabla1[[#This Row],[SISMED]],TblDisponibilidad[],21,FALSE), 0)</f>
        <v>0</v>
      </c>
      <c r="R670">
        <f>IFERROR(VLOOKUP(Tabla1[[#This Row],[SISMED]],TblDisponibilidad[],22,FALSE), 0)</f>
        <v>0</v>
      </c>
      <c r="S670" s="15">
        <f>IFERROR(VLOOKUP(Tabla1[[#This Row],[SISMED]],TblDisponibilidad[],23,FALSE), 0)</f>
        <v>0</v>
      </c>
    </row>
    <row r="671" spans="1:19" x14ac:dyDescent="0.3">
      <c r="A671" s="15" t="s">
        <v>701</v>
      </c>
      <c r="B671" t="str">
        <f>IFERROR(VLOOKUP(Tabla1[[#This Row],[SISMED]],TblDisponibilidad[],2,FALSE), "")</f>
        <v/>
      </c>
      <c r="C671">
        <f>IFERROR(VLOOKUP(Tabla1[[#This Row],[SISMED]],TblDisponibilidad[],7,FALSE), 0)</f>
        <v>0</v>
      </c>
      <c r="D671">
        <f>IFERROR(VLOOKUP(Tabla1[[#This Row],[SISMED]],TblDisponibilidad[],8,FALSE), 0)</f>
        <v>0</v>
      </c>
      <c r="E671">
        <f>IFERROR(VLOOKUP(Tabla1[[#This Row],[SISMED]],TblDisponibilidad[],9,FALSE), 0)</f>
        <v>0</v>
      </c>
      <c r="F671">
        <f>IFERROR(VLOOKUP(Tabla1[[#This Row],[SISMED]],TblDisponibilidad[],10,FALSE), 0)</f>
        <v>0</v>
      </c>
      <c r="G671">
        <f>IFERROR(VLOOKUP(Tabla1[[#This Row],[SISMED]],TblDisponibilidad[],11,FALSE), 0)</f>
        <v>0</v>
      </c>
      <c r="H671">
        <f>IFERROR(VLOOKUP(Tabla1[[#This Row],[SISMED]],TblDisponibilidad[],12,FALSE), 0)</f>
        <v>0</v>
      </c>
      <c r="I671">
        <f>IFERROR(VLOOKUP(Tabla1[[#This Row],[SISMED]],TblDisponibilidad[],13,FALSE), 0)</f>
        <v>0</v>
      </c>
      <c r="J671">
        <f>IFERROR(VLOOKUP(Tabla1[[#This Row],[SISMED]],TblDisponibilidad[],14,FALSE), 0)</f>
        <v>0</v>
      </c>
      <c r="K671">
        <f>IFERROR(VLOOKUP(Tabla1[[#This Row],[SISMED]],TblDisponibilidad[],15,FALSE), 0)</f>
        <v>0</v>
      </c>
      <c r="L671">
        <f>IFERROR(VLOOKUP(Tabla1[[#This Row],[SISMED]],TblDisponibilidad[],16,FALSE), 0)</f>
        <v>0</v>
      </c>
      <c r="M671">
        <f>IFERROR(VLOOKUP(Tabla1[[#This Row],[SISMED]],TblDisponibilidad[],17,FALSE), 0)</f>
        <v>0</v>
      </c>
      <c r="N671">
        <f>IFERROR(VLOOKUP(Tabla1[[#This Row],[SISMED]],TblDisponibilidad[],18,FALSE), 0)</f>
        <v>0</v>
      </c>
      <c r="O671">
        <f>IFERROR(VLOOKUP(Tabla1[[#This Row],[SISMED]],TblDisponibilidad[],19,FALSE), 0)</f>
        <v>0</v>
      </c>
      <c r="P671">
        <f>IFERROR(VLOOKUP(Tabla1[[#This Row],[SISMED]],TblDisponibilidad[],20,FALSE), 0)</f>
        <v>0</v>
      </c>
      <c r="Q671">
        <f>IFERROR(VLOOKUP(Tabla1[[#This Row],[SISMED]],TblDisponibilidad[],21,FALSE), 0)</f>
        <v>0</v>
      </c>
      <c r="R671">
        <f>IFERROR(VLOOKUP(Tabla1[[#This Row],[SISMED]],TblDisponibilidad[],22,FALSE), 0)</f>
        <v>0</v>
      </c>
      <c r="S671" s="15">
        <f>IFERROR(VLOOKUP(Tabla1[[#This Row],[SISMED]],TblDisponibilidad[],23,FALSE), 0)</f>
        <v>0</v>
      </c>
    </row>
    <row r="672" spans="1:19" x14ac:dyDescent="0.3">
      <c r="A672" s="15" t="s">
        <v>702</v>
      </c>
      <c r="B672" t="str">
        <f>IFERROR(VLOOKUP(Tabla1[[#This Row],[SISMED]],TblDisponibilidad[],2,FALSE), "")</f>
        <v/>
      </c>
      <c r="C672">
        <f>IFERROR(VLOOKUP(Tabla1[[#This Row],[SISMED]],TblDisponibilidad[],7,FALSE), 0)</f>
        <v>0</v>
      </c>
      <c r="D672">
        <f>IFERROR(VLOOKUP(Tabla1[[#This Row],[SISMED]],TblDisponibilidad[],8,FALSE), 0)</f>
        <v>0</v>
      </c>
      <c r="E672">
        <f>IFERROR(VLOOKUP(Tabla1[[#This Row],[SISMED]],TblDisponibilidad[],9,FALSE), 0)</f>
        <v>0</v>
      </c>
      <c r="F672">
        <f>IFERROR(VLOOKUP(Tabla1[[#This Row],[SISMED]],TblDisponibilidad[],10,FALSE), 0)</f>
        <v>0</v>
      </c>
      <c r="G672">
        <f>IFERROR(VLOOKUP(Tabla1[[#This Row],[SISMED]],TblDisponibilidad[],11,FALSE), 0)</f>
        <v>0</v>
      </c>
      <c r="H672">
        <f>IFERROR(VLOOKUP(Tabla1[[#This Row],[SISMED]],TblDisponibilidad[],12,FALSE), 0)</f>
        <v>0</v>
      </c>
      <c r="I672">
        <f>IFERROR(VLOOKUP(Tabla1[[#This Row],[SISMED]],TblDisponibilidad[],13,FALSE), 0)</f>
        <v>0</v>
      </c>
      <c r="J672">
        <f>IFERROR(VLOOKUP(Tabla1[[#This Row],[SISMED]],TblDisponibilidad[],14,FALSE), 0)</f>
        <v>0</v>
      </c>
      <c r="K672">
        <f>IFERROR(VLOOKUP(Tabla1[[#This Row],[SISMED]],TblDisponibilidad[],15,FALSE), 0)</f>
        <v>0</v>
      </c>
      <c r="L672">
        <f>IFERROR(VLOOKUP(Tabla1[[#This Row],[SISMED]],TblDisponibilidad[],16,FALSE), 0)</f>
        <v>0</v>
      </c>
      <c r="M672">
        <f>IFERROR(VLOOKUP(Tabla1[[#This Row],[SISMED]],TblDisponibilidad[],17,FALSE), 0)</f>
        <v>0</v>
      </c>
      <c r="N672">
        <f>IFERROR(VLOOKUP(Tabla1[[#This Row],[SISMED]],TblDisponibilidad[],18,FALSE), 0)</f>
        <v>0</v>
      </c>
      <c r="O672">
        <f>IFERROR(VLOOKUP(Tabla1[[#This Row],[SISMED]],TblDisponibilidad[],19,FALSE), 0)</f>
        <v>0</v>
      </c>
      <c r="P672">
        <f>IFERROR(VLOOKUP(Tabla1[[#This Row],[SISMED]],TblDisponibilidad[],20,FALSE), 0)</f>
        <v>0</v>
      </c>
      <c r="Q672">
        <f>IFERROR(VLOOKUP(Tabla1[[#This Row],[SISMED]],TblDisponibilidad[],21,FALSE), 0)</f>
        <v>0</v>
      </c>
      <c r="R672">
        <f>IFERROR(VLOOKUP(Tabla1[[#This Row],[SISMED]],TblDisponibilidad[],22,FALSE), 0)</f>
        <v>0</v>
      </c>
      <c r="S672" s="15">
        <f>IFERROR(VLOOKUP(Tabla1[[#This Row],[SISMED]],TblDisponibilidad[],23,FALSE), 0)</f>
        <v>0</v>
      </c>
    </row>
    <row r="673" spans="1:19" x14ac:dyDescent="0.3">
      <c r="A673" s="15" t="s">
        <v>703</v>
      </c>
      <c r="B673" t="str">
        <f>IFERROR(VLOOKUP(Tabla1[[#This Row],[SISMED]],TblDisponibilidad[],2,FALSE), "")</f>
        <v/>
      </c>
      <c r="C673">
        <f>IFERROR(VLOOKUP(Tabla1[[#This Row],[SISMED]],TblDisponibilidad[],7,FALSE), 0)</f>
        <v>0</v>
      </c>
      <c r="D673">
        <f>IFERROR(VLOOKUP(Tabla1[[#This Row],[SISMED]],TblDisponibilidad[],8,FALSE), 0)</f>
        <v>0</v>
      </c>
      <c r="E673">
        <f>IFERROR(VLOOKUP(Tabla1[[#This Row],[SISMED]],TblDisponibilidad[],9,FALSE), 0)</f>
        <v>0</v>
      </c>
      <c r="F673">
        <f>IFERROR(VLOOKUP(Tabla1[[#This Row],[SISMED]],TblDisponibilidad[],10,FALSE), 0)</f>
        <v>0</v>
      </c>
      <c r="G673">
        <f>IFERROR(VLOOKUP(Tabla1[[#This Row],[SISMED]],TblDisponibilidad[],11,FALSE), 0)</f>
        <v>0</v>
      </c>
      <c r="H673">
        <f>IFERROR(VLOOKUP(Tabla1[[#This Row],[SISMED]],TblDisponibilidad[],12,FALSE), 0)</f>
        <v>0</v>
      </c>
      <c r="I673">
        <f>IFERROR(VLOOKUP(Tabla1[[#This Row],[SISMED]],TblDisponibilidad[],13,FALSE), 0)</f>
        <v>0</v>
      </c>
      <c r="J673">
        <f>IFERROR(VLOOKUP(Tabla1[[#This Row],[SISMED]],TblDisponibilidad[],14,FALSE), 0)</f>
        <v>0</v>
      </c>
      <c r="K673">
        <f>IFERROR(VLOOKUP(Tabla1[[#This Row],[SISMED]],TblDisponibilidad[],15,FALSE), 0)</f>
        <v>0</v>
      </c>
      <c r="L673">
        <f>IFERROR(VLOOKUP(Tabla1[[#This Row],[SISMED]],TblDisponibilidad[],16,FALSE), 0)</f>
        <v>0</v>
      </c>
      <c r="M673">
        <f>IFERROR(VLOOKUP(Tabla1[[#This Row],[SISMED]],TblDisponibilidad[],17,FALSE), 0)</f>
        <v>0</v>
      </c>
      <c r="N673">
        <f>IFERROR(VLOOKUP(Tabla1[[#This Row],[SISMED]],TblDisponibilidad[],18,FALSE), 0)</f>
        <v>0</v>
      </c>
      <c r="O673">
        <f>IFERROR(VLOOKUP(Tabla1[[#This Row],[SISMED]],TblDisponibilidad[],19,FALSE), 0)</f>
        <v>0</v>
      </c>
      <c r="P673">
        <f>IFERROR(VLOOKUP(Tabla1[[#This Row],[SISMED]],TblDisponibilidad[],20,FALSE), 0)</f>
        <v>0</v>
      </c>
      <c r="Q673">
        <f>IFERROR(VLOOKUP(Tabla1[[#This Row],[SISMED]],TblDisponibilidad[],21,FALSE), 0)</f>
        <v>0</v>
      </c>
      <c r="R673">
        <f>IFERROR(VLOOKUP(Tabla1[[#This Row],[SISMED]],TblDisponibilidad[],22,FALSE), 0)</f>
        <v>0</v>
      </c>
      <c r="S673" s="15">
        <f>IFERROR(VLOOKUP(Tabla1[[#This Row],[SISMED]],TblDisponibilidad[],23,FALSE), 0)</f>
        <v>0</v>
      </c>
    </row>
    <row r="674" spans="1:19" x14ac:dyDescent="0.3">
      <c r="A674" s="15" t="s">
        <v>704</v>
      </c>
      <c r="B674" t="str">
        <f>IFERROR(VLOOKUP(Tabla1[[#This Row],[SISMED]],TblDisponibilidad[],2,FALSE), "")</f>
        <v/>
      </c>
      <c r="C674">
        <f>IFERROR(VLOOKUP(Tabla1[[#This Row],[SISMED]],TblDisponibilidad[],7,FALSE), 0)</f>
        <v>0</v>
      </c>
      <c r="D674">
        <f>IFERROR(VLOOKUP(Tabla1[[#This Row],[SISMED]],TblDisponibilidad[],8,FALSE), 0)</f>
        <v>0</v>
      </c>
      <c r="E674">
        <f>IFERROR(VLOOKUP(Tabla1[[#This Row],[SISMED]],TblDisponibilidad[],9,FALSE), 0)</f>
        <v>0</v>
      </c>
      <c r="F674">
        <f>IFERROR(VLOOKUP(Tabla1[[#This Row],[SISMED]],TblDisponibilidad[],10,FALSE), 0)</f>
        <v>0</v>
      </c>
      <c r="G674">
        <f>IFERROR(VLOOKUP(Tabla1[[#This Row],[SISMED]],TblDisponibilidad[],11,FALSE), 0)</f>
        <v>0</v>
      </c>
      <c r="H674">
        <f>IFERROR(VLOOKUP(Tabla1[[#This Row],[SISMED]],TblDisponibilidad[],12,FALSE), 0)</f>
        <v>0</v>
      </c>
      <c r="I674">
        <f>IFERROR(VLOOKUP(Tabla1[[#This Row],[SISMED]],TblDisponibilidad[],13,FALSE), 0)</f>
        <v>0</v>
      </c>
      <c r="J674">
        <f>IFERROR(VLOOKUP(Tabla1[[#This Row],[SISMED]],TblDisponibilidad[],14,FALSE), 0)</f>
        <v>0</v>
      </c>
      <c r="K674">
        <f>IFERROR(VLOOKUP(Tabla1[[#This Row],[SISMED]],TblDisponibilidad[],15,FALSE), 0)</f>
        <v>0</v>
      </c>
      <c r="L674">
        <f>IFERROR(VLOOKUP(Tabla1[[#This Row],[SISMED]],TblDisponibilidad[],16,FALSE), 0)</f>
        <v>0</v>
      </c>
      <c r="M674">
        <f>IFERROR(VLOOKUP(Tabla1[[#This Row],[SISMED]],TblDisponibilidad[],17,FALSE), 0)</f>
        <v>0</v>
      </c>
      <c r="N674">
        <f>IFERROR(VLOOKUP(Tabla1[[#This Row],[SISMED]],TblDisponibilidad[],18,FALSE), 0)</f>
        <v>0</v>
      </c>
      <c r="O674">
        <f>IFERROR(VLOOKUP(Tabla1[[#This Row],[SISMED]],TblDisponibilidad[],19,FALSE), 0)</f>
        <v>0</v>
      </c>
      <c r="P674">
        <f>IFERROR(VLOOKUP(Tabla1[[#This Row],[SISMED]],TblDisponibilidad[],20,FALSE), 0)</f>
        <v>0</v>
      </c>
      <c r="Q674">
        <f>IFERROR(VLOOKUP(Tabla1[[#This Row],[SISMED]],TblDisponibilidad[],21,FALSE), 0)</f>
        <v>0</v>
      </c>
      <c r="R674">
        <f>IFERROR(VLOOKUP(Tabla1[[#This Row],[SISMED]],TblDisponibilidad[],22,FALSE), 0)</f>
        <v>0</v>
      </c>
      <c r="S674" s="15">
        <f>IFERROR(VLOOKUP(Tabla1[[#This Row],[SISMED]],TblDisponibilidad[],23,FALSE), 0)</f>
        <v>0</v>
      </c>
    </row>
    <row r="675" spans="1:19" x14ac:dyDescent="0.3">
      <c r="A675" s="15" t="s">
        <v>705</v>
      </c>
      <c r="B675" t="str">
        <f>IFERROR(VLOOKUP(Tabla1[[#This Row],[SISMED]],TblDisponibilidad[],2,FALSE), "")</f>
        <v/>
      </c>
      <c r="C675">
        <f>IFERROR(VLOOKUP(Tabla1[[#This Row],[SISMED]],TblDisponibilidad[],7,FALSE), 0)</f>
        <v>0</v>
      </c>
      <c r="D675">
        <f>IFERROR(VLOOKUP(Tabla1[[#This Row],[SISMED]],TblDisponibilidad[],8,FALSE), 0)</f>
        <v>0</v>
      </c>
      <c r="E675">
        <f>IFERROR(VLOOKUP(Tabla1[[#This Row],[SISMED]],TblDisponibilidad[],9,FALSE), 0)</f>
        <v>0</v>
      </c>
      <c r="F675">
        <f>IFERROR(VLOOKUP(Tabla1[[#This Row],[SISMED]],TblDisponibilidad[],10,FALSE), 0)</f>
        <v>0</v>
      </c>
      <c r="G675">
        <f>IFERROR(VLOOKUP(Tabla1[[#This Row],[SISMED]],TblDisponibilidad[],11,FALSE), 0)</f>
        <v>0</v>
      </c>
      <c r="H675">
        <f>IFERROR(VLOOKUP(Tabla1[[#This Row],[SISMED]],TblDisponibilidad[],12,FALSE), 0)</f>
        <v>0</v>
      </c>
      <c r="I675">
        <f>IFERROR(VLOOKUP(Tabla1[[#This Row],[SISMED]],TblDisponibilidad[],13,FALSE), 0)</f>
        <v>0</v>
      </c>
      <c r="J675">
        <f>IFERROR(VLOOKUP(Tabla1[[#This Row],[SISMED]],TblDisponibilidad[],14,FALSE), 0)</f>
        <v>0</v>
      </c>
      <c r="K675">
        <f>IFERROR(VLOOKUP(Tabla1[[#This Row],[SISMED]],TblDisponibilidad[],15,FALSE), 0)</f>
        <v>0</v>
      </c>
      <c r="L675">
        <f>IFERROR(VLOOKUP(Tabla1[[#This Row],[SISMED]],TblDisponibilidad[],16,FALSE), 0)</f>
        <v>0</v>
      </c>
      <c r="M675">
        <f>IFERROR(VLOOKUP(Tabla1[[#This Row],[SISMED]],TblDisponibilidad[],17,FALSE), 0)</f>
        <v>0</v>
      </c>
      <c r="N675">
        <f>IFERROR(VLOOKUP(Tabla1[[#This Row],[SISMED]],TblDisponibilidad[],18,FALSE), 0)</f>
        <v>0</v>
      </c>
      <c r="O675">
        <f>IFERROR(VLOOKUP(Tabla1[[#This Row],[SISMED]],TblDisponibilidad[],19,FALSE), 0)</f>
        <v>0</v>
      </c>
      <c r="P675">
        <f>IFERROR(VLOOKUP(Tabla1[[#This Row],[SISMED]],TblDisponibilidad[],20,FALSE), 0)</f>
        <v>0</v>
      </c>
      <c r="Q675">
        <f>IFERROR(VLOOKUP(Tabla1[[#This Row],[SISMED]],TblDisponibilidad[],21,FALSE), 0)</f>
        <v>0</v>
      </c>
      <c r="R675">
        <f>IFERROR(VLOOKUP(Tabla1[[#This Row],[SISMED]],TblDisponibilidad[],22,FALSE), 0)</f>
        <v>0</v>
      </c>
      <c r="S675" s="15">
        <f>IFERROR(VLOOKUP(Tabla1[[#This Row],[SISMED]],TblDisponibilidad[],23,FALSE), 0)</f>
        <v>0</v>
      </c>
    </row>
    <row r="676" spans="1:19" x14ac:dyDescent="0.3">
      <c r="A676" s="15" t="s">
        <v>706</v>
      </c>
      <c r="B676" t="str">
        <f>IFERROR(VLOOKUP(Tabla1[[#This Row],[SISMED]],TblDisponibilidad[],2,FALSE), "")</f>
        <v/>
      </c>
      <c r="C676">
        <f>IFERROR(VLOOKUP(Tabla1[[#This Row],[SISMED]],TblDisponibilidad[],7,FALSE), 0)</f>
        <v>0</v>
      </c>
      <c r="D676">
        <f>IFERROR(VLOOKUP(Tabla1[[#This Row],[SISMED]],TblDisponibilidad[],8,FALSE), 0)</f>
        <v>0</v>
      </c>
      <c r="E676">
        <f>IFERROR(VLOOKUP(Tabla1[[#This Row],[SISMED]],TblDisponibilidad[],9,FALSE), 0)</f>
        <v>0</v>
      </c>
      <c r="F676">
        <f>IFERROR(VLOOKUP(Tabla1[[#This Row],[SISMED]],TblDisponibilidad[],10,FALSE), 0)</f>
        <v>0</v>
      </c>
      <c r="G676">
        <f>IFERROR(VLOOKUP(Tabla1[[#This Row],[SISMED]],TblDisponibilidad[],11,FALSE), 0)</f>
        <v>0</v>
      </c>
      <c r="H676">
        <f>IFERROR(VLOOKUP(Tabla1[[#This Row],[SISMED]],TblDisponibilidad[],12,FALSE), 0)</f>
        <v>0</v>
      </c>
      <c r="I676">
        <f>IFERROR(VLOOKUP(Tabla1[[#This Row],[SISMED]],TblDisponibilidad[],13,FALSE), 0)</f>
        <v>0</v>
      </c>
      <c r="J676">
        <f>IFERROR(VLOOKUP(Tabla1[[#This Row],[SISMED]],TblDisponibilidad[],14,FALSE), 0)</f>
        <v>0</v>
      </c>
      <c r="K676">
        <f>IFERROR(VLOOKUP(Tabla1[[#This Row],[SISMED]],TblDisponibilidad[],15,FALSE), 0)</f>
        <v>0</v>
      </c>
      <c r="L676">
        <f>IFERROR(VLOOKUP(Tabla1[[#This Row],[SISMED]],TblDisponibilidad[],16,FALSE), 0)</f>
        <v>0</v>
      </c>
      <c r="M676">
        <f>IFERROR(VLOOKUP(Tabla1[[#This Row],[SISMED]],TblDisponibilidad[],17,FALSE), 0)</f>
        <v>0</v>
      </c>
      <c r="N676">
        <f>IFERROR(VLOOKUP(Tabla1[[#This Row],[SISMED]],TblDisponibilidad[],18,FALSE), 0)</f>
        <v>0</v>
      </c>
      <c r="O676">
        <f>IFERROR(VLOOKUP(Tabla1[[#This Row],[SISMED]],TblDisponibilidad[],19,FALSE), 0)</f>
        <v>0</v>
      </c>
      <c r="P676">
        <f>IFERROR(VLOOKUP(Tabla1[[#This Row],[SISMED]],TblDisponibilidad[],20,FALSE), 0)</f>
        <v>0</v>
      </c>
      <c r="Q676">
        <f>IFERROR(VLOOKUP(Tabla1[[#This Row],[SISMED]],TblDisponibilidad[],21,FALSE), 0)</f>
        <v>0</v>
      </c>
      <c r="R676">
        <f>IFERROR(VLOOKUP(Tabla1[[#This Row],[SISMED]],TblDisponibilidad[],22,FALSE), 0)</f>
        <v>0</v>
      </c>
      <c r="S676" s="15">
        <f>IFERROR(VLOOKUP(Tabla1[[#This Row],[SISMED]],TblDisponibilidad[],23,FALSE), 0)</f>
        <v>0</v>
      </c>
    </row>
    <row r="677" spans="1:19" x14ac:dyDescent="0.3">
      <c r="A677" s="15" t="s">
        <v>707</v>
      </c>
      <c r="B677" t="str">
        <f>IFERROR(VLOOKUP(Tabla1[[#This Row],[SISMED]],TblDisponibilidad[],2,FALSE), "")</f>
        <v/>
      </c>
      <c r="C677">
        <f>IFERROR(VLOOKUP(Tabla1[[#This Row],[SISMED]],TblDisponibilidad[],7,FALSE), 0)</f>
        <v>0</v>
      </c>
      <c r="D677">
        <f>IFERROR(VLOOKUP(Tabla1[[#This Row],[SISMED]],TblDisponibilidad[],8,FALSE), 0)</f>
        <v>0</v>
      </c>
      <c r="E677">
        <f>IFERROR(VLOOKUP(Tabla1[[#This Row],[SISMED]],TblDisponibilidad[],9,FALSE), 0)</f>
        <v>0</v>
      </c>
      <c r="F677">
        <f>IFERROR(VLOOKUP(Tabla1[[#This Row],[SISMED]],TblDisponibilidad[],10,FALSE), 0)</f>
        <v>0</v>
      </c>
      <c r="G677">
        <f>IFERROR(VLOOKUP(Tabla1[[#This Row],[SISMED]],TblDisponibilidad[],11,FALSE), 0)</f>
        <v>0</v>
      </c>
      <c r="H677">
        <f>IFERROR(VLOOKUP(Tabla1[[#This Row],[SISMED]],TblDisponibilidad[],12,FALSE), 0)</f>
        <v>0</v>
      </c>
      <c r="I677">
        <f>IFERROR(VLOOKUP(Tabla1[[#This Row],[SISMED]],TblDisponibilidad[],13,FALSE), 0)</f>
        <v>0</v>
      </c>
      <c r="J677">
        <f>IFERROR(VLOOKUP(Tabla1[[#This Row],[SISMED]],TblDisponibilidad[],14,FALSE), 0)</f>
        <v>0</v>
      </c>
      <c r="K677">
        <f>IFERROR(VLOOKUP(Tabla1[[#This Row],[SISMED]],TblDisponibilidad[],15,FALSE), 0)</f>
        <v>0</v>
      </c>
      <c r="L677">
        <f>IFERROR(VLOOKUP(Tabla1[[#This Row],[SISMED]],TblDisponibilidad[],16,FALSE), 0)</f>
        <v>0</v>
      </c>
      <c r="M677">
        <f>IFERROR(VLOOKUP(Tabla1[[#This Row],[SISMED]],TblDisponibilidad[],17,FALSE), 0)</f>
        <v>0</v>
      </c>
      <c r="N677">
        <f>IFERROR(VLOOKUP(Tabla1[[#This Row],[SISMED]],TblDisponibilidad[],18,FALSE), 0)</f>
        <v>0</v>
      </c>
      <c r="O677">
        <f>IFERROR(VLOOKUP(Tabla1[[#This Row],[SISMED]],TblDisponibilidad[],19,FALSE), 0)</f>
        <v>0</v>
      </c>
      <c r="P677">
        <f>IFERROR(VLOOKUP(Tabla1[[#This Row],[SISMED]],TblDisponibilidad[],20,FALSE), 0)</f>
        <v>0</v>
      </c>
      <c r="Q677">
        <f>IFERROR(VLOOKUP(Tabla1[[#This Row],[SISMED]],TblDisponibilidad[],21,FALSE), 0)</f>
        <v>0</v>
      </c>
      <c r="R677">
        <f>IFERROR(VLOOKUP(Tabla1[[#This Row],[SISMED]],TblDisponibilidad[],22,FALSE), 0)</f>
        <v>0</v>
      </c>
      <c r="S677" s="15">
        <f>IFERROR(VLOOKUP(Tabla1[[#This Row],[SISMED]],TblDisponibilidad[],23,FALSE), 0)</f>
        <v>0</v>
      </c>
    </row>
    <row r="678" spans="1:19" x14ac:dyDescent="0.3">
      <c r="A678" s="15" t="s">
        <v>708</v>
      </c>
      <c r="B678" t="str">
        <f>IFERROR(VLOOKUP(Tabla1[[#This Row],[SISMED]],TblDisponibilidad[],2,FALSE), "")</f>
        <v/>
      </c>
      <c r="C678">
        <f>IFERROR(VLOOKUP(Tabla1[[#This Row],[SISMED]],TblDisponibilidad[],7,FALSE), 0)</f>
        <v>0</v>
      </c>
      <c r="D678">
        <f>IFERROR(VLOOKUP(Tabla1[[#This Row],[SISMED]],TblDisponibilidad[],8,FALSE), 0)</f>
        <v>0</v>
      </c>
      <c r="E678">
        <f>IFERROR(VLOOKUP(Tabla1[[#This Row],[SISMED]],TblDisponibilidad[],9,FALSE), 0)</f>
        <v>0</v>
      </c>
      <c r="F678">
        <f>IFERROR(VLOOKUP(Tabla1[[#This Row],[SISMED]],TblDisponibilidad[],10,FALSE), 0)</f>
        <v>0</v>
      </c>
      <c r="G678">
        <f>IFERROR(VLOOKUP(Tabla1[[#This Row],[SISMED]],TblDisponibilidad[],11,FALSE), 0)</f>
        <v>0</v>
      </c>
      <c r="H678">
        <f>IFERROR(VLOOKUP(Tabla1[[#This Row],[SISMED]],TblDisponibilidad[],12,FALSE), 0)</f>
        <v>0</v>
      </c>
      <c r="I678">
        <f>IFERROR(VLOOKUP(Tabla1[[#This Row],[SISMED]],TblDisponibilidad[],13,FALSE), 0)</f>
        <v>0</v>
      </c>
      <c r="J678">
        <f>IFERROR(VLOOKUP(Tabla1[[#This Row],[SISMED]],TblDisponibilidad[],14,FALSE), 0)</f>
        <v>0</v>
      </c>
      <c r="K678">
        <f>IFERROR(VLOOKUP(Tabla1[[#This Row],[SISMED]],TblDisponibilidad[],15,FALSE), 0)</f>
        <v>0</v>
      </c>
      <c r="L678">
        <f>IFERROR(VLOOKUP(Tabla1[[#This Row],[SISMED]],TblDisponibilidad[],16,FALSE), 0)</f>
        <v>0</v>
      </c>
      <c r="M678">
        <f>IFERROR(VLOOKUP(Tabla1[[#This Row],[SISMED]],TblDisponibilidad[],17,FALSE), 0)</f>
        <v>0</v>
      </c>
      <c r="N678">
        <f>IFERROR(VLOOKUP(Tabla1[[#This Row],[SISMED]],TblDisponibilidad[],18,FALSE), 0)</f>
        <v>0</v>
      </c>
      <c r="O678">
        <f>IFERROR(VLOOKUP(Tabla1[[#This Row],[SISMED]],TblDisponibilidad[],19,FALSE), 0)</f>
        <v>0</v>
      </c>
      <c r="P678">
        <f>IFERROR(VLOOKUP(Tabla1[[#This Row],[SISMED]],TblDisponibilidad[],20,FALSE), 0)</f>
        <v>0</v>
      </c>
      <c r="Q678">
        <f>IFERROR(VLOOKUP(Tabla1[[#This Row],[SISMED]],TblDisponibilidad[],21,FALSE), 0)</f>
        <v>0</v>
      </c>
      <c r="R678">
        <f>IFERROR(VLOOKUP(Tabla1[[#This Row],[SISMED]],TblDisponibilidad[],22,FALSE), 0)</f>
        <v>0</v>
      </c>
      <c r="S678" s="15">
        <f>IFERROR(VLOOKUP(Tabla1[[#This Row],[SISMED]],TblDisponibilidad[],23,FALSE), 0)</f>
        <v>0</v>
      </c>
    </row>
    <row r="679" spans="1:19" x14ac:dyDescent="0.3">
      <c r="A679" s="15" t="s">
        <v>709</v>
      </c>
      <c r="B679" t="str">
        <f>IFERROR(VLOOKUP(Tabla1[[#This Row],[SISMED]],TblDisponibilidad[],2,FALSE), "")</f>
        <v/>
      </c>
      <c r="C679">
        <f>IFERROR(VLOOKUP(Tabla1[[#This Row],[SISMED]],TblDisponibilidad[],7,FALSE), 0)</f>
        <v>0</v>
      </c>
      <c r="D679">
        <f>IFERROR(VLOOKUP(Tabla1[[#This Row],[SISMED]],TblDisponibilidad[],8,FALSE), 0)</f>
        <v>0</v>
      </c>
      <c r="E679">
        <f>IFERROR(VLOOKUP(Tabla1[[#This Row],[SISMED]],TblDisponibilidad[],9,FALSE), 0)</f>
        <v>0</v>
      </c>
      <c r="F679">
        <f>IFERROR(VLOOKUP(Tabla1[[#This Row],[SISMED]],TblDisponibilidad[],10,FALSE), 0)</f>
        <v>0</v>
      </c>
      <c r="G679">
        <f>IFERROR(VLOOKUP(Tabla1[[#This Row],[SISMED]],TblDisponibilidad[],11,FALSE), 0)</f>
        <v>0</v>
      </c>
      <c r="H679">
        <f>IFERROR(VLOOKUP(Tabla1[[#This Row],[SISMED]],TblDisponibilidad[],12,FALSE), 0)</f>
        <v>0</v>
      </c>
      <c r="I679">
        <f>IFERROR(VLOOKUP(Tabla1[[#This Row],[SISMED]],TblDisponibilidad[],13,FALSE), 0)</f>
        <v>0</v>
      </c>
      <c r="J679">
        <f>IFERROR(VLOOKUP(Tabla1[[#This Row],[SISMED]],TblDisponibilidad[],14,FALSE), 0)</f>
        <v>0</v>
      </c>
      <c r="K679">
        <f>IFERROR(VLOOKUP(Tabla1[[#This Row],[SISMED]],TblDisponibilidad[],15,FALSE), 0)</f>
        <v>0</v>
      </c>
      <c r="L679">
        <f>IFERROR(VLOOKUP(Tabla1[[#This Row],[SISMED]],TblDisponibilidad[],16,FALSE), 0)</f>
        <v>0</v>
      </c>
      <c r="M679">
        <f>IFERROR(VLOOKUP(Tabla1[[#This Row],[SISMED]],TblDisponibilidad[],17,FALSE), 0)</f>
        <v>0</v>
      </c>
      <c r="N679">
        <f>IFERROR(VLOOKUP(Tabla1[[#This Row],[SISMED]],TblDisponibilidad[],18,FALSE), 0)</f>
        <v>0</v>
      </c>
      <c r="O679">
        <f>IFERROR(VLOOKUP(Tabla1[[#This Row],[SISMED]],TblDisponibilidad[],19,FALSE), 0)</f>
        <v>0</v>
      </c>
      <c r="P679">
        <f>IFERROR(VLOOKUP(Tabla1[[#This Row],[SISMED]],TblDisponibilidad[],20,FALSE), 0)</f>
        <v>0</v>
      </c>
      <c r="Q679">
        <f>IFERROR(VLOOKUP(Tabla1[[#This Row],[SISMED]],TblDisponibilidad[],21,FALSE), 0)</f>
        <v>0</v>
      </c>
      <c r="R679">
        <f>IFERROR(VLOOKUP(Tabla1[[#This Row],[SISMED]],TblDisponibilidad[],22,FALSE), 0)</f>
        <v>0</v>
      </c>
      <c r="S679" s="15">
        <f>IFERROR(VLOOKUP(Tabla1[[#This Row],[SISMED]],TblDisponibilidad[],23,FALSE), 0)</f>
        <v>0</v>
      </c>
    </row>
    <row r="680" spans="1:19" x14ac:dyDescent="0.3">
      <c r="A680" s="15" t="s">
        <v>710</v>
      </c>
      <c r="B680" t="str">
        <f>IFERROR(VLOOKUP(Tabla1[[#This Row],[SISMED]],TblDisponibilidad[],2,FALSE), "")</f>
        <v/>
      </c>
      <c r="C680">
        <f>IFERROR(VLOOKUP(Tabla1[[#This Row],[SISMED]],TblDisponibilidad[],7,FALSE), 0)</f>
        <v>0</v>
      </c>
      <c r="D680">
        <f>IFERROR(VLOOKUP(Tabla1[[#This Row],[SISMED]],TblDisponibilidad[],8,FALSE), 0)</f>
        <v>0</v>
      </c>
      <c r="E680">
        <f>IFERROR(VLOOKUP(Tabla1[[#This Row],[SISMED]],TblDisponibilidad[],9,FALSE), 0)</f>
        <v>0</v>
      </c>
      <c r="F680">
        <f>IFERROR(VLOOKUP(Tabla1[[#This Row],[SISMED]],TblDisponibilidad[],10,FALSE), 0)</f>
        <v>0</v>
      </c>
      <c r="G680">
        <f>IFERROR(VLOOKUP(Tabla1[[#This Row],[SISMED]],TblDisponibilidad[],11,FALSE), 0)</f>
        <v>0</v>
      </c>
      <c r="H680">
        <f>IFERROR(VLOOKUP(Tabla1[[#This Row],[SISMED]],TblDisponibilidad[],12,FALSE), 0)</f>
        <v>0</v>
      </c>
      <c r="I680">
        <f>IFERROR(VLOOKUP(Tabla1[[#This Row],[SISMED]],TblDisponibilidad[],13,FALSE), 0)</f>
        <v>0</v>
      </c>
      <c r="J680">
        <f>IFERROR(VLOOKUP(Tabla1[[#This Row],[SISMED]],TblDisponibilidad[],14,FALSE), 0)</f>
        <v>0</v>
      </c>
      <c r="K680">
        <f>IFERROR(VLOOKUP(Tabla1[[#This Row],[SISMED]],TblDisponibilidad[],15,FALSE), 0)</f>
        <v>0</v>
      </c>
      <c r="L680">
        <f>IFERROR(VLOOKUP(Tabla1[[#This Row],[SISMED]],TblDisponibilidad[],16,FALSE), 0)</f>
        <v>0</v>
      </c>
      <c r="M680">
        <f>IFERROR(VLOOKUP(Tabla1[[#This Row],[SISMED]],TblDisponibilidad[],17,FALSE), 0)</f>
        <v>0</v>
      </c>
      <c r="N680">
        <f>IFERROR(VLOOKUP(Tabla1[[#This Row],[SISMED]],TblDisponibilidad[],18,FALSE), 0)</f>
        <v>0</v>
      </c>
      <c r="O680">
        <f>IFERROR(VLOOKUP(Tabla1[[#This Row],[SISMED]],TblDisponibilidad[],19,FALSE), 0)</f>
        <v>0</v>
      </c>
      <c r="P680">
        <f>IFERROR(VLOOKUP(Tabla1[[#This Row],[SISMED]],TblDisponibilidad[],20,FALSE), 0)</f>
        <v>0</v>
      </c>
      <c r="Q680">
        <f>IFERROR(VLOOKUP(Tabla1[[#This Row],[SISMED]],TblDisponibilidad[],21,FALSE), 0)</f>
        <v>0</v>
      </c>
      <c r="R680">
        <f>IFERROR(VLOOKUP(Tabla1[[#This Row],[SISMED]],TblDisponibilidad[],22,FALSE), 0)</f>
        <v>0</v>
      </c>
      <c r="S680" s="15">
        <f>IFERROR(VLOOKUP(Tabla1[[#This Row],[SISMED]],TblDisponibilidad[],23,FALSE), 0)</f>
        <v>0</v>
      </c>
    </row>
    <row r="681" spans="1:19" x14ac:dyDescent="0.3">
      <c r="A681" s="15" t="s">
        <v>711</v>
      </c>
      <c r="B681" t="str">
        <f>IFERROR(VLOOKUP(Tabla1[[#This Row],[SISMED]],TblDisponibilidad[],2,FALSE), "")</f>
        <v/>
      </c>
      <c r="C681">
        <f>IFERROR(VLOOKUP(Tabla1[[#This Row],[SISMED]],TblDisponibilidad[],7,FALSE), 0)</f>
        <v>0</v>
      </c>
      <c r="D681">
        <f>IFERROR(VLOOKUP(Tabla1[[#This Row],[SISMED]],TblDisponibilidad[],8,FALSE), 0)</f>
        <v>0</v>
      </c>
      <c r="E681">
        <f>IFERROR(VLOOKUP(Tabla1[[#This Row],[SISMED]],TblDisponibilidad[],9,FALSE), 0)</f>
        <v>0</v>
      </c>
      <c r="F681">
        <f>IFERROR(VLOOKUP(Tabla1[[#This Row],[SISMED]],TblDisponibilidad[],10,FALSE), 0)</f>
        <v>0</v>
      </c>
      <c r="G681">
        <f>IFERROR(VLOOKUP(Tabla1[[#This Row],[SISMED]],TblDisponibilidad[],11,FALSE), 0)</f>
        <v>0</v>
      </c>
      <c r="H681">
        <f>IFERROR(VLOOKUP(Tabla1[[#This Row],[SISMED]],TblDisponibilidad[],12,FALSE), 0)</f>
        <v>0</v>
      </c>
      <c r="I681">
        <f>IFERROR(VLOOKUP(Tabla1[[#This Row],[SISMED]],TblDisponibilidad[],13,FALSE), 0)</f>
        <v>0</v>
      </c>
      <c r="J681">
        <f>IFERROR(VLOOKUP(Tabla1[[#This Row],[SISMED]],TblDisponibilidad[],14,FALSE), 0)</f>
        <v>0</v>
      </c>
      <c r="K681">
        <f>IFERROR(VLOOKUP(Tabla1[[#This Row],[SISMED]],TblDisponibilidad[],15,FALSE), 0)</f>
        <v>0</v>
      </c>
      <c r="L681">
        <f>IFERROR(VLOOKUP(Tabla1[[#This Row],[SISMED]],TblDisponibilidad[],16,FALSE), 0)</f>
        <v>0</v>
      </c>
      <c r="M681">
        <f>IFERROR(VLOOKUP(Tabla1[[#This Row],[SISMED]],TblDisponibilidad[],17,FALSE), 0)</f>
        <v>0</v>
      </c>
      <c r="N681">
        <f>IFERROR(VLOOKUP(Tabla1[[#This Row],[SISMED]],TblDisponibilidad[],18,FALSE), 0)</f>
        <v>0</v>
      </c>
      <c r="O681">
        <f>IFERROR(VLOOKUP(Tabla1[[#This Row],[SISMED]],TblDisponibilidad[],19,FALSE), 0)</f>
        <v>0</v>
      </c>
      <c r="P681">
        <f>IFERROR(VLOOKUP(Tabla1[[#This Row],[SISMED]],TblDisponibilidad[],20,FALSE), 0)</f>
        <v>0</v>
      </c>
      <c r="Q681">
        <f>IFERROR(VLOOKUP(Tabla1[[#This Row],[SISMED]],TblDisponibilidad[],21,FALSE), 0)</f>
        <v>0</v>
      </c>
      <c r="R681">
        <f>IFERROR(VLOOKUP(Tabla1[[#This Row],[SISMED]],TblDisponibilidad[],22,FALSE), 0)</f>
        <v>0</v>
      </c>
      <c r="S681" s="15">
        <f>IFERROR(VLOOKUP(Tabla1[[#This Row],[SISMED]],TblDisponibilidad[],23,FALSE), 0)</f>
        <v>0</v>
      </c>
    </row>
    <row r="682" spans="1:19" x14ac:dyDescent="0.3">
      <c r="A682" s="15" t="s">
        <v>712</v>
      </c>
      <c r="B682" t="str">
        <f>IFERROR(VLOOKUP(Tabla1[[#This Row],[SISMED]],TblDisponibilidad[],2,FALSE), "")</f>
        <v/>
      </c>
      <c r="C682">
        <f>IFERROR(VLOOKUP(Tabla1[[#This Row],[SISMED]],TblDisponibilidad[],7,FALSE), 0)</f>
        <v>0</v>
      </c>
      <c r="D682">
        <f>IFERROR(VLOOKUP(Tabla1[[#This Row],[SISMED]],TblDisponibilidad[],8,FALSE), 0)</f>
        <v>0</v>
      </c>
      <c r="E682">
        <f>IFERROR(VLOOKUP(Tabla1[[#This Row],[SISMED]],TblDisponibilidad[],9,FALSE), 0)</f>
        <v>0</v>
      </c>
      <c r="F682">
        <f>IFERROR(VLOOKUP(Tabla1[[#This Row],[SISMED]],TblDisponibilidad[],10,FALSE), 0)</f>
        <v>0</v>
      </c>
      <c r="G682">
        <f>IFERROR(VLOOKUP(Tabla1[[#This Row],[SISMED]],TblDisponibilidad[],11,FALSE), 0)</f>
        <v>0</v>
      </c>
      <c r="H682">
        <f>IFERROR(VLOOKUP(Tabla1[[#This Row],[SISMED]],TblDisponibilidad[],12,FALSE), 0)</f>
        <v>0</v>
      </c>
      <c r="I682">
        <f>IFERROR(VLOOKUP(Tabla1[[#This Row],[SISMED]],TblDisponibilidad[],13,FALSE), 0)</f>
        <v>0</v>
      </c>
      <c r="J682">
        <f>IFERROR(VLOOKUP(Tabla1[[#This Row],[SISMED]],TblDisponibilidad[],14,FALSE), 0)</f>
        <v>0</v>
      </c>
      <c r="K682">
        <f>IFERROR(VLOOKUP(Tabla1[[#This Row],[SISMED]],TblDisponibilidad[],15,FALSE), 0)</f>
        <v>0</v>
      </c>
      <c r="L682">
        <f>IFERROR(VLOOKUP(Tabla1[[#This Row],[SISMED]],TblDisponibilidad[],16,FALSE), 0)</f>
        <v>0</v>
      </c>
      <c r="M682">
        <f>IFERROR(VLOOKUP(Tabla1[[#This Row],[SISMED]],TblDisponibilidad[],17,FALSE), 0)</f>
        <v>0</v>
      </c>
      <c r="N682">
        <f>IFERROR(VLOOKUP(Tabla1[[#This Row],[SISMED]],TblDisponibilidad[],18,FALSE), 0)</f>
        <v>0</v>
      </c>
      <c r="O682">
        <f>IFERROR(VLOOKUP(Tabla1[[#This Row],[SISMED]],TblDisponibilidad[],19,FALSE), 0)</f>
        <v>0</v>
      </c>
      <c r="P682">
        <f>IFERROR(VLOOKUP(Tabla1[[#This Row],[SISMED]],TblDisponibilidad[],20,FALSE), 0)</f>
        <v>0</v>
      </c>
      <c r="Q682">
        <f>IFERROR(VLOOKUP(Tabla1[[#This Row],[SISMED]],TblDisponibilidad[],21,FALSE), 0)</f>
        <v>0</v>
      </c>
      <c r="R682">
        <f>IFERROR(VLOOKUP(Tabla1[[#This Row],[SISMED]],TblDisponibilidad[],22,FALSE), 0)</f>
        <v>0</v>
      </c>
      <c r="S682" s="15">
        <f>IFERROR(VLOOKUP(Tabla1[[#This Row],[SISMED]],TblDisponibilidad[],23,FALSE), 0)</f>
        <v>0</v>
      </c>
    </row>
    <row r="683" spans="1:19" x14ac:dyDescent="0.3">
      <c r="A683" s="15" t="s">
        <v>713</v>
      </c>
      <c r="B683" t="str">
        <f>IFERROR(VLOOKUP(Tabla1[[#This Row],[SISMED]],TblDisponibilidad[],2,FALSE), "")</f>
        <v/>
      </c>
      <c r="C683">
        <f>IFERROR(VLOOKUP(Tabla1[[#This Row],[SISMED]],TblDisponibilidad[],7,FALSE), 0)</f>
        <v>0</v>
      </c>
      <c r="D683">
        <f>IFERROR(VLOOKUP(Tabla1[[#This Row],[SISMED]],TblDisponibilidad[],8,FALSE), 0)</f>
        <v>0</v>
      </c>
      <c r="E683">
        <f>IFERROR(VLOOKUP(Tabla1[[#This Row],[SISMED]],TblDisponibilidad[],9,FALSE), 0)</f>
        <v>0</v>
      </c>
      <c r="F683">
        <f>IFERROR(VLOOKUP(Tabla1[[#This Row],[SISMED]],TblDisponibilidad[],10,FALSE), 0)</f>
        <v>0</v>
      </c>
      <c r="G683">
        <f>IFERROR(VLOOKUP(Tabla1[[#This Row],[SISMED]],TblDisponibilidad[],11,FALSE), 0)</f>
        <v>0</v>
      </c>
      <c r="H683">
        <f>IFERROR(VLOOKUP(Tabla1[[#This Row],[SISMED]],TblDisponibilidad[],12,FALSE), 0)</f>
        <v>0</v>
      </c>
      <c r="I683">
        <f>IFERROR(VLOOKUP(Tabla1[[#This Row],[SISMED]],TblDisponibilidad[],13,FALSE), 0)</f>
        <v>0</v>
      </c>
      <c r="J683">
        <f>IFERROR(VLOOKUP(Tabla1[[#This Row],[SISMED]],TblDisponibilidad[],14,FALSE), 0)</f>
        <v>0</v>
      </c>
      <c r="K683">
        <f>IFERROR(VLOOKUP(Tabla1[[#This Row],[SISMED]],TblDisponibilidad[],15,FALSE), 0)</f>
        <v>0</v>
      </c>
      <c r="L683">
        <f>IFERROR(VLOOKUP(Tabla1[[#This Row],[SISMED]],TblDisponibilidad[],16,FALSE), 0)</f>
        <v>0</v>
      </c>
      <c r="M683">
        <f>IFERROR(VLOOKUP(Tabla1[[#This Row],[SISMED]],TblDisponibilidad[],17,FALSE), 0)</f>
        <v>0</v>
      </c>
      <c r="N683">
        <f>IFERROR(VLOOKUP(Tabla1[[#This Row],[SISMED]],TblDisponibilidad[],18,FALSE), 0)</f>
        <v>0</v>
      </c>
      <c r="O683">
        <f>IFERROR(VLOOKUP(Tabla1[[#This Row],[SISMED]],TblDisponibilidad[],19,FALSE), 0)</f>
        <v>0</v>
      </c>
      <c r="P683">
        <f>IFERROR(VLOOKUP(Tabla1[[#This Row],[SISMED]],TblDisponibilidad[],20,FALSE), 0)</f>
        <v>0</v>
      </c>
      <c r="Q683">
        <f>IFERROR(VLOOKUP(Tabla1[[#This Row],[SISMED]],TblDisponibilidad[],21,FALSE), 0)</f>
        <v>0</v>
      </c>
      <c r="R683">
        <f>IFERROR(VLOOKUP(Tabla1[[#This Row],[SISMED]],TblDisponibilidad[],22,FALSE), 0)</f>
        <v>0</v>
      </c>
      <c r="S683" s="15">
        <f>IFERROR(VLOOKUP(Tabla1[[#This Row],[SISMED]],TblDisponibilidad[],23,FALSE), 0)</f>
        <v>0</v>
      </c>
    </row>
    <row r="684" spans="1:19" x14ac:dyDescent="0.3">
      <c r="A684" s="15" t="s">
        <v>714</v>
      </c>
      <c r="B684" t="str">
        <f>IFERROR(VLOOKUP(Tabla1[[#This Row],[SISMED]],TblDisponibilidad[],2,FALSE), "")</f>
        <v/>
      </c>
      <c r="C684">
        <f>IFERROR(VLOOKUP(Tabla1[[#This Row],[SISMED]],TblDisponibilidad[],7,FALSE), 0)</f>
        <v>0</v>
      </c>
      <c r="D684">
        <f>IFERROR(VLOOKUP(Tabla1[[#This Row],[SISMED]],TblDisponibilidad[],8,FALSE), 0)</f>
        <v>0</v>
      </c>
      <c r="E684">
        <f>IFERROR(VLOOKUP(Tabla1[[#This Row],[SISMED]],TblDisponibilidad[],9,FALSE), 0)</f>
        <v>0</v>
      </c>
      <c r="F684">
        <f>IFERROR(VLOOKUP(Tabla1[[#This Row],[SISMED]],TblDisponibilidad[],10,FALSE), 0)</f>
        <v>0</v>
      </c>
      <c r="G684">
        <f>IFERROR(VLOOKUP(Tabla1[[#This Row],[SISMED]],TblDisponibilidad[],11,FALSE), 0)</f>
        <v>0</v>
      </c>
      <c r="H684">
        <f>IFERROR(VLOOKUP(Tabla1[[#This Row],[SISMED]],TblDisponibilidad[],12,FALSE), 0)</f>
        <v>0</v>
      </c>
      <c r="I684">
        <f>IFERROR(VLOOKUP(Tabla1[[#This Row],[SISMED]],TblDisponibilidad[],13,FALSE), 0)</f>
        <v>0</v>
      </c>
      <c r="J684">
        <f>IFERROR(VLOOKUP(Tabla1[[#This Row],[SISMED]],TblDisponibilidad[],14,FALSE), 0)</f>
        <v>0</v>
      </c>
      <c r="K684">
        <f>IFERROR(VLOOKUP(Tabla1[[#This Row],[SISMED]],TblDisponibilidad[],15,FALSE), 0)</f>
        <v>0</v>
      </c>
      <c r="L684">
        <f>IFERROR(VLOOKUP(Tabla1[[#This Row],[SISMED]],TblDisponibilidad[],16,FALSE), 0)</f>
        <v>0</v>
      </c>
      <c r="M684">
        <f>IFERROR(VLOOKUP(Tabla1[[#This Row],[SISMED]],TblDisponibilidad[],17,FALSE), 0)</f>
        <v>0</v>
      </c>
      <c r="N684">
        <f>IFERROR(VLOOKUP(Tabla1[[#This Row],[SISMED]],TblDisponibilidad[],18,FALSE), 0)</f>
        <v>0</v>
      </c>
      <c r="O684">
        <f>IFERROR(VLOOKUP(Tabla1[[#This Row],[SISMED]],TblDisponibilidad[],19,FALSE), 0)</f>
        <v>0</v>
      </c>
      <c r="P684">
        <f>IFERROR(VLOOKUP(Tabla1[[#This Row],[SISMED]],TblDisponibilidad[],20,FALSE), 0)</f>
        <v>0</v>
      </c>
      <c r="Q684">
        <f>IFERROR(VLOOKUP(Tabla1[[#This Row],[SISMED]],TblDisponibilidad[],21,FALSE), 0)</f>
        <v>0</v>
      </c>
      <c r="R684">
        <f>IFERROR(VLOOKUP(Tabla1[[#This Row],[SISMED]],TblDisponibilidad[],22,FALSE), 0)</f>
        <v>0</v>
      </c>
      <c r="S684" s="15">
        <f>IFERROR(VLOOKUP(Tabla1[[#This Row],[SISMED]],TblDisponibilidad[],23,FALSE), 0)</f>
        <v>0</v>
      </c>
    </row>
    <row r="685" spans="1:19" x14ac:dyDescent="0.3">
      <c r="A685" s="15" t="s">
        <v>715</v>
      </c>
      <c r="B685" t="str">
        <f>IFERROR(VLOOKUP(Tabla1[[#This Row],[SISMED]],TblDisponibilidad[],2,FALSE), "")</f>
        <v/>
      </c>
      <c r="C685">
        <f>IFERROR(VLOOKUP(Tabla1[[#This Row],[SISMED]],TblDisponibilidad[],7,FALSE), 0)</f>
        <v>0</v>
      </c>
      <c r="D685">
        <f>IFERROR(VLOOKUP(Tabla1[[#This Row],[SISMED]],TblDisponibilidad[],8,FALSE), 0)</f>
        <v>0</v>
      </c>
      <c r="E685">
        <f>IFERROR(VLOOKUP(Tabla1[[#This Row],[SISMED]],TblDisponibilidad[],9,FALSE), 0)</f>
        <v>0</v>
      </c>
      <c r="F685">
        <f>IFERROR(VLOOKUP(Tabla1[[#This Row],[SISMED]],TblDisponibilidad[],10,FALSE), 0)</f>
        <v>0</v>
      </c>
      <c r="G685">
        <f>IFERROR(VLOOKUP(Tabla1[[#This Row],[SISMED]],TblDisponibilidad[],11,FALSE), 0)</f>
        <v>0</v>
      </c>
      <c r="H685">
        <f>IFERROR(VLOOKUP(Tabla1[[#This Row],[SISMED]],TblDisponibilidad[],12,FALSE), 0)</f>
        <v>0</v>
      </c>
      <c r="I685">
        <f>IFERROR(VLOOKUP(Tabla1[[#This Row],[SISMED]],TblDisponibilidad[],13,FALSE), 0)</f>
        <v>0</v>
      </c>
      <c r="J685">
        <f>IFERROR(VLOOKUP(Tabla1[[#This Row],[SISMED]],TblDisponibilidad[],14,FALSE), 0)</f>
        <v>0</v>
      </c>
      <c r="K685">
        <f>IFERROR(VLOOKUP(Tabla1[[#This Row],[SISMED]],TblDisponibilidad[],15,FALSE), 0)</f>
        <v>0</v>
      </c>
      <c r="L685">
        <f>IFERROR(VLOOKUP(Tabla1[[#This Row],[SISMED]],TblDisponibilidad[],16,FALSE), 0)</f>
        <v>0</v>
      </c>
      <c r="M685">
        <f>IFERROR(VLOOKUP(Tabla1[[#This Row],[SISMED]],TblDisponibilidad[],17,FALSE), 0)</f>
        <v>0</v>
      </c>
      <c r="N685">
        <f>IFERROR(VLOOKUP(Tabla1[[#This Row],[SISMED]],TblDisponibilidad[],18,FALSE), 0)</f>
        <v>0</v>
      </c>
      <c r="O685">
        <f>IFERROR(VLOOKUP(Tabla1[[#This Row],[SISMED]],TblDisponibilidad[],19,FALSE), 0)</f>
        <v>0</v>
      </c>
      <c r="P685">
        <f>IFERROR(VLOOKUP(Tabla1[[#This Row],[SISMED]],TblDisponibilidad[],20,FALSE), 0)</f>
        <v>0</v>
      </c>
      <c r="Q685">
        <f>IFERROR(VLOOKUP(Tabla1[[#This Row],[SISMED]],TblDisponibilidad[],21,FALSE), 0)</f>
        <v>0</v>
      </c>
      <c r="R685">
        <f>IFERROR(VLOOKUP(Tabla1[[#This Row],[SISMED]],TblDisponibilidad[],22,FALSE), 0)</f>
        <v>0</v>
      </c>
      <c r="S685" s="15">
        <f>IFERROR(VLOOKUP(Tabla1[[#This Row],[SISMED]],TblDisponibilidad[],23,FALSE), 0)</f>
        <v>0</v>
      </c>
    </row>
    <row r="686" spans="1:19" x14ac:dyDescent="0.3">
      <c r="A686" s="15" t="s">
        <v>716</v>
      </c>
      <c r="B686" t="str">
        <f>IFERROR(VLOOKUP(Tabla1[[#This Row],[SISMED]],TblDisponibilidad[],2,FALSE), "")</f>
        <v/>
      </c>
      <c r="C686">
        <f>IFERROR(VLOOKUP(Tabla1[[#This Row],[SISMED]],TblDisponibilidad[],7,FALSE), 0)</f>
        <v>0</v>
      </c>
      <c r="D686">
        <f>IFERROR(VLOOKUP(Tabla1[[#This Row],[SISMED]],TblDisponibilidad[],8,FALSE), 0)</f>
        <v>0</v>
      </c>
      <c r="E686">
        <f>IFERROR(VLOOKUP(Tabla1[[#This Row],[SISMED]],TblDisponibilidad[],9,FALSE), 0)</f>
        <v>0</v>
      </c>
      <c r="F686">
        <f>IFERROR(VLOOKUP(Tabla1[[#This Row],[SISMED]],TblDisponibilidad[],10,FALSE), 0)</f>
        <v>0</v>
      </c>
      <c r="G686">
        <f>IFERROR(VLOOKUP(Tabla1[[#This Row],[SISMED]],TblDisponibilidad[],11,FALSE), 0)</f>
        <v>0</v>
      </c>
      <c r="H686">
        <f>IFERROR(VLOOKUP(Tabla1[[#This Row],[SISMED]],TblDisponibilidad[],12,FALSE), 0)</f>
        <v>0</v>
      </c>
      <c r="I686">
        <f>IFERROR(VLOOKUP(Tabla1[[#This Row],[SISMED]],TblDisponibilidad[],13,FALSE), 0)</f>
        <v>0</v>
      </c>
      <c r="J686">
        <f>IFERROR(VLOOKUP(Tabla1[[#This Row],[SISMED]],TblDisponibilidad[],14,FALSE), 0)</f>
        <v>0</v>
      </c>
      <c r="K686">
        <f>IFERROR(VLOOKUP(Tabla1[[#This Row],[SISMED]],TblDisponibilidad[],15,FALSE), 0)</f>
        <v>0</v>
      </c>
      <c r="L686">
        <f>IFERROR(VLOOKUP(Tabla1[[#This Row],[SISMED]],TblDisponibilidad[],16,FALSE), 0)</f>
        <v>0</v>
      </c>
      <c r="M686">
        <f>IFERROR(VLOOKUP(Tabla1[[#This Row],[SISMED]],TblDisponibilidad[],17,FALSE), 0)</f>
        <v>0</v>
      </c>
      <c r="N686">
        <f>IFERROR(VLOOKUP(Tabla1[[#This Row],[SISMED]],TblDisponibilidad[],18,FALSE), 0)</f>
        <v>0</v>
      </c>
      <c r="O686">
        <f>IFERROR(VLOOKUP(Tabla1[[#This Row],[SISMED]],TblDisponibilidad[],19,FALSE), 0)</f>
        <v>0</v>
      </c>
      <c r="P686">
        <f>IFERROR(VLOOKUP(Tabla1[[#This Row],[SISMED]],TblDisponibilidad[],20,FALSE), 0)</f>
        <v>0</v>
      </c>
      <c r="Q686">
        <f>IFERROR(VLOOKUP(Tabla1[[#This Row],[SISMED]],TblDisponibilidad[],21,FALSE), 0)</f>
        <v>0</v>
      </c>
      <c r="R686">
        <f>IFERROR(VLOOKUP(Tabla1[[#This Row],[SISMED]],TblDisponibilidad[],22,FALSE), 0)</f>
        <v>0</v>
      </c>
      <c r="S686" s="15">
        <f>IFERROR(VLOOKUP(Tabla1[[#This Row],[SISMED]],TblDisponibilidad[],23,FALSE), 0)</f>
        <v>0</v>
      </c>
    </row>
    <row r="687" spans="1:19" x14ac:dyDescent="0.3">
      <c r="A687" s="15" t="s">
        <v>717</v>
      </c>
      <c r="B687" t="str">
        <f>IFERROR(VLOOKUP(Tabla1[[#This Row],[SISMED]],TblDisponibilidad[],2,FALSE), "")</f>
        <v/>
      </c>
      <c r="C687">
        <f>IFERROR(VLOOKUP(Tabla1[[#This Row],[SISMED]],TblDisponibilidad[],7,FALSE), 0)</f>
        <v>0</v>
      </c>
      <c r="D687">
        <f>IFERROR(VLOOKUP(Tabla1[[#This Row],[SISMED]],TblDisponibilidad[],8,FALSE), 0)</f>
        <v>0</v>
      </c>
      <c r="E687">
        <f>IFERROR(VLOOKUP(Tabla1[[#This Row],[SISMED]],TblDisponibilidad[],9,FALSE), 0)</f>
        <v>0</v>
      </c>
      <c r="F687">
        <f>IFERROR(VLOOKUP(Tabla1[[#This Row],[SISMED]],TblDisponibilidad[],10,FALSE), 0)</f>
        <v>0</v>
      </c>
      <c r="G687">
        <f>IFERROR(VLOOKUP(Tabla1[[#This Row],[SISMED]],TblDisponibilidad[],11,FALSE), 0)</f>
        <v>0</v>
      </c>
      <c r="H687">
        <f>IFERROR(VLOOKUP(Tabla1[[#This Row],[SISMED]],TblDisponibilidad[],12,FALSE), 0)</f>
        <v>0</v>
      </c>
      <c r="I687">
        <f>IFERROR(VLOOKUP(Tabla1[[#This Row],[SISMED]],TblDisponibilidad[],13,FALSE), 0)</f>
        <v>0</v>
      </c>
      <c r="J687">
        <f>IFERROR(VLOOKUP(Tabla1[[#This Row],[SISMED]],TblDisponibilidad[],14,FALSE), 0)</f>
        <v>0</v>
      </c>
      <c r="K687">
        <f>IFERROR(VLOOKUP(Tabla1[[#This Row],[SISMED]],TblDisponibilidad[],15,FALSE), 0)</f>
        <v>0</v>
      </c>
      <c r="L687">
        <f>IFERROR(VLOOKUP(Tabla1[[#This Row],[SISMED]],TblDisponibilidad[],16,FALSE), 0)</f>
        <v>0</v>
      </c>
      <c r="M687">
        <f>IFERROR(VLOOKUP(Tabla1[[#This Row],[SISMED]],TblDisponibilidad[],17,FALSE), 0)</f>
        <v>0</v>
      </c>
      <c r="N687">
        <f>IFERROR(VLOOKUP(Tabla1[[#This Row],[SISMED]],TblDisponibilidad[],18,FALSE), 0)</f>
        <v>0</v>
      </c>
      <c r="O687">
        <f>IFERROR(VLOOKUP(Tabla1[[#This Row],[SISMED]],TblDisponibilidad[],19,FALSE), 0)</f>
        <v>0</v>
      </c>
      <c r="P687">
        <f>IFERROR(VLOOKUP(Tabla1[[#This Row],[SISMED]],TblDisponibilidad[],20,FALSE), 0)</f>
        <v>0</v>
      </c>
      <c r="Q687">
        <f>IFERROR(VLOOKUP(Tabla1[[#This Row],[SISMED]],TblDisponibilidad[],21,FALSE), 0)</f>
        <v>0</v>
      </c>
      <c r="R687">
        <f>IFERROR(VLOOKUP(Tabla1[[#This Row],[SISMED]],TblDisponibilidad[],22,FALSE), 0)</f>
        <v>0</v>
      </c>
      <c r="S687" s="15">
        <f>IFERROR(VLOOKUP(Tabla1[[#This Row],[SISMED]],TblDisponibilidad[],23,FALSE), 0)</f>
        <v>0</v>
      </c>
    </row>
    <row r="688" spans="1:19" x14ac:dyDescent="0.3">
      <c r="A688" s="15" t="s">
        <v>718</v>
      </c>
      <c r="B688" t="str">
        <f>IFERROR(VLOOKUP(Tabla1[[#This Row],[SISMED]],TblDisponibilidad[],2,FALSE), "")</f>
        <v/>
      </c>
      <c r="C688">
        <f>IFERROR(VLOOKUP(Tabla1[[#This Row],[SISMED]],TblDisponibilidad[],7,FALSE), 0)</f>
        <v>0</v>
      </c>
      <c r="D688">
        <f>IFERROR(VLOOKUP(Tabla1[[#This Row],[SISMED]],TblDisponibilidad[],8,FALSE), 0)</f>
        <v>0</v>
      </c>
      <c r="E688">
        <f>IFERROR(VLOOKUP(Tabla1[[#This Row],[SISMED]],TblDisponibilidad[],9,FALSE), 0)</f>
        <v>0</v>
      </c>
      <c r="F688">
        <f>IFERROR(VLOOKUP(Tabla1[[#This Row],[SISMED]],TblDisponibilidad[],10,FALSE), 0)</f>
        <v>0</v>
      </c>
      <c r="G688">
        <f>IFERROR(VLOOKUP(Tabla1[[#This Row],[SISMED]],TblDisponibilidad[],11,FALSE), 0)</f>
        <v>0</v>
      </c>
      <c r="H688">
        <f>IFERROR(VLOOKUP(Tabla1[[#This Row],[SISMED]],TblDisponibilidad[],12,FALSE), 0)</f>
        <v>0</v>
      </c>
      <c r="I688">
        <f>IFERROR(VLOOKUP(Tabla1[[#This Row],[SISMED]],TblDisponibilidad[],13,FALSE), 0)</f>
        <v>0</v>
      </c>
      <c r="J688">
        <f>IFERROR(VLOOKUP(Tabla1[[#This Row],[SISMED]],TblDisponibilidad[],14,FALSE), 0)</f>
        <v>0</v>
      </c>
      <c r="K688">
        <f>IFERROR(VLOOKUP(Tabla1[[#This Row],[SISMED]],TblDisponibilidad[],15,FALSE), 0)</f>
        <v>0</v>
      </c>
      <c r="L688">
        <f>IFERROR(VLOOKUP(Tabla1[[#This Row],[SISMED]],TblDisponibilidad[],16,FALSE), 0)</f>
        <v>0</v>
      </c>
      <c r="M688">
        <f>IFERROR(VLOOKUP(Tabla1[[#This Row],[SISMED]],TblDisponibilidad[],17,FALSE), 0)</f>
        <v>0</v>
      </c>
      <c r="N688">
        <f>IFERROR(VLOOKUP(Tabla1[[#This Row],[SISMED]],TblDisponibilidad[],18,FALSE), 0)</f>
        <v>0</v>
      </c>
      <c r="O688">
        <f>IFERROR(VLOOKUP(Tabla1[[#This Row],[SISMED]],TblDisponibilidad[],19,FALSE), 0)</f>
        <v>0</v>
      </c>
      <c r="P688">
        <f>IFERROR(VLOOKUP(Tabla1[[#This Row],[SISMED]],TblDisponibilidad[],20,FALSE), 0)</f>
        <v>0</v>
      </c>
      <c r="Q688">
        <f>IFERROR(VLOOKUP(Tabla1[[#This Row],[SISMED]],TblDisponibilidad[],21,FALSE), 0)</f>
        <v>0</v>
      </c>
      <c r="R688">
        <f>IFERROR(VLOOKUP(Tabla1[[#This Row],[SISMED]],TblDisponibilidad[],22,FALSE), 0)</f>
        <v>0</v>
      </c>
      <c r="S688" s="15">
        <f>IFERROR(VLOOKUP(Tabla1[[#This Row],[SISMED]],TblDisponibilidad[],23,FALSE), 0)</f>
        <v>0</v>
      </c>
    </row>
    <row r="689" spans="1:19" x14ac:dyDescent="0.3">
      <c r="A689" s="15" t="s">
        <v>719</v>
      </c>
      <c r="B689" t="str">
        <f>IFERROR(VLOOKUP(Tabla1[[#This Row],[SISMED]],TblDisponibilidad[],2,FALSE), "")</f>
        <v/>
      </c>
      <c r="C689">
        <f>IFERROR(VLOOKUP(Tabla1[[#This Row],[SISMED]],TblDisponibilidad[],7,FALSE), 0)</f>
        <v>0</v>
      </c>
      <c r="D689">
        <f>IFERROR(VLOOKUP(Tabla1[[#This Row],[SISMED]],TblDisponibilidad[],8,FALSE), 0)</f>
        <v>0</v>
      </c>
      <c r="E689">
        <f>IFERROR(VLOOKUP(Tabla1[[#This Row],[SISMED]],TblDisponibilidad[],9,FALSE), 0)</f>
        <v>0</v>
      </c>
      <c r="F689">
        <f>IFERROR(VLOOKUP(Tabla1[[#This Row],[SISMED]],TblDisponibilidad[],10,FALSE), 0)</f>
        <v>0</v>
      </c>
      <c r="G689">
        <f>IFERROR(VLOOKUP(Tabla1[[#This Row],[SISMED]],TblDisponibilidad[],11,FALSE), 0)</f>
        <v>0</v>
      </c>
      <c r="H689">
        <f>IFERROR(VLOOKUP(Tabla1[[#This Row],[SISMED]],TblDisponibilidad[],12,FALSE), 0)</f>
        <v>0</v>
      </c>
      <c r="I689">
        <f>IFERROR(VLOOKUP(Tabla1[[#This Row],[SISMED]],TblDisponibilidad[],13,FALSE), 0)</f>
        <v>0</v>
      </c>
      <c r="J689">
        <f>IFERROR(VLOOKUP(Tabla1[[#This Row],[SISMED]],TblDisponibilidad[],14,FALSE), 0)</f>
        <v>0</v>
      </c>
      <c r="K689">
        <f>IFERROR(VLOOKUP(Tabla1[[#This Row],[SISMED]],TblDisponibilidad[],15,FALSE), 0)</f>
        <v>0</v>
      </c>
      <c r="L689">
        <f>IFERROR(VLOOKUP(Tabla1[[#This Row],[SISMED]],TblDisponibilidad[],16,FALSE), 0)</f>
        <v>0</v>
      </c>
      <c r="M689">
        <f>IFERROR(VLOOKUP(Tabla1[[#This Row],[SISMED]],TblDisponibilidad[],17,FALSE), 0)</f>
        <v>0</v>
      </c>
      <c r="N689">
        <f>IFERROR(VLOOKUP(Tabla1[[#This Row],[SISMED]],TblDisponibilidad[],18,FALSE), 0)</f>
        <v>0</v>
      </c>
      <c r="O689">
        <f>IFERROR(VLOOKUP(Tabla1[[#This Row],[SISMED]],TblDisponibilidad[],19,FALSE), 0)</f>
        <v>0</v>
      </c>
      <c r="P689">
        <f>IFERROR(VLOOKUP(Tabla1[[#This Row],[SISMED]],TblDisponibilidad[],20,FALSE), 0)</f>
        <v>0</v>
      </c>
      <c r="Q689">
        <f>IFERROR(VLOOKUP(Tabla1[[#This Row],[SISMED]],TblDisponibilidad[],21,FALSE), 0)</f>
        <v>0</v>
      </c>
      <c r="R689">
        <f>IFERROR(VLOOKUP(Tabla1[[#This Row],[SISMED]],TblDisponibilidad[],22,FALSE), 0)</f>
        <v>0</v>
      </c>
      <c r="S689" s="15">
        <f>IFERROR(VLOOKUP(Tabla1[[#This Row],[SISMED]],TblDisponibilidad[],23,FALSE), 0)</f>
        <v>0</v>
      </c>
    </row>
    <row r="690" spans="1:19" x14ac:dyDescent="0.3">
      <c r="A690" s="15" t="s">
        <v>720</v>
      </c>
      <c r="B690" t="str">
        <f>IFERROR(VLOOKUP(Tabla1[[#This Row],[SISMED]],TblDisponibilidad[],2,FALSE), "")</f>
        <v/>
      </c>
      <c r="C690">
        <f>IFERROR(VLOOKUP(Tabla1[[#This Row],[SISMED]],TblDisponibilidad[],7,FALSE), 0)</f>
        <v>0</v>
      </c>
      <c r="D690">
        <f>IFERROR(VLOOKUP(Tabla1[[#This Row],[SISMED]],TblDisponibilidad[],8,FALSE), 0)</f>
        <v>0</v>
      </c>
      <c r="E690">
        <f>IFERROR(VLOOKUP(Tabla1[[#This Row],[SISMED]],TblDisponibilidad[],9,FALSE), 0)</f>
        <v>0</v>
      </c>
      <c r="F690">
        <f>IFERROR(VLOOKUP(Tabla1[[#This Row],[SISMED]],TblDisponibilidad[],10,FALSE), 0)</f>
        <v>0</v>
      </c>
      <c r="G690">
        <f>IFERROR(VLOOKUP(Tabla1[[#This Row],[SISMED]],TblDisponibilidad[],11,FALSE), 0)</f>
        <v>0</v>
      </c>
      <c r="H690">
        <f>IFERROR(VLOOKUP(Tabla1[[#This Row],[SISMED]],TblDisponibilidad[],12,FALSE), 0)</f>
        <v>0</v>
      </c>
      <c r="I690">
        <f>IFERROR(VLOOKUP(Tabla1[[#This Row],[SISMED]],TblDisponibilidad[],13,FALSE), 0)</f>
        <v>0</v>
      </c>
      <c r="J690">
        <f>IFERROR(VLOOKUP(Tabla1[[#This Row],[SISMED]],TblDisponibilidad[],14,FALSE), 0)</f>
        <v>0</v>
      </c>
      <c r="K690">
        <f>IFERROR(VLOOKUP(Tabla1[[#This Row],[SISMED]],TblDisponibilidad[],15,FALSE), 0)</f>
        <v>0</v>
      </c>
      <c r="L690">
        <f>IFERROR(VLOOKUP(Tabla1[[#This Row],[SISMED]],TblDisponibilidad[],16,FALSE), 0)</f>
        <v>0</v>
      </c>
      <c r="M690">
        <f>IFERROR(VLOOKUP(Tabla1[[#This Row],[SISMED]],TblDisponibilidad[],17,FALSE), 0)</f>
        <v>0</v>
      </c>
      <c r="N690">
        <f>IFERROR(VLOOKUP(Tabla1[[#This Row],[SISMED]],TblDisponibilidad[],18,FALSE), 0)</f>
        <v>0</v>
      </c>
      <c r="O690">
        <f>IFERROR(VLOOKUP(Tabla1[[#This Row],[SISMED]],TblDisponibilidad[],19,FALSE), 0)</f>
        <v>0</v>
      </c>
      <c r="P690">
        <f>IFERROR(VLOOKUP(Tabla1[[#This Row],[SISMED]],TblDisponibilidad[],20,FALSE), 0)</f>
        <v>0</v>
      </c>
      <c r="Q690">
        <f>IFERROR(VLOOKUP(Tabla1[[#This Row],[SISMED]],TblDisponibilidad[],21,FALSE), 0)</f>
        <v>0</v>
      </c>
      <c r="R690">
        <f>IFERROR(VLOOKUP(Tabla1[[#This Row],[SISMED]],TblDisponibilidad[],22,FALSE), 0)</f>
        <v>0</v>
      </c>
      <c r="S690" s="15">
        <f>IFERROR(VLOOKUP(Tabla1[[#This Row],[SISMED]],TblDisponibilidad[],23,FALSE), 0)</f>
        <v>0</v>
      </c>
    </row>
    <row r="691" spans="1:19" x14ac:dyDescent="0.3">
      <c r="A691" s="15" t="s">
        <v>721</v>
      </c>
      <c r="B691" t="str">
        <f>IFERROR(VLOOKUP(Tabla1[[#This Row],[SISMED]],TblDisponibilidad[],2,FALSE), "")</f>
        <v/>
      </c>
      <c r="C691">
        <f>IFERROR(VLOOKUP(Tabla1[[#This Row],[SISMED]],TblDisponibilidad[],7,FALSE), 0)</f>
        <v>0</v>
      </c>
      <c r="D691">
        <f>IFERROR(VLOOKUP(Tabla1[[#This Row],[SISMED]],TblDisponibilidad[],8,FALSE), 0)</f>
        <v>0</v>
      </c>
      <c r="E691">
        <f>IFERROR(VLOOKUP(Tabla1[[#This Row],[SISMED]],TblDisponibilidad[],9,FALSE), 0)</f>
        <v>0</v>
      </c>
      <c r="F691">
        <f>IFERROR(VLOOKUP(Tabla1[[#This Row],[SISMED]],TblDisponibilidad[],10,FALSE), 0)</f>
        <v>0</v>
      </c>
      <c r="G691">
        <f>IFERROR(VLOOKUP(Tabla1[[#This Row],[SISMED]],TblDisponibilidad[],11,FALSE), 0)</f>
        <v>0</v>
      </c>
      <c r="H691">
        <f>IFERROR(VLOOKUP(Tabla1[[#This Row],[SISMED]],TblDisponibilidad[],12,FALSE), 0)</f>
        <v>0</v>
      </c>
      <c r="I691">
        <f>IFERROR(VLOOKUP(Tabla1[[#This Row],[SISMED]],TblDisponibilidad[],13,FALSE), 0)</f>
        <v>0</v>
      </c>
      <c r="J691">
        <f>IFERROR(VLOOKUP(Tabla1[[#This Row],[SISMED]],TblDisponibilidad[],14,FALSE), 0)</f>
        <v>0</v>
      </c>
      <c r="K691">
        <f>IFERROR(VLOOKUP(Tabla1[[#This Row],[SISMED]],TblDisponibilidad[],15,FALSE), 0)</f>
        <v>0</v>
      </c>
      <c r="L691">
        <f>IFERROR(VLOOKUP(Tabla1[[#This Row],[SISMED]],TblDisponibilidad[],16,FALSE), 0)</f>
        <v>0</v>
      </c>
      <c r="M691">
        <f>IFERROR(VLOOKUP(Tabla1[[#This Row],[SISMED]],TblDisponibilidad[],17,FALSE), 0)</f>
        <v>0</v>
      </c>
      <c r="N691">
        <f>IFERROR(VLOOKUP(Tabla1[[#This Row],[SISMED]],TblDisponibilidad[],18,FALSE), 0)</f>
        <v>0</v>
      </c>
      <c r="O691">
        <f>IFERROR(VLOOKUP(Tabla1[[#This Row],[SISMED]],TblDisponibilidad[],19,FALSE), 0)</f>
        <v>0</v>
      </c>
      <c r="P691">
        <f>IFERROR(VLOOKUP(Tabla1[[#This Row],[SISMED]],TblDisponibilidad[],20,FALSE), 0)</f>
        <v>0</v>
      </c>
      <c r="Q691">
        <f>IFERROR(VLOOKUP(Tabla1[[#This Row],[SISMED]],TblDisponibilidad[],21,FALSE), 0)</f>
        <v>0</v>
      </c>
      <c r="R691">
        <f>IFERROR(VLOOKUP(Tabla1[[#This Row],[SISMED]],TblDisponibilidad[],22,FALSE), 0)</f>
        <v>0</v>
      </c>
      <c r="S691" s="15">
        <f>IFERROR(VLOOKUP(Tabla1[[#This Row],[SISMED]],TblDisponibilidad[],23,FALSE), 0)</f>
        <v>0</v>
      </c>
    </row>
    <row r="692" spans="1:19" x14ac:dyDescent="0.3">
      <c r="A692" s="15" t="s">
        <v>722</v>
      </c>
      <c r="B692" t="str">
        <f>IFERROR(VLOOKUP(Tabla1[[#This Row],[SISMED]],TblDisponibilidad[],2,FALSE), "")</f>
        <v/>
      </c>
      <c r="C692">
        <f>IFERROR(VLOOKUP(Tabla1[[#This Row],[SISMED]],TblDisponibilidad[],7,FALSE), 0)</f>
        <v>0</v>
      </c>
      <c r="D692">
        <f>IFERROR(VLOOKUP(Tabla1[[#This Row],[SISMED]],TblDisponibilidad[],8,FALSE), 0)</f>
        <v>0</v>
      </c>
      <c r="E692">
        <f>IFERROR(VLOOKUP(Tabla1[[#This Row],[SISMED]],TblDisponibilidad[],9,FALSE), 0)</f>
        <v>0</v>
      </c>
      <c r="F692">
        <f>IFERROR(VLOOKUP(Tabla1[[#This Row],[SISMED]],TblDisponibilidad[],10,FALSE), 0)</f>
        <v>0</v>
      </c>
      <c r="G692">
        <f>IFERROR(VLOOKUP(Tabla1[[#This Row],[SISMED]],TblDisponibilidad[],11,FALSE), 0)</f>
        <v>0</v>
      </c>
      <c r="H692">
        <f>IFERROR(VLOOKUP(Tabla1[[#This Row],[SISMED]],TblDisponibilidad[],12,FALSE), 0)</f>
        <v>0</v>
      </c>
      <c r="I692">
        <f>IFERROR(VLOOKUP(Tabla1[[#This Row],[SISMED]],TblDisponibilidad[],13,FALSE), 0)</f>
        <v>0</v>
      </c>
      <c r="J692">
        <f>IFERROR(VLOOKUP(Tabla1[[#This Row],[SISMED]],TblDisponibilidad[],14,FALSE), 0)</f>
        <v>0</v>
      </c>
      <c r="K692">
        <f>IFERROR(VLOOKUP(Tabla1[[#This Row],[SISMED]],TblDisponibilidad[],15,FALSE), 0)</f>
        <v>0</v>
      </c>
      <c r="L692">
        <f>IFERROR(VLOOKUP(Tabla1[[#This Row],[SISMED]],TblDisponibilidad[],16,FALSE), 0)</f>
        <v>0</v>
      </c>
      <c r="M692">
        <f>IFERROR(VLOOKUP(Tabla1[[#This Row],[SISMED]],TblDisponibilidad[],17,FALSE), 0)</f>
        <v>0</v>
      </c>
      <c r="N692">
        <f>IFERROR(VLOOKUP(Tabla1[[#This Row],[SISMED]],TblDisponibilidad[],18,FALSE), 0)</f>
        <v>0</v>
      </c>
      <c r="O692">
        <f>IFERROR(VLOOKUP(Tabla1[[#This Row],[SISMED]],TblDisponibilidad[],19,FALSE), 0)</f>
        <v>0</v>
      </c>
      <c r="P692">
        <f>IFERROR(VLOOKUP(Tabla1[[#This Row],[SISMED]],TblDisponibilidad[],20,FALSE), 0)</f>
        <v>0</v>
      </c>
      <c r="Q692">
        <f>IFERROR(VLOOKUP(Tabla1[[#This Row],[SISMED]],TblDisponibilidad[],21,FALSE), 0)</f>
        <v>0</v>
      </c>
      <c r="R692">
        <f>IFERROR(VLOOKUP(Tabla1[[#This Row],[SISMED]],TblDisponibilidad[],22,FALSE), 0)</f>
        <v>0</v>
      </c>
      <c r="S692" s="15">
        <f>IFERROR(VLOOKUP(Tabla1[[#This Row],[SISMED]],TblDisponibilidad[],23,FALSE), 0)</f>
        <v>0</v>
      </c>
    </row>
    <row r="693" spans="1:19" x14ac:dyDescent="0.3">
      <c r="A693" s="15" t="s">
        <v>723</v>
      </c>
      <c r="B693" t="str">
        <f>IFERROR(VLOOKUP(Tabla1[[#This Row],[SISMED]],TblDisponibilidad[],2,FALSE), "")</f>
        <v/>
      </c>
      <c r="C693">
        <f>IFERROR(VLOOKUP(Tabla1[[#This Row],[SISMED]],TblDisponibilidad[],7,FALSE), 0)</f>
        <v>0</v>
      </c>
      <c r="D693">
        <f>IFERROR(VLOOKUP(Tabla1[[#This Row],[SISMED]],TblDisponibilidad[],8,FALSE), 0)</f>
        <v>0</v>
      </c>
      <c r="E693">
        <f>IFERROR(VLOOKUP(Tabla1[[#This Row],[SISMED]],TblDisponibilidad[],9,FALSE), 0)</f>
        <v>0</v>
      </c>
      <c r="F693">
        <f>IFERROR(VLOOKUP(Tabla1[[#This Row],[SISMED]],TblDisponibilidad[],10,FALSE), 0)</f>
        <v>0</v>
      </c>
      <c r="G693">
        <f>IFERROR(VLOOKUP(Tabla1[[#This Row],[SISMED]],TblDisponibilidad[],11,FALSE), 0)</f>
        <v>0</v>
      </c>
      <c r="H693">
        <f>IFERROR(VLOOKUP(Tabla1[[#This Row],[SISMED]],TblDisponibilidad[],12,FALSE), 0)</f>
        <v>0</v>
      </c>
      <c r="I693">
        <f>IFERROR(VLOOKUP(Tabla1[[#This Row],[SISMED]],TblDisponibilidad[],13,FALSE), 0)</f>
        <v>0</v>
      </c>
      <c r="J693">
        <f>IFERROR(VLOOKUP(Tabla1[[#This Row],[SISMED]],TblDisponibilidad[],14,FALSE), 0)</f>
        <v>0</v>
      </c>
      <c r="K693">
        <f>IFERROR(VLOOKUP(Tabla1[[#This Row],[SISMED]],TblDisponibilidad[],15,FALSE), 0)</f>
        <v>0</v>
      </c>
      <c r="L693">
        <f>IFERROR(VLOOKUP(Tabla1[[#This Row],[SISMED]],TblDisponibilidad[],16,FALSE), 0)</f>
        <v>0</v>
      </c>
      <c r="M693">
        <f>IFERROR(VLOOKUP(Tabla1[[#This Row],[SISMED]],TblDisponibilidad[],17,FALSE), 0)</f>
        <v>0</v>
      </c>
      <c r="N693">
        <f>IFERROR(VLOOKUP(Tabla1[[#This Row],[SISMED]],TblDisponibilidad[],18,FALSE), 0)</f>
        <v>0</v>
      </c>
      <c r="O693">
        <f>IFERROR(VLOOKUP(Tabla1[[#This Row],[SISMED]],TblDisponibilidad[],19,FALSE), 0)</f>
        <v>0</v>
      </c>
      <c r="P693">
        <f>IFERROR(VLOOKUP(Tabla1[[#This Row],[SISMED]],TblDisponibilidad[],20,FALSE), 0)</f>
        <v>0</v>
      </c>
      <c r="Q693">
        <f>IFERROR(VLOOKUP(Tabla1[[#This Row],[SISMED]],TblDisponibilidad[],21,FALSE), 0)</f>
        <v>0</v>
      </c>
      <c r="R693">
        <f>IFERROR(VLOOKUP(Tabla1[[#This Row],[SISMED]],TblDisponibilidad[],22,FALSE), 0)</f>
        <v>0</v>
      </c>
      <c r="S693" s="15">
        <f>IFERROR(VLOOKUP(Tabla1[[#This Row],[SISMED]],TblDisponibilidad[],23,FALSE), 0)</f>
        <v>0</v>
      </c>
    </row>
    <row r="694" spans="1:19" x14ac:dyDescent="0.3">
      <c r="A694" s="15" t="s">
        <v>724</v>
      </c>
      <c r="B694" t="str">
        <f>IFERROR(VLOOKUP(Tabla1[[#This Row],[SISMED]],TblDisponibilidad[],2,FALSE), "")</f>
        <v/>
      </c>
      <c r="C694">
        <f>IFERROR(VLOOKUP(Tabla1[[#This Row],[SISMED]],TblDisponibilidad[],7,FALSE), 0)</f>
        <v>0</v>
      </c>
      <c r="D694">
        <f>IFERROR(VLOOKUP(Tabla1[[#This Row],[SISMED]],TblDisponibilidad[],8,FALSE), 0)</f>
        <v>0</v>
      </c>
      <c r="E694">
        <f>IFERROR(VLOOKUP(Tabla1[[#This Row],[SISMED]],TblDisponibilidad[],9,FALSE), 0)</f>
        <v>0</v>
      </c>
      <c r="F694">
        <f>IFERROR(VLOOKUP(Tabla1[[#This Row],[SISMED]],TblDisponibilidad[],10,FALSE), 0)</f>
        <v>0</v>
      </c>
      <c r="G694">
        <f>IFERROR(VLOOKUP(Tabla1[[#This Row],[SISMED]],TblDisponibilidad[],11,FALSE), 0)</f>
        <v>0</v>
      </c>
      <c r="H694">
        <f>IFERROR(VLOOKUP(Tabla1[[#This Row],[SISMED]],TblDisponibilidad[],12,FALSE), 0)</f>
        <v>0</v>
      </c>
      <c r="I694">
        <f>IFERROR(VLOOKUP(Tabla1[[#This Row],[SISMED]],TblDisponibilidad[],13,FALSE), 0)</f>
        <v>0</v>
      </c>
      <c r="J694">
        <f>IFERROR(VLOOKUP(Tabla1[[#This Row],[SISMED]],TblDisponibilidad[],14,FALSE), 0)</f>
        <v>0</v>
      </c>
      <c r="K694">
        <f>IFERROR(VLOOKUP(Tabla1[[#This Row],[SISMED]],TblDisponibilidad[],15,FALSE), 0)</f>
        <v>0</v>
      </c>
      <c r="L694">
        <f>IFERROR(VLOOKUP(Tabla1[[#This Row],[SISMED]],TblDisponibilidad[],16,FALSE), 0)</f>
        <v>0</v>
      </c>
      <c r="M694">
        <f>IFERROR(VLOOKUP(Tabla1[[#This Row],[SISMED]],TblDisponibilidad[],17,FALSE), 0)</f>
        <v>0</v>
      </c>
      <c r="N694">
        <f>IFERROR(VLOOKUP(Tabla1[[#This Row],[SISMED]],TblDisponibilidad[],18,FALSE), 0)</f>
        <v>0</v>
      </c>
      <c r="O694">
        <f>IFERROR(VLOOKUP(Tabla1[[#This Row],[SISMED]],TblDisponibilidad[],19,FALSE), 0)</f>
        <v>0</v>
      </c>
      <c r="P694">
        <f>IFERROR(VLOOKUP(Tabla1[[#This Row],[SISMED]],TblDisponibilidad[],20,FALSE), 0)</f>
        <v>0</v>
      </c>
      <c r="Q694">
        <f>IFERROR(VLOOKUP(Tabla1[[#This Row],[SISMED]],TblDisponibilidad[],21,FALSE), 0)</f>
        <v>0</v>
      </c>
      <c r="R694">
        <f>IFERROR(VLOOKUP(Tabla1[[#This Row],[SISMED]],TblDisponibilidad[],22,FALSE), 0)</f>
        <v>0</v>
      </c>
      <c r="S694" s="15">
        <f>IFERROR(VLOOKUP(Tabla1[[#This Row],[SISMED]],TblDisponibilidad[],23,FALSE), 0)</f>
        <v>0</v>
      </c>
    </row>
    <row r="695" spans="1:19" x14ac:dyDescent="0.3">
      <c r="A695" s="15" t="s">
        <v>725</v>
      </c>
      <c r="B695" t="str">
        <f>IFERROR(VLOOKUP(Tabla1[[#This Row],[SISMED]],TblDisponibilidad[],2,FALSE), "")</f>
        <v/>
      </c>
      <c r="C695">
        <f>IFERROR(VLOOKUP(Tabla1[[#This Row],[SISMED]],TblDisponibilidad[],7,FALSE), 0)</f>
        <v>0</v>
      </c>
      <c r="D695">
        <f>IFERROR(VLOOKUP(Tabla1[[#This Row],[SISMED]],TblDisponibilidad[],8,FALSE), 0)</f>
        <v>0</v>
      </c>
      <c r="E695">
        <f>IFERROR(VLOOKUP(Tabla1[[#This Row],[SISMED]],TblDisponibilidad[],9,FALSE), 0)</f>
        <v>0</v>
      </c>
      <c r="F695">
        <f>IFERROR(VLOOKUP(Tabla1[[#This Row],[SISMED]],TblDisponibilidad[],10,FALSE), 0)</f>
        <v>0</v>
      </c>
      <c r="G695">
        <f>IFERROR(VLOOKUP(Tabla1[[#This Row],[SISMED]],TblDisponibilidad[],11,FALSE), 0)</f>
        <v>0</v>
      </c>
      <c r="H695">
        <f>IFERROR(VLOOKUP(Tabla1[[#This Row],[SISMED]],TblDisponibilidad[],12,FALSE), 0)</f>
        <v>0</v>
      </c>
      <c r="I695">
        <f>IFERROR(VLOOKUP(Tabla1[[#This Row],[SISMED]],TblDisponibilidad[],13,FALSE), 0)</f>
        <v>0</v>
      </c>
      <c r="J695">
        <f>IFERROR(VLOOKUP(Tabla1[[#This Row],[SISMED]],TblDisponibilidad[],14,FALSE), 0)</f>
        <v>0</v>
      </c>
      <c r="K695">
        <f>IFERROR(VLOOKUP(Tabla1[[#This Row],[SISMED]],TblDisponibilidad[],15,FALSE), 0)</f>
        <v>0</v>
      </c>
      <c r="L695">
        <f>IFERROR(VLOOKUP(Tabla1[[#This Row],[SISMED]],TblDisponibilidad[],16,FALSE), 0)</f>
        <v>0</v>
      </c>
      <c r="M695">
        <f>IFERROR(VLOOKUP(Tabla1[[#This Row],[SISMED]],TblDisponibilidad[],17,FALSE), 0)</f>
        <v>0</v>
      </c>
      <c r="N695">
        <f>IFERROR(VLOOKUP(Tabla1[[#This Row],[SISMED]],TblDisponibilidad[],18,FALSE), 0)</f>
        <v>0</v>
      </c>
      <c r="O695">
        <f>IFERROR(VLOOKUP(Tabla1[[#This Row],[SISMED]],TblDisponibilidad[],19,FALSE), 0)</f>
        <v>0</v>
      </c>
      <c r="P695">
        <f>IFERROR(VLOOKUP(Tabla1[[#This Row],[SISMED]],TblDisponibilidad[],20,FALSE), 0)</f>
        <v>0</v>
      </c>
      <c r="Q695">
        <f>IFERROR(VLOOKUP(Tabla1[[#This Row],[SISMED]],TblDisponibilidad[],21,FALSE), 0)</f>
        <v>0</v>
      </c>
      <c r="R695">
        <f>IFERROR(VLOOKUP(Tabla1[[#This Row],[SISMED]],TblDisponibilidad[],22,FALSE), 0)</f>
        <v>0</v>
      </c>
      <c r="S695" s="15">
        <f>IFERROR(VLOOKUP(Tabla1[[#This Row],[SISMED]],TblDisponibilidad[],23,FALSE), 0)</f>
        <v>0</v>
      </c>
    </row>
    <row r="696" spans="1:19" x14ac:dyDescent="0.3">
      <c r="A696" s="15" t="s">
        <v>726</v>
      </c>
      <c r="B696" t="str">
        <f>IFERROR(VLOOKUP(Tabla1[[#This Row],[SISMED]],TblDisponibilidad[],2,FALSE), "")</f>
        <v/>
      </c>
      <c r="C696">
        <f>IFERROR(VLOOKUP(Tabla1[[#This Row],[SISMED]],TblDisponibilidad[],7,FALSE), 0)</f>
        <v>0</v>
      </c>
      <c r="D696">
        <f>IFERROR(VLOOKUP(Tabla1[[#This Row],[SISMED]],TblDisponibilidad[],8,FALSE), 0)</f>
        <v>0</v>
      </c>
      <c r="E696">
        <f>IFERROR(VLOOKUP(Tabla1[[#This Row],[SISMED]],TblDisponibilidad[],9,FALSE), 0)</f>
        <v>0</v>
      </c>
      <c r="F696">
        <f>IFERROR(VLOOKUP(Tabla1[[#This Row],[SISMED]],TblDisponibilidad[],10,FALSE), 0)</f>
        <v>0</v>
      </c>
      <c r="G696">
        <f>IFERROR(VLOOKUP(Tabla1[[#This Row],[SISMED]],TblDisponibilidad[],11,FALSE), 0)</f>
        <v>0</v>
      </c>
      <c r="H696">
        <f>IFERROR(VLOOKUP(Tabla1[[#This Row],[SISMED]],TblDisponibilidad[],12,FALSE), 0)</f>
        <v>0</v>
      </c>
      <c r="I696">
        <f>IFERROR(VLOOKUP(Tabla1[[#This Row],[SISMED]],TblDisponibilidad[],13,FALSE), 0)</f>
        <v>0</v>
      </c>
      <c r="J696">
        <f>IFERROR(VLOOKUP(Tabla1[[#This Row],[SISMED]],TblDisponibilidad[],14,FALSE), 0)</f>
        <v>0</v>
      </c>
      <c r="K696">
        <f>IFERROR(VLOOKUP(Tabla1[[#This Row],[SISMED]],TblDisponibilidad[],15,FALSE), 0)</f>
        <v>0</v>
      </c>
      <c r="L696">
        <f>IFERROR(VLOOKUP(Tabla1[[#This Row],[SISMED]],TblDisponibilidad[],16,FALSE), 0)</f>
        <v>0</v>
      </c>
      <c r="M696">
        <f>IFERROR(VLOOKUP(Tabla1[[#This Row],[SISMED]],TblDisponibilidad[],17,FALSE), 0)</f>
        <v>0</v>
      </c>
      <c r="N696">
        <f>IFERROR(VLOOKUP(Tabla1[[#This Row],[SISMED]],TblDisponibilidad[],18,FALSE), 0)</f>
        <v>0</v>
      </c>
      <c r="O696">
        <f>IFERROR(VLOOKUP(Tabla1[[#This Row],[SISMED]],TblDisponibilidad[],19,FALSE), 0)</f>
        <v>0</v>
      </c>
      <c r="P696">
        <f>IFERROR(VLOOKUP(Tabla1[[#This Row],[SISMED]],TblDisponibilidad[],20,FALSE), 0)</f>
        <v>0</v>
      </c>
      <c r="Q696">
        <f>IFERROR(VLOOKUP(Tabla1[[#This Row],[SISMED]],TblDisponibilidad[],21,FALSE), 0)</f>
        <v>0</v>
      </c>
      <c r="R696">
        <f>IFERROR(VLOOKUP(Tabla1[[#This Row],[SISMED]],TblDisponibilidad[],22,FALSE), 0)</f>
        <v>0</v>
      </c>
      <c r="S696" s="15">
        <f>IFERROR(VLOOKUP(Tabla1[[#This Row],[SISMED]],TblDisponibilidad[],23,FALSE), 0)</f>
        <v>0</v>
      </c>
    </row>
    <row r="697" spans="1:19" x14ac:dyDescent="0.3">
      <c r="A697" s="15" t="s">
        <v>727</v>
      </c>
      <c r="B697" t="str">
        <f>IFERROR(VLOOKUP(Tabla1[[#This Row],[SISMED]],TblDisponibilidad[],2,FALSE), "")</f>
        <v/>
      </c>
      <c r="C697">
        <f>IFERROR(VLOOKUP(Tabla1[[#This Row],[SISMED]],TblDisponibilidad[],7,FALSE), 0)</f>
        <v>0</v>
      </c>
      <c r="D697">
        <f>IFERROR(VLOOKUP(Tabla1[[#This Row],[SISMED]],TblDisponibilidad[],8,FALSE), 0)</f>
        <v>0</v>
      </c>
      <c r="E697">
        <f>IFERROR(VLOOKUP(Tabla1[[#This Row],[SISMED]],TblDisponibilidad[],9,FALSE), 0)</f>
        <v>0</v>
      </c>
      <c r="F697">
        <f>IFERROR(VLOOKUP(Tabla1[[#This Row],[SISMED]],TblDisponibilidad[],10,FALSE), 0)</f>
        <v>0</v>
      </c>
      <c r="G697">
        <f>IFERROR(VLOOKUP(Tabla1[[#This Row],[SISMED]],TblDisponibilidad[],11,FALSE), 0)</f>
        <v>0</v>
      </c>
      <c r="H697">
        <f>IFERROR(VLOOKUP(Tabla1[[#This Row],[SISMED]],TblDisponibilidad[],12,FALSE), 0)</f>
        <v>0</v>
      </c>
      <c r="I697">
        <f>IFERROR(VLOOKUP(Tabla1[[#This Row],[SISMED]],TblDisponibilidad[],13,FALSE), 0)</f>
        <v>0</v>
      </c>
      <c r="J697">
        <f>IFERROR(VLOOKUP(Tabla1[[#This Row],[SISMED]],TblDisponibilidad[],14,FALSE), 0)</f>
        <v>0</v>
      </c>
      <c r="K697">
        <f>IFERROR(VLOOKUP(Tabla1[[#This Row],[SISMED]],TblDisponibilidad[],15,FALSE), 0)</f>
        <v>0</v>
      </c>
      <c r="L697">
        <f>IFERROR(VLOOKUP(Tabla1[[#This Row],[SISMED]],TblDisponibilidad[],16,FALSE), 0)</f>
        <v>0</v>
      </c>
      <c r="M697">
        <f>IFERROR(VLOOKUP(Tabla1[[#This Row],[SISMED]],TblDisponibilidad[],17,FALSE), 0)</f>
        <v>0</v>
      </c>
      <c r="N697">
        <f>IFERROR(VLOOKUP(Tabla1[[#This Row],[SISMED]],TblDisponibilidad[],18,FALSE), 0)</f>
        <v>0</v>
      </c>
      <c r="O697">
        <f>IFERROR(VLOOKUP(Tabla1[[#This Row],[SISMED]],TblDisponibilidad[],19,FALSE), 0)</f>
        <v>0</v>
      </c>
      <c r="P697">
        <f>IFERROR(VLOOKUP(Tabla1[[#This Row],[SISMED]],TblDisponibilidad[],20,FALSE), 0)</f>
        <v>0</v>
      </c>
      <c r="Q697">
        <f>IFERROR(VLOOKUP(Tabla1[[#This Row],[SISMED]],TblDisponibilidad[],21,FALSE), 0)</f>
        <v>0</v>
      </c>
      <c r="R697">
        <f>IFERROR(VLOOKUP(Tabla1[[#This Row],[SISMED]],TblDisponibilidad[],22,FALSE), 0)</f>
        <v>0</v>
      </c>
      <c r="S697" s="15">
        <f>IFERROR(VLOOKUP(Tabla1[[#This Row],[SISMED]],TblDisponibilidad[],23,FALSE), 0)</f>
        <v>0</v>
      </c>
    </row>
    <row r="698" spans="1:19" x14ac:dyDescent="0.3">
      <c r="A698" s="15" t="s">
        <v>728</v>
      </c>
      <c r="B698" t="str">
        <f>IFERROR(VLOOKUP(Tabla1[[#This Row],[SISMED]],TblDisponibilidad[],2,FALSE), "")</f>
        <v/>
      </c>
      <c r="C698">
        <f>IFERROR(VLOOKUP(Tabla1[[#This Row],[SISMED]],TblDisponibilidad[],7,FALSE), 0)</f>
        <v>0</v>
      </c>
      <c r="D698">
        <f>IFERROR(VLOOKUP(Tabla1[[#This Row],[SISMED]],TblDisponibilidad[],8,FALSE), 0)</f>
        <v>0</v>
      </c>
      <c r="E698">
        <f>IFERROR(VLOOKUP(Tabla1[[#This Row],[SISMED]],TblDisponibilidad[],9,FALSE), 0)</f>
        <v>0</v>
      </c>
      <c r="F698">
        <f>IFERROR(VLOOKUP(Tabla1[[#This Row],[SISMED]],TblDisponibilidad[],10,FALSE), 0)</f>
        <v>0</v>
      </c>
      <c r="G698">
        <f>IFERROR(VLOOKUP(Tabla1[[#This Row],[SISMED]],TblDisponibilidad[],11,FALSE), 0)</f>
        <v>0</v>
      </c>
      <c r="H698">
        <f>IFERROR(VLOOKUP(Tabla1[[#This Row],[SISMED]],TblDisponibilidad[],12,FALSE), 0)</f>
        <v>0</v>
      </c>
      <c r="I698">
        <f>IFERROR(VLOOKUP(Tabla1[[#This Row],[SISMED]],TblDisponibilidad[],13,FALSE), 0)</f>
        <v>0</v>
      </c>
      <c r="J698">
        <f>IFERROR(VLOOKUP(Tabla1[[#This Row],[SISMED]],TblDisponibilidad[],14,FALSE), 0)</f>
        <v>0</v>
      </c>
      <c r="K698">
        <f>IFERROR(VLOOKUP(Tabla1[[#This Row],[SISMED]],TblDisponibilidad[],15,FALSE), 0)</f>
        <v>0</v>
      </c>
      <c r="L698">
        <f>IFERROR(VLOOKUP(Tabla1[[#This Row],[SISMED]],TblDisponibilidad[],16,FALSE), 0)</f>
        <v>0</v>
      </c>
      <c r="M698">
        <f>IFERROR(VLOOKUP(Tabla1[[#This Row],[SISMED]],TblDisponibilidad[],17,FALSE), 0)</f>
        <v>0</v>
      </c>
      <c r="N698">
        <f>IFERROR(VLOOKUP(Tabla1[[#This Row],[SISMED]],TblDisponibilidad[],18,FALSE), 0)</f>
        <v>0</v>
      </c>
      <c r="O698">
        <f>IFERROR(VLOOKUP(Tabla1[[#This Row],[SISMED]],TblDisponibilidad[],19,FALSE), 0)</f>
        <v>0</v>
      </c>
      <c r="P698">
        <f>IFERROR(VLOOKUP(Tabla1[[#This Row],[SISMED]],TblDisponibilidad[],20,FALSE), 0)</f>
        <v>0</v>
      </c>
      <c r="Q698">
        <f>IFERROR(VLOOKUP(Tabla1[[#This Row],[SISMED]],TblDisponibilidad[],21,FALSE), 0)</f>
        <v>0</v>
      </c>
      <c r="R698">
        <f>IFERROR(VLOOKUP(Tabla1[[#This Row],[SISMED]],TblDisponibilidad[],22,FALSE), 0)</f>
        <v>0</v>
      </c>
      <c r="S698" s="15">
        <f>IFERROR(VLOOKUP(Tabla1[[#This Row],[SISMED]],TblDisponibilidad[],23,FALSE), 0)</f>
        <v>0</v>
      </c>
    </row>
    <row r="699" spans="1:19" x14ac:dyDescent="0.3">
      <c r="A699" s="15" t="s">
        <v>729</v>
      </c>
      <c r="B699" t="str">
        <f>IFERROR(VLOOKUP(Tabla1[[#This Row],[SISMED]],TblDisponibilidad[],2,FALSE), "")</f>
        <v/>
      </c>
      <c r="C699">
        <f>IFERROR(VLOOKUP(Tabla1[[#This Row],[SISMED]],TblDisponibilidad[],7,FALSE), 0)</f>
        <v>0</v>
      </c>
      <c r="D699">
        <f>IFERROR(VLOOKUP(Tabla1[[#This Row],[SISMED]],TblDisponibilidad[],8,FALSE), 0)</f>
        <v>0</v>
      </c>
      <c r="E699">
        <f>IFERROR(VLOOKUP(Tabla1[[#This Row],[SISMED]],TblDisponibilidad[],9,FALSE), 0)</f>
        <v>0</v>
      </c>
      <c r="F699">
        <f>IFERROR(VLOOKUP(Tabla1[[#This Row],[SISMED]],TblDisponibilidad[],10,FALSE), 0)</f>
        <v>0</v>
      </c>
      <c r="G699">
        <f>IFERROR(VLOOKUP(Tabla1[[#This Row],[SISMED]],TblDisponibilidad[],11,FALSE), 0)</f>
        <v>0</v>
      </c>
      <c r="H699">
        <f>IFERROR(VLOOKUP(Tabla1[[#This Row],[SISMED]],TblDisponibilidad[],12,FALSE), 0)</f>
        <v>0</v>
      </c>
      <c r="I699">
        <f>IFERROR(VLOOKUP(Tabla1[[#This Row],[SISMED]],TblDisponibilidad[],13,FALSE), 0)</f>
        <v>0</v>
      </c>
      <c r="J699">
        <f>IFERROR(VLOOKUP(Tabla1[[#This Row],[SISMED]],TblDisponibilidad[],14,FALSE), 0)</f>
        <v>0</v>
      </c>
      <c r="K699">
        <f>IFERROR(VLOOKUP(Tabla1[[#This Row],[SISMED]],TblDisponibilidad[],15,FALSE), 0)</f>
        <v>0</v>
      </c>
      <c r="L699">
        <f>IFERROR(VLOOKUP(Tabla1[[#This Row],[SISMED]],TblDisponibilidad[],16,FALSE), 0)</f>
        <v>0</v>
      </c>
      <c r="M699">
        <f>IFERROR(VLOOKUP(Tabla1[[#This Row],[SISMED]],TblDisponibilidad[],17,FALSE), 0)</f>
        <v>0</v>
      </c>
      <c r="N699">
        <f>IFERROR(VLOOKUP(Tabla1[[#This Row],[SISMED]],TblDisponibilidad[],18,FALSE), 0)</f>
        <v>0</v>
      </c>
      <c r="O699">
        <f>IFERROR(VLOOKUP(Tabla1[[#This Row],[SISMED]],TblDisponibilidad[],19,FALSE), 0)</f>
        <v>0</v>
      </c>
      <c r="P699">
        <f>IFERROR(VLOOKUP(Tabla1[[#This Row],[SISMED]],TblDisponibilidad[],20,FALSE), 0)</f>
        <v>0</v>
      </c>
      <c r="Q699">
        <f>IFERROR(VLOOKUP(Tabla1[[#This Row],[SISMED]],TblDisponibilidad[],21,FALSE), 0)</f>
        <v>0</v>
      </c>
      <c r="R699">
        <f>IFERROR(VLOOKUP(Tabla1[[#This Row],[SISMED]],TblDisponibilidad[],22,FALSE), 0)</f>
        <v>0</v>
      </c>
      <c r="S699" s="15">
        <f>IFERROR(VLOOKUP(Tabla1[[#This Row],[SISMED]],TblDisponibilidad[],23,FALSE), 0)</f>
        <v>0</v>
      </c>
    </row>
    <row r="700" spans="1:19" x14ac:dyDescent="0.3">
      <c r="A700" s="15" t="s">
        <v>730</v>
      </c>
      <c r="B700" t="str">
        <f>IFERROR(VLOOKUP(Tabla1[[#This Row],[SISMED]],TblDisponibilidad[],2,FALSE), "")</f>
        <v/>
      </c>
      <c r="C700">
        <f>IFERROR(VLOOKUP(Tabla1[[#This Row],[SISMED]],TblDisponibilidad[],7,FALSE), 0)</f>
        <v>0</v>
      </c>
      <c r="D700">
        <f>IFERROR(VLOOKUP(Tabla1[[#This Row],[SISMED]],TblDisponibilidad[],8,FALSE), 0)</f>
        <v>0</v>
      </c>
      <c r="E700">
        <f>IFERROR(VLOOKUP(Tabla1[[#This Row],[SISMED]],TblDisponibilidad[],9,FALSE), 0)</f>
        <v>0</v>
      </c>
      <c r="F700">
        <f>IFERROR(VLOOKUP(Tabla1[[#This Row],[SISMED]],TblDisponibilidad[],10,FALSE), 0)</f>
        <v>0</v>
      </c>
      <c r="G700">
        <f>IFERROR(VLOOKUP(Tabla1[[#This Row],[SISMED]],TblDisponibilidad[],11,FALSE), 0)</f>
        <v>0</v>
      </c>
      <c r="H700">
        <f>IFERROR(VLOOKUP(Tabla1[[#This Row],[SISMED]],TblDisponibilidad[],12,FALSE), 0)</f>
        <v>0</v>
      </c>
      <c r="I700">
        <f>IFERROR(VLOOKUP(Tabla1[[#This Row],[SISMED]],TblDisponibilidad[],13,FALSE), 0)</f>
        <v>0</v>
      </c>
      <c r="J700">
        <f>IFERROR(VLOOKUP(Tabla1[[#This Row],[SISMED]],TblDisponibilidad[],14,FALSE), 0)</f>
        <v>0</v>
      </c>
      <c r="K700">
        <f>IFERROR(VLOOKUP(Tabla1[[#This Row],[SISMED]],TblDisponibilidad[],15,FALSE), 0)</f>
        <v>0</v>
      </c>
      <c r="L700">
        <f>IFERROR(VLOOKUP(Tabla1[[#This Row],[SISMED]],TblDisponibilidad[],16,FALSE), 0)</f>
        <v>0</v>
      </c>
      <c r="M700">
        <f>IFERROR(VLOOKUP(Tabla1[[#This Row],[SISMED]],TblDisponibilidad[],17,FALSE), 0)</f>
        <v>0</v>
      </c>
      <c r="N700">
        <f>IFERROR(VLOOKUP(Tabla1[[#This Row],[SISMED]],TblDisponibilidad[],18,FALSE), 0)</f>
        <v>0</v>
      </c>
      <c r="O700">
        <f>IFERROR(VLOOKUP(Tabla1[[#This Row],[SISMED]],TblDisponibilidad[],19,FALSE), 0)</f>
        <v>0</v>
      </c>
      <c r="P700">
        <f>IFERROR(VLOOKUP(Tabla1[[#This Row],[SISMED]],TblDisponibilidad[],20,FALSE), 0)</f>
        <v>0</v>
      </c>
      <c r="Q700">
        <f>IFERROR(VLOOKUP(Tabla1[[#This Row],[SISMED]],TblDisponibilidad[],21,FALSE), 0)</f>
        <v>0</v>
      </c>
      <c r="R700">
        <f>IFERROR(VLOOKUP(Tabla1[[#This Row],[SISMED]],TblDisponibilidad[],22,FALSE), 0)</f>
        <v>0</v>
      </c>
      <c r="S700" s="15">
        <f>IFERROR(VLOOKUP(Tabla1[[#This Row],[SISMED]],TblDisponibilidad[],23,FALSE), 0)</f>
        <v>0</v>
      </c>
    </row>
    <row r="701" spans="1:19" x14ac:dyDescent="0.3">
      <c r="A701" s="15" t="s">
        <v>731</v>
      </c>
      <c r="B701" t="str">
        <f>IFERROR(VLOOKUP(Tabla1[[#This Row],[SISMED]],TblDisponibilidad[],2,FALSE), "")</f>
        <v/>
      </c>
      <c r="C701">
        <f>IFERROR(VLOOKUP(Tabla1[[#This Row],[SISMED]],TblDisponibilidad[],7,FALSE), 0)</f>
        <v>0</v>
      </c>
      <c r="D701">
        <f>IFERROR(VLOOKUP(Tabla1[[#This Row],[SISMED]],TblDisponibilidad[],8,FALSE), 0)</f>
        <v>0</v>
      </c>
      <c r="E701">
        <f>IFERROR(VLOOKUP(Tabla1[[#This Row],[SISMED]],TblDisponibilidad[],9,FALSE), 0)</f>
        <v>0</v>
      </c>
      <c r="F701">
        <f>IFERROR(VLOOKUP(Tabla1[[#This Row],[SISMED]],TblDisponibilidad[],10,FALSE), 0)</f>
        <v>0</v>
      </c>
      <c r="G701">
        <f>IFERROR(VLOOKUP(Tabla1[[#This Row],[SISMED]],TblDisponibilidad[],11,FALSE), 0)</f>
        <v>0</v>
      </c>
      <c r="H701">
        <f>IFERROR(VLOOKUP(Tabla1[[#This Row],[SISMED]],TblDisponibilidad[],12,FALSE), 0)</f>
        <v>0</v>
      </c>
      <c r="I701">
        <f>IFERROR(VLOOKUP(Tabla1[[#This Row],[SISMED]],TblDisponibilidad[],13,FALSE), 0)</f>
        <v>0</v>
      </c>
      <c r="J701">
        <f>IFERROR(VLOOKUP(Tabla1[[#This Row],[SISMED]],TblDisponibilidad[],14,FALSE), 0)</f>
        <v>0</v>
      </c>
      <c r="K701">
        <f>IFERROR(VLOOKUP(Tabla1[[#This Row],[SISMED]],TblDisponibilidad[],15,FALSE), 0)</f>
        <v>0</v>
      </c>
      <c r="L701">
        <f>IFERROR(VLOOKUP(Tabla1[[#This Row],[SISMED]],TblDisponibilidad[],16,FALSE), 0)</f>
        <v>0</v>
      </c>
      <c r="M701">
        <f>IFERROR(VLOOKUP(Tabla1[[#This Row],[SISMED]],TblDisponibilidad[],17,FALSE), 0)</f>
        <v>0</v>
      </c>
      <c r="N701">
        <f>IFERROR(VLOOKUP(Tabla1[[#This Row],[SISMED]],TblDisponibilidad[],18,FALSE), 0)</f>
        <v>0</v>
      </c>
      <c r="O701">
        <f>IFERROR(VLOOKUP(Tabla1[[#This Row],[SISMED]],TblDisponibilidad[],19,FALSE), 0)</f>
        <v>0</v>
      </c>
      <c r="P701">
        <f>IFERROR(VLOOKUP(Tabla1[[#This Row],[SISMED]],TblDisponibilidad[],20,FALSE), 0)</f>
        <v>0</v>
      </c>
      <c r="Q701">
        <f>IFERROR(VLOOKUP(Tabla1[[#This Row],[SISMED]],TblDisponibilidad[],21,FALSE), 0)</f>
        <v>0</v>
      </c>
      <c r="R701">
        <f>IFERROR(VLOOKUP(Tabla1[[#This Row],[SISMED]],TblDisponibilidad[],22,FALSE), 0)</f>
        <v>0</v>
      </c>
      <c r="S701" s="15">
        <f>IFERROR(VLOOKUP(Tabla1[[#This Row],[SISMED]],TblDisponibilidad[],23,FALSE), 0)</f>
        <v>0</v>
      </c>
    </row>
    <row r="702" spans="1:19" x14ac:dyDescent="0.3">
      <c r="A702" s="15" t="s">
        <v>732</v>
      </c>
      <c r="B702" t="str">
        <f>IFERROR(VLOOKUP(Tabla1[[#This Row],[SISMED]],TblDisponibilidad[],2,FALSE), "")</f>
        <v/>
      </c>
      <c r="C702">
        <f>IFERROR(VLOOKUP(Tabla1[[#This Row],[SISMED]],TblDisponibilidad[],7,FALSE), 0)</f>
        <v>0</v>
      </c>
      <c r="D702">
        <f>IFERROR(VLOOKUP(Tabla1[[#This Row],[SISMED]],TblDisponibilidad[],8,FALSE), 0)</f>
        <v>0</v>
      </c>
      <c r="E702">
        <f>IFERROR(VLOOKUP(Tabla1[[#This Row],[SISMED]],TblDisponibilidad[],9,FALSE), 0)</f>
        <v>0</v>
      </c>
      <c r="F702">
        <f>IFERROR(VLOOKUP(Tabla1[[#This Row],[SISMED]],TblDisponibilidad[],10,FALSE), 0)</f>
        <v>0</v>
      </c>
      <c r="G702">
        <f>IFERROR(VLOOKUP(Tabla1[[#This Row],[SISMED]],TblDisponibilidad[],11,FALSE), 0)</f>
        <v>0</v>
      </c>
      <c r="H702">
        <f>IFERROR(VLOOKUP(Tabla1[[#This Row],[SISMED]],TblDisponibilidad[],12,FALSE), 0)</f>
        <v>0</v>
      </c>
      <c r="I702">
        <f>IFERROR(VLOOKUP(Tabla1[[#This Row],[SISMED]],TblDisponibilidad[],13,FALSE), 0)</f>
        <v>0</v>
      </c>
      <c r="J702">
        <f>IFERROR(VLOOKUP(Tabla1[[#This Row],[SISMED]],TblDisponibilidad[],14,FALSE), 0)</f>
        <v>0</v>
      </c>
      <c r="K702">
        <f>IFERROR(VLOOKUP(Tabla1[[#This Row],[SISMED]],TblDisponibilidad[],15,FALSE), 0)</f>
        <v>0</v>
      </c>
      <c r="L702">
        <f>IFERROR(VLOOKUP(Tabla1[[#This Row],[SISMED]],TblDisponibilidad[],16,FALSE), 0)</f>
        <v>0</v>
      </c>
      <c r="M702">
        <f>IFERROR(VLOOKUP(Tabla1[[#This Row],[SISMED]],TblDisponibilidad[],17,FALSE), 0)</f>
        <v>0</v>
      </c>
      <c r="N702">
        <f>IFERROR(VLOOKUP(Tabla1[[#This Row],[SISMED]],TblDisponibilidad[],18,FALSE), 0)</f>
        <v>0</v>
      </c>
      <c r="O702">
        <f>IFERROR(VLOOKUP(Tabla1[[#This Row],[SISMED]],TblDisponibilidad[],19,FALSE), 0)</f>
        <v>0</v>
      </c>
      <c r="P702">
        <f>IFERROR(VLOOKUP(Tabla1[[#This Row],[SISMED]],TblDisponibilidad[],20,FALSE), 0)</f>
        <v>0</v>
      </c>
      <c r="Q702">
        <f>IFERROR(VLOOKUP(Tabla1[[#This Row],[SISMED]],TblDisponibilidad[],21,FALSE), 0)</f>
        <v>0</v>
      </c>
      <c r="R702">
        <f>IFERROR(VLOOKUP(Tabla1[[#This Row],[SISMED]],TblDisponibilidad[],22,FALSE), 0)</f>
        <v>0</v>
      </c>
      <c r="S702" s="15">
        <f>IFERROR(VLOOKUP(Tabla1[[#This Row],[SISMED]],TblDisponibilidad[],23,FALSE), 0)</f>
        <v>0</v>
      </c>
    </row>
    <row r="703" spans="1:19" x14ac:dyDescent="0.3">
      <c r="A703" s="15" t="s">
        <v>733</v>
      </c>
      <c r="B703" t="str">
        <f>IFERROR(VLOOKUP(Tabla1[[#This Row],[SISMED]],TblDisponibilidad[],2,FALSE), "")</f>
        <v/>
      </c>
      <c r="C703">
        <f>IFERROR(VLOOKUP(Tabla1[[#This Row],[SISMED]],TblDisponibilidad[],7,FALSE), 0)</f>
        <v>0</v>
      </c>
      <c r="D703">
        <f>IFERROR(VLOOKUP(Tabla1[[#This Row],[SISMED]],TblDisponibilidad[],8,FALSE), 0)</f>
        <v>0</v>
      </c>
      <c r="E703">
        <f>IFERROR(VLOOKUP(Tabla1[[#This Row],[SISMED]],TblDisponibilidad[],9,FALSE), 0)</f>
        <v>0</v>
      </c>
      <c r="F703">
        <f>IFERROR(VLOOKUP(Tabla1[[#This Row],[SISMED]],TblDisponibilidad[],10,FALSE), 0)</f>
        <v>0</v>
      </c>
      <c r="G703">
        <f>IFERROR(VLOOKUP(Tabla1[[#This Row],[SISMED]],TblDisponibilidad[],11,FALSE), 0)</f>
        <v>0</v>
      </c>
      <c r="H703">
        <f>IFERROR(VLOOKUP(Tabla1[[#This Row],[SISMED]],TblDisponibilidad[],12,FALSE), 0)</f>
        <v>0</v>
      </c>
      <c r="I703">
        <f>IFERROR(VLOOKUP(Tabla1[[#This Row],[SISMED]],TblDisponibilidad[],13,FALSE), 0)</f>
        <v>0</v>
      </c>
      <c r="J703">
        <f>IFERROR(VLOOKUP(Tabla1[[#This Row],[SISMED]],TblDisponibilidad[],14,FALSE), 0)</f>
        <v>0</v>
      </c>
      <c r="K703">
        <f>IFERROR(VLOOKUP(Tabla1[[#This Row],[SISMED]],TblDisponibilidad[],15,FALSE), 0)</f>
        <v>0</v>
      </c>
      <c r="L703">
        <f>IFERROR(VLOOKUP(Tabla1[[#This Row],[SISMED]],TblDisponibilidad[],16,FALSE), 0)</f>
        <v>0</v>
      </c>
      <c r="M703">
        <f>IFERROR(VLOOKUP(Tabla1[[#This Row],[SISMED]],TblDisponibilidad[],17,FALSE), 0)</f>
        <v>0</v>
      </c>
      <c r="N703">
        <f>IFERROR(VLOOKUP(Tabla1[[#This Row],[SISMED]],TblDisponibilidad[],18,FALSE), 0)</f>
        <v>0</v>
      </c>
      <c r="O703">
        <f>IFERROR(VLOOKUP(Tabla1[[#This Row],[SISMED]],TblDisponibilidad[],19,FALSE), 0)</f>
        <v>0</v>
      </c>
      <c r="P703">
        <f>IFERROR(VLOOKUP(Tabla1[[#This Row],[SISMED]],TblDisponibilidad[],20,FALSE), 0)</f>
        <v>0</v>
      </c>
      <c r="Q703">
        <f>IFERROR(VLOOKUP(Tabla1[[#This Row],[SISMED]],TblDisponibilidad[],21,FALSE), 0)</f>
        <v>0</v>
      </c>
      <c r="R703">
        <f>IFERROR(VLOOKUP(Tabla1[[#This Row],[SISMED]],TblDisponibilidad[],22,FALSE), 0)</f>
        <v>0</v>
      </c>
      <c r="S703" s="15">
        <f>IFERROR(VLOOKUP(Tabla1[[#This Row],[SISMED]],TblDisponibilidad[],23,FALSE), 0)</f>
        <v>0</v>
      </c>
    </row>
    <row r="704" spans="1:19" x14ac:dyDescent="0.3">
      <c r="A704" s="15" t="s">
        <v>734</v>
      </c>
      <c r="B704" t="str">
        <f>IFERROR(VLOOKUP(Tabla1[[#This Row],[SISMED]],TblDisponibilidad[],2,FALSE), "")</f>
        <v/>
      </c>
      <c r="C704">
        <f>IFERROR(VLOOKUP(Tabla1[[#This Row],[SISMED]],TblDisponibilidad[],7,FALSE), 0)</f>
        <v>0</v>
      </c>
      <c r="D704">
        <f>IFERROR(VLOOKUP(Tabla1[[#This Row],[SISMED]],TblDisponibilidad[],8,FALSE), 0)</f>
        <v>0</v>
      </c>
      <c r="E704">
        <f>IFERROR(VLOOKUP(Tabla1[[#This Row],[SISMED]],TblDisponibilidad[],9,FALSE), 0)</f>
        <v>0</v>
      </c>
      <c r="F704">
        <f>IFERROR(VLOOKUP(Tabla1[[#This Row],[SISMED]],TblDisponibilidad[],10,FALSE), 0)</f>
        <v>0</v>
      </c>
      <c r="G704">
        <f>IFERROR(VLOOKUP(Tabla1[[#This Row],[SISMED]],TblDisponibilidad[],11,FALSE), 0)</f>
        <v>0</v>
      </c>
      <c r="H704">
        <f>IFERROR(VLOOKUP(Tabla1[[#This Row],[SISMED]],TblDisponibilidad[],12,FALSE), 0)</f>
        <v>0</v>
      </c>
      <c r="I704">
        <f>IFERROR(VLOOKUP(Tabla1[[#This Row],[SISMED]],TblDisponibilidad[],13,FALSE), 0)</f>
        <v>0</v>
      </c>
      <c r="J704">
        <f>IFERROR(VLOOKUP(Tabla1[[#This Row],[SISMED]],TblDisponibilidad[],14,FALSE), 0)</f>
        <v>0</v>
      </c>
      <c r="K704">
        <f>IFERROR(VLOOKUP(Tabla1[[#This Row],[SISMED]],TblDisponibilidad[],15,FALSE), 0)</f>
        <v>0</v>
      </c>
      <c r="L704">
        <f>IFERROR(VLOOKUP(Tabla1[[#This Row],[SISMED]],TblDisponibilidad[],16,FALSE), 0)</f>
        <v>0</v>
      </c>
      <c r="M704">
        <f>IFERROR(VLOOKUP(Tabla1[[#This Row],[SISMED]],TblDisponibilidad[],17,FALSE), 0)</f>
        <v>0</v>
      </c>
      <c r="N704">
        <f>IFERROR(VLOOKUP(Tabla1[[#This Row],[SISMED]],TblDisponibilidad[],18,FALSE), 0)</f>
        <v>0</v>
      </c>
      <c r="O704">
        <f>IFERROR(VLOOKUP(Tabla1[[#This Row],[SISMED]],TblDisponibilidad[],19,FALSE), 0)</f>
        <v>0</v>
      </c>
      <c r="P704">
        <f>IFERROR(VLOOKUP(Tabla1[[#This Row],[SISMED]],TblDisponibilidad[],20,FALSE), 0)</f>
        <v>0</v>
      </c>
      <c r="Q704">
        <f>IFERROR(VLOOKUP(Tabla1[[#This Row],[SISMED]],TblDisponibilidad[],21,FALSE), 0)</f>
        <v>0</v>
      </c>
      <c r="R704">
        <f>IFERROR(VLOOKUP(Tabla1[[#This Row],[SISMED]],TblDisponibilidad[],22,FALSE), 0)</f>
        <v>0</v>
      </c>
      <c r="S704" s="15">
        <f>IFERROR(VLOOKUP(Tabla1[[#This Row],[SISMED]],TblDisponibilidad[],23,FALSE), 0)</f>
        <v>0</v>
      </c>
    </row>
    <row r="705" spans="1:19" x14ac:dyDescent="0.3">
      <c r="A705" s="15" t="s">
        <v>735</v>
      </c>
      <c r="B705" t="str">
        <f>IFERROR(VLOOKUP(Tabla1[[#This Row],[SISMED]],TblDisponibilidad[],2,FALSE), "")</f>
        <v/>
      </c>
      <c r="C705">
        <f>IFERROR(VLOOKUP(Tabla1[[#This Row],[SISMED]],TblDisponibilidad[],7,FALSE), 0)</f>
        <v>0</v>
      </c>
      <c r="D705">
        <f>IFERROR(VLOOKUP(Tabla1[[#This Row],[SISMED]],TblDisponibilidad[],8,FALSE), 0)</f>
        <v>0</v>
      </c>
      <c r="E705">
        <f>IFERROR(VLOOKUP(Tabla1[[#This Row],[SISMED]],TblDisponibilidad[],9,FALSE), 0)</f>
        <v>0</v>
      </c>
      <c r="F705">
        <f>IFERROR(VLOOKUP(Tabla1[[#This Row],[SISMED]],TblDisponibilidad[],10,FALSE), 0)</f>
        <v>0</v>
      </c>
      <c r="G705">
        <f>IFERROR(VLOOKUP(Tabla1[[#This Row],[SISMED]],TblDisponibilidad[],11,FALSE), 0)</f>
        <v>0</v>
      </c>
      <c r="H705">
        <f>IFERROR(VLOOKUP(Tabla1[[#This Row],[SISMED]],TblDisponibilidad[],12,FALSE), 0)</f>
        <v>0</v>
      </c>
      <c r="I705">
        <f>IFERROR(VLOOKUP(Tabla1[[#This Row],[SISMED]],TblDisponibilidad[],13,FALSE), 0)</f>
        <v>0</v>
      </c>
      <c r="J705">
        <f>IFERROR(VLOOKUP(Tabla1[[#This Row],[SISMED]],TblDisponibilidad[],14,FALSE), 0)</f>
        <v>0</v>
      </c>
      <c r="K705">
        <f>IFERROR(VLOOKUP(Tabla1[[#This Row],[SISMED]],TblDisponibilidad[],15,FALSE), 0)</f>
        <v>0</v>
      </c>
      <c r="L705">
        <f>IFERROR(VLOOKUP(Tabla1[[#This Row],[SISMED]],TblDisponibilidad[],16,FALSE), 0)</f>
        <v>0</v>
      </c>
      <c r="M705">
        <f>IFERROR(VLOOKUP(Tabla1[[#This Row],[SISMED]],TblDisponibilidad[],17,FALSE), 0)</f>
        <v>0</v>
      </c>
      <c r="N705">
        <f>IFERROR(VLOOKUP(Tabla1[[#This Row],[SISMED]],TblDisponibilidad[],18,FALSE), 0)</f>
        <v>0</v>
      </c>
      <c r="O705">
        <f>IFERROR(VLOOKUP(Tabla1[[#This Row],[SISMED]],TblDisponibilidad[],19,FALSE), 0)</f>
        <v>0</v>
      </c>
      <c r="P705">
        <f>IFERROR(VLOOKUP(Tabla1[[#This Row],[SISMED]],TblDisponibilidad[],20,FALSE), 0)</f>
        <v>0</v>
      </c>
      <c r="Q705">
        <f>IFERROR(VLOOKUP(Tabla1[[#This Row],[SISMED]],TblDisponibilidad[],21,FALSE), 0)</f>
        <v>0</v>
      </c>
      <c r="R705">
        <f>IFERROR(VLOOKUP(Tabla1[[#This Row],[SISMED]],TblDisponibilidad[],22,FALSE), 0)</f>
        <v>0</v>
      </c>
      <c r="S705" s="15">
        <f>IFERROR(VLOOKUP(Tabla1[[#This Row],[SISMED]],TblDisponibilidad[],23,FALSE), 0)</f>
        <v>0</v>
      </c>
    </row>
    <row r="706" spans="1:19" x14ac:dyDescent="0.3">
      <c r="A706" s="15" t="s">
        <v>736</v>
      </c>
      <c r="B706" t="str">
        <f>IFERROR(VLOOKUP(Tabla1[[#This Row],[SISMED]],TblDisponibilidad[],2,FALSE), "")</f>
        <v/>
      </c>
      <c r="C706">
        <f>IFERROR(VLOOKUP(Tabla1[[#This Row],[SISMED]],TblDisponibilidad[],7,FALSE), 0)</f>
        <v>0</v>
      </c>
      <c r="D706">
        <f>IFERROR(VLOOKUP(Tabla1[[#This Row],[SISMED]],TblDisponibilidad[],8,FALSE), 0)</f>
        <v>0</v>
      </c>
      <c r="E706">
        <f>IFERROR(VLOOKUP(Tabla1[[#This Row],[SISMED]],TblDisponibilidad[],9,FALSE), 0)</f>
        <v>0</v>
      </c>
      <c r="F706">
        <f>IFERROR(VLOOKUP(Tabla1[[#This Row],[SISMED]],TblDisponibilidad[],10,FALSE), 0)</f>
        <v>0</v>
      </c>
      <c r="G706">
        <f>IFERROR(VLOOKUP(Tabla1[[#This Row],[SISMED]],TblDisponibilidad[],11,FALSE), 0)</f>
        <v>0</v>
      </c>
      <c r="H706">
        <f>IFERROR(VLOOKUP(Tabla1[[#This Row],[SISMED]],TblDisponibilidad[],12,FALSE), 0)</f>
        <v>0</v>
      </c>
      <c r="I706">
        <f>IFERROR(VLOOKUP(Tabla1[[#This Row],[SISMED]],TblDisponibilidad[],13,FALSE), 0)</f>
        <v>0</v>
      </c>
      <c r="J706">
        <f>IFERROR(VLOOKUP(Tabla1[[#This Row],[SISMED]],TblDisponibilidad[],14,FALSE), 0)</f>
        <v>0</v>
      </c>
      <c r="K706">
        <f>IFERROR(VLOOKUP(Tabla1[[#This Row],[SISMED]],TblDisponibilidad[],15,FALSE), 0)</f>
        <v>0</v>
      </c>
      <c r="L706">
        <f>IFERROR(VLOOKUP(Tabla1[[#This Row],[SISMED]],TblDisponibilidad[],16,FALSE), 0)</f>
        <v>0</v>
      </c>
      <c r="M706">
        <f>IFERROR(VLOOKUP(Tabla1[[#This Row],[SISMED]],TblDisponibilidad[],17,FALSE), 0)</f>
        <v>0</v>
      </c>
      <c r="N706">
        <f>IFERROR(VLOOKUP(Tabla1[[#This Row],[SISMED]],TblDisponibilidad[],18,FALSE), 0)</f>
        <v>0</v>
      </c>
      <c r="O706">
        <f>IFERROR(VLOOKUP(Tabla1[[#This Row],[SISMED]],TblDisponibilidad[],19,FALSE), 0)</f>
        <v>0</v>
      </c>
      <c r="P706">
        <f>IFERROR(VLOOKUP(Tabla1[[#This Row],[SISMED]],TblDisponibilidad[],20,FALSE), 0)</f>
        <v>0</v>
      </c>
      <c r="Q706">
        <f>IFERROR(VLOOKUP(Tabla1[[#This Row],[SISMED]],TblDisponibilidad[],21,FALSE), 0)</f>
        <v>0</v>
      </c>
      <c r="R706">
        <f>IFERROR(VLOOKUP(Tabla1[[#This Row],[SISMED]],TblDisponibilidad[],22,FALSE), 0)</f>
        <v>0</v>
      </c>
      <c r="S706" s="15">
        <f>IFERROR(VLOOKUP(Tabla1[[#This Row],[SISMED]],TblDisponibilidad[],23,FALSE), 0)</f>
        <v>0</v>
      </c>
    </row>
    <row r="707" spans="1:19" x14ac:dyDescent="0.3">
      <c r="A707" s="15" t="s">
        <v>737</v>
      </c>
      <c r="B707" t="str">
        <f>IFERROR(VLOOKUP(Tabla1[[#This Row],[SISMED]],TblDisponibilidad[],2,FALSE), "")</f>
        <v/>
      </c>
      <c r="C707">
        <f>IFERROR(VLOOKUP(Tabla1[[#This Row],[SISMED]],TblDisponibilidad[],7,FALSE), 0)</f>
        <v>0</v>
      </c>
      <c r="D707">
        <f>IFERROR(VLOOKUP(Tabla1[[#This Row],[SISMED]],TblDisponibilidad[],8,FALSE), 0)</f>
        <v>0</v>
      </c>
      <c r="E707">
        <f>IFERROR(VLOOKUP(Tabla1[[#This Row],[SISMED]],TblDisponibilidad[],9,FALSE), 0)</f>
        <v>0</v>
      </c>
      <c r="F707">
        <f>IFERROR(VLOOKUP(Tabla1[[#This Row],[SISMED]],TblDisponibilidad[],10,FALSE), 0)</f>
        <v>0</v>
      </c>
      <c r="G707">
        <f>IFERROR(VLOOKUP(Tabla1[[#This Row],[SISMED]],TblDisponibilidad[],11,FALSE), 0)</f>
        <v>0</v>
      </c>
      <c r="H707">
        <f>IFERROR(VLOOKUP(Tabla1[[#This Row],[SISMED]],TblDisponibilidad[],12,FALSE), 0)</f>
        <v>0</v>
      </c>
      <c r="I707">
        <f>IFERROR(VLOOKUP(Tabla1[[#This Row],[SISMED]],TblDisponibilidad[],13,FALSE), 0)</f>
        <v>0</v>
      </c>
      <c r="J707">
        <f>IFERROR(VLOOKUP(Tabla1[[#This Row],[SISMED]],TblDisponibilidad[],14,FALSE), 0)</f>
        <v>0</v>
      </c>
      <c r="K707">
        <f>IFERROR(VLOOKUP(Tabla1[[#This Row],[SISMED]],TblDisponibilidad[],15,FALSE), 0)</f>
        <v>0</v>
      </c>
      <c r="L707">
        <f>IFERROR(VLOOKUP(Tabla1[[#This Row],[SISMED]],TblDisponibilidad[],16,FALSE), 0)</f>
        <v>0</v>
      </c>
      <c r="M707">
        <f>IFERROR(VLOOKUP(Tabla1[[#This Row],[SISMED]],TblDisponibilidad[],17,FALSE), 0)</f>
        <v>0</v>
      </c>
      <c r="N707">
        <f>IFERROR(VLOOKUP(Tabla1[[#This Row],[SISMED]],TblDisponibilidad[],18,FALSE), 0)</f>
        <v>0</v>
      </c>
      <c r="O707">
        <f>IFERROR(VLOOKUP(Tabla1[[#This Row],[SISMED]],TblDisponibilidad[],19,FALSE), 0)</f>
        <v>0</v>
      </c>
      <c r="P707">
        <f>IFERROR(VLOOKUP(Tabla1[[#This Row],[SISMED]],TblDisponibilidad[],20,FALSE), 0)</f>
        <v>0</v>
      </c>
      <c r="Q707">
        <f>IFERROR(VLOOKUP(Tabla1[[#This Row],[SISMED]],TblDisponibilidad[],21,FALSE), 0)</f>
        <v>0</v>
      </c>
      <c r="R707">
        <f>IFERROR(VLOOKUP(Tabla1[[#This Row],[SISMED]],TblDisponibilidad[],22,FALSE), 0)</f>
        <v>0</v>
      </c>
      <c r="S707" s="15">
        <f>IFERROR(VLOOKUP(Tabla1[[#This Row],[SISMED]],TblDisponibilidad[],23,FALSE), 0)</f>
        <v>0</v>
      </c>
    </row>
    <row r="708" spans="1:19" x14ac:dyDescent="0.3">
      <c r="A708" s="15" t="s">
        <v>738</v>
      </c>
      <c r="B708" t="str">
        <f>IFERROR(VLOOKUP(Tabla1[[#This Row],[SISMED]],TblDisponibilidad[],2,FALSE), "")</f>
        <v/>
      </c>
      <c r="C708">
        <f>IFERROR(VLOOKUP(Tabla1[[#This Row],[SISMED]],TblDisponibilidad[],7,FALSE), 0)</f>
        <v>0</v>
      </c>
      <c r="D708">
        <f>IFERROR(VLOOKUP(Tabla1[[#This Row],[SISMED]],TblDisponibilidad[],8,FALSE), 0)</f>
        <v>0</v>
      </c>
      <c r="E708">
        <f>IFERROR(VLOOKUP(Tabla1[[#This Row],[SISMED]],TblDisponibilidad[],9,FALSE), 0)</f>
        <v>0</v>
      </c>
      <c r="F708">
        <f>IFERROR(VLOOKUP(Tabla1[[#This Row],[SISMED]],TblDisponibilidad[],10,FALSE), 0)</f>
        <v>0</v>
      </c>
      <c r="G708">
        <f>IFERROR(VLOOKUP(Tabla1[[#This Row],[SISMED]],TblDisponibilidad[],11,FALSE), 0)</f>
        <v>0</v>
      </c>
      <c r="H708">
        <f>IFERROR(VLOOKUP(Tabla1[[#This Row],[SISMED]],TblDisponibilidad[],12,FALSE), 0)</f>
        <v>0</v>
      </c>
      <c r="I708">
        <f>IFERROR(VLOOKUP(Tabla1[[#This Row],[SISMED]],TblDisponibilidad[],13,FALSE), 0)</f>
        <v>0</v>
      </c>
      <c r="J708">
        <f>IFERROR(VLOOKUP(Tabla1[[#This Row],[SISMED]],TblDisponibilidad[],14,FALSE), 0)</f>
        <v>0</v>
      </c>
      <c r="K708">
        <f>IFERROR(VLOOKUP(Tabla1[[#This Row],[SISMED]],TblDisponibilidad[],15,FALSE), 0)</f>
        <v>0</v>
      </c>
      <c r="L708">
        <f>IFERROR(VLOOKUP(Tabla1[[#This Row],[SISMED]],TblDisponibilidad[],16,FALSE), 0)</f>
        <v>0</v>
      </c>
      <c r="M708">
        <f>IFERROR(VLOOKUP(Tabla1[[#This Row],[SISMED]],TblDisponibilidad[],17,FALSE), 0)</f>
        <v>0</v>
      </c>
      <c r="N708">
        <f>IFERROR(VLOOKUP(Tabla1[[#This Row],[SISMED]],TblDisponibilidad[],18,FALSE), 0)</f>
        <v>0</v>
      </c>
      <c r="O708">
        <f>IFERROR(VLOOKUP(Tabla1[[#This Row],[SISMED]],TblDisponibilidad[],19,FALSE), 0)</f>
        <v>0</v>
      </c>
      <c r="P708">
        <f>IFERROR(VLOOKUP(Tabla1[[#This Row],[SISMED]],TblDisponibilidad[],20,FALSE), 0)</f>
        <v>0</v>
      </c>
      <c r="Q708">
        <f>IFERROR(VLOOKUP(Tabla1[[#This Row],[SISMED]],TblDisponibilidad[],21,FALSE), 0)</f>
        <v>0</v>
      </c>
      <c r="R708">
        <f>IFERROR(VLOOKUP(Tabla1[[#This Row],[SISMED]],TblDisponibilidad[],22,FALSE), 0)</f>
        <v>0</v>
      </c>
      <c r="S708" s="15">
        <f>IFERROR(VLOOKUP(Tabla1[[#This Row],[SISMED]],TblDisponibilidad[],23,FALSE), 0)</f>
        <v>0</v>
      </c>
    </row>
    <row r="709" spans="1:19" x14ac:dyDescent="0.3">
      <c r="A709" s="15" t="s">
        <v>739</v>
      </c>
      <c r="B709" t="str">
        <f>IFERROR(VLOOKUP(Tabla1[[#This Row],[SISMED]],TblDisponibilidad[],2,FALSE), "")</f>
        <v/>
      </c>
      <c r="C709">
        <f>IFERROR(VLOOKUP(Tabla1[[#This Row],[SISMED]],TblDisponibilidad[],7,FALSE), 0)</f>
        <v>0</v>
      </c>
      <c r="D709">
        <f>IFERROR(VLOOKUP(Tabla1[[#This Row],[SISMED]],TblDisponibilidad[],8,FALSE), 0)</f>
        <v>0</v>
      </c>
      <c r="E709">
        <f>IFERROR(VLOOKUP(Tabla1[[#This Row],[SISMED]],TblDisponibilidad[],9,FALSE), 0)</f>
        <v>0</v>
      </c>
      <c r="F709">
        <f>IFERROR(VLOOKUP(Tabla1[[#This Row],[SISMED]],TblDisponibilidad[],10,FALSE), 0)</f>
        <v>0</v>
      </c>
      <c r="G709">
        <f>IFERROR(VLOOKUP(Tabla1[[#This Row],[SISMED]],TblDisponibilidad[],11,FALSE), 0)</f>
        <v>0</v>
      </c>
      <c r="H709">
        <f>IFERROR(VLOOKUP(Tabla1[[#This Row],[SISMED]],TblDisponibilidad[],12,FALSE), 0)</f>
        <v>0</v>
      </c>
      <c r="I709">
        <f>IFERROR(VLOOKUP(Tabla1[[#This Row],[SISMED]],TblDisponibilidad[],13,FALSE), 0)</f>
        <v>0</v>
      </c>
      <c r="J709">
        <f>IFERROR(VLOOKUP(Tabla1[[#This Row],[SISMED]],TblDisponibilidad[],14,FALSE), 0)</f>
        <v>0</v>
      </c>
      <c r="K709">
        <f>IFERROR(VLOOKUP(Tabla1[[#This Row],[SISMED]],TblDisponibilidad[],15,FALSE), 0)</f>
        <v>0</v>
      </c>
      <c r="L709">
        <f>IFERROR(VLOOKUP(Tabla1[[#This Row],[SISMED]],TblDisponibilidad[],16,FALSE), 0)</f>
        <v>0</v>
      </c>
      <c r="M709">
        <f>IFERROR(VLOOKUP(Tabla1[[#This Row],[SISMED]],TblDisponibilidad[],17,FALSE), 0)</f>
        <v>0</v>
      </c>
      <c r="N709">
        <f>IFERROR(VLOOKUP(Tabla1[[#This Row],[SISMED]],TblDisponibilidad[],18,FALSE), 0)</f>
        <v>0</v>
      </c>
      <c r="O709">
        <f>IFERROR(VLOOKUP(Tabla1[[#This Row],[SISMED]],TblDisponibilidad[],19,FALSE), 0)</f>
        <v>0</v>
      </c>
      <c r="P709">
        <f>IFERROR(VLOOKUP(Tabla1[[#This Row],[SISMED]],TblDisponibilidad[],20,FALSE), 0)</f>
        <v>0</v>
      </c>
      <c r="Q709">
        <f>IFERROR(VLOOKUP(Tabla1[[#This Row],[SISMED]],TblDisponibilidad[],21,FALSE), 0)</f>
        <v>0</v>
      </c>
      <c r="R709">
        <f>IFERROR(VLOOKUP(Tabla1[[#This Row],[SISMED]],TblDisponibilidad[],22,FALSE), 0)</f>
        <v>0</v>
      </c>
      <c r="S709" s="15">
        <f>IFERROR(VLOOKUP(Tabla1[[#This Row],[SISMED]],TblDisponibilidad[],23,FALSE), 0)</f>
        <v>0</v>
      </c>
    </row>
    <row r="710" spans="1:19" x14ac:dyDescent="0.3">
      <c r="A710" s="15" t="s">
        <v>740</v>
      </c>
      <c r="B710" t="str">
        <f>IFERROR(VLOOKUP(Tabla1[[#This Row],[SISMED]],TblDisponibilidad[],2,FALSE), "")</f>
        <v/>
      </c>
      <c r="C710">
        <f>IFERROR(VLOOKUP(Tabla1[[#This Row],[SISMED]],TblDisponibilidad[],7,FALSE), 0)</f>
        <v>0</v>
      </c>
      <c r="D710">
        <f>IFERROR(VLOOKUP(Tabla1[[#This Row],[SISMED]],TblDisponibilidad[],8,FALSE), 0)</f>
        <v>0</v>
      </c>
      <c r="E710">
        <f>IFERROR(VLOOKUP(Tabla1[[#This Row],[SISMED]],TblDisponibilidad[],9,FALSE), 0)</f>
        <v>0</v>
      </c>
      <c r="F710">
        <f>IFERROR(VLOOKUP(Tabla1[[#This Row],[SISMED]],TblDisponibilidad[],10,FALSE), 0)</f>
        <v>0</v>
      </c>
      <c r="G710">
        <f>IFERROR(VLOOKUP(Tabla1[[#This Row],[SISMED]],TblDisponibilidad[],11,FALSE), 0)</f>
        <v>0</v>
      </c>
      <c r="H710">
        <f>IFERROR(VLOOKUP(Tabla1[[#This Row],[SISMED]],TblDisponibilidad[],12,FALSE), 0)</f>
        <v>0</v>
      </c>
      <c r="I710">
        <f>IFERROR(VLOOKUP(Tabla1[[#This Row],[SISMED]],TblDisponibilidad[],13,FALSE), 0)</f>
        <v>0</v>
      </c>
      <c r="J710">
        <f>IFERROR(VLOOKUP(Tabla1[[#This Row],[SISMED]],TblDisponibilidad[],14,FALSE), 0)</f>
        <v>0</v>
      </c>
      <c r="K710">
        <f>IFERROR(VLOOKUP(Tabla1[[#This Row],[SISMED]],TblDisponibilidad[],15,FALSE), 0)</f>
        <v>0</v>
      </c>
      <c r="L710">
        <f>IFERROR(VLOOKUP(Tabla1[[#This Row],[SISMED]],TblDisponibilidad[],16,FALSE), 0)</f>
        <v>0</v>
      </c>
      <c r="M710">
        <f>IFERROR(VLOOKUP(Tabla1[[#This Row],[SISMED]],TblDisponibilidad[],17,FALSE), 0)</f>
        <v>0</v>
      </c>
      <c r="N710">
        <f>IFERROR(VLOOKUP(Tabla1[[#This Row],[SISMED]],TblDisponibilidad[],18,FALSE), 0)</f>
        <v>0</v>
      </c>
      <c r="O710">
        <f>IFERROR(VLOOKUP(Tabla1[[#This Row],[SISMED]],TblDisponibilidad[],19,FALSE), 0)</f>
        <v>0</v>
      </c>
      <c r="P710">
        <f>IFERROR(VLOOKUP(Tabla1[[#This Row],[SISMED]],TblDisponibilidad[],20,FALSE), 0)</f>
        <v>0</v>
      </c>
      <c r="Q710">
        <f>IFERROR(VLOOKUP(Tabla1[[#This Row],[SISMED]],TblDisponibilidad[],21,FALSE), 0)</f>
        <v>0</v>
      </c>
      <c r="R710">
        <f>IFERROR(VLOOKUP(Tabla1[[#This Row],[SISMED]],TblDisponibilidad[],22,FALSE), 0)</f>
        <v>0</v>
      </c>
      <c r="S710" s="15">
        <f>IFERROR(VLOOKUP(Tabla1[[#This Row],[SISMED]],TblDisponibilidad[],23,FALSE), 0)</f>
        <v>0</v>
      </c>
    </row>
    <row r="711" spans="1:19" x14ac:dyDescent="0.3">
      <c r="A711" s="15" t="s">
        <v>741</v>
      </c>
      <c r="B711" t="str">
        <f>IFERROR(VLOOKUP(Tabla1[[#This Row],[SISMED]],TblDisponibilidad[],2,FALSE), "")</f>
        <v/>
      </c>
      <c r="C711">
        <f>IFERROR(VLOOKUP(Tabla1[[#This Row],[SISMED]],TblDisponibilidad[],7,FALSE), 0)</f>
        <v>0</v>
      </c>
      <c r="D711">
        <f>IFERROR(VLOOKUP(Tabla1[[#This Row],[SISMED]],TblDisponibilidad[],8,FALSE), 0)</f>
        <v>0</v>
      </c>
      <c r="E711">
        <f>IFERROR(VLOOKUP(Tabla1[[#This Row],[SISMED]],TblDisponibilidad[],9,FALSE), 0)</f>
        <v>0</v>
      </c>
      <c r="F711">
        <f>IFERROR(VLOOKUP(Tabla1[[#This Row],[SISMED]],TblDisponibilidad[],10,FALSE), 0)</f>
        <v>0</v>
      </c>
      <c r="G711">
        <f>IFERROR(VLOOKUP(Tabla1[[#This Row],[SISMED]],TblDisponibilidad[],11,FALSE), 0)</f>
        <v>0</v>
      </c>
      <c r="H711">
        <f>IFERROR(VLOOKUP(Tabla1[[#This Row],[SISMED]],TblDisponibilidad[],12,FALSE), 0)</f>
        <v>0</v>
      </c>
      <c r="I711">
        <f>IFERROR(VLOOKUP(Tabla1[[#This Row],[SISMED]],TblDisponibilidad[],13,FALSE), 0)</f>
        <v>0</v>
      </c>
      <c r="J711">
        <f>IFERROR(VLOOKUP(Tabla1[[#This Row],[SISMED]],TblDisponibilidad[],14,FALSE), 0)</f>
        <v>0</v>
      </c>
      <c r="K711">
        <f>IFERROR(VLOOKUP(Tabla1[[#This Row],[SISMED]],TblDisponibilidad[],15,FALSE), 0)</f>
        <v>0</v>
      </c>
      <c r="L711">
        <f>IFERROR(VLOOKUP(Tabla1[[#This Row],[SISMED]],TblDisponibilidad[],16,FALSE), 0)</f>
        <v>0</v>
      </c>
      <c r="M711">
        <f>IFERROR(VLOOKUP(Tabla1[[#This Row],[SISMED]],TblDisponibilidad[],17,FALSE), 0)</f>
        <v>0</v>
      </c>
      <c r="N711">
        <f>IFERROR(VLOOKUP(Tabla1[[#This Row],[SISMED]],TblDisponibilidad[],18,FALSE), 0)</f>
        <v>0</v>
      </c>
      <c r="O711">
        <f>IFERROR(VLOOKUP(Tabla1[[#This Row],[SISMED]],TblDisponibilidad[],19,FALSE), 0)</f>
        <v>0</v>
      </c>
      <c r="P711">
        <f>IFERROR(VLOOKUP(Tabla1[[#This Row],[SISMED]],TblDisponibilidad[],20,FALSE), 0)</f>
        <v>0</v>
      </c>
      <c r="Q711">
        <f>IFERROR(VLOOKUP(Tabla1[[#This Row],[SISMED]],TblDisponibilidad[],21,FALSE), 0)</f>
        <v>0</v>
      </c>
      <c r="R711">
        <f>IFERROR(VLOOKUP(Tabla1[[#This Row],[SISMED]],TblDisponibilidad[],22,FALSE), 0)</f>
        <v>0</v>
      </c>
      <c r="S711" s="15">
        <f>IFERROR(VLOOKUP(Tabla1[[#This Row],[SISMED]],TblDisponibilidad[],23,FALSE), 0)</f>
        <v>0</v>
      </c>
    </row>
    <row r="712" spans="1:19" x14ac:dyDescent="0.3">
      <c r="A712" s="15" t="s">
        <v>742</v>
      </c>
      <c r="B712" t="str">
        <f>IFERROR(VLOOKUP(Tabla1[[#This Row],[SISMED]],TblDisponibilidad[],2,FALSE), "")</f>
        <v/>
      </c>
      <c r="C712">
        <f>IFERROR(VLOOKUP(Tabla1[[#This Row],[SISMED]],TblDisponibilidad[],7,FALSE), 0)</f>
        <v>0</v>
      </c>
      <c r="D712">
        <f>IFERROR(VLOOKUP(Tabla1[[#This Row],[SISMED]],TblDisponibilidad[],8,FALSE), 0)</f>
        <v>0</v>
      </c>
      <c r="E712">
        <f>IFERROR(VLOOKUP(Tabla1[[#This Row],[SISMED]],TblDisponibilidad[],9,FALSE), 0)</f>
        <v>0</v>
      </c>
      <c r="F712">
        <f>IFERROR(VLOOKUP(Tabla1[[#This Row],[SISMED]],TblDisponibilidad[],10,FALSE), 0)</f>
        <v>0</v>
      </c>
      <c r="G712">
        <f>IFERROR(VLOOKUP(Tabla1[[#This Row],[SISMED]],TblDisponibilidad[],11,FALSE), 0)</f>
        <v>0</v>
      </c>
      <c r="H712">
        <f>IFERROR(VLOOKUP(Tabla1[[#This Row],[SISMED]],TblDisponibilidad[],12,FALSE), 0)</f>
        <v>0</v>
      </c>
      <c r="I712">
        <f>IFERROR(VLOOKUP(Tabla1[[#This Row],[SISMED]],TblDisponibilidad[],13,FALSE), 0)</f>
        <v>0</v>
      </c>
      <c r="J712">
        <f>IFERROR(VLOOKUP(Tabla1[[#This Row],[SISMED]],TblDisponibilidad[],14,FALSE), 0)</f>
        <v>0</v>
      </c>
      <c r="K712">
        <f>IFERROR(VLOOKUP(Tabla1[[#This Row],[SISMED]],TblDisponibilidad[],15,FALSE), 0)</f>
        <v>0</v>
      </c>
      <c r="L712">
        <f>IFERROR(VLOOKUP(Tabla1[[#This Row],[SISMED]],TblDisponibilidad[],16,FALSE), 0)</f>
        <v>0</v>
      </c>
      <c r="M712">
        <f>IFERROR(VLOOKUP(Tabla1[[#This Row],[SISMED]],TblDisponibilidad[],17,FALSE), 0)</f>
        <v>0</v>
      </c>
      <c r="N712">
        <f>IFERROR(VLOOKUP(Tabla1[[#This Row],[SISMED]],TblDisponibilidad[],18,FALSE), 0)</f>
        <v>0</v>
      </c>
      <c r="O712">
        <f>IFERROR(VLOOKUP(Tabla1[[#This Row],[SISMED]],TblDisponibilidad[],19,FALSE), 0)</f>
        <v>0</v>
      </c>
      <c r="P712">
        <f>IFERROR(VLOOKUP(Tabla1[[#This Row],[SISMED]],TblDisponibilidad[],20,FALSE), 0)</f>
        <v>0</v>
      </c>
      <c r="Q712">
        <f>IFERROR(VLOOKUP(Tabla1[[#This Row],[SISMED]],TblDisponibilidad[],21,FALSE), 0)</f>
        <v>0</v>
      </c>
      <c r="R712">
        <f>IFERROR(VLOOKUP(Tabla1[[#This Row],[SISMED]],TblDisponibilidad[],22,FALSE), 0)</f>
        <v>0</v>
      </c>
      <c r="S712" s="15">
        <f>IFERROR(VLOOKUP(Tabla1[[#This Row],[SISMED]],TblDisponibilidad[],23,FALSE), 0)</f>
        <v>0</v>
      </c>
    </row>
    <row r="713" spans="1:19" x14ac:dyDescent="0.3">
      <c r="A713" s="15" t="s">
        <v>743</v>
      </c>
      <c r="B713" t="str">
        <f>IFERROR(VLOOKUP(Tabla1[[#This Row],[SISMED]],TblDisponibilidad[],2,FALSE), "")</f>
        <v/>
      </c>
      <c r="C713">
        <f>IFERROR(VLOOKUP(Tabla1[[#This Row],[SISMED]],TblDisponibilidad[],7,FALSE), 0)</f>
        <v>0</v>
      </c>
      <c r="D713">
        <f>IFERROR(VLOOKUP(Tabla1[[#This Row],[SISMED]],TblDisponibilidad[],8,FALSE), 0)</f>
        <v>0</v>
      </c>
      <c r="E713">
        <f>IFERROR(VLOOKUP(Tabla1[[#This Row],[SISMED]],TblDisponibilidad[],9,FALSE), 0)</f>
        <v>0</v>
      </c>
      <c r="F713">
        <f>IFERROR(VLOOKUP(Tabla1[[#This Row],[SISMED]],TblDisponibilidad[],10,FALSE), 0)</f>
        <v>0</v>
      </c>
      <c r="G713">
        <f>IFERROR(VLOOKUP(Tabla1[[#This Row],[SISMED]],TblDisponibilidad[],11,FALSE), 0)</f>
        <v>0</v>
      </c>
      <c r="H713">
        <f>IFERROR(VLOOKUP(Tabla1[[#This Row],[SISMED]],TblDisponibilidad[],12,FALSE), 0)</f>
        <v>0</v>
      </c>
      <c r="I713">
        <f>IFERROR(VLOOKUP(Tabla1[[#This Row],[SISMED]],TblDisponibilidad[],13,FALSE), 0)</f>
        <v>0</v>
      </c>
      <c r="J713">
        <f>IFERROR(VLOOKUP(Tabla1[[#This Row],[SISMED]],TblDisponibilidad[],14,FALSE), 0)</f>
        <v>0</v>
      </c>
      <c r="K713">
        <f>IFERROR(VLOOKUP(Tabla1[[#This Row],[SISMED]],TblDisponibilidad[],15,FALSE), 0)</f>
        <v>0</v>
      </c>
      <c r="L713">
        <f>IFERROR(VLOOKUP(Tabla1[[#This Row],[SISMED]],TblDisponibilidad[],16,FALSE), 0)</f>
        <v>0</v>
      </c>
      <c r="M713">
        <f>IFERROR(VLOOKUP(Tabla1[[#This Row],[SISMED]],TblDisponibilidad[],17,FALSE), 0)</f>
        <v>0</v>
      </c>
      <c r="N713">
        <f>IFERROR(VLOOKUP(Tabla1[[#This Row],[SISMED]],TblDisponibilidad[],18,FALSE), 0)</f>
        <v>0</v>
      </c>
      <c r="O713">
        <f>IFERROR(VLOOKUP(Tabla1[[#This Row],[SISMED]],TblDisponibilidad[],19,FALSE), 0)</f>
        <v>0</v>
      </c>
      <c r="P713">
        <f>IFERROR(VLOOKUP(Tabla1[[#This Row],[SISMED]],TblDisponibilidad[],20,FALSE), 0)</f>
        <v>0</v>
      </c>
      <c r="Q713">
        <f>IFERROR(VLOOKUP(Tabla1[[#This Row],[SISMED]],TblDisponibilidad[],21,FALSE), 0)</f>
        <v>0</v>
      </c>
      <c r="R713">
        <f>IFERROR(VLOOKUP(Tabla1[[#This Row],[SISMED]],TblDisponibilidad[],22,FALSE), 0)</f>
        <v>0</v>
      </c>
      <c r="S713" s="15">
        <f>IFERROR(VLOOKUP(Tabla1[[#This Row],[SISMED]],TblDisponibilidad[],23,FALSE), 0)</f>
        <v>0</v>
      </c>
    </row>
    <row r="714" spans="1:19" x14ac:dyDescent="0.3">
      <c r="A714" s="15" t="s">
        <v>744</v>
      </c>
      <c r="B714" t="str">
        <f>IFERROR(VLOOKUP(Tabla1[[#This Row],[SISMED]],TblDisponibilidad[],2,FALSE), "")</f>
        <v/>
      </c>
      <c r="C714">
        <f>IFERROR(VLOOKUP(Tabla1[[#This Row],[SISMED]],TblDisponibilidad[],7,FALSE), 0)</f>
        <v>0</v>
      </c>
      <c r="D714">
        <f>IFERROR(VLOOKUP(Tabla1[[#This Row],[SISMED]],TblDisponibilidad[],8,FALSE), 0)</f>
        <v>0</v>
      </c>
      <c r="E714">
        <f>IFERROR(VLOOKUP(Tabla1[[#This Row],[SISMED]],TblDisponibilidad[],9,FALSE), 0)</f>
        <v>0</v>
      </c>
      <c r="F714">
        <f>IFERROR(VLOOKUP(Tabla1[[#This Row],[SISMED]],TblDisponibilidad[],10,FALSE), 0)</f>
        <v>0</v>
      </c>
      <c r="G714">
        <f>IFERROR(VLOOKUP(Tabla1[[#This Row],[SISMED]],TblDisponibilidad[],11,FALSE), 0)</f>
        <v>0</v>
      </c>
      <c r="H714">
        <f>IFERROR(VLOOKUP(Tabla1[[#This Row],[SISMED]],TblDisponibilidad[],12,FALSE), 0)</f>
        <v>0</v>
      </c>
      <c r="I714">
        <f>IFERROR(VLOOKUP(Tabla1[[#This Row],[SISMED]],TblDisponibilidad[],13,FALSE), 0)</f>
        <v>0</v>
      </c>
      <c r="J714">
        <f>IFERROR(VLOOKUP(Tabla1[[#This Row],[SISMED]],TblDisponibilidad[],14,FALSE), 0)</f>
        <v>0</v>
      </c>
      <c r="K714">
        <f>IFERROR(VLOOKUP(Tabla1[[#This Row],[SISMED]],TblDisponibilidad[],15,FALSE), 0)</f>
        <v>0</v>
      </c>
      <c r="L714">
        <f>IFERROR(VLOOKUP(Tabla1[[#This Row],[SISMED]],TblDisponibilidad[],16,FALSE), 0)</f>
        <v>0</v>
      </c>
      <c r="M714">
        <f>IFERROR(VLOOKUP(Tabla1[[#This Row],[SISMED]],TblDisponibilidad[],17,FALSE), 0)</f>
        <v>0</v>
      </c>
      <c r="N714">
        <f>IFERROR(VLOOKUP(Tabla1[[#This Row],[SISMED]],TblDisponibilidad[],18,FALSE), 0)</f>
        <v>0</v>
      </c>
      <c r="O714">
        <f>IFERROR(VLOOKUP(Tabla1[[#This Row],[SISMED]],TblDisponibilidad[],19,FALSE), 0)</f>
        <v>0</v>
      </c>
      <c r="P714">
        <f>IFERROR(VLOOKUP(Tabla1[[#This Row],[SISMED]],TblDisponibilidad[],20,FALSE), 0)</f>
        <v>0</v>
      </c>
      <c r="Q714">
        <f>IFERROR(VLOOKUP(Tabla1[[#This Row],[SISMED]],TblDisponibilidad[],21,FALSE), 0)</f>
        <v>0</v>
      </c>
      <c r="R714">
        <f>IFERROR(VLOOKUP(Tabla1[[#This Row],[SISMED]],TblDisponibilidad[],22,FALSE), 0)</f>
        <v>0</v>
      </c>
      <c r="S714" s="15">
        <f>IFERROR(VLOOKUP(Tabla1[[#This Row],[SISMED]],TblDisponibilidad[],23,FALSE), 0)</f>
        <v>0</v>
      </c>
    </row>
    <row r="715" spans="1:19" x14ac:dyDescent="0.3">
      <c r="A715" s="15" t="s">
        <v>745</v>
      </c>
      <c r="B715" t="str">
        <f>IFERROR(VLOOKUP(Tabla1[[#This Row],[SISMED]],TblDisponibilidad[],2,FALSE), "")</f>
        <v/>
      </c>
      <c r="C715">
        <f>IFERROR(VLOOKUP(Tabla1[[#This Row],[SISMED]],TblDisponibilidad[],7,FALSE), 0)</f>
        <v>0</v>
      </c>
      <c r="D715">
        <f>IFERROR(VLOOKUP(Tabla1[[#This Row],[SISMED]],TblDisponibilidad[],8,FALSE), 0)</f>
        <v>0</v>
      </c>
      <c r="E715">
        <f>IFERROR(VLOOKUP(Tabla1[[#This Row],[SISMED]],TblDisponibilidad[],9,FALSE), 0)</f>
        <v>0</v>
      </c>
      <c r="F715">
        <f>IFERROR(VLOOKUP(Tabla1[[#This Row],[SISMED]],TblDisponibilidad[],10,FALSE), 0)</f>
        <v>0</v>
      </c>
      <c r="G715">
        <f>IFERROR(VLOOKUP(Tabla1[[#This Row],[SISMED]],TblDisponibilidad[],11,FALSE), 0)</f>
        <v>0</v>
      </c>
      <c r="H715">
        <f>IFERROR(VLOOKUP(Tabla1[[#This Row],[SISMED]],TblDisponibilidad[],12,FALSE), 0)</f>
        <v>0</v>
      </c>
      <c r="I715">
        <f>IFERROR(VLOOKUP(Tabla1[[#This Row],[SISMED]],TblDisponibilidad[],13,FALSE), 0)</f>
        <v>0</v>
      </c>
      <c r="J715">
        <f>IFERROR(VLOOKUP(Tabla1[[#This Row],[SISMED]],TblDisponibilidad[],14,FALSE), 0)</f>
        <v>0</v>
      </c>
      <c r="K715">
        <f>IFERROR(VLOOKUP(Tabla1[[#This Row],[SISMED]],TblDisponibilidad[],15,FALSE), 0)</f>
        <v>0</v>
      </c>
      <c r="L715">
        <f>IFERROR(VLOOKUP(Tabla1[[#This Row],[SISMED]],TblDisponibilidad[],16,FALSE), 0)</f>
        <v>0</v>
      </c>
      <c r="M715">
        <f>IFERROR(VLOOKUP(Tabla1[[#This Row],[SISMED]],TblDisponibilidad[],17,FALSE), 0)</f>
        <v>0</v>
      </c>
      <c r="N715">
        <f>IFERROR(VLOOKUP(Tabla1[[#This Row],[SISMED]],TblDisponibilidad[],18,FALSE), 0)</f>
        <v>0</v>
      </c>
      <c r="O715">
        <f>IFERROR(VLOOKUP(Tabla1[[#This Row],[SISMED]],TblDisponibilidad[],19,FALSE), 0)</f>
        <v>0</v>
      </c>
      <c r="P715">
        <f>IFERROR(VLOOKUP(Tabla1[[#This Row],[SISMED]],TblDisponibilidad[],20,FALSE), 0)</f>
        <v>0</v>
      </c>
      <c r="Q715">
        <f>IFERROR(VLOOKUP(Tabla1[[#This Row],[SISMED]],TblDisponibilidad[],21,FALSE), 0)</f>
        <v>0</v>
      </c>
      <c r="R715">
        <f>IFERROR(VLOOKUP(Tabla1[[#This Row],[SISMED]],TblDisponibilidad[],22,FALSE), 0)</f>
        <v>0</v>
      </c>
      <c r="S715" s="15">
        <f>IFERROR(VLOOKUP(Tabla1[[#This Row],[SISMED]],TblDisponibilidad[],23,FALSE), 0)</f>
        <v>0</v>
      </c>
    </row>
    <row r="716" spans="1:19" x14ac:dyDescent="0.3">
      <c r="A716" s="15" t="s">
        <v>746</v>
      </c>
      <c r="B716" t="str">
        <f>IFERROR(VLOOKUP(Tabla1[[#This Row],[SISMED]],TblDisponibilidad[],2,FALSE), "")</f>
        <v/>
      </c>
      <c r="C716">
        <f>IFERROR(VLOOKUP(Tabla1[[#This Row],[SISMED]],TblDisponibilidad[],7,FALSE), 0)</f>
        <v>0</v>
      </c>
      <c r="D716">
        <f>IFERROR(VLOOKUP(Tabla1[[#This Row],[SISMED]],TblDisponibilidad[],8,FALSE), 0)</f>
        <v>0</v>
      </c>
      <c r="E716">
        <f>IFERROR(VLOOKUP(Tabla1[[#This Row],[SISMED]],TblDisponibilidad[],9,FALSE), 0)</f>
        <v>0</v>
      </c>
      <c r="F716">
        <f>IFERROR(VLOOKUP(Tabla1[[#This Row],[SISMED]],TblDisponibilidad[],10,FALSE), 0)</f>
        <v>0</v>
      </c>
      <c r="G716">
        <f>IFERROR(VLOOKUP(Tabla1[[#This Row],[SISMED]],TblDisponibilidad[],11,FALSE), 0)</f>
        <v>0</v>
      </c>
      <c r="H716">
        <f>IFERROR(VLOOKUP(Tabla1[[#This Row],[SISMED]],TblDisponibilidad[],12,FALSE), 0)</f>
        <v>0</v>
      </c>
      <c r="I716">
        <f>IFERROR(VLOOKUP(Tabla1[[#This Row],[SISMED]],TblDisponibilidad[],13,FALSE), 0)</f>
        <v>0</v>
      </c>
      <c r="J716">
        <f>IFERROR(VLOOKUP(Tabla1[[#This Row],[SISMED]],TblDisponibilidad[],14,FALSE), 0)</f>
        <v>0</v>
      </c>
      <c r="K716">
        <f>IFERROR(VLOOKUP(Tabla1[[#This Row],[SISMED]],TblDisponibilidad[],15,FALSE), 0)</f>
        <v>0</v>
      </c>
      <c r="L716">
        <f>IFERROR(VLOOKUP(Tabla1[[#This Row],[SISMED]],TblDisponibilidad[],16,FALSE), 0)</f>
        <v>0</v>
      </c>
      <c r="M716">
        <f>IFERROR(VLOOKUP(Tabla1[[#This Row],[SISMED]],TblDisponibilidad[],17,FALSE), 0)</f>
        <v>0</v>
      </c>
      <c r="N716">
        <f>IFERROR(VLOOKUP(Tabla1[[#This Row],[SISMED]],TblDisponibilidad[],18,FALSE), 0)</f>
        <v>0</v>
      </c>
      <c r="O716">
        <f>IFERROR(VLOOKUP(Tabla1[[#This Row],[SISMED]],TblDisponibilidad[],19,FALSE), 0)</f>
        <v>0</v>
      </c>
      <c r="P716">
        <f>IFERROR(VLOOKUP(Tabla1[[#This Row],[SISMED]],TblDisponibilidad[],20,FALSE), 0)</f>
        <v>0</v>
      </c>
      <c r="Q716">
        <f>IFERROR(VLOOKUP(Tabla1[[#This Row],[SISMED]],TblDisponibilidad[],21,FALSE), 0)</f>
        <v>0</v>
      </c>
      <c r="R716">
        <f>IFERROR(VLOOKUP(Tabla1[[#This Row],[SISMED]],TblDisponibilidad[],22,FALSE), 0)</f>
        <v>0</v>
      </c>
      <c r="S716" s="15">
        <f>IFERROR(VLOOKUP(Tabla1[[#This Row],[SISMED]],TblDisponibilidad[],23,FALSE), 0)</f>
        <v>0</v>
      </c>
    </row>
    <row r="717" spans="1:19" x14ac:dyDescent="0.3">
      <c r="A717" s="15" t="s">
        <v>747</v>
      </c>
      <c r="B717" t="str">
        <f>IFERROR(VLOOKUP(Tabla1[[#This Row],[SISMED]],TblDisponibilidad[],2,FALSE), "")</f>
        <v/>
      </c>
      <c r="C717">
        <f>IFERROR(VLOOKUP(Tabla1[[#This Row],[SISMED]],TblDisponibilidad[],7,FALSE), 0)</f>
        <v>0</v>
      </c>
      <c r="D717">
        <f>IFERROR(VLOOKUP(Tabla1[[#This Row],[SISMED]],TblDisponibilidad[],8,FALSE), 0)</f>
        <v>0</v>
      </c>
      <c r="E717">
        <f>IFERROR(VLOOKUP(Tabla1[[#This Row],[SISMED]],TblDisponibilidad[],9,FALSE), 0)</f>
        <v>0</v>
      </c>
      <c r="F717">
        <f>IFERROR(VLOOKUP(Tabla1[[#This Row],[SISMED]],TblDisponibilidad[],10,FALSE), 0)</f>
        <v>0</v>
      </c>
      <c r="G717">
        <f>IFERROR(VLOOKUP(Tabla1[[#This Row],[SISMED]],TblDisponibilidad[],11,FALSE), 0)</f>
        <v>0</v>
      </c>
      <c r="H717">
        <f>IFERROR(VLOOKUP(Tabla1[[#This Row],[SISMED]],TblDisponibilidad[],12,FALSE), 0)</f>
        <v>0</v>
      </c>
      <c r="I717">
        <f>IFERROR(VLOOKUP(Tabla1[[#This Row],[SISMED]],TblDisponibilidad[],13,FALSE), 0)</f>
        <v>0</v>
      </c>
      <c r="J717">
        <f>IFERROR(VLOOKUP(Tabla1[[#This Row],[SISMED]],TblDisponibilidad[],14,FALSE), 0)</f>
        <v>0</v>
      </c>
      <c r="K717">
        <f>IFERROR(VLOOKUP(Tabla1[[#This Row],[SISMED]],TblDisponibilidad[],15,FALSE), 0)</f>
        <v>0</v>
      </c>
      <c r="L717">
        <f>IFERROR(VLOOKUP(Tabla1[[#This Row],[SISMED]],TblDisponibilidad[],16,FALSE), 0)</f>
        <v>0</v>
      </c>
      <c r="M717">
        <f>IFERROR(VLOOKUP(Tabla1[[#This Row],[SISMED]],TblDisponibilidad[],17,FALSE), 0)</f>
        <v>0</v>
      </c>
      <c r="N717">
        <f>IFERROR(VLOOKUP(Tabla1[[#This Row],[SISMED]],TblDisponibilidad[],18,FALSE), 0)</f>
        <v>0</v>
      </c>
      <c r="O717">
        <f>IFERROR(VLOOKUP(Tabla1[[#This Row],[SISMED]],TblDisponibilidad[],19,FALSE), 0)</f>
        <v>0</v>
      </c>
      <c r="P717">
        <f>IFERROR(VLOOKUP(Tabla1[[#This Row],[SISMED]],TblDisponibilidad[],20,FALSE), 0)</f>
        <v>0</v>
      </c>
      <c r="Q717">
        <f>IFERROR(VLOOKUP(Tabla1[[#This Row],[SISMED]],TblDisponibilidad[],21,FALSE), 0)</f>
        <v>0</v>
      </c>
      <c r="R717">
        <f>IFERROR(VLOOKUP(Tabla1[[#This Row],[SISMED]],TblDisponibilidad[],22,FALSE), 0)</f>
        <v>0</v>
      </c>
      <c r="S717" s="15">
        <f>IFERROR(VLOOKUP(Tabla1[[#This Row],[SISMED]],TblDisponibilidad[],23,FALSE), 0)</f>
        <v>0</v>
      </c>
    </row>
    <row r="718" spans="1:19" x14ac:dyDescent="0.3">
      <c r="A718" s="15" t="s">
        <v>748</v>
      </c>
      <c r="B718" t="str">
        <f>IFERROR(VLOOKUP(Tabla1[[#This Row],[SISMED]],TblDisponibilidad[],2,FALSE), "")</f>
        <v/>
      </c>
      <c r="C718">
        <f>IFERROR(VLOOKUP(Tabla1[[#This Row],[SISMED]],TblDisponibilidad[],7,FALSE), 0)</f>
        <v>0</v>
      </c>
      <c r="D718">
        <f>IFERROR(VLOOKUP(Tabla1[[#This Row],[SISMED]],TblDisponibilidad[],8,FALSE), 0)</f>
        <v>0</v>
      </c>
      <c r="E718">
        <f>IFERROR(VLOOKUP(Tabla1[[#This Row],[SISMED]],TblDisponibilidad[],9,FALSE), 0)</f>
        <v>0</v>
      </c>
      <c r="F718">
        <f>IFERROR(VLOOKUP(Tabla1[[#This Row],[SISMED]],TblDisponibilidad[],10,FALSE), 0)</f>
        <v>0</v>
      </c>
      <c r="G718">
        <f>IFERROR(VLOOKUP(Tabla1[[#This Row],[SISMED]],TblDisponibilidad[],11,FALSE), 0)</f>
        <v>0</v>
      </c>
      <c r="H718">
        <f>IFERROR(VLOOKUP(Tabla1[[#This Row],[SISMED]],TblDisponibilidad[],12,FALSE), 0)</f>
        <v>0</v>
      </c>
      <c r="I718">
        <f>IFERROR(VLOOKUP(Tabla1[[#This Row],[SISMED]],TblDisponibilidad[],13,FALSE), 0)</f>
        <v>0</v>
      </c>
      <c r="J718">
        <f>IFERROR(VLOOKUP(Tabla1[[#This Row],[SISMED]],TblDisponibilidad[],14,FALSE), 0)</f>
        <v>0</v>
      </c>
      <c r="K718">
        <f>IFERROR(VLOOKUP(Tabla1[[#This Row],[SISMED]],TblDisponibilidad[],15,FALSE), 0)</f>
        <v>0</v>
      </c>
      <c r="L718">
        <f>IFERROR(VLOOKUP(Tabla1[[#This Row],[SISMED]],TblDisponibilidad[],16,FALSE), 0)</f>
        <v>0</v>
      </c>
      <c r="M718">
        <f>IFERROR(VLOOKUP(Tabla1[[#This Row],[SISMED]],TblDisponibilidad[],17,FALSE), 0)</f>
        <v>0</v>
      </c>
      <c r="N718">
        <f>IFERROR(VLOOKUP(Tabla1[[#This Row],[SISMED]],TblDisponibilidad[],18,FALSE), 0)</f>
        <v>0</v>
      </c>
      <c r="O718">
        <f>IFERROR(VLOOKUP(Tabla1[[#This Row],[SISMED]],TblDisponibilidad[],19,FALSE), 0)</f>
        <v>0</v>
      </c>
      <c r="P718">
        <f>IFERROR(VLOOKUP(Tabla1[[#This Row],[SISMED]],TblDisponibilidad[],20,FALSE), 0)</f>
        <v>0</v>
      </c>
      <c r="Q718">
        <f>IFERROR(VLOOKUP(Tabla1[[#This Row],[SISMED]],TblDisponibilidad[],21,FALSE), 0)</f>
        <v>0</v>
      </c>
      <c r="R718">
        <f>IFERROR(VLOOKUP(Tabla1[[#This Row],[SISMED]],TblDisponibilidad[],22,FALSE), 0)</f>
        <v>0</v>
      </c>
      <c r="S718" s="15">
        <f>IFERROR(VLOOKUP(Tabla1[[#This Row],[SISMED]],TblDisponibilidad[],23,FALSE), 0)</f>
        <v>0</v>
      </c>
    </row>
    <row r="719" spans="1:19" x14ac:dyDescent="0.3">
      <c r="A719" s="15" t="s">
        <v>749</v>
      </c>
      <c r="B719" t="str">
        <f>IFERROR(VLOOKUP(Tabla1[[#This Row],[SISMED]],TblDisponibilidad[],2,FALSE), "")</f>
        <v/>
      </c>
      <c r="C719">
        <f>IFERROR(VLOOKUP(Tabla1[[#This Row],[SISMED]],TblDisponibilidad[],7,FALSE), 0)</f>
        <v>0</v>
      </c>
      <c r="D719">
        <f>IFERROR(VLOOKUP(Tabla1[[#This Row],[SISMED]],TblDisponibilidad[],8,FALSE), 0)</f>
        <v>0</v>
      </c>
      <c r="E719">
        <f>IFERROR(VLOOKUP(Tabla1[[#This Row],[SISMED]],TblDisponibilidad[],9,FALSE), 0)</f>
        <v>0</v>
      </c>
      <c r="F719">
        <f>IFERROR(VLOOKUP(Tabla1[[#This Row],[SISMED]],TblDisponibilidad[],10,FALSE), 0)</f>
        <v>0</v>
      </c>
      <c r="G719">
        <f>IFERROR(VLOOKUP(Tabla1[[#This Row],[SISMED]],TblDisponibilidad[],11,FALSE), 0)</f>
        <v>0</v>
      </c>
      <c r="H719">
        <f>IFERROR(VLOOKUP(Tabla1[[#This Row],[SISMED]],TblDisponibilidad[],12,FALSE), 0)</f>
        <v>0</v>
      </c>
      <c r="I719">
        <f>IFERROR(VLOOKUP(Tabla1[[#This Row],[SISMED]],TblDisponibilidad[],13,FALSE), 0)</f>
        <v>0</v>
      </c>
      <c r="J719">
        <f>IFERROR(VLOOKUP(Tabla1[[#This Row],[SISMED]],TblDisponibilidad[],14,FALSE), 0)</f>
        <v>0</v>
      </c>
      <c r="K719">
        <f>IFERROR(VLOOKUP(Tabla1[[#This Row],[SISMED]],TblDisponibilidad[],15,FALSE), 0)</f>
        <v>0</v>
      </c>
      <c r="L719">
        <f>IFERROR(VLOOKUP(Tabla1[[#This Row],[SISMED]],TblDisponibilidad[],16,FALSE), 0)</f>
        <v>0</v>
      </c>
      <c r="M719">
        <f>IFERROR(VLOOKUP(Tabla1[[#This Row],[SISMED]],TblDisponibilidad[],17,FALSE), 0)</f>
        <v>0</v>
      </c>
      <c r="N719">
        <f>IFERROR(VLOOKUP(Tabla1[[#This Row],[SISMED]],TblDisponibilidad[],18,FALSE), 0)</f>
        <v>0</v>
      </c>
      <c r="O719">
        <f>IFERROR(VLOOKUP(Tabla1[[#This Row],[SISMED]],TblDisponibilidad[],19,FALSE), 0)</f>
        <v>0</v>
      </c>
      <c r="P719">
        <f>IFERROR(VLOOKUP(Tabla1[[#This Row],[SISMED]],TblDisponibilidad[],20,FALSE), 0)</f>
        <v>0</v>
      </c>
      <c r="Q719">
        <f>IFERROR(VLOOKUP(Tabla1[[#This Row],[SISMED]],TblDisponibilidad[],21,FALSE), 0)</f>
        <v>0</v>
      </c>
      <c r="R719">
        <f>IFERROR(VLOOKUP(Tabla1[[#This Row],[SISMED]],TblDisponibilidad[],22,FALSE), 0)</f>
        <v>0</v>
      </c>
      <c r="S719" s="15">
        <f>IFERROR(VLOOKUP(Tabla1[[#This Row],[SISMED]],TblDisponibilidad[],23,FALSE), 0)</f>
        <v>0</v>
      </c>
    </row>
    <row r="720" spans="1:19" x14ac:dyDescent="0.3">
      <c r="A720" s="15" t="s">
        <v>750</v>
      </c>
      <c r="B720" t="str">
        <f>IFERROR(VLOOKUP(Tabla1[[#This Row],[SISMED]],TblDisponibilidad[],2,FALSE), "")</f>
        <v/>
      </c>
      <c r="C720">
        <f>IFERROR(VLOOKUP(Tabla1[[#This Row],[SISMED]],TblDisponibilidad[],7,FALSE), 0)</f>
        <v>0</v>
      </c>
      <c r="D720">
        <f>IFERROR(VLOOKUP(Tabla1[[#This Row],[SISMED]],TblDisponibilidad[],8,FALSE), 0)</f>
        <v>0</v>
      </c>
      <c r="E720">
        <f>IFERROR(VLOOKUP(Tabla1[[#This Row],[SISMED]],TblDisponibilidad[],9,FALSE), 0)</f>
        <v>0</v>
      </c>
      <c r="F720">
        <f>IFERROR(VLOOKUP(Tabla1[[#This Row],[SISMED]],TblDisponibilidad[],10,FALSE), 0)</f>
        <v>0</v>
      </c>
      <c r="G720">
        <f>IFERROR(VLOOKUP(Tabla1[[#This Row],[SISMED]],TblDisponibilidad[],11,FALSE), 0)</f>
        <v>0</v>
      </c>
      <c r="H720">
        <f>IFERROR(VLOOKUP(Tabla1[[#This Row],[SISMED]],TblDisponibilidad[],12,FALSE), 0)</f>
        <v>0</v>
      </c>
      <c r="I720">
        <f>IFERROR(VLOOKUP(Tabla1[[#This Row],[SISMED]],TblDisponibilidad[],13,FALSE), 0)</f>
        <v>0</v>
      </c>
      <c r="J720">
        <f>IFERROR(VLOOKUP(Tabla1[[#This Row],[SISMED]],TblDisponibilidad[],14,FALSE), 0)</f>
        <v>0</v>
      </c>
      <c r="K720">
        <f>IFERROR(VLOOKUP(Tabla1[[#This Row],[SISMED]],TblDisponibilidad[],15,FALSE), 0)</f>
        <v>0</v>
      </c>
      <c r="L720">
        <f>IFERROR(VLOOKUP(Tabla1[[#This Row],[SISMED]],TblDisponibilidad[],16,FALSE), 0)</f>
        <v>0</v>
      </c>
      <c r="M720">
        <f>IFERROR(VLOOKUP(Tabla1[[#This Row],[SISMED]],TblDisponibilidad[],17,FALSE), 0)</f>
        <v>0</v>
      </c>
      <c r="N720">
        <f>IFERROR(VLOOKUP(Tabla1[[#This Row],[SISMED]],TblDisponibilidad[],18,FALSE), 0)</f>
        <v>0</v>
      </c>
      <c r="O720">
        <f>IFERROR(VLOOKUP(Tabla1[[#This Row],[SISMED]],TblDisponibilidad[],19,FALSE), 0)</f>
        <v>0</v>
      </c>
      <c r="P720">
        <f>IFERROR(VLOOKUP(Tabla1[[#This Row],[SISMED]],TblDisponibilidad[],20,FALSE), 0)</f>
        <v>0</v>
      </c>
      <c r="Q720">
        <f>IFERROR(VLOOKUP(Tabla1[[#This Row],[SISMED]],TblDisponibilidad[],21,FALSE), 0)</f>
        <v>0</v>
      </c>
      <c r="R720">
        <f>IFERROR(VLOOKUP(Tabla1[[#This Row],[SISMED]],TblDisponibilidad[],22,FALSE), 0)</f>
        <v>0</v>
      </c>
      <c r="S720" s="15">
        <f>IFERROR(VLOOKUP(Tabla1[[#This Row],[SISMED]],TblDisponibilidad[],23,FALSE), 0)</f>
        <v>0</v>
      </c>
    </row>
    <row r="721" spans="1:19" x14ac:dyDescent="0.3">
      <c r="A721" s="15" t="s">
        <v>751</v>
      </c>
      <c r="B721" t="str">
        <f>IFERROR(VLOOKUP(Tabla1[[#This Row],[SISMED]],TblDisponibilidad[],2,FALSE), "")</f>
        <v/>
      </c>
      <c r="C721">
        <f>IFERROR(VLOOKUP(Tabla1[[#This Row],[SISMED]],TblDisponibilidad[],7,FALSE), 0)</f>
        <v>0</v>
      </c>
      <c r="D721">
        <f>IFERROR(VLOOKUP(Tabla1[[#This Row],[SISMED]],TblDisponibilidad[],8,FALSE), 0)</f>
        <v>0</v>
      </c>
      <c r="E721">
        <f>IFERROR(VLOOKUP(Tabla1[[#This Row],[SISMED]],TblDisponibilidad[],9,FALSE), 0)</f>
        <v>0</v>
      </c>
      <c r="F721">
        <f>IFERROR(VLOOKUP(Tabla1[[#This Row],[SISMED]],TblDisponibilidad[],10,FALSE), 0)</f>
        <v>0</v>
      </c>
      <c r="G721">
        <f>IFERROR(VLOOKUP(Tabla1[[#This Row],[SISMED]],TblDisponibilidad[],11,FALSE), 0)</f>
        <v>0</v>
      </c>
      <c r="H721">
        <f>IFERROR(VLOOKUP(Tabla1[[#This Row],[SISMED]],TblDisponibilidad[],12,FALSE), 0)</f>
        <v>0</v>
      </c>
      <c r="I721">
        <f>IFERROR(VLOOKUP(Tabla1[[#This Row],[SISMED]],TblDisponibilidad[],13,FALSE), 0)</f>
        <v>0</v>
      </c>
      <c r="J721">
        <f>IFERROR(VLOOKUP(Tabla1[[#This Row],[SISMED]],TblDisponibilidad[],14,FALSE), 0)</f>
        <v>0</v>
      </c>
      <c r="K721">
        <f>IFERROR(VLOOKUP(Tabla1[[#This Row],[SISMED]],TblDisponibilidad[],15,FALSE), 0)</f>
        <v>0</v>
      </c>
      <c r="L721">
        <f>IFERROR(VLOOKUP(Tabla1[[#This Row],[SISMED]],TblDisponibilidad[],16,FALSE), 0)</f>
        <v>0</v>
      </c>
      <c r="M721">
        <f>IFERROR(VLOOKUP(Tabla1[[#This Row],[SISMED]],TblDisponibilidad[],17,FALSE), 0)</f>
        <v>0</v>
      </c>
      <c r="N721">
        <f>IFERROR(VLOOKUP(Tabla1[[#This Row],[SISMED]],TblDisponibilidad[],18,FALSE), 0)</f>
        <v>0</v>
      </c>
      <c r="O721">
        <f>IFERROR(VLOOKUP(Tabla1[[#This Row],[SISMED]],TblDisponibilidad[],19,FALSE), 0)</f>
        <v>0</v>
      </c>
      <c r="P721">
        <f>IFERROR(VLOOKUP(Tabla1[[#This Row],[SISMED]],TblDisponibilidad[],20,FALSE), 0)</f>
        <v>0</v>
      </c>
      <c r="Q721">
        <f>IFERROR(VLOOKUP(Tabla1[[#This Row],[SISMED]],TblDisponibilidad[],21,FALSE), 0)</f>
        <v>0</v>
      </c>
      <c r="R721">
        <f>IFERROR(VLOOKUP(Tabla1[[#This Row],[SISMED]],TblDisponibilidad[],22,FALSE), 0)</f>
        <v>0</v>
      </c>
      <c r="S721" s="15">
        <f>IFERROR(VLOOKUP(Tabla1[[#This Row],[SISMED]],TblDisponibilidad[],23,FALSE), 0)</f>
        <v>0</v>
      </c>
    </row>
    <row r="722" spans="1:19" x14ac:dyDescent="0.3">
      <c r="A722" s="15" t="s">
        <v>752</v>
      </c>
      <c r="B722" t="str">
        <f>IFERROR(VLOOKUP(Tabla1[[#This Row],[SISMED]],TblDisponibilidad[],2,FALSE), "")</f>
        <v/>
      </c>
      <c r="C722">
        <f>IFERROR(VLOOKUP(Tabla1[[#This Row],[SISMED]],TblDisponibilidad[],7,FALSE), 0)</f>
        <v>0</v>
      </c>
      <c r="D722">
        <f>IFERROR(VLOOKUP(Tabla1[[#This Row],[SISMED]],TblDisponibilidad[],8,FALSE), 0)</f>
        <v>0</v>
      </c>
      <c r="E722">
        <f>IFERROR(VLOOKUP(Tabla1[[#This Row],[SISMED]],TblDisponibilidad[],9,FALSE), 0)</f>
        <v>0</v>
      </c>
      <c r="F722">
        <f>IFERROR(VLOOKUP(Tabla1[[#This Row],[SISMED]],TblDisponibilidad[],10,FALSE), 0)</f>
        <v>0</v>
      </c>
      <c r="G722">
        <f>IFERROR(VLOOKUP(Tabla1[[#This Row],[SISMED]],TblDisponibilidad[],11,FALSE), 0)</f>
        <v>0</v>
      </c>
      <c r="H722">
        <f>IFERROR(VLOOKUP(Tabla1[[#This Row],[SISMED]],TblDisponibilidad[],12,FALSE), 0)</f>
        <v>0</v>
      </c>
      <c r="I722">
        <f>IFERROR(VLOOKUP(Tabla1[[#This Row],[SISMED]],TblDisponibilidad[],13,FALSE), 0)</f>
        <v>0</v>
      </c>
      <c r="J722">
        <f>IFERROR(VLOOKUP(Tabla1[[#This Row],[SISMED]],TblDisponibilidad[],14,FALSE), 0)</f>
        <v>0</v>
      </c>
      <c r="K722">
        <f>IFERROR(VLOOKUP(Tabla1[[#This Row],[SISMED]],TblDisponibilidad[],15,FALSE), 0)</f>
        <v>0</v>
      </c>
      <c r="L722">
        <f>IFERROR(VLOOKUP(Tabla1[[#This Row],[SISMED]],TblDisponibilidad[],16,FALSE), 0)</f>
        <v>0</v>
      </c>
      <c r="M722">
        <f>IFERROR(VLOOKUP(Tabla1[[#This Row],[SISMED]],TblDisponibilidad[],17,FALSE), 0)</f>
        <v>0</v>
      </c>
      <c r="N722">
        <f>IFERROR(VLOOKUP(Tabla1[[#This Row],[SISMED]],TblDisponibilidad[],18,FALSE), 0)</f>
        <v>0</v>
      </c>
      <c r="O722">
        <f>IFERROR(VLOOKUP(Tabla1[[#This Row],[SISMED]],TblDisponibilidad[],19,FALSE), 0)</f>
        <v>0</v>
      </c>
      <c r="P722">
        <f>IFERROR(VLOOKUP(Tabla1[[#This Row],[SISMED]],TblDisponibilidad[],20,FALSE), 0)</f>
        <v>0</v>
      </c>
      <c r="Q722">
        <f>IFERROR(VLOOKUP(Tabla1[[#This Row],[SISMED]],TblDisponibilidad[],21,FALSE), 0)</f>
        <v>0</v>
      </c>
      <c r="R722">
        <f>IFERROR(VLOOKUP(Tabla1[[#This Row],[SISMED]],TblDisponibilidad[],22,FALSE), 0)</f>
        <v>0</v>
      </c>
      <c r="S722" s="15">
        <f>IFERROR(VLOOKUP(Tabla1[[#This Row],[SISMED]],TblDisponibilidad[],23,FALSE), 0)</f>
        <v>0</v>
      </c>
    </row>
    <row r="723" spans="1:19" x14ac:dyDescent="0.3">
      <c r="A723" s="15" t="s">
        <v>753</v>
      </c>
      <c r="B723" t="str">
        <f>IFERROR(VLOOKUP(Tabla1[[#This Row],[SISMED]],TblDisponibilidad[],2,FALSE), "")</f>
        <v/>
      </c>
      <c r="C723">
        <f>IFERROR(VLOOKUP(Tabla1[[#This Row],[SISMED]],TblDisponibilidad[],7,FALSE), 0)</f>
        <v>0</v>
      </c>
      <c r="D723">
        <f>IFERROR(VLOOKUP(Tabla1[[#This Row],[SISMED]],TblDisponibilidad[],8,FALSE), 0)</f>
        <v>0</v>
      </c>
      <c r="E723">
        <f>IFERROR(VLOOKUP(Tabla1[[#This Row],[SISMED]],TblDisponibilidad[],9,FALSE), 0)</f>
        <v>0</v>
      </c>
      <c r="F723">
        <f>IFERROR(VLOOKUP(Tabla1[[#This Row],[SISMED]],TblDisponibilidad[],10,FALSE), 0)</f>
        <v>0</v>
      </c>
      <c r="G723">
        <f>IFERROR(VLOOKUP(Tabla1[[#This Row],[SISMED]],TblDisponibilidad[],11,FALSE), 0)</f>
        <v>0</v>
      </c>
      <c r="H723">
        <f>IFERROR(VLOOKUP(Tabla1[[#This Row],[SISMED]],TblDisponibilidad[],12,FALSE), 0)</f>
        <v>0</v>
      </c>
      <c r="I723">
        <f>IFERROR(VLOOKUP(Tabla1[[#This Row],[SISMED]],TblDisponibilidad[],13,FALSE), 0)</f>
        <v>0</v>
      </c>
      <c r="J723">
        <f>IFERROR(VLOOKUP(Tabla1[[#This Row],[SISMED]],TblDisponibilidad[],14,FALSE), 0)</f>
        <v>0</v>
      </c>
      <c r="K723">
        <f>IFERROR(VLOOKUP(Tabla1[[#This Row],[SISMED]],TblDisponibilidad[],15,FALSE), 0)</f>
        <v>0</v>
      </c>
      <c r="L723">
        <f>IFERROR(VLOOKUP(Tabla1[[#This Row],[SISMED]],TblDisponibilidad[],16,FALSE), 0)</f>
        <v>0</v>
      </c>
      <c r="M723">
        <f>IFERROR(VLOOKUP(Tabla1[[#This Row],[SISMED]],TblDisponibilidad[],17,FALSE), 0)</f>
        <v>0</v>
      </c>
      <c r="N723">
        <f>IFERROR(VLOOKUP(Tabla1[[#This Row],[SISMED]],TblDisponibilidad[],18,FALSE), 0)</f>
        <v>0</v>
      </c>
      <c r="O723">
        <f>IFERROR(VLOOKUP(Tabla1[[#This Row],[SISMED]],TblDisponibilidad[],19,FALSE), 0)</f>
        <v>0</v>
      </c>
      <c r="P723">
        <f>IFERROR(VLOOKUP(Tabla1[[#This Row],[SISMED]],TblDisponibilidad[],20,FALSE), 0)</f>
        <v>0</v>
      </c>
      <c r="Q723">
        <f>IFERROR(VLOOKUP(Tabla1[[#This Row],[SISMED]],TblDisponibilidad[],21,FALSE), 0)</f>
        <v>0</v>
      </c>
      <c r="R723">
        <f>IFERROR(VLOOKUP(Tabla1[[#This Row],[SISMED]],TblDisponibilidad[],22,FALSE), 0)</f>
        <v>0</v>
      </c>
      <c r="S723" s="15">
        <f>IFERROR(VLOOKUP(Tabla1[[#This Row],[SISMED]],TblDisponibilidad[],23,FALSE), 0)</f>
        <v>0</v>
      </c>
    </row>
    <row r="724" spans="1:19" x14ac:dyDescent="0.3">
      <c r="A724" s="15" t="s">
        <v>754</v>
      </c>
      <c r="B724" t="str">
        <f>IFERROR(VLOOKUP(Tabla1[[#This Row],[SISMED]],TblDisponibilidad[],2,FALSE), "")</f>
        <v/>
      </c>
      <c r="C724">
        <f>IFERROR(VLOOKUP(Tabla1[[#This Row],[SISMED]],TblDisponibilidad[],7,FALSE), 0)</f>
        <v>0</v>
      </c>
      <c r="D724">
        <f>IFERROR(VLOOKUP(Tabla1[[#This Row],[SISMED]],TblDisponibilidad[],8,FALSE), 0)</f>
        <v>0</v>
      </c>
      <c r="E724">
        <f>IFERROR(VLOOKUP(Tabla1[[#This Row],[SISMED]],TblDisponibilidad[],9,FALSE), 0)</f>
        <v>0</v>
      </c>
      <c r="F724">
        <f>IFERROR(VLOOKUP(Tabla1[[#This Row],[SISMED]],TblDisponibilidad[],10,FALSE), 0)</f>
        <v>0</v>
      </c>
      <c r="G724">
        <f>IFERROR(VLOOKUP(Tabla1[[#This Row],[SISMED]],TblDisponibilidad[],11,FALSE), 0)</f>
        <v>0</v>
      </c>
      <c r="H724">
        <f>IFERROR(VLOOKUP(Tabla1[[#This Row],[SISMED]],TblDisponibilidad[],12,FALSE), 0)</f>
        <v>0</v>
      </c>
      <c r="I724">
        <f>IFERROR(VLOOKUP(Tabla1[[#This Row],[SISMED]],TblDisponibilidad[],13,FALSE), 0)</f>
        <v>0</v>
      </c>
      <c r="J724">
        <f>IFERROR(VLOOKUP(Tabla1[[#This Row],[SISMED]],TblDisponibilidad[],14,FALSE), 0)</f>
        <v>0</v>
      </c>
      <c r="K724">
        <f>IFERROR(VLOOKUP(Tabla1[[#This Row],[SISMED]],TblDisponibilidad[],15,FALSE), 0)</f>
        <v>0</v>
      </c>
      <c r="L724">
        <f>IFERROR(VLOOKUP(Tabla1[[#This Row],[SISMED]],TblDisponibilidad[],16,FALSE), 0)</f>
        <v>0</v>
      </c>
      <c r="M724">
        <f>IFERROR(VLOOKUP(Tabla1[[#This Row],[SISMED]],TblDisponibilidad[],17,FALSE), 0)</f>
        <v>0</v>
      </c>
      <c r="N724">
        <f>IFERROR(VLOOKUP(Tabla1[[#This Row],[SISMED]],TblDisponibilidad[],18,FALSE), 0)</f>
        <v>0</v>
      </c>
      <c r="O724">
        <f>IFERROR(VLOOKUP(Tabla1[[#This Row],[SISMED]],TblDisponibilidad[],19,FALSE), 0)</f>
        <v>0</v>
      </c>
      <c r="P724">
        <f>IFERROR(VLOOKUP(Tabla1[[#This Row],[SISMED]],TblDisponibilidad[],20,FALSE), 0)</f>
        <v>0</v>
      </c>
      <c r="Q724">
        <f>IFERROR(VLOOKUP(Tabla1[[#This Row],[SISMED]],TblDisponibilidad[],21,FALSE), 0)</f>
        <v>0</v>
      </c>
      <c r="R724">
        <f>IFERROR(VLOOKUP(Tabla1[[#This Row],[SISMED]],TblDisponibilidad[],22,FALSE), 0)</f>
        <v>0</v>
      </c>
      <c r="S724" s="15">
        <f>IFERROR(VLOOKUP(Tabla1[[#This Row],[SISMED]],TblDisponibilidad[],23,FALSE), 0)</f>
        <v>0</v>
      </c>
    </row>
    <row r="725" spans="1:19" x14ac:dyDescent="0.3">
      <c r="A725" s="15" t="s">
        <v>755</v>
      </c>
      <c r="B725" t="str">
        <f>IFERROR(VLOOKUP(Tabla1[[#This Row],[SISMED]],TblDisponibilidad[],2,FALSE), "")</f>
        <v/>
      </c>
      <c r="C725">
        <f>IFERROR(VLOOKUP(Tabla1[[#This Row],[SISMED]],TblDisponibilidad[],7,FALSE), 0)</f>
        <v>0</v>
      </c>
      <c r="D725">
        <f>IFERROR(VLOOKUP(Tabla1[[#This Row],[SISMED]],TblDisponibilidad[],8,FALSE), 0)</f>
        <v>0</v>
      </c>
      <c r="E725">
        <f>IFERROR(VLOOKUP(Tabla1[[#This Row],[SISMED]],TblDisponibilidad[],9,FALSE), 0)</f>
        <v>0</v>
      </c>
      <c r="F725">
        <f>IFERROR(VLOOKUP(Tabla1[[#This Row],[SISMED]],TblDisponibilidad[],10,FALSE), 0)</f>
        <v>0</v>
      </c>
      <c r="G725">
        <f>IFERROR(VLOOKUP(Tabla1[[#This Row],[SISMED]],TblDisponibilidad[],11,FALSE), 0)</f>
        <v>0</v>
      </c>
      <c r="H725">
        <f>IFERROR(VLOOKUP(Tabla1[[#This Row],[SISMED]],TblDisponibilidad[],12,FALSE), 0)</f>
        <v>0</v>
      </c>
      <c r="I725">
        <f>IFERROR(VLOOKUP(Tabla1[[#This Row],[SISMED]],TblDisponibilidad[],13,FALSE), 0)</f>
        <v>0</v>
      </c>
      <c r="J725">
        <f>IFERROR(VLOOKUP(Tabla1[[#This Row],[SISMED]],TblDisponibilidad[],14,FALSE), 0)</f>
        <v>0</v>
      </c>
      <c r="K725">
        <f>IFERROR(VLOOKUP(Tabla1[[#This Row],[SISMED]],TblDisponibilidad[],15,FALSE), 0)</f>
        <v>0</v>
      </c>
      <c r="L725">
        <f>IFERROR(VLOOKUP(Tabla1[[#This Row],[SISMED]],TblDisponibilidad[],16,FALSE), 0)</f>
        <v>0</v>
      </c>
      <c r="M725">
        <f>IFERROR(VLOOKUP(Tabla1[[#This Row],[SISMED]],TblDisponibilidad[],17,FALSE), 0)</f>
        <v>0</v>
      </c>
      <c r="N725">
        <f>IFERROR(VLOOKUP(Tabla1[[#This Row],[SISMED]],TblDisponibilidad[],18,FALSE), 0)</f>
        <v>0</v>
      </c>
      <c r="O725">
        <f>IFERROR(VLOOKUP(Tabla1[[#This Row],[SISMED]],TblDisponibilidad[],19,FALSE), 0)</f>
        <v>0</v>
      </c>
      <c r="P725">
        <f>IFERROR(VLOOKUP(Tabla1[[#This Row],[SISMED]],TblDisponibilidad[],20,FALSE), 0)</f>
        <v>0</v>
      </c>
      <c r="Q725">
        <f>IFERROR(VLOOKUP(Tabla1[[#This Row],[SISMED]],TblDisponibilidad[],21,FALSE), 0)</f>
        <v>0</v>
      </c>
      <c r="R725">
        <f>IFERROR(VLOOKUP(Tabla1[[#This Row],[SISMED]],TblDisponibilidad[],22,FALSE), 0)</f>
        <v>0</v>
      </c>
      <c r="S725" s="15">
        <f>IFERROR(VLOOKUP(Tabla1[[#This Row],[SISMED]],TblDisponibilidad[],23,FALSE), 0)</f>
        <v>0</v>
      </c>
    </row>
    <row r="726" spans="1:19" x14ac:dyDescent="0.3">
      <c r="A726" s="15" t="s">
        <v>756</v>
      </c>
      <c r="B726" t="str">
        <f>IFERROR(VLOOKUP(Tabla1[[#This Row],[SISMED]],TblDisponibilidad[],2,FALSE), "")</f>
        <v/>
      </c>
      <c r="C726">
        <f>IFERROR(VLOOKUP(Tabla1[[#This Row],[SISMED]],TblDisponibilidad[],7,FALSE), 0)</f>
        <v>0</v>
      </c>
      <c r="D726">
        <f>IFERROR(VLOOKUP(Tabla1[[#This Row],[SISMED]],TblDisponibilidad[],8,FALSE), 0)</f>
        <v>0</v>
      </c>
      <c r="E726">
        <f>IFERROR(VLOOKUP(Tabla1[[#This Row],[SISMED]],TblDisponibilidad[],9,FALSE), 0)</f>
        <v>0</v>
      </c>
      <c r="F726">
        <f>IFERROR(VLOOKUP(Tabla1[[#This Row],[SISMED]],TblDisponibilidad[],10,FALSE), 0)</f>
        <v>0</v>
      </c>
      <c r="G726">
        <f>IFERROR(VLOOKUP(Tabla1[[#This Row],[SISMED]],TblDisponibilidad[],11,FALSE), 0)</f>
        <v>0</v>
      </c>
      <c r="H726">
        <f>IFERROR(VLOOKUP(Tabla1[[#This Row],[SISMED]],TblDisponibilidad[],12,FALSE), 0)</f>
        <v>0</v>
      </c>
      <c r="I726">
        <f>IFERROR(VLOOKUP(Tabla1[[#This Row],[SISMED]],TblDisponibilidad[],13,FALSE), 0)</f>
        <v>0</v>
      </c>
      <c r="J726">
        <f>IFERROR(VLOOKUP(Tabla1[[#This Row],[SISMED]],TblDisponibilidad[],14,FALSE), 0)</f>
        <v>0</v>
      </c>
      <c r="K726">
        <f>IFERROR(VLOOKUP(Tabla1[[#This Row],[SISMED]],TblDisponibilidad[],15,FALSE), 0)</f>
        <v>0</v>
      </c>
      <c r="L726">
        <f>IFERROR(VLOOKUP(Tabla1[[#This Row],[SISMED]],TblDisponibilidad[],16,FALSE), 0)</f>
        <v>0</v>
      </c>
      <c r="M726">
        <f>IFERROR(VLOOKUP(Tabla1[[#This Row],[SISMED]],TblDisponibilidad[],17,FALSE), 0)</f>
        <v>0</v>
      </c>
      <c r="N726">
        <f>IFERROR(VLOOKUP(Tabla1[[#This Row],[SISMED]],TblDisponibilidad[],18,FALSE), 0)</f>
        <v>0</v>
      </c>
      <c r="O726">
        <f>IFERROR(VLOOKUP(Tabla1[[#This Row],[SISMED]],TblDisponibilidad[],19,FALSE), 0)</f>
        <v>0</v>
      </c>
      <c r="P726">
        <f>IFERROR(VLOOKUP(Tabla1[[#This Row],[SISMED]],TblDisponibilidad[],20,FALSE), 0)</f>
        <v>0</v>
      </c>
      <c r="Q726">
        <f>IFERROR(VLOOKUP(Tabla1[[#This Row],[SISMED]],TblDisponibilidad[],21,FALSE), 0)</f>
        <v>0</v>
      </c>
      <c r="R726">
        <f>IFERROR(VLOOKUP(Tabla1[[#This Row],[SISMED]],TblDisponibilidad[],22,FALSE), 0)</f>
        <v>0</v>
      </c>
      <c r="S726" s="15">
        <f>IFERROR(VLOOKUP(Tabla1[[#This Row],[SISMED]],TblDisponibilidad[],23,FALSE), 0)</f>
        <v>0</v>
      </c>
    </row>
    <row r="727" spans="1:19" x14ac:dyDescent="0.3">
      <c r="A727" s="15" t="s">
        <v>757</v>
      </c>
      <c r="B727" t="str">
        <f>IFERROR(VLOOKUP(Tabla1[[#This Row],[SISMED]],TblDisponibilidad[],2,FALSE), "")</f>
        <v/>
      </c>
      <c r="C727">
        <f>IFERROR(VLOOKUP(Tabla1[[#This Row],[SISMED]],TblDisponibilidad[],7,FALSE), 0)</f>
        <v>0</v>
      </c>
      <c r="D727">
        <f>IFERROR(VLOOKUP(Tabla1[[#This Row],[SISMED]],TblDisponibilidad[],8,FALSE), 0)</f>
        <v>0</v>
      </c>
      <c r="E727">
        <f>IFERROR(VLOOKUP(Tabla1[[#This Row],[SISMED]],TblDisponibilidad[],9,FALSE), 0)</f>
        <v>0</v>
      </c>
      <c r="F727">
        <f>IFERROR(VLOOKUP(Tabla1[[#This Row],[SISMED]],TblDisponibilidad[],10,FALSE), 0)</f>
        <v>0</v>
      </c>
      <c r="G727">
        <f>IFERROR(VLOOKUP(Tabla1[[#This Row],[SISMED]],TblDisponibilidad[],11,FALSE), 0)</f>
        <v>0</v>
      </c>
      <c r="H727">
        <f>IFERROR(VLOOKUP(Tabla1[[#This Row],[SISMED]],TblDisponibilidad[],12,FALSE), 0)</f>
        <v>0</v>
      </c>
      <c r="I727">
        <f>IFERROR(VLOOKUP(Tabla1[[#This Row],[SISMED]],TblDisponibilidad[],13,FALSE), 0)</f>
        <v>0</v>
      </c>
      <c r="J727">
        <f>IFERROR(VLOOKUP(Tabla1[[#This Row],[SISMED]],TblDisponibilidad[],14,FALSE), 0)</f>
        <v>0</v>
      </c>
      <c r="K727">
        <f>IFERROR(VLOOKUP(Tabla1[[#This Row],[SISMED]],TblDisponibilidad[],15,FALSE), 0)</f>
        <v>0</v>
      </c>
      <c r="L727">
        <f>IFERROR(VLOOKUP(Tabla1[[#This Row],[SISMED]],TblDisponibilidad[],16,FALSE), 0)</f>
        <v>0</v>
      </c>
      <c r="M727">
        <f>IFERROR(VLOOKUP(Tabla1[[#This Row],[SISMED]],TblDisponibilidad[],17,FALSE), 0)</f>
        <v>0</v>
      </c>
      <c r="N727">
        <f>IFERROR(VLOOKUP(Tabla1[[#This Row],[SISMED]],TblDisponibilidad[],18,FALSE), 0)</f>
        <v>0</v>
      </c>
      <c r="O727">
        <f>IFERROR(VLOOKUP(Tabla1[[#This Row],[SISMED]],TblDisponibilidad[],19,FALSE), 0)</f>
        <v>0</v>
      </c>
      <c r="P727">
        <f>IFERROR(VLOOKUP(Tabla1[[#This Row],[SISMED]],TblDisponibilidad[],20,FALSE), 0)</f>
        <v>0</v>
      </c>
      <c r="Q727">
        <f>IFERROR(VLOOKUP(Tabla1[[#This Row],[SISMED]],TblDisponibilidad[],21,FALSE), 0)</f>
        <v>0</v>
      </c>
      <c r="R727">
        <f>IFERROR(VLOOKUP(Tabla1[[#This Row],[SISMED]],TblDisponibilidad[],22,FALSE), 0)</f>
        <v>0</v>
      </c>
      <c r="S727" s="15">
        <f>IFERROR(VLOOKUP(Tabla1[[#This Row],[SISMED]],TblDisponibilidad[],23,FALSE), 0)</f>
        <v>0</v>
      </c>
    </row>
    <row r="728" spans="1:19" x14ac:dyDescent="0.3">
      <c r="A728" s="15" t="s">
        <v>758</v>
      </c>
      <c r="B728" t="str">
        <f>IFERROR(VLOOKUP(Tabla1[[#This Row],[SISMED]],TblDisponibilidad[],2,FALSE), "")</f>
        <v/>
      </c>
      <c r="C728">
        <f>IFERROR(VLOOKUP(Tabla1[[#This Row],[SISMED]],TblDisponibilidad[],7,FALSE), 0)</f>
        <v>0</v>
      </c>
      <c r="D728">
        <f>IFERROR(VLOOKUP(Tabla1[[#This Row],[SISMED]],TblDisponibilidad[],8,FALSE), 0)</f>
        <v>0</v>
      </c>
      <c r="E728">
        <f>IFERROR(VLOOKUP(Tabla1[[#This Row],[SISMED]],TblDisponibilidad[],9,FALSE), 0)</f>
        <v>0</v>
      </c>
      <c r="F728">
        <f>IFERROR(VLOOKUP(Tabla1[[#This Row],[SISMED]],TblDisponibilidad[],10,FALSE), 0)</f>
        <v>0</v>
      </c>
      <c r="G728">
        <f>IFERROR(VLOOKUP(Tabla1[[#This Row],[SISMED]],TblDisponibilidad[],11,FALSE), 0)</f>
        <v>0</v>
      </c>
      <c r="H728">
        <f>IFERROR(VLOOKUP(Tabla1[[#This Row],[SISMED]],TblDisponibilidad[],12,FALSE), 0)</f>
        <v>0</v>
      </c>
      <c r="I728">
        <f>IFERROR(VLOOKUP(Tabla1[[#This Row],[SISMED]],TblDisponibilidad[],13,FALSE), 0)</f>
        <v>0</v>
      </c>
      <c r="J728">
        <f>IFERROR(VLOOKUP(Tabla1[[#This Row],[SISMED]],TblDisponibilidad[],14,FALSE), 0)</f>
        <v>0</v>
      </c>
      <c r="K728">
        <f>IFERROR(VLOOKUP(Tabla1[[#This Row],[SISMED]],TblDisponibilidad[],15,FALSE), 0)</f>
        <v>0</v>
      </c>
      <c r="L728">
        <f>IFERROR(VLOOKUP(Tabla1[[#This Row],[SISMED]],TblDisponibilidad[],16,FALSE), 0)</f>
        <v>0</v>
      </c>
      <c r="M728">
        <f>IFERROR(VLOOKUP(Tabla1[[#This Row],[SISMED]],TblDisponibilidad[],17,FALSE), 0)</f>
        <v>0</v>
      </c>
      <c r="N728">
        <f>IFERROR(VLOOKUP(Tabla1[[#This Row],[SISMED]],TblDisponibilidad[],18,FALSE), 0)</f>
        <v>0</v>
      </c>
      <c r="O728">
        <f>IFERROR(VLOOKUP(Tabla1[[#This Row],[SISMED]],TblDisponibilidad[],19,FALSE), 0)</f>
        <v>0</v>
      </c>
      <c r="P728">
        <f>IFERROR(VLOOKUP(Tabla1[[#This Row],[SISMED]],TblDisponibilidad[],20,FALSE), 0)</f>
        <v>0</v>
      </c>
      <c r="Q728">
        <f>IFERROR(VLOOKUP(Tabla1[[#This Row],[SISMED]],TblDisponibilidad[],21,FALSE), 0)</f>
        <v>0</v>
      </c>
      <c r="R728">
        <f>IFERROR(VLOOKUP(Tabla1[[#This Row],[SISMED]],TblDisponibilidad[],22,FALSE), 0)</f>
        <v>0</v>
      </c>
      <c r="S728" s="15">
        <f>IFERROR(VLOOKUP(Tabla1[[#This Row],[SISMED]],TblDisponibilidad[],23,FALSE), 0)</f>
        <v>0</v>
      </c>
    </row>
    <row r="729" spans="1:19" x14ac:dyDescent="0.3">
      <c r="A729" s="15" t="s">
        <v>759</v>
      </c>
      <c r="B729" t="str">
        <f>IFERROR(VLOOKUP(Tabla1[[#This Row],[SISMED]],TblDisponibilidad[],2,FALSE), "")</f>
        <v/>
      </c>
      <c r="C729">
        <f>IFERROR(VLOOKUP(Tabla1[[#This Row],[SISMED]],TblDisponibilidad[],7,FALSE), 0)</f>
        <v>0</v>
      </c>
      <c r="D729">
        <f>IFERROR(VLOOKUP(Tabla1[[#This Row],[SISMED]],TblDisponibilidad[],8,FALSE), 0)</f>
        <v>0</v>
      </c>
      <c r="E729">
        <f>IFERROR(VLOOKUP(Tabla1[[#This Row],[SISMED]],TblDisponibilidad[],9,FALSE), 0)</f>
        <v>0</v>
      </c>
      <c r="F729">
        <f>IFERROR(VLOOKUP(Tabla1[[#This Row],[SISMED]],TblDisponibilidad[],10,FALSE), 0)</f>
        <v>0</v>
      </c>
      <c r="G729">
        <f>IFERROR(VLOOKUP(Tabla1[[#This Row],[SISMED]],TblDisponibilidad[],11,FALSE), 0)</f>
        <v>0</v>
      </c>
      <c r="H729">
        <f>IFERROR(VLOOKUP(Tabla1[[#This Row],[SISMED]],TblDisponibilidad[],12,FALSE), 0)</f>
        <v>0</v>
      </c>
      <c r="I729">
        <f>IFERROR(VLOOKUP(Tabla1[[#This Row],[SISMED]],TblDisponibilidad[],13,FALSE), 0)</f>
        <v>0</v>
      </c>
      <c r="J729">
        <f>IFERROR(VLOOKUP(Tabla1[[#This Row],[SISMED]],TblDisponibilidad[],14,FALSE), 0)</f>
        <v>0</v>
      </c>
      <c r="K729">
        <f>IFERROR(VLOOKUP(Tabla1[[#This Row],[SISMED]],TblDisponibilidad[],15,FALSE), 0)</f>
        <v>0</v>
      </c>
      <c r="L729">
        <f>IFERROR(VLOOKUP(Tabla1[[#This Row],[SISMED]],TblDisponibilidad[],16,FALSE), 0)</f>
        <v>0</v>
      </c>
      <c r="M729">
        <f>IFERROR(VLOOKUP(Tabla1[[#This Row],[SISMED]],TblDisponibilidad[],17,FALSE), 0)</f>
        <v>0</v>
      </c>
      <c r="N729">
        <f>IFERROR(VLOOKUP(Tabla1[[#This Row],[SISMED]],TblDisponibilidad[],18,FALSE), 0)</f>
        <v>0</v>
      </c>
      <c r="O729">
        <f>IFERROR(VLOOKUP(Tabla1[[#This Row],[SISMED]],TblDisponibilidad[],19,FALSE), 0)</f>
        <v>0</v>
      </c>
      <c r="P729">
        <f>IFERROR(VLOOKUP(Tabla1[[#This Row],[SISMED]],TblDisponibilidad[],20,FALSE), 0)</f>
        <v>0</v>
      </c>
      <c r="Q729">
        <f>IFERROR(VLOOKUP(Tabla1[[#This Row],[SISMED]],TblDisponibilidad[],21,FALSE), 0)</f>
        <v>0</v>
      </c>
      <c r="R729">
        <f>IFERROR(VLOOKUP(Tabla1[[#This Row],[SISMED]],TblDisponibilidad[],22,FALSE), 0)</f>
        <v>0</v>
      </c>
      <c r="S729" s="15">
        <f>IFERROR(VLOOKUP(Tabla1[[#This Row],[SISMED]],TblDisponibilidad[],23,FALSE), 0)</f>
        <v>0</v>
      </c>
    </row>
    <row r="730" spans="1:19" x14ac:dyDescent="0.3">
      <c r="A730" s="15" t="s">
        <v>760</v>
      </c>
      <c r="B730" t="str">
        <f>IFERROR(VLOOKUP(Tabla1[[#This Row],[SISMED]],TblDisponibilidad[],2,FALSE), "")</f>
        <v/>
      </c>
      <c r="C730">
        <f>IFERROR(VLOOKUP(Tabla1[[#This Row],[SISMED]],TblDisponibilidad[],7,FALSE), 0)</f>
        <v>0</v>
      </c>
      <c r="D730">
        <f>IFERROR(VLOOKUP(Tabla1[[#This Row],[SISMED]],TblDisponibilidad[],8,FALSE), 0)</f>
        <v>0</v>
      </c>
      <c r="E730">
        <f>IFERROR(VLOOKUP(Tabla1[[#This Row],[SISMED]],TblDisponibilidad[],9,FALSE), 0)</f>
        <v>0</v>
      </c>
      <c r="F730">
        <f>IFERROR(VLOOKUP(Tabla1[[#This Row],[SISMED]],TblDisponibilidad[],10,FALSE), 0)</f>
        <v>0</v>
      </c>
      <c r="G730">
        <f>IFERROR(VLOOKUP(Tabla1[[#This Row],[SISMED]],TblDisponibilidad[],11,FALSE), 0)</f>
        <v>0</v>
      </c>
      <c r="H730">
        <f>IFERROR(VLOOKUP(Tabla1[[#This Row],[SISMED]],TblDisponibilidad[],12,FALSE), 0)</f>
        <v>0</v>
      </c>
      <c r="I730">
        <f>IFERROR(VLOOKUP(Tabla1[[#This Row],[SISMED]],TblDisponibilidad[],13,FALSE), 0)</f>
        <v>0</v>
      </c>
      <c r="J730">
        <f>IFERROR(VLOOKUP(Tabla1[[#This Row],[SISMED]],TblDisponibilidad[],14,FALSE), 0)</f>
        <v>0</v>
      </c>
      <c r="K730">
        <f>IFERROR(VLOOKUP(Tabla1[[#This Row],[SISMED]],TblDisponibilidad[],15,FALSE), 0)</f>
        <v>0</v>
      </c>
      <c r="L730">
        <f>IFERROR(VLOOKUP(Tabla1[[#This Row],[SISMED]],TblDisponibilidad[],16,FALSE), 0)</f>
        <v>0</v>
      </c>
      <c r="M730">
        <f>IFERROR(VLOOKUP(Tabla1[[#This Row],[SISMED]],TblDisponibilidad[],17,FALSE), 0)</f>
        <v>0</v>
      </c>
      <c r="N730">
        <f>IFERROR(VLOOKUP(Tabla1[[#This Row],[SISMED]],TblDisponibilidad[],18,FALSE), 0)</f>
        <v>0</v>
      </c>
      <c r="O730">
        <f>IFERROR(VLOOKUP(Tabla1[[#This Row],[SISMED]],TblDisponibilidad[],19,FALSE), 0)</f>
        <v>0</v>
      </c>
      <c r="P730">
        <f>IFERROR(VLOOKUP(Tabla1[[#This Row],[SISMED]],TblDisponibilidad[],20,FALSE), 0)</f>
        <v>0</v>
      </c>
      <c r="Q730">
        <f>IFERROR(VLOOKUP(Tabla1[[#This Row],[SISMED]],TblDisponibilidad[],21,FALSE), 0)</f>
        <v>0</v>
      </c>
      <c r="R730">
        <f>IFERROR(VLOOKUP(Tabla1[[#This Row],[SISMED]],TblDisponibilidad[],22,FALSE), 0)</f>
        <v>0</v>
      </c>
      <c r="S730" s="15">
        <f>IFERROR(VLOOKUP(Tabla1[[#This Row],[SISMED]],TblDisponibilidad[],23,FALSE), 0)</f>
        <v>0</v>
      </c>
    </row>
    <row r="731" spans="1:19" x14ac:dyDescent="0.3">
      <c r="A731" s="15" t="s">
        <v>761</v>
      </c>
      <c r="B731" t="str">
        <f>IFERROR(VLOOKUP(Tabla1[[#This Row],[SISMED]],TblDisponibilidad[],2,FALSE), "")</f>
        <v/>
      </c>
      <c r="C731">
        <f>IFERROR(VLOOKUP(Tabla1[[#This Row],[SISMED]],TblDisponibilidad[],7,FALSE), 0)</f>
        <v>0</v>
      </c>
      <c r="D731">
        <f>IFERROR(VLOOKUP(Tabla1[[#This Row],[SISMED]],TblDisponibilidad[],8,FALSE), 0)</f>
        <v>0</v>
      </c>
      <c r="E731">
        <f>IFERROR(VLOOKUP(Tabla1[[#This Row],[SISMED]],TblDisponibilidad[],9,FALSE), 0)</f>
        <v>0</v>
      </c>
      <c r="F731">
        <f>IFERROR(VLOOKUP(Tabla1[[#This Row],[SISMED]],TblDisponibilidad[],10,FALSE), 0)</f>
        <v>0</v>
      </c>
      <c r="G731">
        <f>IFERROR(VLOOKUP(Tabla1[[#This Row],[SISMED]],TblDisponibilidad[],11,FALSE), 0)</f>
        <v>0</v>
      </c>
      <c r="H731">
        <f>IFERROR(VLOOKUP(Tabla1[[#This Row],[SISMED]],TblDisponibilidad[],12,FALSE), 0)</f>
        <v>0</v>
      </c>
      <c r="I731">
        <f>IFERROR(VLOOKUP(Tabla1[[#This Row],[SISMED]],TblDisponibilidad[],13,FALSE), 0)</f>
        <v>0</v>
      </c>
      <c r="J731">
        <f>IFERROR(VLOOKUP(Tabla1[[#This Row],[SISMED]],TblDisponibilidad[],14,FALSE), 0)</f>
        <v>0</v>
      </c>
      <c r="K731">
        <f>IFERROR(VLOOKUP(Tabla1[[#This Row],[SISMED]],TblDisponibilidad[],15,FALSE), 0)</f>
        <v>0</v>
      </c>
      <c r="L731">
        <f>IFERROR(VLOOKUP(Tabla1[[#This Row],[SISMED]],TblDisponibilidad[],16,FALSE), 0)</f>
        <v>0</v>
      </c>
      <c r="M731">
        <f>IFERROR(VLOOKUP(Tabla1[[#This Row],[SISMED]],TblDisponibilidad[],17,FALSE), 0)</f>
        <v>0</v>
      </c>
      <c r="N731">
        <f>IFERROR(VLOOKUP(Tabla1[[#This Row],[SISMED]],TblDisponibilidad[],18,FALSE), 0)</f>
        <v>0</v>
      </c>
      <c r="O731">
        <f>IFERROR(VLOOKUP(Tabla1[[#This Row],[SISMED]],TblDisponibilidad[],19,FALSE), 0)</f>
        <v>0</v>
      </c>
      <c r="P731">
        <f>IFERROR(VLOOKUP(Tabla1[[#This Row],[SISMED]],TblDisponibilidad[],20,FALSE), 0)</f>
        <v>0</v>
      </c>
      <c r="Q731">
        <f>IFERROR(VLOOKUP(Tabla1[[#This Row],[SISMED]],TblDisponibilidad[],21,FALSE), 0)</f>
        <v>0</v>
      </c>
      <c r="R731">
        <f>IFERROR(VLOOKUP(Tabla1[[#This Row],[SISMED]],TblDisponibilidad[],22,FALSE), 0)</f>
        <v>0</v>
      </c>
      <c r="S731" s="15">
        <f>IFERROR(VLOOKUP(Tabla1[[#This Row],[SISMED]],TblDisponibilidad[],23,FALSE), 0)</f>
        <v>0</v>
      </c>
    </row>
    <row r="732" spans="1:19" x14ac:dyDescent="0.3">
      <c r="A732" s="15" t="s">
        <v>762</v>
      </c>
      <c r="B732" t="str">
        <f>IFERROR(VLOOKUP(Tabla1[[#This Row],[SISMED]],TblDisponibilidad[],2,FALSE), "")</f>
        <v/>
      </c>
      <c r="C732">
        <f>IFERROR(VLOOKUP(Tabla1[[#This Row],[SISMED]],TblDisponibilidad[],7,FALSE), 0)</f>
        <v>0</v>
      </c>
      <c r="D732">
        <f>IFERROR(VLOOKUP(Tabla1[[#This Row],[SISMED]],TblDisponibilidad[],8,FALSE), 0)</f>
        <v>0</v>
      </c>
      <c r="E732">
        <f>IFERROR(VLOOKUP(Tabla1[[#This Row],[SISMED]],TblDisponibilidad[],9,FALSE), 0)</f>
        <v>0</v>
      </c>
      <c r="F732">
        <f>IFERROR(VLOOKUP(Tabla1[[#This Row],[SISMED]],TblDisponibilidad[],10,FALSE), 0)</f>
        <v>0</v>
      </c>
      <c r="G732">
        <f>IFERROR(VLOOKUP(Tabla1[[#This Row],[SISMED]],TblDisponibilidad[],11,FALSE), 0)</f>
        <v>0</v>
      </c>
      <c r="H732">
        <f>IFERROR(VLOOKUP(Tabla1[[#This Row],[SISMED]],TblDisponibilidad[],12,FALSE), 0)</f>
        <v>0</v>
      </c>
      <c r="I732">
        <f>IFERROR(VLOOKUP(Tabla1[[#This Row],[SISMED]],TblDisponibilidad[],13,FALSE), 0)</f>
        <v>0</v>
      </c>
      <c r="J732">
        <f>IFERROR(VLOOKUP(Tabla1[[#This Row],[SISMED]],TblDisponibilidad[],14,FALSE), 0)</f>
        <v>0</v>
      </c>
      <c r="K732">
        <f>IFERROR(VLOOKUP(Tabla1[[#This Row],[SISMED]],TblDisponibilidad[],15,FALSE), 0)</f>
        <v>0</v>
      </c>
      <c r="L732">
        <f>IFERROR(VLOOKUP(Tabla1[[#This Row],[SISMED]],TblDisponibilidad[],16,FALSE), 0)</f>
        <v>0</v>
      </c>
      <c r="M732">
        <f>IFERROR(VLOOKUP(Tabla1[[#This Row],[SISMED]],TblDisponibilidad[],17,FALSE), 0)</f>
        <v>0</v>
      </c>
      <c r="N732">
        <f>IFERROR(VLOOKUP(Tabla1[[#This Row],[SISMED]],TblDisponibilidad[],18,FALSE), 0)</f>
        <v>0</v>
      </c>
      <c r="O732">
        <f>IFERROR(VLOOKUP(Tabla1[[#This Row],[SISMED]],TblDisponibilidad[],19,FALSE), 0)</f>
        <v>0</v>
      </c>
      <c r="P732">
        <f>IFERROR(VLOOKUP(Tabla1[[#This Row],[SISMED]],TblDisponibilidad[],20,FALSE), 0)</f>
        <v>0</v>
      </c>
      <c r="Q732">
        <f>IFERROR(VLOOKUP(Tabla1[[#This Row],[SISMED]],TblDisponibilidad[],21,FALSE), 0)</f>
        <v>0</v>
      </c>
      <c r="R732">
        <f>IFERROR(VLOOKUP(Tabla1[[#This Row],[SISMED]],TblDisponibilidad[],22,FALSE), 0)</f>
        <v>0</v>
      </c>
      <c r="S732" s="15">
        <f>IFERROR(VLOOKUP(Tabla1[[#This Row],[SISMED]],TblDisponibilidad[],23,FALSE), 0)</f>
        <v>0</v>
      </c>
    </row>
    <row r="733" spans="1:19" x14ac:dyDescent="0.3">
      <c r="A733" s="15" t="s">
        <v>763</v>
      </c>
      <c r="B733" t="str">
        <f>IFERROR(VLOOKUP(Tabla1[[#This Row],[SISMED]],TblDisponibilidad[],2,FALSE), "")</f>
        <v/>
      </c>
      <c r="C733">
        <f>IFERROR(VLOOKUP(Tabla1[[#This Row],[SISMED]],TblDisponibilidad[],7,FALSE), 0)</f>
        <v>0</v>
      </c>
      <c r="D733">
        <f>IFERROR(VLOOKUP(Tabla1[[#This Row],[SISMED]],TblDisponibilidad[],8,FALSE), 0)</f>
        <v>0</v>
      </c>
      <c r="E733">
        <f>IFERROR(VLOOKUP(Tabla1[[#This Row],[SISMED]],TblDisponibilidad[],9,FALSE), 0)</f>
        <v>0</v>
      </c>
      <c r="F733">
        <f>IFERROR(VLOOKUP(Tabla1[[#This Row],[SISMED]],TblDisponibilidad[],10,FALSE), 0)</f>
        <v>0</v>
      </c>
      <c r="G733">
        <f>IFERROR(VLOOKUP(Tabla1[[#This Row],[SISMED]],TblDisponibilidad[],11,FALSE), 0)</f>
        <v>0</v>
      </c>
      <c r="H733">
        <f>IFERROR(VLOOKUP(Tabla1[[#This Row],[SISMED]],TblDisponibilidad[],12,FALSE), 0)</f>
        <v>0</v>
      </c>
      <c r="I733">
        <f>IFERROR(VLOOKUP(Tabla1[[#This Row],[SISMED]],TblDisponibilidad[],13,FALSE), 0)</f>
        <v>0</v>
      </c>
      <c r="J733">
        <f>IFERROR(VLOOKUP(Tabla1[[#This Row],[SISMED]],TblDisponibilidad[],14,FALSE), 0)</f>
        <v>0</v>
      </c>
      <c r="K733">
        <f>IFERROR(VLOOKUP(Tabla1[[#This Row],[SISMED]],TblDisponibilidad[],15,FALSE), 0)</f>
        <v>0</v>
      </c>
      <c r="L733">
        <f>IFERROR(VLOOKUP(Tabla1[[#This Row],[SISMED]],TblDisponibilidad[],16,FALSE), 0)</f>
        <v>0</v>
      </c>
      <c r="M733">
        <f>IFERROR(VLOOKUP(Tabla1[[#This Row],[SISMED]],TblDisponibilidad[],17,FALSE), 0)</f>
        <v>0</v>
      </c>
      <c r="N733">
        <f>IFERROR(VLOOKUP(Tabla1[[#This Row],[SISMED]],TblDisponibilidad[],18,FALSE), 0)</f>
        <v>0</v>
      </c>
      <c r="O733">
        <f>IFERROR(VLOOKUP(Tabla1[[#This Row],[SISMED]],TblDisponibilidad[],19,FALSE), 0)</f>
        <v>0</v>
      </c>
      <c r="P733">
        <f>IFERROR(VLOOKUP(Tabla1[[#This Row],[SISMED]],TblDisponibilidad[],20,FALSE), 0)</f>
        <v>0</v>
      </c>
      <c r="Q733">
        <f>IFERROR(VLOOKUP(Tabla1[[#This Row],[SISMED]],TblDisponibilidad[],21,FALSE), 0)</f>
        <v>0</v>
      </c>
      <c r="R733">
        <f>IFERROR(VLOOKUP(Tabla1[[#This Row],[SISMED]],TblDisponibilidad[],22,FALSE), 0)</f>
        <v>0</v>
      </c>
      <c r="S733" s="15">
        <f>IFERROR(VLOOKUP(Tabla1[[#This Row],[SISMED]],TblDisponibilidad[],23,FALSE), 0)</f>
        <v>0</v>
      </c>
    </row>
    <row r="734" spans="1:19" x14ac:dyDescent="0.3">
      <c r="A734" s="15" t="s">
        <v>764</v>
      </c>
      <c r="B734" t="str">
        <f>IFERROR(VLOOKUP(Tabla1[[#This Row],[SISMED]],TblDisponibilidad[],2,FALSE), "")</f>
        <v/>
      </c>
      <c r="C734">
        <f>IFERROR(VLOOKUP(Tabla1[[#This Row],[SISMED]],TblDisponibilidad[],7,FALSE), 0)</f>
        <v>0</v>
      </c>
      <c r="D734">
        <f>IFERROR(VLOOKUP(Tabla1[[#This Row],[SISMED]],TblDisponibilidad[],8,FALSE), 0)</f>
        <v>0</v>
      </c>
      <c r="E734">
        <f>IFERROR(VLOOKUP(Tabla1[[#This Row],[SISMED]],TblDisponibilidad[],9,FALSE), 0)</f>
        <v>0</v>
      </c>
      <c r="F734">
        <f>IFERROR(VLOOKUP(Tabla1[[#This Row],[SISMED]],TblDisponibilidad[],10,FALSE), 0)</f>
        <v>0</v>
      </c>
      <c r="G734">
        <f>IFERROR(VLOOKUP(Tabla1[[#This Row],[SISMED]],TblDisponibilidad[],11,FALSE), 0)</f>
        <v>0</v>
      </c>
      <c r="H734">
        <f>IFERROR(VLOOKUP(Tabla1[[#This Row],[SISMED]],TblDisponibilidad[],12,FALSE), 0)</f>
        <v>0</v>
      </c>
      <c r="I734">
        <f>IFERROR(VLOOKUP(Tabla1[[#This Row],[SISMED]],TblDisponibilidad[],13,FALSE), 0)</f>
        <v>0</v>
      </c>
      <c r="J734">
        <f>IFERROR(VLOOKUP(Tabla1[[#This Row],[SISMED]],TblDisponibilidad[],14,FALSE), 0)</f>
        <v>0</v>
      </c>
      <c r="K734">
        <f>IFERROR(VLOOKUP(Tabla1[[#This Row],[SISMED]],TblDisponibilidad[],15,FALSE), 0)</f>
        <v>0</v>
      </c>
      <c r="L734">
        <f>IFERROR(VLOOKUP(Tabla1[[#This Row],[SISMED]],TblDisponibilidad[],16,FALSE), 0)</f>
        <v>0</v>
      </c>
      <c r="M734">
        <f>IFERROR(VLOOKUP(Tabla1[[#This Row],[SISMED]],TblDisponibilidad[],17,FALSE), 0)</f>
        <v>0</v>
      </c>
      <c r="N734">
        <f>IFERROR(VLOOKUP(Tabla1[[#This Row],[SISMED]],TblDisponibilidad[],18,FALSE), 0)</f>
        <v>0</v>
      </c>
      <c r="O734">
        <f>IFERROR(VLOOKUP(Tabla1[[#This Row],[SISMED]],TblDisponibilidad[],19,FALSE), 0)</f>
        <v>0</v>
      </c>
      <c r="P734">
        <f>IFERROR(VLOOKUP(Tabla1[[#This Row],[SISMED]],TblDisponibilidad[],20,FALSE), 0)</f>
        <v>0</v>
      </c>
      <c r="Q734">
        <f>IFERROR(VLOOKUP(Tabla1[[#This Row],[SISMED]],TblDisponibilidad[],21,FALSE), 0)</f>
        <v>0</v>
      </c>
      <c r="R734">
        <f>IFERROR(VLOOKUP(Tabla1[[#This Row],[SISMED]],TblDisponibilidad[],22,FALSE), 0)</f>
        <v>0</v>
      </c>
      <c r="S734" s="15">
        <f>IFERROR(VLOOKUP(Tabla1[[#This Row],[SISMED]],TblDisponibilidad[],23,FALSE), 0)</f>
        <v>0</v>
      </c>
    </row>
    <row r="735" spans="1:19" x14ac:dyDescent="0.3">
      <c r="A735" s="15" t="s">
        <v>765</v>
      </c>
      <c r="B735" t="str">
        <f>IFERROR(VLOOKUP(Tabla1[[#This Row],[SISMED]],TblDisponibilidad[],2,FALSE), "")</f>
        <v/>
      </c>
      <c r="C735">
        <f>IFERROR(VLOOKUP(Tabla1[[#This Row],[SISMED]],TblDisponibilidad[],7,FALSE), 0)</f>
        <v>0</v>
      </c>
      <c r="D735">
        <f>IFERROR(VLOOKUP(Tabla1[[#This Row],[SISMED]],TblDisponibilidad[],8,FALSE), 0)</f>
        <v>0</v>
      </c>
      <c r="E735">
        <f>IFERROR(VLOOKUP(Tabla1[[#This Row],[SISMED]],TblDisponibilidad[],9,FALSE), 0)</f>
        <v>0</v>
      </c>
      <c r="F735">
        <f>IFERROR(VLOOKUP(Tabla1[[#This Row],[SISMED]],TblDisponibilidad[],10,FALSE), 0)</f>
        <v>0</v>
      </c>
      <c r="G735">
        <f>IFERROR(VLOOKUP(Tabla1[[#This Row],[SISMED]],TblDisponibilidad[],11,FALSE), 0)</f>
        <v>0</v>
      </c>
      <c r="H735">
        <f>IFERROR(VLOOKUP(Tabla1[[#This Row],[SISMED]],TblDisponibilidad[],12,FALSE), 0)</f>
        <v>0</v>
      </c>
      <c r="I735">
        <f>IFERROR(VLOOKUP(Tabla1[[#This Row],[SISMED]],TblDisponibilidad[],13,FALSE), 0)</f>
        <v>0</v>
      </c>
      <c r="J735">
        <f>IFERROR(VLOOKUP(Tabla1[[#This Row],[SISMED]],TblDisponibilidad[],14,FALSE), 0)</f>
        <v>0</v>
      </c>
      <c r="K735">
        <f>IFERROR(VLOOKUP(Tabla1[[#This Row],[SISMED]],TblDisponibilidad[],15,FALSE), 0)</f>
        <v>0</v>
      </c>
      <c r="L735">
        <f>IFERROR(VLOOKUP(Tabla1[[#This Row],[SISMED]],TblDisponibilidad[],16,FALSE), 0)</f>
        <v>0</v>
      </c>
      <c r="M735">
        <f>IFERROR(VLOOKUP(Tabla1[[#This Row],[SISMED]],TblDisponibilidad[],17,FALSE), 0)</f>
        <v>0</v>
      </c>
      <c r="N735">
        <f>IFERROR(VLOOKUP(Tabla1[[#This Row],[SISMED]],TblDisponibilidad[],18,FALSE), 0)</f>
        <v>0</v>
      </c>
      <c r="O735">
        <f>IFERROR(VLOOKUP(Tabla1[[#This Row],[SISMED]],TblDisponibilidad[],19,FALSE), 0)</f>
        <v>0</v>
      </c>
      <c r="P735">
        <f>IFERROR(VLOOKUP(Tabla1[[#This Row],[SISMED]],TblDisponibilidad[],20,FALSE), 0)</f>
        <v>0</v>
      </c>
      <c r="Q735">
        <f>IFERROR(VLOOKUP(Tabla1[[#This Row],[SISMED]],TblDisponibilidad[],21,FALSE), 0)</f>
        <v>0</v>
      </c>
      <c r="R735">
        <f>IFERROR(VLOOKUP(Tabla1[[#This Row],[SISMED]],TblDisponibilidad[],22,FALSE), 0)</f>
        <v>0</v>
      </c>
      <c r="S735" s="15">
        <f>IFERROR(VLOOKUP(Tabla1[[#This Row],[SISMED]],TblDisponibilidad[],23,FALSE), 0)</f>
        <v>0</v>
      </c>
    </row>
    <row r="736" spans="1:19" x14ac:dyDescent="0.3">
      <c r="A736" s="15" t="s">
        <v>766</v>
      </c>
      <c r="B736" t="str">
        <f>IFERROR(VLOOKUP(Tabla1[[#This Row],[SISMED]],TblDisponibilidad[],2,FALSE), "")</f>
        <v/>
      </c>
      <c r="C736">
        <f>IFERROR(VLOOKUP(Tabla1[[#This Row],[SISMED]],TblDisponibilidad[],7,FALSE), 0)</f>
        <v>0</v>
      </c>
      <c r="D736">
        <f>IFERROR(VLOOKUP(Tabla1[[#This Row],[SISMED]],TblDisponibilidad[],8,FALSE), 0)</f>
        <v>0</v>
      </c>
      <c r="E736">
        <f>IFERROR(VLOOKUP(Tabla1[[#This Row],[SISMED]],TblDisponibilidad[],9,FALSE), 0)</f>
        <v>0</v>
      </c>
      <c r="F736">
        <f>IFERROR(VLOOKUP(Tabla1[[#This Row],[SISMED]],TblDisponibilidad[],10,FALSE), 0)</f>
        <v>0</v>
      </c>
      <c r="G736">
        <f>IFERROR(VLOOKUP(Tabla1[[#This Row],[SISMED]],TblDisponibilidad[],11,FALSE), 0)</f>
        <v>0</v>
      </c>
      <c r="H736">
        <f>IFERROR(VLOOKUP(Tabla1[[#This Row],[SISMED]],TblDisponibilidad[],12,FALSE), 0)</f>
        <v>0</v>
      </c>
      <c r="I736">
        <f>IFERROR(VLOOKUP(Tabla1[[#This Row],[SISMED]],TblDisponibilidad[],13,FALSE), 0)</f>
        <v>0</v>
      </c>
      <c r="J736">
        <f>IFERROR(VLOOKUP(Tabla1[[#This Row],[SISMED]],TblDisponibilidad[],14,FALSE), 0)</f>
        <v>0</v>
      </c>
      <c r="K736">
        <f>IFERROR(VLOOKUP(Tabla1[[#This Row],[SISMED]],TblDisponibilidad[],15,FALSE), 0)</f>
        <v>0</v>
      </c>
      <c r="L736">
        <f>IFERROR(VLOOKUP(Tabla1[[#This Row],[SISMED]],TblDisponibilidad[],16,FALSE), 0)</f>
        <v>0</v>
      </c>
      <c r="M736">
        <f>IFERROR(VLOOKUP(Tabla1[[#This Row],[SISMED]],TblDisponibilidad[],17,FALSE), 0)</f>
        <v>0</v>
      </c>
      <c r="N736">
        <f>IFERROR(VLOOKUP(Tabla1[[#This Row],[SISMED]],TblDisponibilidad[],18,FALSE), 0)</f>
        <v>0</v>
      </c>
      <c r="O736">
        <f>IFERROR(VLOOKUP(Tabla1[[#This Row],[SISMED]],TblDisponibilidad[],19,FALSE), 0)</f>
        <v>0</v>
      </c>
      <c r="P736">
        <f>IFERROR(VLOOKUP(Tabla1[[#This Row],[SISMED]],TblDisponibilidad[],20,FALSE), 0)</f>
        <v>0</v>
      </c>
      <c r="Q736">
        <f>IFERROR(VLOOKUP(Tabla1[[#This Row],[SISMED]],TblDisponibilidad[],21,FALSE), 0)</f>
        <v>0</v>
      </c>
      <c r="R736">
        <f>IFERROR(VLOOKUP(Tabla1[[#This Row],[SISMED]],TblDisponibilidad[],22,FALSE), 0)</f>
        <v>0</v>
      </c>
      <c r="S736" s="15">
        <f>IFERROR(VLOOKUP(Tabla1[[#This Row],[SISMED]],TblDisponibilidad[],23,FALSE), 0)</f>
        <v>0</v>
      </c>
    </row>
    <row r="737" spans="1:19" x14ac:dyDescent="0.3">
      <c r="A737" s="15" t="s">
        <v>767</v>
      </c>
      <c r="B737" t="str">
        <f>IFERROR(VLOOKUP(Tabla1[[#This Row],[SISMED]],TblDisponibilidad[],2,FALSE), "")</f>
        <v/>
      </c>
      <c r="C737">
        <f>IFERROR(VLOOKUP(Tabla1[[#This Row],[SISMED]],TblDisponibilidad[],7,FALSE), 0)</f>
        <v>0</v>
      </c>
      <c r="D737">
        <f>IFERROR(VLOOKUP(Tabla1[[#This Row],[SISMED]],TblDisponibilidad[],8,FALSE), 0)</f>
        <v>0</v>
      </c>
      <c r="E737">
        <f>IFERROR(VLOOKUP(Tabla1[[#This Row],[SISMED]],TblDisponibilidad[],9,FALSE), 0)</f>
        <v>0</v>
      </c>
      <c r="F737">
        <f>IFERROR(VLOOKUP(Tabla1[[#This Row],[SISMED]],TblDisponibilidad[],10,FALSE), 0)</f>
        <v>0</v>
      </c>
      <c r="G737">
        <f>IFERROR(VLOOKUP(Tabla1[[#This Row],[SISMED]],TblDisponibilidad[],11,FALSE), 0)</f>
        <v>0</v>
      </c>
      <c r="H737">
        <f>IFERROR(VLOOKUP(Tabla1[[#This Row],[SISMED]],TblDisponibilidad[],12,FALSE), 0)</f>
        <v>0</v>
      </c>
      <c r="I737">
        <f>IFERROR(VLOOKUP(Tabla1[[#This Row],[SISMED]],TblDisponibilidad[],13,FALSE), 0)</f>
        <v>0</v>
      </c>
      <c r="J737">
        <f>IFERROR(VLOOKUP(Tabla1[[#This Row],[SISMED]],TblDisponibilidad[],14,FALSE), 0)</f>
        <v>0</v>
      </c>
      <c r="K737">
        <f>IFERROR(VLOOKUP(Tabla1[[#This Row],[SISMED]],TblDisponibilidad[],15,FALSE), 0)</f>
        <v>0</v>
      </c>
      <c r="L737">
        <f>IFERROR(VLOOKUP(Tabla1[[#This Row],[SISMED]],TblDisponibilidad[],16,FALSE), 0)</f>
        <v>0</v>
      </c>
      <c r="M737">
        <f>IFERROR(VLOOKUP(Tabla1[[#This Row],[SISMED]],TblDisponibilidad[],17,FALSE), 0)</f>
        <v>0</v>
      </c>
      <c r="N737">
        <f>IFERROR(VLOOKUP(Tabla1[[#This Row],[SISMED]],TblDisponibilidad[],18,FALSE), 0)</f>
        <v>0</v>
      </c>
      <c r="O737">
        <f>IFERROR(VLOOKUP(Tabla1[[#This Row],[SISMED]],TblDisponibilidad[],19,FALSE), 0)</f>
        <v>0</v>
      </c>
      <c r="P737">
        <f>IFERROR(VLOOKUP(Tabla1[[#This Row],[SISMED]],TblDisponibilidad[],20,FALSE), 0)</f>
        <v>0</v>
      </c>
      <c r="Q737">
        <f>IFERROR(VLOOKUP(Tabla1[[#This Row],[SISMED]],TblDisponibilidad[],21,FALSE), 0)</f>
        <v>0</v>
      </c>
      <c r="R737">
        <f>IFERROR(VLOOKUP(Tabla1[[#This Row],[SISMED]],TblDisponibilidad[],22,FALSE), 0)</f>
        <v>0</v>
      </c>
      <c r="S737" s="15">
        <f>IFERROR(VLOOKUP(Tabla1[[#This Row],[SISMED]],TblDisponibilidad[],23,FALSE), 0)</f>
        <v>0</v>
      </c>
    </row>
    <row r="738" spans="1:19" x14ac:dyDescent="0.3">
      <c r="A738" s="15" t="s">
        <v>768</v>
      </c>
      <c r="B738" t="str">
        <f>IFERROR(VLOOKUP(Tabla1[[#This Row],[SISMED]],TblDisponibilidad[],2,FALSE), "")</f>
        <v/>
      </c>
      <c r="C738">
        <f>IFERROR(VLOOKUP(Tabla1[[#This Row],[SISMED]],TblDisponibilidad[],7,FALSE), 0)</f>
        <v>0</v>
      </c>
      <c r="D738">
        <f>IFERROR(VLOOKUP(Tabla1[[#This Row],[SISMED]],TblDisponibilidad[],8,FALSE), 0)</f>
        <v>0</v>
      </c>
      <c r="E738">
        <f>IFERROR(VLOOKUP(Tabla1[[#This Row],[SISMED]],TblDisponibilidad[],9,FALSE), 0)</f>
        <v>0</v>
      </c>
      <c r="F738">
        <f>IFERROR(VLOOKUP(Tabla1[[#This Row],[SISMED]],TblDisponibilidad[],10,FALSE), 0)</f>
        <v>0</v>
      </c>
      <c r="G738">
        <f>IFERROR(VLOOKUP(Tabla1[[#This Row],[SISMED]],TblDisponibilidad[],11,FALSE), 0)</f>
        <v>0</v>
      </c>
      <c r="H738">
        <f>IFERROR(VLOOKUP(Tabla1[[#This Row],[SISMED]],TblDisponibilidad[],12,FALSE), 0)</f>
        <v>0</v>
      </c>
      <c r="I738">
        <f>IFERROR(VLOOKUP(Tabla1[[#This Row],[SISMED]],TblDisponibilidad[],13,FALSE), 0)</f>
        <v>0</v>
      </c>
      <c r="J738">
        <f>IFERROR(VLOOKUP(Tabla1[[#This Row],[SISMED]],TblDisponibilidad[],14,FALSE), 0)</f>
        <v>0</v>
      </c>
      <c r="K738">
        <f>IFERROR(VLOOKUP(Tabla1[[#This Row],[SISMED]],TblDisponibilidad[],15,FALSE), 0)</f>
        <v>0</v>
      </c>
      <c r="L738">
        <f>IFERROR(VLOOKUP(Tabla1[[#This Row],[SISMED]],TblDisponibilidad[],16,FALSE), 0)</f>
        <v>0</v>
      </c>
      <c r="M738">
        <f>IFERROR(VLOOKUP(Tabla1[[#This Row],[SISMED]],TblDisponibilidad[],17,FALSE), 0)</f>
        <v>0</v>
      </c>
      <c r="N738">
        <f>IFERROR(VLOOKUP(Tabla1[[#This Row],[SISMED]],TblDisponibilidad[],18,FALSE), 0)</f>
        <v>0</v>
      </c>
      <c r="O738">
        <f>IFERROR(VLOOKUP(Tabla1[[#This Row],[SISMED]],TblDisponibilidad[],19,FALSE), 0)</f>
        <v>0</v>
      </c>
      <c r="P738">
        <f>IFERROR(VLOOKUP(Tabla1[[#This Row],[SISMED]],TblDisponibilidad[],20,FALSE), 0)</f>
        <v>0</v>
      </c>
      <c r="Q738">
        <f>IFERROR(VLOOKUP(Tabla1[[#This Row],[SISMED]],TblDisponibilidad[],21,FALSE), 0)</f>
        <v>0</v>
      </c>
      <c r="R738">
        <f>IFERROR(VLOOKUP(Tabla1[[#This Row],[SISMED]],TblDisponibilidad[],22,FALSE), 0)</f>
        <v>0</v>
      </c>
      <c r="S738" s="15">
        <f>IFERROR(VLOOKUP(Tabla1[[#This Row],[SISMED]],TblDisponibilidad[],23,FALSE), 0)</f>
        <v>0</v>
      </c>
    </row>
    <row r="739" spans="1:19" x14ac:dyDescent="0.3">
      <c r="A739" s="15" t="s">
        <v>769</v>
      </c>
      <c r="B739" t="str">
        <f>IFERROR(VLOOKUP(Tabla1[[#This Row],[SISMED]],TblDisponibilidad[],2,FALSE), "")</f>
        <v/>
      </c>
      <c r="C739">
        <f>IFERROR(VLOOKUP(Tabla1[[#This Row],[SISMED]],TblDisponibilidad[],7,FALSE), 0)</f>
        <v>0</v>
      </c>
      <c r="D739">
        <f>IFERROR(VLOOKUP(Tabla1[[#This Row],[SISMED]],TblDisponibilidad[],8,FALSE), 0)</f>
        <v>0</v>
      </c>
      <c r="E739">
        <f>IFERROR(VLOOKUP(Tabla1[[#This Row],[SISMED]],TblDisponibilidad[],9,FALSE), 0)</f>
        <v>0</v>
      </c>
      <c r="F739">
        <f>IFERROR(VLOOKUP(Tabla1[[#This Row],[SISMED]],TblDisponibilidad[],10,FALSE), 0)</f>
        <v>0</v>
      </c>
      <c r="G739">
        <f>IFERROR(VLOOKUP(Tabla1[[#This Row],[SISMED]],TblDisponibilidad[],11,FALSE), 0)</f>
        <v>0</v>
      </c>
      <c r="H739">
        <f>IFERROR(VLOOKUP(Tabla1[[#This Row],[SISMED]],TblDisponibilidad[],12,FALSE), 0)</f>
        <v>0</v>
      </c>
      <c r="I739">
        <f>IFERROR(VLOOKUP(Tabla1[[#This Row],[SISMED]],TblDisponibilidad[],13,FALSE), 0)</f>
        <v>0</v>
      </c>
      <c r="J739">
        <f>IFERROR(VLOOKUP(Tabla1[[#This Row],[SISMED]],TblDisponibilidad[],14,FALSE), 0)</f>
        <v>0</v>
      </c>
      <c r="K739">
        <f>IFERROR(VLOOKUP(Tabla1[[#This Row],[SISMED]],TblDisponibilidad[],15,FALSE), 0)</f>
        <v>0</v>
      </c>
      <c r="L739">
        <f>IFERROR(VLOOKUP(Tabla1[[#This Row],[SISMED]],TblDisponibilidad[],16,FALSE), 0)</f>
        <v>0</v>
      </c>
      <c r="M739">
        <f>IFERROR(VLOOKUP(Tabla1[[#This Row],[SISMED]],TblDisponibilidad[],17,FALSE), 0)</f>
        <v>0</v>
      </c>
      <c r="N739">
        <f>IFERROR(VLOOKUP(Tabla1[[#This Row],[SISMED]],TblDisponibilidad[],18,FALSE), 0)</f>
        <v>0</v>
      </c>
      <c r="O739">
        <f>IFERROR(VLOOKUP(Tabla1[[#This Row],[SISMED]],TblDisponibilidad[],19,FALSE), 0)</f>
        <v>0</v>
      </c>
      <c r="P739">
        <f>IFERROR(VLOOKUP(Tabla1[[#This Row],[SISMED]],TblDisponibilidad[],20,FALSE), 0)</f>
        <v>0</v>
      </c>
      <c r="Q739">
        <f>IFERROR(VLOOKUP(Tabla1[[#This Row],[SISMED]],TblDisponibilidad[],21,FALSE), 0)</f>
        <v>0</v>
      </c>
      <c r="R739">
        <f>IFERROR(VLOOKUP(Tabla1[[#This Row],[SISMED]],TblDisponibilidad[],22,FALSE), 0)</f>
        <v>0</v>
      </c>
      <c r="S739" s="15">
        <f>IFERROR(VLOOKUP(Tabla1[[#This Row],[SISMED]],TblDisponibilidad[],23,FALSE), 0)</f>
        <v>0</v>
      </c>
    </row>
    <row r="740" spans="1:19" x14ac:dyDescent="0.3">
      <c r="A740" s="15" t="s">
        <v>770</v>
      </c>
      <c r="B740" t="str">
        <f>IFERROR(VLOOKUP(Tabla1[[#This Row],[SISMED]],TblDisponibilidad[],2,FALSE), "")</f>
        <v/>
      </c>
      <c r="C740">
        <f>IFERROR(VLOOKUP(Tabla1[[#This Row],[SISMED]],TblDisponibilidad[],7,FALSE), 0)</f>
        <v>0</v>
      </c>
      <c r="D740">
        <f>IFERROR(VLOOKUP(Tabla1[[#This Row],[SISMED]],TblDisponibilidad[],8,FALSE), 0)</f>
        <v>0</v>
      </c>
      <c r="E740">
        <f>IFERROR(VLOOKUP(Tabla1[[#This Row],[SISMED]],TblDisponibilidad[],9,FALSE), 0)</f>
        <v>0</v>
      </c>
      <c r="F740">
        <f>IFERROR(VLOOKUP(Tabla1[[#This Row],[SISMED]],TblDisponibilidad[],10,FALSE), 0)</f>
        <v>0</v>
      </c>
      <c r="G740">
        <f>IFERROR(VLOOKUP(Tabla1[[#This Row],[SISMED]],TblDisponibilidad[],11,FALSE), 0)</f>
        <v>0</v>
      </c>
      <c r="H740">
        <f>IFERROR(VLOOKUP(Tabla1[[#This Row],[SISMED]],TblDisponibilidad[],12,FALSE), 0)</f>
        <v>0</v>
      </c>
      <c r="I740">
        <f>IFERROR(VLOOKUP(Tabla1[[#This Row],[SISMED]],TblDisponibilidad[],13,FALSE), 0)</f>
        <v>0</v>
      </c>
      <c r="J740">
        <f>IFERROR(VLOOKUP(Tabla1[[#This Row],[SISMED]],TblDisponibilidad[],14,FALSE), 0)</f>
        <v>0</v>
      </c>
      <c r="K740">
        <f>IFERROR(VLOOKUP(Tabla1[[#This Row],[SISMED]],TblDisponibilidad[],15,FALSE), 0)</f>
        <v>0</v>
      </c>
      <c r="L740">
        <f>IFERROR(VLOOKUP(Tabla1[[#This Row],[SISMED]],TblDisponibilidad[],16,FALSE), 0)</f>
        <v>0</v>
      </c>
      <c r="M740">
        <f>IFERROR(VLOOKUP(Tabla1[[#This Row],[SISMED]],TblDisponibilidad[],17,FALSE), 0)</f>
        <v>0</v>
      </c>
      <c r="N740">
        <f>IFERROR(VLOOKUP(Tabla1[[#This Row],[SISMED]],TblDisponibilidad[],18,FALSE), 0)</f>
        <v>0</v>
      </c>
      <c r="O740">
        <f>IFERROR(VLOOKUP(Tabla1[[#This Row],[SISMED]],TblDisponibilidad[],19,FALSE), 0)</f>
        <v>0</v>
      </c>
      <c r="P740">
        <f>IFERROR(VLOOKUP(Tabla1[[#This Row],[SISMED]],TblDisponibilidad[],20,FALSE), 0)</f>
        <v>0</v>
      </c>
      <c r="Q740">
        <f>IFERROR(VLOOKUP(Tabla1[[#This Row],[SISMED]],TblDisponibilidad[],21,FALSE), 0)</f>
        <v>0</v>
      </c>
      <c r="R740">
        <f>IFERROR(VLOOKUP(Tabla1[[#This Row],[SISMED]],TblDisponibilidad[],22,FALSE), 0)</f>
        <v>0</v>
      </c>
      <c r="S740" s="15">
        <f>IFERROR(VLOOKUP(Tabla1[[#This Row],[SISMED]],TblDisponibilidad[],23,FALSE), 0)</f>
        <v>0</v>
      </c>
    </row>
    <row r="741" spans="1:19" x14ac:dyDescent="0.3">
      <c r="A741" s="15" t="s">
        <v>771</v>
      </c>
      <c r="B741" t="str">
        <f>IFERROR(VLOOKUP(Tabla1[[#This Row],[SISMED]],TblDisponibilidad[],2,FALSE), "")</f>
        <v/>
      </c>
      <c r="C741">
        <f>IFERROR(VLOOKUP(Tabla1[[#This Row],[SISMED]],TblDisponibilidad[],7,FALSE), 0)</f>
        <v>0</v>
      </c>
      <c r="D741">
        <f>IFERROR(VLOOKUP(Tabla1[[#This Row],[SISMED]],TblDisponibilidad[],8,FALSE), 0)</f>
        <v>0</v>
      </c>
      <c r="E741">
        <f>IFERROR(VLOOKUP(Tabla1[[#This Row],[SISMED]],TblDisponibilidad[],9,FALSE), 0)</f>
        <v>0</v>
      </c>
      <c r="F741">
        <f>IFERROR(VLOOKUP(Tabla1[[#This Row],[SISMED]],TblDisponibilidad[],10,FALSE), 0)</f>
        <v>0</v>
      </c>
      <c r="G741">
        <f>IFERROR(VLOOKUP(Tabla1[[#This Row],[SISMED]],TblDisponibilidad[],11,FALSE), 0)</f>
        <v>0</v>
      </c>
      <c r="H741">
        <f>IFERROR(VLOOKUP(Tabla1[[#This Row],[SISMED]],TblDisponibilidad[],12,FALSE), 0)</f>
        <v>0</v>
      </c>
      <c r="I741">
        <f>IFERROR(VLOOKUP(Tabla1[[#This Row],[SISMED]],TblDisponibilidad[],13,FALSE), 0)</f>
        <v>0</v>
      </c>
      <c r="J741">
        <f>IFERROR(VLOOKUP(Tabla1[[#This Row],[SISMED]],TblDisponibilidad[],14,FALSE), 0)</f>
        <v>0</v>
      </c>
      <c r="K741">
        <f>IFERROR(VLOOKUP(Tabla1[[#This Row],[SISMED]],TblDisponibilidad[],15,FALSE), 0)</f>
        <v>0</v>
      </c>
      <c r="L741">
        <f>IFERROR(VLOOKUP(Tabla1[[#This Row],[SISMED]],TblDisponibilidad[],16,FALSE), 0)</f>
        <v>0</v>
      </c>
      <c r="M741">
        <f>IFERROR(VLOOKUP(Tabla1[[#This Row],[SISMED]],TblDisponibilidad[],17,FALSE), 0)</f>
        <v>0</v>
      </c>
      <c r="N741">
        <f>IFERROR(VLOOKUP(Tabla1[[#This Row],[SISMED]],TblDisponibilidad[],18,FALSE), 0)</f>
        <v>0</v>
      </c>
      <c r="O741">
        <f>IFERROR(VLOOKUP(Tabla1[[#This Row],[SISMED]],TblDisponibilidad[],19,FALSE), 0)</f>
        <v>0</v>
      </c>
      <c r="P741">
        <f>IFERROR(VLOOKUP(Tabla1[[#This Row],[SISMED]],TblDisponibilidad[],20,FALSE), 0)</f>
        <v>0</v>
      </c>
      <c r="Q741">
        <f>IFERROR(VLOOKUP(Tabla1[[#This Row],[SISMED]],TblDisponibilidad[],21,FALSE), 0)</f>
        <v>0</v>
      </c>
      <c r="R741">
        <f>IFERROR(VLOOKUP(Tabla1[[#This Row],[SISMED]],TblDisponibilidad[],22,FALSE), 0)</f>
        <v>0</v>
      </c>
      <c r="S741" s="15">
        <f>IFERROR(VLOOKUP(Tabla1[[#This Row],[SISMED]],TblDisponibilidad[],23,FALSE), 0)</f>
        <v>0</v>
      </c>
    </row>
    <row r="742" spans="1:19" x14ac:dyDescent="0.3">
      <c r="A742" s="15" t="s">
        <v>772</v>
      </c>
      <c r="B742" t="str">
        <f>IFERROR(VLOOKUP(Tabla1[[#This Row],[SISMED]],TblDisponibilidad[],2,FALSE), "")</f>
        <v/>
      </c>
      <c r="C742">
        <f>IFERROR(VLOOKUP(Tabla1[[#This Row],[SISMED]],TblDisponibilidad[],7,FALSE), 0)</f>
        <v>0</v>
      </c>
      <c r="D742">
        <f>IFERROR(VLOOKUP(Tabla1[[#This Row],[SISMED]],TblDisponibilidad[],8,FALSE), 0)</f>
        <v>0</v>
      </c>
      <c r="E742">
        <f>IFERROR(VLOOKUP(Tabla1[[#This Row],[SISMED]],TblDisponibilidad[],9,FALSE), 0)</f>
        <v>0</v>
      </c>
      <c r="F742">
        <f>IFERROR(VLOOKUP(Tabla1[[#This Row],[SISMED]],TblDisponibilidad[],10,FALSE), 0)</f>
        <v>0</v>
      </c>
      <c r="G742">
        <f>IFERROR(VLOOKUP(Tabla1[[#This Row],[SISMED]],TblDisponibilidad[],11,FALSE), 0)</f>
        <v>0</v>
      </c>
      <c r="H742">
        <f>IFERROR(VLOOKUP(Tabla1[[#This Row],[SISMED]],TblDisponibilidad[],12,FALSE), 0)</f>
        <v>0</v>
      </c>
      <c r="I742">
        <f>IFERROR(VLOOKUP(Tabla1[[#This Row],[SISMED]],TblDisponibilidad[],13,FALSE), 0)</f>
        <v>0</v>
      </c>
      <c r="J742">
        <f>IFERROR(VLOOKUP(Tabla1[[#This Row],[SISMED]],TblDisponibilidad[],14,FALSE), 0)</f>
        <v>0</v>
      </c>
      <c r="K742">
        <f>IFERROR(VLOOKUP(Tabla1[[#This Row],[SISMED]],TblDisponibilidad[],15,FALSE), 0)</f>
        <v>0</v>
      </c>
      <c r="L742">
        <f>IFERROR(VLOOKUP(Tabla1[[#This Row],[SISMED]],TblDisponibilidad[],16,FALSE), 0)</f>
        <v>0</v>
      </c>
      <c r="M742">
        <f>IFERROR(VLOOKUP(Tabla1[[#This Row],[SISMED]],TblDisponibilidad[],17,FALSE), 0)</f>
        <v>0</v>
      </c>
      <c r="N742">
        <f>IFERROR(VLOOKUP(Tabla1[[#This Row],[SISMED]],TblDisponibilidad[],18,FALSE), 0)</f>
        <v>0</v>
      </c>
      <c r="O742">
        <f>IFERROR(VLOOKUP(Tabla1[[#This Row],[SISMED]],TblDisponibilidad[],19,FALSE), 0)</f>
        <v>0</v>
      </c>
      <c r="P742">
        <f>IFERROR(VLOOKUP(Tabla1[[#This Row],[SISMED]],TblDisponibilidad[],20,FALSE), 0)</f>
        <v>0</v>
      </c>
      <c r="Q742">
        <f>IFERROR(VLOOKUP(Tabla1[[#This Row],[SISMED]],TblDisponibilidad[],21,FALSE), 0)</f>
        <v>0</v>
      </c>
      <c r="R742">
        <f>IFERROR(VLOOKUP(Tabla1[[#This Row],[SISMED]],TblDisponibilidad[],22,FALSE), 0)</f>
        <v>0</v>
      </c>
      <c r="S742" s="15">
        <f>IFERROR(VLOOKUP(Tabla1[[#This Row],[SISMED]],TblDisponibilidad[],23,FALSE), 0)</f>
        <v>0</v>
      </c>
    </row>
    <row r="743" spans="1:19" x14ac:dyDescent="0.3">
      <c r="A743" s="15" t="s">
        <v>773</v>
      </c>
      <c r="B743" t="str">
        <f>IFERROR(VLOOKUP(Tabla1[[#This Row],[SISMED]],TblDisponibilidad[],2,FALSE), "")</f>
        <v/>
      </c>
      <c r="C743">
        <f>IFERROR(VLOOKUP(Tabla1[[#This Row],[SISMED]],TblDisponibilidad[],7,FALSE), 0)</f>
        <v>0</v>
      </c>
      <c r="D743">
        <f>IFERROR(VLOOKUP(Tabla1[[#This Row],[SISMED]],TblDisponibilidad[],8,FALSE), 0)</f>
        <v>0</v>
      </c>
      <c r="E743">
        <f>IFERROR(VLOOKUP(Tabla1[[#This Row],[SISMED]],TblDisponibilidad[],9,FALSE), 0)</f>
        <v>0</v>
      </c>
      <c r="F743">
        <f>IFERROR(VLOOKUP(Tabla1[[#This Row],[SISMED]],TblDisponibilidad[],10,FALSE), 0)</f>
        <v>0</v>
      </c>
      <c r="G743">
        <f>IFERROR(VLOOKUP(Tabla1[[#This Row],[SISMED]],TblDisponibilidad[],11,FALSE), 0)</f>
        <v>0</v>
      </c>
      <c r="H743">
        <f>IFERROR(VLOOKUP(Tabla1[[#This Row],[SISMED]],TblDisponibilidad[],12,FALSE), 0)</f>
        <v>0</v>
      </c>
      <c r="I743">
        <f>IFERROR(VLOOKUP(Tabla1[[#This Row],[SISMED]],TblDisponibilidad[],13,FALSE), 0)</f>
        <v>0</v>
      </c>
      <c r="J743">
        <f>IFERROR(VLOOKUP(Tabla1[[#This Row],[SISMED]],TblDisponibilidad[],14,FALSE), 0)</f>
        <v>0</v>
      </c>
      <c r="K743">
        <f>IFERROR(VLOOKUP(Tabla1[[#This Row],[SISMED]],TblDisponibilidad[],15,FALSE), 0)</f>
        <v>0</v>
      </c>
      <c r="L743">
        <f>IFERROR(VLOOKUP(Tabla1[[#This Row],[SISMED]],TblDisponibilidad[],16,FALSE), 0)</f>
        <v>0</v>
      </c>
      <c r="M743">
        <f>IFERROR(VLOOKUP(Tabla1[[#This Row],[SISMED]],TblDisponibilidad[],17,FALSE), 0)</f>
        <v>0</v>
      </c>
      <c r="N743">
        <f>IFERROR(VLOOKUP(Tabla1[[#This Row],[SISMED]],TblDisponibilidad[],18,FALSE), 0)</f>
        <v>0</v>
      </c>
      <c r="O743">
        <f>IFERROR(VLOOKUP(Tabla1[[#This Row],[SISMED]],TblDisponibilidad[],19,FALSE), 0)</f>
        <v>0</v>
      </c>
      <c r="P743">
        <f>IFERROR(VLOOKUP(Tabla1[[#This Row],[SISMED]],TblDisponibilidad[],20,FALSE), 0)</f>
        <v>0</v>
      </c>
      <c r="Q743">
        <f>IFERROR(VLOOKUP(Tabla1[[#This Row],[SISMED]],TblDisponibilidad[],21,FALSE), 0)</f>
        <v>0</v>
      </c>
      <c r="R743">
        <f>IFERROR(VLOOKUP(Tabla1[[#This Row],[SISMED]],TblDisponibilidad[],22,FALSE), 0)</f>
        <v>0</v>
      </c>
      <c r="S743" s="15">
        <f>IFERROR(VLOOKUP(Tabla1[[#This Row],[SISMED]],TblDisponibilidad[],23,FALSE), 0)</f>
        <v>0</v>
      </c>
    </row>
    <row r="744" spans="1:19" x14ac:dyDescent="0.3">
      <c r="A744" s="15" t="s">
        <v>774</v>
      </c>
      <c r="B744" t="str">
        <f>IFERROR(VLOOKUP(Tabla1[[#This Row],[SISMED]],TblDisponibilidad[],2,FALSE), "")</f>
        <v/>
      </c>
      <c r="C744">
        <f>IFERROR(VLOOKUP(Tabla1[[#This Row],[SISMED]],TblDisponibilidad[],7,FALSE), 0)</f>
        <v>0</v>
      </c>
      <c r="D744">
        <f>IFERROR(VLOOKUP(Tabla1[[#This Row],[SISMED]],TblDisponibilidad[],8,FALSE), 0)</f>
        <v>0</v>
      </c>
      <c r="E744">
        <f>IFERROR(VLOOKUP(Tabla1[[#This Row],[SISMED]],TblDisponibilidad[],9,FALSE), 0)</f>
        <v>0</v>
      </c>
      <c r="F744">
        <f>IFERROR(VLOOKUP(Tabla1[[#This Row],[SISMED]],TblDisponibilidad[],10,FALSE), 0)</f>
        <v>0</v>
      </c>
      <c r="G744">
        <f>IFERROR(VLOOKUP(Tabla1[[#This Row],[SISMED]],TblDisponibilidad[],11,FALSE), 0)</f>
        <v>0</v>
      </c>
      <c r="H744">
        <f>IFERROR(VLOOKUP(Tabla1[[#This Row],[SISMED]],TblDisponibilidad[],12,FALSE), 0)</f>
        <v>0</v>
      </c>
      <c r="I744">
        <f>IFERROR(VLOOKUP(Tabla1[[#This Row],[SISMED]],TblDisponibilidad[],13,FALSE), 0)</f>
        <v>0</v>
      </c>
      <c r="J744">
        <f>IFERROR(VLOOKUP(Tabla1[[#This Row],[SISMED]],TblDisponibilidad[],14,FALSE), 0)</f>
        <v>0</v>
      </c>
      <c r="K744">
        <f>IFERROR(VLOOKUP(Tabla1[[#This Row],[SISMED]],TblDisponibilidad[],15,FALSE), 0)</f>
        <v>0</v>
      </c>
      <c r="L744">
        <f>IFERROR(VLOOKUP(Tabla1[[#This Row],[SISMED]],TblDisponibilidad[],16,FALSE), 0)</f>
        <v>0</v>
      </c>
      <c r="M744">
        <f>IFERROR(VLOOKUP(Tabla1[[#This Row],[SISMED]],TblDisponibilidad[],17,FALSE), 0)</f>
        <v>0</v>
      </c>
      <c r="N744">
        <f>IFERROR(VLOOKUP(Tabla1[[#This Row],[SISMED]],TblDisponibilidad[],18,FALSE), 0)</f>
        <v>0</v>
      </c>
      <c r="O744">
        <f>IFERROR(VLOOKUP(Tabla1[[#This Row],[SISMED]],TblDisponibilidad[],19,FALSE), 0)</f>
        <v>0</v>
      </c>
      <c r="P744">
        <f>IFERROR(VLOOKUP(Tabla1[[#This Row],[SISMED]],TblDisponibilidad[],20,FALSE), 0)</f>
        <v>0</v>
      </c>
      <c r="Q744">
        <f>IFERROR(VLOOKUP(Tabla1[[#This Row],[SISMED]],TblDisponibilidad[],21,FALSE), 0)</f>
        <v>0</v>
      </c>
      <c r="R744">
        <f>IFERROR(VLOOKUP(Tabla1[[#This Row],[SISMED]],TblDisponibilidad[],22,FALSE), 0)</f>
        <v>0</v>
      </c>
      <c r="S744" s="15">
        <f>IFERROR(VLOOKUP(Tabla1[[#This Row],[SISMED]],TblDisponibilidad[],23,FALSE), 0)</f>
        <v>0</v>
      </c>
    </row>
    <row r="745" spans="1:19" x14ac:dyDescent="0.3">
      <c r="A745" s="15" t="s">
        <v>775</v>
      </c>
      <c r="B745" t="str">
        <f>IFERROR(VLOOKUP(Tabla1[[#This Row],[SISMED]],TblDisponibilidad[],2,FALSE), "")</f>
        <v/>
      </c>
      <c r="C745">
        <f>IFERROR(VLOOKUP(Tabla1[[#This Row],[SISMED]],TblDisponibilidad[],7,FALSE), 0)</f>
        <v>0</v>
      </c>
      <c r="D745">
        <f>IFERROR(VLOOKUP(Tabla1[[#This Row],[SISMED]],TblDisponibilidad[],8,FALSE), 0)</f>
        <v>0</v>
      </c>
      <c r="E745">
        <f>IFERROR(VLOOKUP(Tabla1[[#This Row],[SISMED]],TblDisponibilidad[],9,FALSE), 0)</f>
        <v>0</v>
      </c>
      <c r="F745">
        <f>IFERROR(VLOOKUP(Tabla1[[#This Row],[SISMED]],TblDisponibilidad[],10,FALSE), 0)</f>
        <v>0</v>
      </c>
      <c r="G745">
        <f>IFERROR(VLOOKUP(Tabla1[[#This Row],[SISMED]],TblDisponibilidad[],11,FALSE), 0)</f>
        <v>0</v>
      </c>
      <c r="H745">
        <f>IFERROR(VLOOKUP(Tabla1[[#This Row],[SISMED]],TblDisponibilidad[],12,FALSE), 0)</f>
        <v>0</v>
      </c>
      <c r="I745">
        <f>IFERROR(VLOOKUP(Tabla1[[#This Row],[SISMED]],TblDisponibilidad[],13,FALSE), 0)</f>
        <v>0</v>
      </c>
      <c r="J745">
        <f>IFERROR(VLOOKUP(Tabla1[[#This Row],[SISMED]],TblDisponibilidad[],14,FALSE), 0)</f>
        <v>0</v>
      </c>
      <c r="K745">
        <f>IFERROR(VLOOKUP(Tabla1[[#This Row],[SISMED]],TblDisponibilidad[],15,FALSE), 0)</f>
        <v>0</v>
      </c>
      <c r="L745">
        <f>IFERROR(VLOOKUP(Tabla1[[#This Row],[SISMED]],TblDisponibilidad[],16,FALSE), 0)</f>
        <v>0</v>
      </c>
      <c r="M745">
        <f>IFERROR(VLOOKUP(Tabla1[[#This Row],[SISMED]],TblDisponibilidad[],17,FALSE), 0)</f>
        <v>0</v>
      </c>
      <c r="N745">
        <f>IFERROR(VLOOKUP(Tabla1[[#This Row],[SISMED]],TblDisponibilidad[],18,FALSE), 0)</f>
        <v>0</v>
      </c>
      <c r="O745">
        <f>IFERROR(VLOOKUP(Tabla1[[#This Row],[SISMED]],TblDisponibilidad[],19,FALSE), 0)</f>
        <v>0</v>
      </c>
      <c r="P745">
        <f>IFERROR(VLOOKUP(Tabla1[[#This Row],[SISMED]],TblDisponibilidad[],20,FALSE), 0)</f>
        <v>0</v>
      </c>
      <c r="Q745">
        <f>IFERROR(VLOOKUP(Tabla1[[#This Row],[SISMED]],TblDisponibilidad[],21,FALSE), 0)</f>
        <v>0</v>
      </c>
      <c r="R745">
        <f>IFERROR(VLOOKUP(Tabla1[[#This Row],[SISMED]],TblDisponibilidad[],22,FALSE), 0)</f>
        <v>0</v>
      </c>
      <c r="S745" s="15">
        <f>IFERROR(VLOOKUP(Tabla1[[#This Row],[SISMED]],TblDisponibilidad[],23,FALSE), 0)</f>
        <v>0</v>
      </c>
    </row>
    <row r="746" spans="1:19" x14ac:dyDescent="0.3">
      <c r="A746" s="15" t="s">
        <v>776</v>
      </c>
      <c r="B746" t="str">
        <f>IFERROR(VLOOKUP(Tabla1[[#This Row],[SISMED]],TblDisponibilidad[],2,FALSE), "")</f>
        <v/>
      </c>
      <c r="C746">
        <f>IFERROR(VLOOKUP(Tabla1[[#This Row],[SISMED]],TblDisponibilidad[],7,FALSE), 0)</f>
        <v>0</v>
      </c>
      <c r="D746">
        <f>IFERROR(VLOOKUP(Tabla1[[#This Row],[SISMED]],TblDisponibilidad[],8,FALSE), 0)</f>
        <v>0</v>
      </c>
      <c r="E746">
        <f>IFERROR(VLOOKUP(Tabla1[[#This Row],[SISMED]],TblDisponibilidad[],9,FALSE), 0)</f>
        <v>0</v>
      </c>
      <c r="F746">
        <f>IFERROR(VLOOKUP(Tabla1[[#This Row],[SISMED]],TblDisponibilidad[],10,FALSE), 0)</f>
        <v>0</v>
      </c>
      <c r="G746">
        <f>IFERROR(VLOOKUP(Tabla1[[#This Row],[SISMED]],TblDisponibilidad[],11,FALSE), 0)</f>
        <v>0</v>
      </c>
      <c r="H746">
        <f>IFERROR(VLOOKUP(Tabla1[[#This Row],[SISMED]],TblDisponibilidad[],12,FALSE), 0)</f>
        <v>0</v>
      </c>
      <c r="I746">
        <f>IFERROR(VLOOKUP(Tabla1[[#This Row],[SISMED]],TblDisponibilidad[],13,FALSE), 0)</f>
        <v>0</v>
      </c>
      <c r="J746">
        <f>IFERROR(VLOOKUP(Tabla1[[#This Row],[SISMED]],TblDisponibilidad[],14,FALSE), 0)</f>
        <v>0</v>
      </c>
      <c r="K746">
        <f>IFERROR(VLOOKUP(Tabla1[[#This Row],[SISMED]],TblDisponibilidad[],15,FALSE), 0)</f>
        <v>0</v>
      </c>
      <c r="L746">
        <f>IFERROR(VLOOKUP(Tabla1[[#This Row],[SISMED]],TblDisponibilidad[],16,FALSE), 0)</f>
        <v>0</v>
      </c>
      <c r="M746">
        <f>IFERROR(VLOOKUP(Tabla1[[#This Row],[SISMED]],TblDisponibilidad[],17,FALSE), 0)</f>
        <v>0</v>
      </c>
      <c r="N746">
        <f>IFERROR(VLOOKUP(Tabla1[[#This Row],[SISMED]],TblDisponibilidad[],18,FALSE), 0)</f>
        <v>0</v>
      </c>
      <c r="O746">
        <f>IFERROR(VLOOKUP(Tabla1[[#This Row],[SISMED]],TblDisponibilidad[],19,FALSE), 0)</f>
        <v>0</v>
      </c>
      <c r="P746">
        <f>IFERROR(VLOOKUP(Tabla1[[#This Row],[SISMED]],TblDisponibilidad[],20,FALSE), 0)</f>
        <v>0</v>
      </c>
      <c r="Q746">
        <f>IFERROR(VLOOKUP(Tabla1[[#This Row],[SISMED]],TblDisponibilidad[],21,FALSE), 0)</f>
        <v>0</v>
      </c>
      <c r="R746">
        <f>IFERROR(VLOOKUP(Tabla1[[#This Row],[SISMED]],TblDisponibilidad[],22,FALSE), 0)</f>
        <v>0</v>
      </c>
      <c r="S746" s="15">
        <f>IFERROR(VLOOKUP(Tabla1[[#This Row],[SISMED]],TblDisponibilidad[],23,FALSE), 0)</f>
        <v>0</v>
      </c>
    </row>
    <row r="747" spans="1:19" x14ac:dyDescent="0.3">
      <c r="A747" s="15" t="s">
        <v>777</v>
      </c>
      <c r="B747" t="str">
        <f>IFERROR(VLOOKUP(Tabla1[[#This Row],[SISMED]],TblDisponibilidad[],2,FALSE), "")</f>
        <v/>
      </c>
      <c r="C747">
        <f>IFERROR(VLOOKUP(Tabla1[[#This Row],[SISMED]],TblDisponibilidad[],7,FALSE), 0)</f>
        <v>0</v>
      </c>
      <c r="D747">
        <f>IFERROR(VLOOKUP(Tabla1[[#This Row],[SISMED]],TblDisponibilidad[],8,FALSE), 0)</f>
        <v>0</v>
      </c>
      <c r="E747">
        <f>IFERROR(VLOOKUP(Tabla1[[#This Row],[SISMED]],TblDisponibilidad[],9,FALSE), 0)</f>
        <v>0</v>
      </c>
      <c r="F747">
        <f>IFERROR(VLOOKUP(Tabla1[[#This Row],[SISMED]],TblDisponibilidad[],10,FALSE), 0)</f>
        <v>0</v>
      </c>
      <c r="G747">
        <f>IFERROR(VLOOKUP(Tabla1[[#This Row],[SISMED]],TblDisponibilidad[],11,FALSE), 0)</f>
        <v>0</v>
      </c>
      <c r="H747">
        <f>IFERROR(VLOOKUP(Tabla1[[#This Row],[SISMED]],TblDisponibilidad[],12,FALSE), 0)</f>
        <v>0</v>
      </c>
      <c r="I747">
        <f>IFERROR(VLOOKUP(Tabla1[[#This Row],[SISMED]],TblDisponibilidad[],13,FALSE), 0)</f>
        <v>0</v>
      </c>
      <c r="J747">
        <f>IFERROR(VLOOKUP(Tabla1[[#This Row],[SISMED]],TblDisponibilidad[],14,FALSE), 0)</f>
        <v>0</v>
      </c>
      <c r="K747">
        <f>IFERROR(VLOOKUP(Tabla1[[#This Row],[SISMED]],TblDisponibilidad[],15,FALSE), 0)</f>
        <v>0</v>
      </c>
      <c r="L747">
        <f>IFERROR(VLOOKUP(Tabla1[[#This Row],[SISMED]],TblDisponibilidad[],16,FALSE), 0)</f>
        <v>0</v>
      </c>
      <c r="M747">
        <f>IFERROR(VLOOKUP(Tabla1[[#This Row],[SISMED]],TblDisponibilidad[],17,FALSE), 0)</f>
        <v>0</v>
      </c>
      <c r="N747">
        <f>IFERROR(VLOOKUP(Tabla1[[#This Row],[SISMED]],TblDisponibilidad[],18,FALSE), 0)</f>
        <v>0</v>
      </c>
      <c r="O747">
        <f>IFERROR(VLOOKUP(Tabla1[[#This Row],[SISMED]],TblDisponibilidad[],19,FALSE), 0)</f>
        <v>0</v>
      </c>
      <c r="P747">
        <f>IFERROR(VLOOKUP(Tabla1[[#This Row],[SISMED]],TblDisponibilidad[],20,FALSE), 0)</f>
        <v>0</v>
      </c>
      <c r="Q747">
        <f>IFERROR(VLOOKUP(Tabla1[[#This Row],[SISMED]],TblDisponibilidad[],21,FALSE), 0)</f>
        <v>0</v>
      </c>
      <c r="R747">
        <f>IFERROR(VLOOKUP(Tabla1[[#This Row],[SISMED]],TblDisponibilidad[],22,FALSE), 0)</f>
        <v>0</v>
      </c>
      <c r="S747" s="15">
        <f>IFERROR(VLOOKUP(Tabla1[[#This Row],[SISMED]],TblDisponibilidad[],23,FALSE), 0)</f>
        <v>0</v>
      </c>
    </row>
    <row r="748" spans="1:19" x14ac:dyDescent="0.3">
      <c r="A748" s="15" t="s">
        <v>778</v>
      </c>
      <c r="B748" t="str">
        <f>IFERROR(VLOOKUP(Tabla1[[#This Row],[SISMED]],TblDisponibilidad[],2,FALSE), "")</f>
        <v/>
      </c>
      <c r="C748">
        <f>IFERROR(VLOOKUP(Tabla1[[#This Row],[SISMED]],TblDisponibilidad[],7,FALSE), 0)</f>
        <v>0</v>
      </c>
      <c r="D748">
        <f>IFERROR(VLOOKUP(Tabla1[[#This Row],[SISMED]],TblDisponibilidad[],8,FALSE), 0)</f>
        <v>0</v>
      </c>
      <c r="E748">
        <f>IFERROR(VLOOKUP(Tabla1[[#This Row],[SISMED]],TblDisponibilidad[],9,FALSE), 0)</f>
        <v>0</v>
      </c>
      <c r="F748">
        <f>IFERROR(VLOOKUP(Tabla1[[#This Row],[SISMED]],TblDisponibilidad[],10,FALSE), 0)</f>
        <v>0</v>
      </c>
      <c r="G748">
        <f>IFERROR(VLOOKUP(Tabla1[[#This Row],[SISMED]],TblDisponibilidad[],11,FALSE), 0)</f>
        <v>0</v>
      </c>
      <c r="H748">
        <f>IFERROR(VLOOKUP(Tabla1[[#This Row],[SISMED]],TblDisponibilidad[],12,FALSE), 0)</f>
        <v>0</v>
      </c>
      <c r="I748">
        <f>IFERROR(VLOOKUP(Tabla1[[#This Row],[SISMED]],TblDisponibilidad[],13,FALSE), 0)</f>
        <v>0</v>
      </c>
      <c r="J748">
        <f>IFERROR(VLOOKUP(Tabla1[[#This Row],[SISMED]],TblDisponibilidad[],14,FALSE), 0)</f>
        <v>0</v>
      </c>
      <c r="K748">
        <f>IFERROR(VLOOKUP(Tabla1[[#This Row],[SISMED]],TblDisponibilidad[],15,FALSE), 0)</f>
        <v>0</v>
      </c>
      <c r="L748">
        <f>IFERROR(VLOOKUP(Tabla1[[#This Row],[SISMED]],TblDisponibilidad[],16,FALSE), 0)</f>
        <v>0</v>
      </c>
      <c r="M748">
        <f>IFERROR(VLOOKUP(Tabla1[[#This Row],[SISMED]],TblDisponibilidad[],17,FALSE), 0)</f>
        <v>0</v>
      </c>
      <c r="N748">
        <f>IFERROR(VLOOKUP(Tabla1[[#This Row],[SISMED]],TblDisponibilidad[],18,FALSE), 0)</f>
        <v>0</v>
      </c>
      <c r="O748">
        <f>IFERROR(VLOOKUP(Tabla1[[#This Row],[SISMED]],TblDisponibilidad[],19,FALSE), 0)</f>
        <v>0</v>
      </c>
      <c r="P748">
        <f>IFERROR(VLOOKUP(Tabla1[[#This Row],[SISMED]],TblDisponibilidad[],20,FALSE), 0)</f>
        <v>0</v>
      </c>
      <c r="Q748">
        <f>IFERROR(VLOOKUP(Tabla1[[#This Row],[SISMED]],TblDisponibilidad[],21,FALSE), 0)</f>
        <v>0</v>
      </c>
      <c r="R748">
        <f>IFERROR(VLOOKUP(Tabla1[[#This Row],[SISMED]],TblDisponibilidad[],22,FALSE), 0)</f>
        <v>0</v>
      </c>
      <c r="S748" s="15">
        <f>IFERROR(VLOOKUP(Tabla1[[#This Row],[SISMED]],TblDisponibilidad[],23,FALSE), 0)</f>
        <v>0</v>
      </c>
    </row>
    <row r="749" spans="1:19" x14ac:dyDescent="0.3">
      <c r="A749" s="15" t="s">
        <v>779</v>
      </c>
      <c r="B749" t="str">
        <f>IFERROR(VLOOKUP(Tabla1[[#This Row],[SISMED]],TblDisponibilidad[],2,FALSE), "")</f>
        <v/>
      </c>
      <c r="C749">
        <f>IFERROR(VLOOKUP(Tabla1[[#This Row],[SISMED]],TblDisponibilidad[],7,FALSE), 0)</f>
        <v>0</v>
      </c>
      <c r="D749">
        <f>IFERROR(VLOOKUP(Tabla1[[#This Row],[SISMED]],TblDisponibilidad[],8,FALSE), 0)</f>
        <v>0</v>
      </c>
      <c r="E749">
        <f>IFERROR(VLOOKUP(Tabla1[[#This Row],[SISMED]],TblDisponibilidad[],9,FALSE), 0)</f>
        <v>0</v>
      </c>
      <c r="F749">
        <f>IFERROR(VLOOKUP(Tabla1[[#This Row],[SISMED]],TblDisponibilidad[],10,FALSE), 0)</f>
        <v>0</v>
      </c>
      <c r="G749">
        <f>IFERROR(VLOOKUP(Tabla1[[#This Row],[SISMED]],TblDisponibilidad[],11,FALSE), 0)</f>
        <v>0</v>
      </c>
      <c r="H749">
        <f>IFERROR(VLOOKUP(Tabla1[[#This Row],[SISMED]],TblDisponibilidad[],12,FALSE), 0)</f>
        <v>0</v>
      </c>
      <c r="I749">
        <f>IFERROR(VLOOKUP(Tabla1[[#This Row],[SISMED]],TblDisponibilidad[],13,FALSE), 0)</f>
        <v>0</v>
      </c>
      <c r="J749">
        <f>IFERROR(VLOOKUP(Tabla1[[#This Row],[SISMED]],TblDisponibilidad[],14,FALSE), 0)</f>
        <v>0</v>
      </c>
      <c r="K749">
        <f>IFERROR(VLOOKUP(Tabla1[[#This Row],[SISMED]],TblDisponibilidad[],15,FALSE), 0)</f>
        <v>0</v>
      </c>
      <c r="L749">
        <f>IFERROR(VLOOKUP(Tabla1[[#This Row],[SISMED]],TblDisponibilidad[],16,FALSE), 0)</f>
        <v>0</v>
      </c>
      <c r="M749">
        <f>IFERROR(VLOOKUP(Tabla1[[#This Row],[SISMED]],TblDisponibilidad[],17,FALSE), 0)</f>
        <v>0</v>
      </c>
      <c r="N749">
        <f>IFERROR(VLOOKUP(Tabla1[[#This Row],[SISMED]],TblDisponibilidad[],18,FALSE), 0)</f>
        <v>0</v>
      </c>
      <c r="O749">
        <f>IFERROR(VLOOKUP(Tabla1[[#This Row],[SISMED]],TblDisponibilidad[],19,FALSE), 0)</f>
        <v>0</v>
      </c>
      <c r="P749">
        <f>IFERROR(VLOOKUP(Tabla1[[#This Row],[SISMED]],TblDisponibilidad[],20,FALSE), 0)</f>
        <v>0</v>
      </c>
      <c r="Q749">
        <f>IFERROR(VLOOKUP(Tabla1[[#This Row],[SISMED]],TblDisponibilidad[],21,FALSE), 0)</f>
        <v>0</v>
      </c>
      <c r="R749">
        <f>IFERROR(VLOOKUP(Tabla1[[#This Row],[SISMED]],TblDisponibilidad[],22,FALSE), 0)</f>
        <v>0</v>
      </c>
      <c r="S749" s="15">
        <f>IFERROR(VLOOKUP(Tabla1[[#This Row],[SISMED]],TblDisponibilidad[],23,FALSE), 0)</f>
        <v>0</v>
      </c>
    </row>
    <row r="750" spans="1:19" x14ac:dyDescent="0.3">
      <c r="A750" s="15" t="s">
        <v>780</v>
      </c>
      <c r="B750" t="str">
        <f>IFERROR(VLOOKUP(Tabla1[[#This Row],[SISMED]],TblDisponibilidad[],2,FALSE), "")</f>
        <v/>
      </c>
      <c r="C750">
        <f>IFERROR(VLOOKUP(Tabla1[[#This Row],[SISMED]],TblDisponibilidad[],7,FALSE), 0)</f>
        <v>0</v>
      </c>
      <c r="D750">
        <f>IFERROR(VLOOKUP(Tabla1[[#This Row],[SISMED]],TblDisponibilidad[],8,FALSE), 0)</f>
        <v>0</v>
      </c>
      <c r="E750">
        <f>IFERROR(VLOOKUP(Tabla1[[#This Row],[SISMED]],TblDisponibilidad[],9,FALSE), 0)</f>
        <v>0</v>
      </c>
      <c r="F750">
        <f>IFERROR(VLOOKUP(Tabla1[[#This Row],[SISMED]],TblDisponibilidad[],10,FALSE), 0)</f>
        <v>0</v>
      </c>
      <c r="G750">
        <f>IFERROR(VLOOKUP(Tabla1[[#This Row],[SISMED]],TblDisponibilidad[],11,FALSE), 0)</f>
        <v>0</v>
      </c>
      <c r="H750">
        <f>IFERROR(VLOOKUP(Tabla1[[#This Row],[SISMED]],TblDisponibilidad[],12,FALSE), 0)</f>
        <v>0</v>
      </c>
      <c r="I750">
        <f>IFERROR(VLOOKUP(Tabla1[[#This Row],[SISMED]],TblDisponibilidad[],13,FALSE), 0)</f>
        <v>0</v>
      </c>
      <c r="J750">
        <f>IFERROR(VLOOKUP(Tabla1[[#This Row],[SISMED]],TblDisponibilidad[],14,FALSE), 0)</f>
        <v>0</v>
      </c>
      <c r="K750">
        <f>IFERROR(VLOOKUP(Tabla1[[#This Row],[SISMED]],TblDisponibilidad[],15,FALSE), 0)</f>
        <v>0</v>
      </c>
      <c r="L750">
        <f>IFERROR(VLOOKUP(Tabla1[[#This Row],[SISMED]],TblDisponibilidad[],16,FALSE), 0)</f>
        <v>0</v>
      </c>
      <c r="M750">
        <f>IFERROR(VLOOKUP(Tabla1[[#This Row],[SISMED]],TblDisponibilidad[],17,FALSE), 0)</f>
        <v>0</v>
      </c>
      <c r="N750">
        <f>IFERROR(VLOOKUP(Tabla1[[#This Row],[SISMED]],TblDisponibilidad[],18,FALSE), 0)</f>
        <v>0</v>
      </c>
      <c r="O750">
        <f>IFERROR(VLOOKUP(Tabla1[[#This Row],[SISMED]],TblDisponibilidad[],19,FALSE), 0)</f>
        <v>0</v>
      </c>
      <c r="P750">
        <f>IFERROR(VLOOKUP(Tabla1[[#This Row],[SISMED]],TblDisponibilidad[],20,FALSE), 0)</f>
        <v>0</v>
      </c>
      <c r="Q750">
        <f>IFERROR(VLOOKUP(Tabla1[[#This Row],[SISMED]],TblDisponibilidad[],21,FALSE), 0)</f>
        <v>0</v>
      </c>
      <c r="R750">
        <f>IFERROR(VLOOKUP(Tabla1[[#This Row],[SISMED]],TblDisponibilidad[],22,FALSE), 0)</f>
        <v>0</v>
      </c>
      <c r="S750" s="15">
        <f>IFERROR(VLOOKUP(Tabla1[[#This Row],[SISMED]],TblDisponibilidad[],23,FALSE), 0)</f>
        <v>0</v>
      </c>
    </row>
    <row r="751" spans="1:19" x14ac:dyDescent="0.3">
      <c r="A751" s="15" t="s">
        <v>781</v>
      </c>
      <c r="B751" t="str">
        <f>IFERROR(VLOOKUP(Tabla1[[#This Row],[SISMED]],TblDisponibilidad[],2,FALSE), "")</f>
        <v/>
      </c>
      <c r="C751">
        <f>IFERROR(VLOOKUP(Tabla1[[#This Row],[SISMED]],TblDisponibilidad[],7,FALSE), 0)</f>
        <v>0</v>
      </c>
      <c r="D751">
        <f>IFERROR(VLOOKUP(Tabla1[[#This Row],[SISMED]],TblDisponibilidad[],8,FALSE), 0)</f>
        <v>0</v>
      </c>
      <c r="E751">
        <f>IFERROR(VLOOKUP(Tabla1[[#This Row],[SISMED]],TblDisponibilidad[],9,FALSE), 0)</f>
        <v>0</v>
      </c>
      <c r="F751">
        <f>IFERROR(VLOOKUP(Tabla1[[#This Row],[SISMED]],TblDisponibilidad[],10,FALSE), 0)</f>
        <v>0</v>
      </c>
      <c r="G751">
        <f>IFERROR(VLOOKUP(Tabla1[[#This Row],[SISMED]],TblDisponibilidad[],11,FALSE), 0)</f>
        <v>0</v>
      </c>
      <c r="H751">
        <f>IFERROR(VLOOKUP(Tabla1[[#This Row],[SISMED]],TblDisponibilidad[],12,FALSE), 0)</f>
        <v>0</v>
      </c>
      <c r="I751">
        <f>IFERROR(VLOOKUP(Tabla1[[#This Row],[SISMED]],TblDisponibilidad[],13,FALSE), 0)</f>
        <v>0</v>
      </c>
      <c r="J751">
        <f>IFERROR(VLOOKUP(Tabla1[[#This Row],[SISMED]],TblDisponibilidad[],14,FALSE), 0)</f>
        <v>0</v>
      </c>
      <c r="K751">
        <f>IFERROR(VLOOKUP(Tabla1[[#This Row],[SISMED]],TblDisponibilidad[],15,FALSE), 0)</f>
        <v>0</v>
      </c>
      <c r="L751">
        <f>IFERROR(VLOOKUP(Tabla1[[#This Row],[SISMED]],TblDisponibilidad[],16,FALSE), 0)</f>
        <v>0</v>
      </c>
      <c r="M751">
        <f>IFERROR(VLOOKUP(Tabla1[[#This Row],[SISMED]],TblDisponibilidad[],17,FALSE), 0)</f>
        <v>0</v>
      </c>
      <c r="N751">
        <f>IFERROR(VLOOKUP(Tabla1[[#This Row],[SISMED]],TblDisponibilidad[],18,FALSE), 0)</f>
        <v>0</v>
      </c>
      <c r="O751">
        <f>IFERROR(VLOOKUP(Tabla1[[#This Row],[SISMED]],TblDisponibilidad[],19,FALSE), 0)</f>
        <v>0</v>
      </c>
      <c r="P751">
        <f>IFERROR(VLOOKUP(Tabla1[[#This Row],[SISMED]],TblDisponibilidad[],20,FALSE), 0)</f>
        <v>0</v>
      </c>
      <c r="Q751">
        <f>IFERROR(VLOOKUP(Tabla1[[#This Row],[SISMED]],TblDisponibilidad[],21,FALSE), 0)</f>
        <v>0</v>
      </c>
      <c r="R751">
        <f>IFERROR(VLOOKUP(Tabla1[[#This Row],[SISMED]],TblDisponibilidad[],22,FALSE), 0)</f>
        <v>0</v>
      </c>
      <c r="S751" s="15">
        <f>IFERROR(VLOOKUP(Tabla1[[#This Row],[SISMED]],TblDisponibilidad[],23,FALSE), 0)</f>
        <v>0</v>
      </c>
    </row>
    <row r="752" spans="1:19" x14ac:dyDescent="0.3">
      <c r="A752" s="15" t="s">
        <v>782</v>
      </c>
      <c r="B752" t="str">
        <f>IFERROR(VLOOKUP(Tabla1[[#This Row],[SISMED]],TblDisponibilidad[],2,FALSE), "")</f>
        <v/>
      </c>
      <c r="C752">
        <f>IFERROR(VLOOKUP(Tabla1[[#This Row],[SISMED]],TblDisponibilidad[],7,FALSE), 0)</f>
        <v>0</v>
      </c>
      <c r="D752">
        <f>IFERROR(VLOOKUP(Tabla1[[#This Row],[SISMED]],TblDisponibilidad[],8,FALSE), 0)</f>
        <v>0</v>
      </c>
      <c r="E752">
        <f>IFERROR(VLOOKUP(Tabla1[[#This Row],[SISMED]],TblDisponibilidad[],9,FALSE), 0)</f>
        <v>0</v>
      </c>
      <c r="F752">
        <f>IFERROR(VLOOKUP(Tabla1[[#This Row],[SISMED]],TblDisponibilidad[],10,FALSE), 0)</f>
        <v>0</v>
      </c>
      <c r="G752">
        <f>IFERROR(VLOOKUP(Tabla1[[#This Row],[SISMED]],TblDisponibilidad[],11,FALSE), 0)</f>
        <v>0</v>
      </c>
      <c r="H752">
        <f>IFERROR(VLOOKUP(Tabla1[[#This Row],[SISMED]],TblDisponibilidad[],12,FALSE), 0)</f>
        <v>0</v>
      </c>
      <c r="I752">
        <f>IFERROR(VLOOKUP(Tabla1[[#This Row],[SISMED]],TblDisponibilidad[],13,FALSE), 0)</f>
        <v>0</v>
      </c>
      <c r="J752">
        <f>IFERROR(VLOOKUP(Tabla1[[#This Row],[SISMED]],TblDisponibilidad[],14,FALSE), 0)</f>
        <v>0</v>
      </c>
      <c r="K752">
        <f>IFERROR(VLOOKUP(Tabla1[[#This Row],[SISMED]],TblDisponibilidad[],15,FALSE), 0)</f>
        <v>0</v>
      </c>
      <c r="L752">
        <f>IFERROR(VLOOKUP(Tabla1[[#This Row],[SISMED]],TblDisponibilidad[],16,FALSE), 0)</f>
        <v>0</v>
      </c>
      <c r="M752">
        <f>IFERROR(VLOOKUP(Tabla1[[#This Row],[SISMED]],TblDisponibilidad[],17,FALSE), 0)</f>
        <v>0</v>
      </c>
      <c r="N752">
        <f>IFERROR(VLOOKUP(Tabla1[[#This Row],[SISMED]],TblDisponibilidad[],18,FALSE), 0)</f>
        <v>0</v>
      </c>
      <c r="O752">
        <f>IFERROR(VLOOKUP(Tabla1[[#This Row],[SISMED]],TblDisponibilidad[],19,FALSE), 0)</f>
        <v>0</v>
      </c>
      <c r="P752">
        <f>IFERROR(VLOOKUP(Tabla1[[#This Row],[SISMED]],TblDisponibilidad[],20,FALSE), 0)</f>
        <v>0</v>
      </c>
      <c r="Q752">
        <f>IFERROR(VLOOKUP(Tabla1[[#This Row],[SISMED]],TblDisponibilidad[],21,FALSE), 0)</f>
        <v>0</v>
      </c>
      <c r="R752">
        <f>IFERROR(VLOOKUP(Tabla1[[#This Row],[SISMED]],TblDisponibilidad[],22,FALSE), 0)</f>
        <v>0</v>
      </c>
      <c r="S752" s="15">
        <f>IFERROR(VLOOKUP(Tabla1[[#This Row],[SISMED]],TblDisponibilidad[],23,FALSE), 0)</f>
        <v>0</v>
      </c>
    </row>
    <row r="753" spans="1:19" x14ac:dyDescent="0.3">
      <c r="A753" s="15" t="s">
        <v>783</v>
      </c>
      <c r="B753" t="str">
        <f>IFERROR(VLOOKUP(Tabla1[[#This Row],[SISMED]],TblDisponibilidad[],2,FALSE), "")</f>
        <v/>
      </c>
      <c r="C753">
        <f>IFERROR(VLOOKUP(Tabla1[[#This Row],[SISMED]],TblDisponibilidad[],7,FALSE), 0)</f>
        <v>0</v>
      </c>
      <c r="D753">
        <f>IFERROR(VLOOKUP(Tabla1[[#This Row],[SISMED]],TblDisponibilidad[],8,FALSE), 0)</f>
        <v>0</v>
      </c>
      <c r="E753">
        <f>IFERROR(VLOOKUP(Tabla1[[#This Row],[SISMED]],TblDisponibilidad[],9,FALSE), 0)</f>
        <v>0</v>
      </c>
      <c r="F753">
        <f>IFERROR(VLOOKUP(Tabla1[[#This Row],[SISMED]],TblDisponibilidad[],10,FALSE), 0)</f>
        <v>0</v>
      </c>
      <c r="G753">
        <f>IFERROR(VLOOKUP(Tabla1[[#This Row],[SISMED]],TblDisponibilidad[],11,FALSE), 0)</f>
        <v>0</v>
      </c>
      <c r="H753">
        <f>IFERROR(VLOOKUP(Tabla1[[#This Row],[SISMED]],TblDisponibilidad[],12,FALSE), 0)</f>
        <v>0</v>
      </c>
      <c r="I753">
        <f>IFERROR(VLOOKUP(Tabla1[[#This Row],[SISMED]],TblDisponibilidad[],13,FALSE), 0)</f>
        <v>0</v>
      </c>
      <c r="J753">
        <f>IFERROR(VLOOKUP(Tabla1[[#This Row],[SISMED]],TblDisponibilidad[],14,FALSE), 0)</f>
        <v>0</v>
      </c>
      <c r="K753">
        <f>IFERROR(VLOOKUP(Tabla1[[#This Row],[SISMED]],TblDisponibilidad[],15,FALSE), 0)</f>
        <v>0</v>
      </c>
      <c r="L753">
        <f>IFERROR(VLOOKUP(Tabla1[[#This Row],[SISMED]],TblDisponibilidad[],16,FALSE), 0)</f>
        <v>0</v>
      </c>
      <c r="M753">
        <f>IFERROR(VLOOKUP(Tabla1[[#This Row],[SISMED]],TblDisponibilidad[],17,FALSE), 0)</f>
        <v>0</v>
      </c>
      <c r="N753">
        <f>IFERROR(VLOOKUP(Tabla1[[#This Row],[SISMED]],TblDisponibilidad[],18,FALSE), 0)</f>
        <v>0</v>
      </c>
      <c r="O753">
        <f>IFERROR(VLOOKUP(Tabla1[[#This Row],[SISMED]],TblDisponibilidad[],19,FALSE), 0)</f>
        <v>0</v>
      </c>
      <c r="P753">
        <f>IFERROR(VLOOKUP(Tabla1[[#This Row],[SISMED]],TblDisponibilidad[],20,FALSE), 0)</f>
        <v>0</v>
      </c>
      <c r="Q753">
        <f>IFERROR(VLOOKUP(Tabla1[[#This Row],[SISMED]],TblDisponibilidad[],21,FALSE), 0)</f>
        <v>0</v>
      </c>
      <c r="R753">
        <f>IFERROR(VLOOKUP(Tabla1[[#This Row],[SISMED]],TblDisponibilidad[],22,FALSE), 0)</f>
        <v>0</v>
      </c>
      <c r="S753" s="15">
        <f>IFERROR(VLOOKUP(Tabla1[[#This Row],[SISMED]],TblDisponibilidad[],23,FALSE), 0)</f>
        <v>0</v>
      </c>
    </row>
    <row r="754" spans="1:19" x14ac:dyDescent="0.3">
      <c r="A754" s="15" t="s">
        <v>784</v>
      </c>
      <c r="B754" t="str">
        <f>IFERROR(VLOOKUP(Tabla1[[#This Row],[SISMED]],TblDisponibilidad[],2,FALSE), "")</f>
        <v/>
      </c>
      <c r="C754">
        <f>IFERROR(VLOOKUP(Tabla1[[#This Row],[SISMED]],TblDisponibilidad[],7,FALSE), 0)</f>
        <v>0</v>
      </c>
      <c r="D754">
        <f>IFERROR(VLOOKUP(Tabla1[[#This Row],[SISMED]],TblDisponibilidad[],8,FALSE), 0)</f>
        <v>0</v>
      </c>
      <c r="E754">
        <f>IFERROR(VLOOKUP(Tabla1[[#This Row],[SISMED]],TblDisponibilidad[],9,FALSE), 0)</f>
        <v>0</v>
      </c>
      <c r="F754">
        <f>IFERROR(VLOOKUP(Tabla1[[#This Row],[SISMED]],TblDisponibilidad[],10,FALSE), 0)</f>
        <v>0</v>
      </c>
      <c r="G754">
        <f>IFERROR(VLOOKUP(Tabla1[[#This Row],[SISMED]],TblDisponibilidad[],11,FALSE), 0)</f>
        <v>0</v>
      </c>
      <c r="H754">
        <f>IFERROR(VLOOKUP(Tabla1[[#This Row],[SISMED]],TblDisponibilidad[],12,FALSE), 0)</f>
        <v>0</v>
      </c>
      <c r="I754">
        <f>IFERROR(VLOOKUP(Tabla1[[#This Row],[SISMED]],TblDisponibilidad[],13,FALSE), 0)</f>
        <v>0</v>
      </c>
      <c r="J754">
        <f>IFERROR(VLOOKUP(Tabla1[[#This Row],[SISMED]],TblDisponibilidad[],14,FALSE), 0)</f>
        <v>0</v>
      </c>
      <c r="K754">
        <f>IFERROR(VLOOKUP(Tabla1[[#This Row],[SISMED]],TblDisponibilidad[],15,FALSE), 0)</f>
        <v>0</v>
      </c>
      <c r="L754">
        <f>IFERROR(VLOOKUP(Tabla1[[#This Row],[SISMED]],TblDisponibilidad[],16,FALSE), 0)</f>
        <v>0</v>
      </c>
      <c r="M754">
        <f>IFERROR(VLOOKUP(Tabla1[[#This Row],[SISMED]],TblDisponibilidad[],17,FALSE), 0)</f>
        <v>0</v>
      </c>
      <c r="N754">
        <f>IFERROR(VLOOKUP(Tabla1[[#This Row],[SISMED]],TblDisponibilidad[],18,FALSE), 0)</f>
        <v>0</v>
      </c>
      <c r="O754">
        <f>IFERROR(VLOOKUP(Tabla1[[#This Row],[SISMED]],TblDisponibilidad[],19,FALSE), 0)</f>
        <v>0</v>
      </c>
      <c r="P754">
        <f>IFERROR(VLOOKUP(Tabla1[[#This Row],[SISMED]],TblDisponibilidad[],20,FALSE), 0)</f>
        <v>0</v>
      </c>
      <c r="Q754">
        <f>IFERROR(VLOOKUP(Tabla1[[#This Row],[SISMED]],TblDisponibilidad[],21,FALSE), 0)</f>
        <v>0</v>
      </c>
      <c r="R754">
        <f>IFERROR(VLOOKUP(Tabla1[[#This Row],[SISMED]],TblDisponibilidad[],22,FALSE), 0)</f>
        <v>0</v>
      </c>
      <c r="S754" s="15">
        <f>IFERROR(VLOOKUP(Tabla1[[#This Row],[SISMED]],TblDisponibilidad[],23,FALSE), 0)</f>
        <v>0</v>
      </c>
    </row>
    <row r="755" spans="1:19" x14ac:dyDescent="0.3">
      <c r="A755" s="15" t="s">
        <v>785</v>
      </c>
      <c r="B755" t="str">
        <f>IFERROR(VLOOKUP(Tabla1[[#This Row],[SISMED]],TblDisponibilidad[],2,FALSE), "")</f>
        <v/>
      </c>
      <c r="C755">
        <f>IFERROR(VLOOKUP(Tabla1[[#This Row],[SISMED]],TblDisponibilidad[],7,FALSE), 0)</f>
        <v>0</v>
      </c>
      <c r="D755">
        <f>IFERROR(VLOOKUP(Tabla1[[#This Row],[SISMED]],TblDisponibilidad[],8,FALSE), 0)</f>
        <v>0</v>
      </c>
      <c r="E755">
        <f>IFERROR(VLOOKUP(Tabla1[[#This Row],[SISMED]],TblDisponibilidad[],9,FALSE), 0)</f>
        <v>0</v>
      </c>
      <c r="F755">
        <f>IFERROR(VLOOKUP(Tabla1[[#This Row],[SISMED]],TblDisponibilidad[],10,FALSE), 0)</f>
        <v>0</v>
      </c>
      <c r="G755">
        <f>IFERROR(VLOOKUP(Tabla1[[#This Row],[SISMED]],TblDisponibilidad[],11,FALSE), 0)</f>
        <v>0</v>
      </c>
      <c r="H755">
        <f>IFERROR(VLOOKUP(Tabla1[[#This Row],[SISMED]],TblDisponibilidad[],12,FALSE), 0)</f>
        <v>0</v>
      </c>
      <c r="I755">
        <f>IFERROR(VLOOKUP(Tabla1[[#This Row],[SISMED]],TblDisponibilidad[],13,FALSE), 0)</f>
        <v>0</v>
      </c>
      <c r="J755">
        <f>IFERROR(VLOOKUP(Tabla1[[#This Row],[SISMED]],TblDisponibilidad[],14,FALSE), 0)</f>
        <v>0</v>
      </c>
      <c r="K755">
        <f>IFERROR(VLOOKUP(Tabla1[[#This Row],[SISMED]],TblDisponibilidad[],15,FALSE), 0)</f>
        <v>0</v>
      </c>
      <c r="L755">
        <f>IFERROR(VLOOKUP(Tabla1[[#This Row],[SISMED]],TblDisponibilidad[],16,FALSE), 0)</f>
        <v>0</v>
      </c>
      <c r="M755">
        <f>IFERROR(VLOOKUP(Tabla1[[#This Row],[SISMED]],TblDisponibilidad[],17,FALSE), 0)</f>
        <v>0</v>
      </c>
      <c r="N755">
        <f>IFERROR(VLOOKUP(Tabla1[[#This Row],[SISMED]],TblDisponibilidad[],18,FALSE), 0)</f>
        <v>0</v>
      </c>
      <c r="O755">
        <f>IFERROR(VLOOKUP(Tabla1[[#This Row],[SISMED]],TblDisponibilidad[],19,FALSE), 0)</f>
        <v>0</v>
      </c>
      <c r="P755">
        <f>IFERROR(VLOOKUP(Tabla1[[#This Row],[SISMED]],TblDisponibilidad[],20,FALSE), 0)</f>
        <v>0</v>
      </c>
      <c r="Q755">
        <f>IFERROR(VLOOKUP(Tabla1[[#This Row],[SISMED]],TblDisponibilidad[],21,FALSE), 0)</f>
        <v>0</v>
      </c>
      <c r="R755">
        <f>IFERROR(VLOOKUP(Tabla1[[#This Row],[SISMED]],TblDisponibilidad[],22,FALSE), 0)</f>
        <v>0</v>
      </c>
      <c r="S755" s="15">
        <f>IFERROR(VLOOKUP(Tabla1[[#This Row],[SISMED]],TblDisponibilidad[],23,FALSE), 0)</f>
        <v>0</v>
      </c>
    </row>
    <row r="756" spans="1:19" x14ac:dyDescent="0.3">
      <c r="A756" s="15" t="s">
        <v>786</v>
      </c>
      <c r="B756" t="str">
        <f>IFERROR(VLOOKUP(Tabla1[[#This Row],[SISMED]],TblDisponibilidad[],2,FALSE), "")</f>
        <v/>
      </c>
      <c r="C756">
        <f>IFERROR(VLOOKUP(Tabla1[[#This Row],[SISMED]],TblDisponibilidad[],7,FALSE), 0)</f>
        <v>0</v>
      </c>
      <c r="D756">
        <f>IFERROR(VLOOKUP(Tabla1[[#This Row],[SISMED]],TblDisponibilidad[],8,FALSE), 0)</f>
        <v>0</v>
      </c>
      <c r="E756">
        <f>IFERROR(VLOOKUP(Tabla1[[#This Row],[SISMED]],TblDisponibilidad[],9,FALSE), 0)</f>
        <v>0</v>
      </c>
      <c r="F756">
        <f>IFERROR(VLOOKUP(Tabla1[[#This Row],[SISMED]],TblDisponibilidad[],10,FALSE), 0)</f>
        <v>0</v>
      </c>
      <c r="G756">
        <f>IFERROR(VLOOKUP(Tabla1[[#This Row],[SISMED]],TblDisponibilidad[],11,FALSE), 0)</f>
        <v>0</v>
      </c>
      <c r="H756">
        <f>IFERROR(VLOOKUP(Tabla1[[#This Row],[SISMED]],TblDisponibilidad[],12,FALSE), 0)</f>
        <v>0</v>
      </c>
      <c r="I756">
        <f>IFERROR(VLOOKUP(Tabla1[[#This Row],[SISMED]],TblDisponibilidad[],13,FALSE), 0)</f>
        <v>0</v>
      </c>
      <c r="J756">
        <f>IFERROR(VLOOKUP(Tabla1[[#This Row],[SISMED]],TblDisponibilidad[],14,FALSE), 0)</f>
        <v>0</v>
      </c>
      <c r="K756">
        <f>IFERROR(VLOOKUP(Tabla1[[#This Row],[SISMED]],TblDisponibilidad[],15,FALSE), 0)</f>
        <v>0</v>
      </c>
      <c r="L756">
        <f>IFERROR(VLOOKUP(Tabla1[[#This Row],[SISMED]],TblDisponibilidad[],16,FALSE), 0)</f>
        <v>0</v>
      </c>
      <c r="M756">
        <f>IFERROR(VLOOKUP(Tabla1[[#This Row],[SISMED]],TblDisponibilidad[],17,FALSE), 0)</f>
        <v>0</v>
      </c>
      <c r="N756">
        <f>IFERROR(VLOOKUP(Tabla1[[#This Row],[SISMED]],TblDisponibilidad[],18,FALSE), 0)</f>
        <v>0</v>
      </c>
      <c r="O756">
        <f>IFERROR(VLOOKUP(Tabla1[[#This Row],[SISMED]],TblDisponibilidad[],19,FALSE), 0)</f>
        <v>0</v>
      </c>
      <c r="P756">
        <f>IFERROR(VLOOKUP(Tabla1[[#This Row],[SISMED]],TblDisponibilidad[],20,FALSE), 0)</f>
        <v>0</v>
      </c>
      <c r="Q756">
        <f>IFERROR(VLOOKUP(Tabla1[[#This Row],[SISMED]],TblDisponibilidad[],21,FALSE), 0)</f>
        <v>0</v>
      </c>
      <c r="R756">
        <f>IFERROR(VLOOKUP(Tabla1[[#This Row],[SISMED]],TblDisponibilidad[],22,FALSE), 0)</f>
        <v>0</v>
      </c>
      <c r="S756" s="15">
        <f>IFERROR(VLOOKUP(Tabla1[[#This Row],[SISMED]],TblDisponibilidad[],23,FALSE), 0)</f>
        <v>0</v>
      </c>
    </row>
    <row r="757" spans="1:19" x14ac:dyDescent="0.3">
      <c r="A757" s="15" t="s">
        <v>787</v>
      </c>
      <c r="B757" t="str">
        <f>IFERROR(VLOOKUP(Tabla1[[#This Row],[SISMED]],TblDisponibilidad[],2,FALSE), "")</f>
        <v/>
      </c>
      <c r="C757">
        <f>IFERROR(VLOOKUP(Tabla1[[#This Row],[SISMED]],TblDisponibilidad[],7,FALSE), 0)</f>
        <v>0</v>
      </c>
      <c r="D757">
        <f>IFERROR(VLOOKUP(Tabla1[[#This Row],[SISMED]],TblDisponibilidad[],8,FALSE), 0)</f>
        <v>0</v>
      </c>
      <c r="E757">
        <f>IFERROR(VLOOKUP(Tabla1[[#This Row],[SISMED]],TblDisponibilidad[],9,FALSE), 0)</f>
        <v>0</v>
      </c>
      <c r="F757">
        <f>IFERROR(VLOOKUP(Tabla1[[#This Row],[SISMED]],TblDisponibilidad[],10,FALSE), 0)</f>
        <v>0</v>
      </c>
      <c r="G757">
        <f>IFERROR(VLOOKUP(Tabla1[[#This Row],[SISMED]],TblDisponibilidad[],11,FALSE), 0)</f>
        <v>0</v>
      </c>
      <c r="H757">
        <f>IFERROR(VLOOKUP(Tabla1[[#This Row],[SISMED]],TblDisponibilidad[],12,FALSE), 0)</f>
        <v>0</v>
      </c>
      <c r="I757">
        <f>IFERROR(VLOOKUP(Tabla1[[#This Row],[SISMED]],TblDisponibilidad[],13,FALSE), 0)</f>
        <v>0</v>
      </c>
      <c r="J757">
        <f>IFERROR(VLOOKUP(Tabla1[[#This Row],[SISMED]],TblDisponibilidad[],14,FALSE), 0)</f>
        <v>0</v>
      </c>
      <c r="K757">
        <f>IFERROR(VLOOKUP(Tabla1[[#This Row],[SISMED]],TblDisponibilidad[],15,FALSE), 0)</f>
        <v>0</v>
      </c>
      <c r="L757">
        <f>IFERROR(VLOOKUP(Tabla1[[#This Row],[SISMED]],TblDisponibilidad[],16,FALSE), 0)</f>
        <v>0</v>
      </c>
      <c r="M757">
        <f>IFERROR(VLOOKUP(Tabla1[[#This Row],[SISMED]],TblDisponibilidad[],17,FALSE), 0)</f>
        <v>0</v>
      </c>
      <c r="N757">
        <f>IFERROR(VLOOKUP(Tabla1[[#This Row],[SISMED]],TblDisponibilidad[],18,FALSE), 0)</f>
        <v>0</v>
      </c>
      <c r="O757">
        <f>IFERROR(VLOOKUP(Tabla1[[#This Row],[SISMED]],TblDisponibilidad[],19,FALSE), 0)</f>
        <v>0</v>
      </c>
      <c r="P757">
        <f>IFERROR(VLOOKUP(Tabla1[[#This Row],[SISMED]],TblDisponibilidad[],20,FALSE), 0)</f>
        <v>0</v>
      </c>
      <c r="Q757">
        <f>IFERROR(VLOOKUP(Tabla1[[#This Row],[SISMED]],TblDisponibilidad[],21,FALSE), 0)</f>
        <v>0</v>
      </c>
      <c r="R757">
        <f>IFERROR(VLOOKUP(Tabla1[[#This Row],[SISMED]],TblDisponibilidad[],22,FALSE), 0)</f>
        <v>0</v>
      </c>
      <c r="S757" s="15">
        <f>IFERROR(VLOOKUP(Tabla1[[#This Row],[SISMED]],TblDisponibilidad[],23,FALSE), 0)</f>
        <v>0</v>
      </c>
    </row>
    <row r="758" spans="1:19" x14ac:dyDescent="0.3">
      <c r="A758" s="15" t="s">
        <v>788</v>
      </c>
      <c r="B758" t="str">
        <f>IFERROR(VLOOKUP(Tabla1[[#This Row],[SISMED]],TblDisponibilidad[],2,FALSE), "")</f>
        <v/>
      </c>
      <c r="C758">
        <f>IFERROR(VLOOKUP(Tabla1[[#This Row],[SISMED]],TblDisponibilidad[],7,FALSE), 0)</f>
        <v>0</v>
      </c>
      <c r="D758">
        <f>IFERROR(VLOOKUP(Tabla1[[#This Row],[SISMED]],TblDisponibilidad[],8,FALSE), 0)</f>
        <v>0</v>
      </c>
      <c r="E758">
        <f>IFERROR(VLOOKUP(Tabla1[[#This Row],[SISMED]],TblDisponibilidad[],9,FALSE), 0)</f>
        <v>0</v>
      </c>
      <c r="F758">
        <f>IFERROR(VLOOKUP(Tabla1[[#This Row],[SISMED]],TblDisponibilidad[],10,FALSE), 0)</f>
        <v>0</v>
      </c>
      <c r="G758">
        <f>IFERROR(VLOOKUP(Tabla1[[#This Row],[SISMED]],TblDisponibilidad[],11,FALSE), 0)</f>
        <v>0</v>
      </c>
      <c r="H758">
        <f>IFERROR(VLOOKUP(Tabla1[[#This Row],[SISMED]],TblDisponibilidad[],12,FALSE), 0)</f>
        <v>0</v>
      </c>
      <c r="I758">
        <f>IFERROR(VLOOKUP(Tabla1[[#This Row],[SISMED]],TblDisponibilidad[],13,FALSE), 0)</f>
        <v>0</v>
      </c>
      <c r="J758">
        <f>IFERROR(VLOOKUP(Tabla1[[#This Row],[SISMED]],TblDisponibilidad[],14,FALSE), 0)</f>
        <v>0</v>
      </c>
      <c r="K758">
        <f>IFERROR(VLOOKUP(Tabla1[[#This Row],[SISMED]],TblDisponibilidad[],15,FALSE), 0)</f>
        <v>0</v>
      </c>
      <c r="L758">
        <f>IFERROR(VLOOKUP(Tabla1[[#This Row],[SISMED]],TblDisponibilidad[],16,FALSE), 0)</f>
        <v>0</v>
      </c>
      <c r="M758">
        <f>IFERROR(VLOOKUP(Tabla1[[#This Row],[SISMED]],TblDisponibilidad[],17,FALSE), 0)</f>
        <v>0</v>
      </c>
      <c r="N758">
        <f>IFERROR(VLOOKUP(Tabla1[[#This Row],[SISMED]],TblDisponibilidad[],18,FALSE), 0)</f>
        <v>0</v>
      </c>
      <c r="O758">
        <f>IFERROR(VLOOKUP(Tabla1[[#This Row],[SISMED]],TblDisponibilidad[],19,FALSE), 0)</f>
        <v>0</v>
      </c>
      <c r="P758">
        <f>IFERROR(VLOOKUP(Tabla1[[#This Row],[SISMED]],TblDisponibilidad[],20,FALSE), 0)</f>
        <v>0</v>
      </c>
      <c r="Q758">
        <f>IFERROR(VLOOKUP(Tabla1[[#This Row],[SISMED]],TblDisponibilidad[],21,FALSE), 0)</f>
        <v>0</v>
      </c>
      <c r="R758">
        <f>IFERROR(VLOOKUP(Tabla1[[#This Row],[SISMED]],TblDisponibilidad[],22,FALSE), 0)</f>
        <v>0</v>
      </c>
      <c r="S758" s="15">
        <f>IFERROR(VLOOKUP(Tabla1[[#This Row],[SISMED]],TblDisponibilidad[],23,FALSE), 0)</f>
        <v>0</v>
      </c>
    </row>
    <row r="759" spans="1:19" x14ac:dyDescent="0.3">
      <c r="A759" s="15" t="s">
        <v>789</v>
      </c>
      <c r="B759" t="str">
        <f>IFERROR(VLOOKUP(Tabla1[[#This Row],[SISMED]],TblDisponibilidad[],2,FALSE), "")</f>
        <v/>
      </c>
      <c r="C759">
        <f>IFERROR(VLOOKUP(Tabla1[[#This Row],[SISMED]],TblDisponibilidad[],7,FALSE), 0)</f>
        <v>0</v>
      </c>
      <c r="D759">
        <f>IFERROR(VLOOKUP(Tabla1[[#This Row],[SISMED]],TblDisponibilidad[],8,FALSE), 0)</f>
        <v>0</v>
      </c>
      <c r="E759">
        <f>IFERROR(VLOOKUP(Tabla1[[#This Row],[SISMED]],TblDisponibilidad[],9,FALSE), 0)</f>
        <v>0</v>
      </c>
      <c r="F759">
        <f>IFERROR(VLOOKUP(Tabla1[[#This Row],[SISMED]],TblDisponibilidad[],10,FALSE), 0)</f>
        <v>0</v>
      </c>
      <c r="G759">
        <f>IFERROR(VLOOKUP(Tabla1[[#This Row],[SISMED]],TblDisponibilidad[],11,FALSE), 0)</f>
        <v>0</v>
      </c>
      <c r="H759">
        <f>IFERROR(VLOOKUP(Tabla1[[#This Row],[SISMED]],TblDisponibilidad[],12,FALSE), 0)</f>
        <v>0</v>
      </c>
      <c r="I759">
        <f>IFERROR(VLOOKUP(Tabla1[[#This Row],[SISMED]],TblDisponibilidad[],13,FALSE), 0)</f>
        <v>0</v>
      </c>
      <c r="J759">
        <f>IFERROR(VLOOKUP(Tabla1[[#This Row],[SISMED]],TblDisponibilidad[],14,FALSE), 0)</f>
        <v>0</v>
      </c>
      <c r="K759">
        <f>IFERROR(VLOOKUP(Tabla1[[#This Row],[SISMED]],TblDisponibilidad[],15,FALSE), 0)</f>
        <v>0</v>
      </c>
      <c r="L759">
        <f>IFERROR(VLOOKUP(Tabla1[[#This Row],[SISMED]],TblDisponibilidad[],16,FALSE), 0)</f>
        <v>0</v>
      </c>
      <c r="M759">
        <f>IFERROR(VLOOKUP(Tabla1[[#This Row],[SISMED]],TblDisponibilidad[],17,FALSE), 0)</f>
        <v>0</v>
      </c>
      <c r="N759">
        <f>IFERROR(VLOOKUP(Tabla1[[#This Row],[SISMED]],TblDisponibilidad[],18,FALSE), 0)</f>
        <v>0</v>
      </c>
      <c r="O759">
        <f>IFERROR(VLOOKUP(Tabla1[[#This Row],[SISMED]],TblDisponibilidad[],19,FALSE), 0)</f>
        <v>0</v>
      </c>
      <c r="P759">
        <f>IFERROR(VLOOKUP(Tabla1[[#This Row],[SISMED]],TblDisponibilidad[],20,FALSE), 0)</f>
        <v>0</v>
      </c>
      <c r="Q759">
        <f>IFERROR(VLOOKUP(Tabla1[[#This Row],[SISMED]],TblDisponibilidad[],21,FALSE), 0)</f>
        <v>0</v>
      </c>
      <c r="R759">
        <f>IFERROR(VLOOKUP(Tabla1[[#This Row],[SISMED]],TblDisponibilidad[],22,FALSE), 0)</f>
        <v>0</v>
      </c>
      <c r="S759" s="15">
        <f>IFERROR(VLOOKUP(Tabla1[[#This Row],[SISMED]],TblDisponibilidad[],23,FALSE), 0)</f>
        <v>0</v>
      </c>
    </row>
    <row r="760" spans="1:19" x14ac:dyDescent="0.3">
      <c r="A760" s="15" t="s">
        <v>790</v>
      </c>
      <c r="B760" t="str">
        <f>IFERROR(VLOOKUP(Tabla1[[#This Row],[SISMED]],TblDisponibilidad[],2,FALSE), "")</f>
        <v/>
      </c>
      <c r="C760">
        <f>IFERROR(VLOOKUP(Tabla1[[#This Row],[SISMED]],TblDisponibilidad[],7,FALSE), 0)</f>
        <v>0</v>
      </c>
      <c r="D760">
        <f>IFERROR(VLOOKUP(Tabla1[[#This Row],[SISMED]],TblDisponibilidad[],8,FALSE), 0)</f>
        <v>0</v>
      </c>
      <c r="E760">
        <f>IFERROR(VLOOKUP(Tabla1[[#This Row],[SISMED]],TblDisponibilidad[],9,FALSE), 0)</f>
        <v>0</v>
      </c>
      <c r="F760">
        <f>IFERROR(VLOOKUP(Tabla1[[#This Row],[SISMED]],TblDisponibilidad[],10,FALSE), 0)</f>
        <v>0</v>
      </c>
      <c r="G760">
        <f>IFERROR(VLOOKUP(Tabla1[[#This Row],[SISMED]],TblDisponibilidad[],11,FALSE), 0)</f>
        <v>0</v>
      </c>
      <c r="H760">
        <f>IFERROR(VLOOKUP(Tabla1[[#This Row],[SISMED]],TblDisponibilidad[],12,FALSE), 0)</f>
        <v>0</v>
      </c>
      <c r="I760">
        <f>IFERROR(VLOOKUP(Tabla1[[#This Row],[SISMED]],TblDisponibilidad[],13,FALSE), 0)</f>
        <v>0</v>
      </c>
      <c r="J760">
        <f>IFERROR(VLOOKUP(Tabla1[[#This Row],[SISMED]],TblDisponibilidad[],14,FALSE), 0)</f>
        <v>0</v>
      </c>
      <c r="K760">
        <f>IFERROR(VLOOKUP(Tabla1[[#This Row],[SISMED]],TblDisponibilidad[],15,FALSE), 0)</f>
        <v>0</v>
      </c>
      <c r="L760">
        <f>IFERROR(VLOOKUP(Tabla1[[#This Row],[SISMED]],TblDisponibilidad[],16,FALSE), 0)</f>
        <v>0</v>
      </c>
      <c r="M760">
        <f>IFERROR(VLOOKUP(Tabla1[[#This Row],[SISMED]],TblDisponibilidad[],17,FALSE), 0)</f>
        <v>0</v>
      </c>
      <c r="N760">
        <f>IFERROR(VLOOKUP(Tabla1[[#This Row],[SISMED]],TblDisponibilidad[],18,FALSE), 0)</f>
        <v>0</v>
      </c>
      <c r="O760">
        <f>IFERROR(VLOOKUP(Tabla1[[#This Row],[SISMED]],TblDisponibilidad[],19,FALSE), 0)</f>
        <v>0</v>
      </c>
      <c r="P760">
        <f>IFERROR(VLOOKUP(Tabla1[[#This Row],[SISMED]],TblDisponibilidad[],20,FALSE), 0)</f>
        <v>0</v>
      </c>
      <c r="Q760">
        <f>IFERROR(VLOOKUP(Tabla1[[#This Row],[SISMED]],TblDisponibilidad[],21,FALSE), 0)</f>
        <v>0</v>
      </c>
      <c r="R760">
        <f>IFERROR(VLOOKUP(Tabla1[[#This Row],[SISMED]],TblDisponibilidad[],22,FALSE), 0)</f>
        <v>0</v>
      </c>
      <c r="S760" s="15">
        <f>IFERROR(VLOOKUP(Tabla1[[#This Row],[SISMED]],TblDisponibilidad[],23,FALSE), 0)</f>
        <v>0</v>
      </c>
    </row>
    <row r="761" spans="1:19" x14ac:dyDescent="0.3">
      <c r="A761" s="15" t="s">
        <v>791</v>
      </c>
      <c r="B761" t="str">
        <f>IFERROR(VLOOKUP(Tabla1[[#This Row],[SISMED]],TblDisponibilidad[],2,FALSE), "")</f>
        <v/>
      </c>
      <c r="C761">
        <f>IFERROR(VLOOKUP(Tabla1[[#This Row],[SISMED]],TblDisponibilidad[],7,FALSE), 0)</f>
        <v>0</v>
      </c>
      <c r="D761">
        <f>IFERROR(VLOOKUP(Tabla1[[#This Row],[SISMED]],TblDisponibilidad[],8,FALSE), 0)</f>
        <v>0</v>
      </c>
      <c r="E761">
        <f>IFERROR(VLOOKUP(Tabla1[[#This Row],[SISMED]],TblDisponibilidad[],9,FALSE), 0)</f>
        <v>0</v>
      </c>
      <c r="F761">
        <f>IFERROR(VLOOKUP(Tabla1[[#This Row],[SISMED]],TblDisponibilidad[],10,FALSE), 0)</f>
        <v>0</v>
      </c>
      <c r="G761">
        <f>IFERROR(VLOOKUP(Tabla1[[#This Row],[SISMED]],TblDisponibilidad[],11,FALSE), 0)</f>
        <v>0</v>
      </c>
      <c r="H761">
        <f>IFERROR(VLOOKUP(Tabla1[[#This Row],[SISMED]],TblDisponibilidad[],12,FALSE), 0)</f>
        <v>0</v>
      </c>
      <c r="I761">
        <f>IFERROR(VLOOKUP(Tabla1[[#This Row],[SISMED]],TblDisponibilidad[],13,FALSE), 0)</f>
        <v>0</v>
      </c>
      <c r="J761">
        <f>IFERROR(VLOOKUP(Tabla1[[#This Row],[SISMED]],TblDisponibilidad[],14,FALSE), 0)</f>
        <v>0</v>
      </c>
      <c r="K761">
        <f>IFERROR(VLOOKUP(Tabla1[[#This Row],[SISMED]],TblDisponibilidad[],15,FALSE), 0)</f>
        <v>0</v>
      </c>
      <c r="L761">
        <f>IFERROR(VLOOKUP(Tabla1[[#This Row],[SISMED]],TblDisponibilidad[],16,FALSE), 0)</f>
        <v>0</v>
      </c>
      <c r="M761">
        <f>IFERROR(VLOOKUP(Tabla1[[#This Row],[SISMED]],TblDisponibilidad[],17,FALSE), 0)</f>
        <v>0</v>
      </c>
      <c r="N761">
        <f>IFERROR(VLOOKUP(Tabla1[[#This Row],[SISMED]],TblDisponibilidad[],18,FALSE), 0)</f>
        <v>0</v>
      </c>
      <c r="O761">
        <f>IFERROR(VLOOKUP(Tabla1[[#This Row],[SISMED]],TblDisponibilidad[],19,FALSE), 0)</f>
        <v>0</v>
      </c>
      <c r="P761">
        <f>IFERROR(VLOOKUP(Tabla1[[#This Row],[SISMED]],TblDisponibilidad[],20,FALSE), 0)</f>
        <v>0</v>
      </c>
      <c r="Q761">
        <f>IFERROR(VLOOKUP(Tabla1[[#This Row],[SISMED]],TblDisponibilidad[],21,FALSE), 0)</f>
        <v>0</v>
      </c>
      <c r="R761">
        <f>IFERROR(VLOOKUP(Tabla1[[#This Row],[SISMED]],TblDisponibilidad[],22,FALSE), 0)</f>
        <v>0</v>
      </c>
      <c r="S761" s="15">
        <f>IFERROR(VLOOKUP(Tabla1[[#This Row],[SISMED]],TblDisponibilidad[],23,FALSE), 0)</f>
        <v>0</v>
      </c>
    </row>
    <row r="762" spans="1:19" x14ac:dyDescent="0.3">
      <c r="A762" s="15" t="s">
        <v>792</v>
      </c>
      <c r="B762" t="str">
        <f>IFERROR(VLOOKUP(Tabla1[[#This Row],[SISMED]],TblDisponibilidad[],2,FALSE), "")</f>
        <v/>
      </c>
      <c r="C762">
        <f>IFERROR(VLOOKUP(Tabla1[[#This Row],[SISMED]],TblDisponibilidad[],7,FALSE), 0)</f>
        <v>0</v>
      </c>
      <c r="D762">
        <f>IFERROR(VLOOKUP(Tabla1[[#This Row],[SISMED]],TblDisponibilidad[],8,FALSE), 0)</f>
        <v>0</v>
      </c>
      <c r="E762">
        <f>IFERROR(VLOOKUP(Tabla1[[#This Row],[SISMED]],TblDisponibilidad[],9,FALSE), 0)</f>
        <v>0</v>
      </c>
      <c r="F762">
        <f>IFERROR(VLOOKUP(Tabla1[[#This Row],[SISMED]],TblDisponibilidad[],10,FALSE), 0)</f>
        <v>0</v>
      </c>
      <c r="G762">
        <f>IFERROR(VLOOKUP(Tabla1[[#This Row],[SISMED]],TblDisponibilidad[],11,FALSE), 0)</f>
        <v>0</v>
      </c>
      <c r="H762">
        <f>IFERROR(VLOOKUP(Tabla1[[#This Row],[SISMED]],TblDisponibilidad[],12,FALSE), 0)</f>
        <v>0</v>
      </c>
      <c r="I762">
        <f>IFERROR(VLOOKUP(Tabla1[[#This Row],[SISMED]],TblDisponibilidad[],13,FALSE), 0)</f>
        <v>0</v>
      </c>
      <c r="J762">
        <f>IFERROR(VLOOKUP(Tabla1[[#This Row],[SISMED]],TblDisponibilidad[],14,FALSE), 0)</f>
        <v>0</v>
      </c>
      <c r="K762">
        <f>IFERROR(VLOOKUP(Tabla1[[#This Row],[SISMED]],TblDisponibilidad[],15,FALSE), 0)</f>
        <v>0</v>
      </c>
      <c r="L762">
        <f>IFERROR(VLOOKUP(Tabla1[[#This Row],[SISMED]],TblDisponibilidad[],16,FALSE), 0)</f>
        <v>0</v>
      </c>
      <c r="M762">
        <f>IFERROR(VLOOKUP(Tabla1[[#This Row],[SISMED]],TblDisponibilidad[],17,FALSE), 0)</f>
        <v>0</v>
      </c>
      <c r="N762">
        <f>IFERROR(VLOOKUP(Tabla1[[#This Row],[SISMED]],TblDisponibilidad[],18,FALSE), 0)</f>
        <v>0</v>
      </c>
      <c r="O762">
        <f>IFERROR(VLOOKUP(Tabla1[[#This Row],[SISMED]],TblDisponibilidad[],19,FALSE), 0)</f>
        <v>0</v>
      </c>
      <c r="P762">
        <f>IFERROR(VLOOKUP(Tabla1[[#This Row],[SISMED]],TblDisponibilidad[],20,FALSE), 0)</f>
        <v>0</v>
      </c>
      <c r="Q762">
        <f>IFERROR(VLOOKUP(Tabla1[[#This Row],[SISMED]],TblDisponibilidad[],21,FALSE), 0)</f>
        <v>0</v>
      </c>
      <c r="R762">
        <f>IFERROR(VLOOKUP(Tabla1[[#This Row],[SISMED]],TblDisponibilidad[],22,FALSE), 0)</f>
        <v>0</v>
      </c>
      <c r="S762" s="15">
        <f>IFERROR(VLOOKUP(Tabla1[[#This Row],[SISMED]],TblDisponibilidad[],23,FALSE), 0)</f>
        <v>0</v>
      </c>
    </row>
    <row r="763" spans="1:19" x14ac:dyDescent="0.3">
      <c r="A763" s="15" t="s">
        <v>793</v>
      </c>
      <c r="B763" t="str">
        <f>IFERROR(VLOOKUP(Tabla1[[#This Row],[SISMED]],TblDisponibilidad[],2,FALSE), "")</f>
        <v/>
      </c>
      <c r="C763">
        <f>IFERROR(VLOOKUP(Tabla1[[#This Row],[SISMED]],TblDisponibilidad[],7,FALSE), 0)</f>
        <v>0</v>
      </c>
      <c r="D763">
        <f>IFERROR(VLOOKUP(Tabla1[[#This Row],[SISMED]],TblDisponibilidad[],8,FALSE), 0)</f>
        <v>0</v>
      </c>
      <c r="E763">
        <f>IFERROR(VLOOKUP(Tabla1[[#This Row],[SISMED]],TblDisponibilidad[],9,FALSE), 0)</f>
        <v>0</v>
      </c>
      <c r="F763">
        <f>IFERROR(VLOOKUP(Tabla1[[#This Row],[SISMED]],TblDisponibilidad[],10,FALSE), 0)</f>
        <v>0</v>
      </c>
      <c r="G763">
        <f>IFERROR(VLOOKUP(Tabla1[[#This Row],[SISMED]],TblDisponibilidad[],11,FALSE), 0)</f>
        <v>0</v>
      </c>
      <c r="H763">
        <f>IFERROR(VLOOKUP(Tabla1[[#This Row],[SISMED]],TblDisponibilidad[],12,FALSE), 0)</f>
        <v>0</v>
      </c>
      <c r="I763">
        <f>IFERROR(VLOOKUP(Tabla1[[#This Row],[SISMED]],TblDisponibilidad[],13,FALSE), 0)</f>
        <v>0</v>
      </c>
      <c r="J763">
        <f>IFERROR(VLOOKUP(Tabla1[[#This Row],[SISMED]],TblDisponibilidad[],14,FALSE), 0)</f>
        <v>0</v>
      </c>
      <c r="K763">
        <f>IFERROR(VLOOKUP(Tabla1[[#This Row],[SISMED]],TblDisponibilidad[],15,FALSE), 0)</f>
        <v>0</v>
      </c>
      <c r="L763">
        <f>IFERROR(VLOOKUP(Tabla1[[#This Row],[SISMED]],TblDisponibilidad[],16,FALSE), 0)</f>
        <v>0</v>
      </c>
      <c r="M763">
        <f>IFERROR(VLOOKUP(Tabla1[[#This Row],[SISMED]],TblDisponibilidad[],17,FALSE), 0)</f>
        <v>0</v>
      </c>
      <c r="N763">
        <f>IFERROR(VLOOKUP(Tabla1[[#This Row],[SISMED]],TblDisponibilidad[],18,FALSE), 0)</f>
        <v>0</v>
      </c>
      <c r="O763">
        <f>IFERROR(VLOOKUP(Tabla1[[#This Row],[SISMED]],TblDisponibilidad[],19,FALSE), 0)</f>
        <v>0</v>
      </c>
      <c r="P763">
        <f>IFERROR(VLOOKUP(Tabla1[[#This Row],[SISMED]],TblDisponibilidad[],20,FALSE), 0)</f>
        <v>0</v>
      </c>
      <c r="Q763">
        <f>IFERROR(VLOOKUP(Tabla1[[#This Row],[SISMED]],TblDisponibilidad[],21,FALSE), 0)</f>
        <v>0</v>
      </c>
      <c r="R763">
        <f>IFERROR(VLOOKUP(Tabla1[[#This Row],[SISMED]],TblDisponibilidad[],22,FALSE), 0)</f>
        <v>0</v>
      </c>
      <c r="S763" s="15">
        <f>IFERROR(VLOOKUP(Tabla1[[#This Row],[SISMED]],TblDisponibilidad[],23,FALSE), 0)</f>
        <v>0</v>
      </c>
    </row>
    <row r="764" spans="1:19" x14ac:dyDescent="0.3">
      <c r="A764" s="15" t="s">
        <v>794</v>
      </c>
      <c r="B764" t="str">
        <f>IFERROR(VLOOKUP(Tabla1[[#This Row],[SISMED]],TblDisponibilidad[],2,FALSE), "")</f>
        <v/>
      </c>
      <c r="C764">
        <f>IFERROR(VLOOKUP(Tabla1[[#This Row],[SISMED]],TblDisponibilidad[],7,FALSE), 0)</f>
        <v>0</v>
      </c>
      <c r="D764">
        <f>IFERROR(VLOOKUP(Tabla1[[#This Row],[SISMED]],TblDisponibilidad[],8,FALSE), 0)</f>
        <v>0</v>
      </c>
      <c r="E764">
        <f>IFERROR(VLOOKUP(Tabla1[[#This Row],[SISMED]],TblDisponibilidad[],9,FALSE), 0)</f>
        <v>0</v>
      </c>
      <c r="F764">
        <f>IFERROR(VLOOKUP(Tabla1[[#This Row],[SISMED]],TblDisponibilidad[],10,FALSE), 0)</f>
        <v>0</v>
      </c>
      <c r="G764">
        <f>IFERROR(VLOOKUP(Tabla1[[#This Row],[SISMED]],TblDisponibilidad[],11,FALSE), 0)</f>
        <v>0</v>
      </c>
      <c r="H764">
        <f>IFERROR(VLOOKUP(Tabla1[[#This Row],[SISMED]],TblDisponibilidad[],12,FALSE), 0)</f>
        <v>0</v>
      </c>
      <c r="I764">
        <f>IFERROR(VLOOKUP(Tabla1[[#This Row],[SISMED]],TblDisponibilidad[],13,FALSE), 0)</f>
        <v>0</v>
      </c>
      <c r="J764">
        <f>IFERROR(VLOOKUP(Tabla1[[#This Row],[SISMED]],TblDisponibilidad[],14,FALSE), 0)</f>
        <v>0</v>
      </c>
      <c r="K764">
        <f>IFERROR(VLOOKUP(Tabla1[[#This Row],[SISMED]],TblDisponibilidad[],15,FALSE), 0)</f>
        <v>0</v>
      </c>
      <c r="L764">
        <f>IFERROR(VLOOKUP(Tabla1[[#This Row],[SISMED]],TblDisponibilidad[],16,FALSE), 0)</f>
        <v>0</v>
      </c>
      <c r="M764">
        <f>IFERROR(VLOOKUP(Tabla1[[#This Row],[SISMED]],TblDisponibilidad[],17,FALSE), 0)</f>
        <v>0</v>
      </c>
      <c r="N764">
        <f>IFERROR(VLOOKUP(Tabla1[[#This Row],[SISMED]],TblDisponibilidad[],18,FALSE), 0)</f>
        <v>0</v>
      </c>
      <c r="O764">
        <f>IFERROR(VLOOKUP(Tabla1[[#This Row],[SISMED]],TblDisponibilidad[],19,FALSE), 0)</f>
        <v>0</v>
      </c>
      <c r="P764">
        <f>IFERROR(VLOOKUP(Tabla1[[#This Row],[SISMED]],TblDisponibilidad[],20,FALSE), 0)</f>
        <v>0</v>
      </c>
      <c r="Q764">
        <f>IFERROR(VLOOKUP(Tabla1[[#This Row],[SISMED]],TblDisponibilidad[],21,FALSE), 0)</f>
        <v>0</v>
      </c>
      <c r="R764">
        <f>IFERROR(VLOOKUP(Tabla1[[#This Row],[SISMED]],TblDisponibilidad[],22,FALSE), 0)</f>
        <v>0</v>
      </c>
      <c r="S764" s="15">
        <f>IFERROR(VLOOKUP(Tabla1[[#This Row],[SISMED]],TblDisponibilidad[],23,FALSE), 0)</f>
        <v>0</v>
      </c>
    </row>
    <row r="765" spans="1:19" x14ac:dyDescent="0.3">
      <c r="A765" s="15" t="s">
        <v>795</v>
      </c>
      <c r="B765" t="str">
        <f>IFERROR(VLOOKUP(Tabla1[[#This Row],[SISMED]],TblDisponibilidad[],2,FALSE), "")</f>
        <v/>
      </c>
      <c r="C765">
        <f>IFERROR(VLOOKUP(Tabla1[[#This Row],[SISMED]],TblDisponibilidad[],7,FALSE), 0)</f>
        <v>0</v>
      </c>
      <c r="D765">
        <f>IFERROR(VLOOKUP(Tabla1[[#This Row],[SISMED]],TblDisponibilidad[],8,FALSE), 0)</f>
        <v>0</v>
      </c>
      <c r="E765">
        <f>IFERROR(VLOOKUP(Tabla1[[#This Row],[SISMED]],TblDisponibilidad[],9,FALSE), 0)</f>
        <v>0</v>
      </c>
      <c r="F765">
        <f>IFERROR(VLOOKUP(Tabla1[[#This Row],[SISMED]],TblDisponibilidad[],10,FALSE), 0)</f>
        <v>0</v>
      </c>
      <c r="G765">
        <f>IFERROR(VLOOKUP(Tabla1[[#This Row],[SISMED]],TblDisponibilidad[],11,FALSE), 0)</f>
        <v>0</v>
      </c>
      <c r="H765">
        <f>IFERROR(VLOOKUP(Tabla1[[#This Row],[SISMED]],TblDisponibilidad[],12,FALSE), 0)</f>
        <v>0</v>
      </c>
      <c r="I765">
        <f>IFERROR(VLOOKUP(Tabla1[[#This Row],[SISMED]],TblDisponibilidad[],13,FALSE), 0)</f>
        <v>0</v>
      </c>
      <c r="J765">
        <f>IFERROR(VLOOKUP(Tabla1[[#This Row],[SISMED]],TblDisponibilidad[],14,FALSE), 0)</f>
        <v>0</v>
      </c>
      <c r="K765">
        <f>IFERROR(VLOOKUP(Tabla1[[#This Row],[SISMED]],TblDisponibilidad[],15,FALSE), 0)</f>
        <v>0</v>
      </c>
      <c r="L765">
        <f>IFERROR(VLOOKUP(Tabla1[[#This Row],[SISMED]],TblDisponibilidad[],16,FALSE), 0)</f>
        <v>0</v>
      </c>
      <c r="M765">
        <f>IFERROR(VLOOKUP(Tabla1[[#This Row],[SISMED]],TblDisponibilidad[],17,FALSE), 0)</f>
        <v>0</v>
      </c>
      <c r="N765">
        <f>IFERROR(VLOOKUP(Tabla1[[#This Row],[SISMED]],TblDisponibilidad[],18,FALSE), 0)</f>
        <v>0</v>
      </c>
      <c r="O765">
        <f>IFERROR(VLOOKUP(Tabla1[[#This Row],[SISMED]],TblDisponibilidad[],19,FALSE), 0)</f>
        <v>0</v>
      </c>
      <c r="P765">
        <f>IFERROR(VLOOKUP(Tabla1[[#This Row],[SISMED]],TblDisponibilidad[],20,FALSE), 0)</f>
        <v>0</v>
      </c>
      <c r="Q765">
        <f>IFERROR(VLOOKUP(Tabla1[[#This Row],[SISMED]],TblDisponibilidad[],21,FALSE), 0)</f>
        <v>0</v>
      </c>
      <c r="R765">
        <f>IFERROR(VLOOKUP(Tabla1[[#This Row],[SISMED]],TblDisponibilidad[],22,FALSE), 0)</f>
        <v>0</v>
      </c>
      <c r="S765" s="15">
        <f>IFERROR(VLOOKUP(Tabla1[[#This Row],[SISMED]],TblDisponibilidad[],23,FALSE), 0)</f>
        <v>0</v>
      </c>
    </row>
    <row r="766" spans="1:19" x14ac:dyDescent="0.3">
      <c r="A766" s="15" t="s">
        <v>796</v>
      </c>
      <c r="B766" t="str">
        <f>IFERROR(VLOOKUP(Tabla1[[#This Row],[SISMED]],TblDisponibilidad[],2,FALSE), "")</f>
        <v/>
      </c>
      <c r="C766">
        <f>IFERROR(VLOOKUP(Tabla1[[#This Row],[SISMED]],TblDisponibilidad[],7,FALSE), 0)</f>
        <v>0</v>
      </c>
      <c r="D766">
        <f>IFERROR(VLOOKUP(Tabla1[[#This Row],[SISMED]],TblDisponibilidad[],8,FALSE), 0)</f>
        <v>0</v>
      </c>
      <c r="E766">
        <f>IFERROR(VLOOKUP(Tabla1[[#This Row],[SISMED]],TblDisponibilidad[],9,FALSE), 0)</f>
        <v>0</v>
      </c>
      <c r="F766">
        <f>IFERROR(VLOOKUP(Tabla1[[#This Row],[SISMED]],TblDisponibilidad[],10,FALSE), 0)</f>
        <v>0</v>
      </c>
      <c r="G766">
        <f>IFERROR(VLOOKUP(Tabla1[[#This Row],[SISMED]],TblDisponibilidad[],11,FALSE), 0)</f>
        <v>0</v>
      </c>
      <c r="H766">
        <f>IFERROR(VLOOKUP(Tabla1[[#This Row],[SISMED]],TblDisponibilidad[],12,FALSE), 0)</f>
        <v>0</v>
      </c>
      <c r="I766">
        <f>IFERROR(VLOOKUP(Tabla1[[#This Row],[SISMED]],TblDisponibilidad[],13,FALSE), 0)</f>
        <v>0</v>
      </c>
      <c r="J766">
        <f>IFERROR(VLOOKUP(Tabla1[[#This Row],[SISMED]],TblDisponibilidad[],14,FALSE), 0)</f>
        <v>0</v>
      </c>
      <c r="K766">
        <f>IFERROR(VLOOKUP(Tabla1[[#This Row],[SISMED]],TblDisponibilidad[],15,FALSE), 0)</f>
        <v>0</v>
      </c>
      <c r="L766">
        <f>IFERROR(VLOOKUP(Tabla1[[#This Row],[SISMED]],TblDisponibilidad[],16,FALSE), 0)</f>
        <v>0</v>
      </c>
      <c r="M766">
        <f>IFERROR(VLOOKUP(Tabla1[[#This Row],[SISMED]],TblDisponibilidad[],17,FALSE), 0)</f>
        <v>0</v>
      </c>
      <c r="N766">
        <f>IFERROR(VLOOKUP(Tabla1[[#This Row],[SISMED]],TblDisponibilidad[],18,FALSE), 0)</f>
        <v>0</v>
      </c>
      <c r="O766">
        <f>IFERROR(VLOOKUP(Tabla1[[#This Row],[SISMED]],TblDisponibilidad[],19,FALSE), 0)</f>
        <v>0</v>
      </c>
      <c r="P766">
        <f>IFERROR(VLOOKUP(Tabla1[[#This Row],[SISMED]],TblDisponibilidad[],20,FALSE), 0)</f>
        <v>0</v>
      </c>
      <c r="Q766">
        <f>IFERROR(VLOOKUP(Tabla1[[#This Row],[SISMED]],TblDisponibilidad[],21,FALSE), 0)</f>
        <v>0</v>
      </c>
      <c r="R766">
        <f>IFERROR(VLOOKUP(Tabla1[[#This Row],[SISMED]],TblDisponibilidad[],22,FALSE), 0)</f>
        <v>0</v>
      </c>
      <c r="S766" s="15">
        <f>IFERROR(VLOOKUP(Tabla1[[#This Row],[SISMED]],TblDisponibilidad[],23,FALSE), 0)</f>
        <v>0</v>
      </c>
    </row>
    <row r="767" spans="1:19" x14ac:dyDescent="0.3">
      <c r="A767" s="15" t="s">
        <v>797</v>
      </c>
      <c r="B767" t="str">
        <f>IFERROR(VLOOKUP(Tabla1[[#This Row],[SISMED]],TblDisponibilidad[],2,FALSE), "")</f>
        <v/>
      </c>
      <c r="C767">
        <f>IFERROR(VLOOKUP(Tabla1[[#This Row],[SISMED]],TblDisponibilidad[],7,FALSE), 0)</f>
        <v>0</v>
      </c>
      <c r="D767">
        <f>IFERROR(VLOOKUP(Tabla1[[#This Row],[SISMED]],TblDisponibilidad[],8,FALSE), 0)</f>
        <v>0</v>
      </c>
      <c r="E767">
        <f>IFERROR(VLOOKUP(Tabla1[[#This Row],[SISMED]],TblDisponibilidad[],9,FALSE), 0)</f>
        <v>0</v>
      </c>
      <c r="F767">
        <f>IFERROR(VLOOKUP(Tabla1[[#This Row],[SISMED]],TblDisponibilidad[],10,FALSE), 0)</f>
        <v>0</v>
      </c>
      <c r="G767">
        <f>IFERROR(VLOOKUP(Tabla1[[#This Row],[SISMED]],TblDisponibilidad[],11,FALSE), 0)</f>
        <v>0</v>
      </c>
      <c r="H767">
        <f>IFERROR(VLOOKUP(Tabla1[[#This Row],[SISMED]],TblDisponibilidad[],12,FALSE), 0)</f>
        <v>0</v>
      </c>
      <c r="I767">
        <f>IFERROR(VLOOKUP(Tabla1[[#This Row],[SISMED]],TblDisponibilidad[],13,FALSE), 0)</f>
        <v>0</v>
      </c>
      <c r="J767">
        <f>IFERROR(VLOOKUP(Tabla1[[#This Row],[SISMED]],TblDisponibilidad[],14,FALSE), 0)</f>
        <v>0</v>
      </c>
      <c r="K767">
        <f>IFERROR(VLOOKUP(Tabla1[[#This Row],[SISMED]],TblDisponibilidad[],15,FALSE), 0)</f>
        <v>0</v>
      </c>
      <c r="L767">
        <f>IFERROR(VLOOKUP(Tabla1[[#This Row],[SISMED]],TblDisponibilidad[],16,FALSE), 0)</f>
        <v>0</v>
      </c>
      <c r="M767">
        <f>IFERROR(VLOOKUP(Tabla1[[#This Row],[SISMED]],TblDisponibilidad[],17,FALSE), 0)</f>
        <v>0</v>
      </c>
      <c r="N767">
        <f>IFERROR(VLOOKUP(Tabla1[[#This Row],[SISMED]],TblDisponibilidad[],18,FALSE), 0)</f>
        <v>0</v>
      </c>
      <c r="O767">
        <f>IFERROR(VLOOKUP(Tabla1[[#This Row],[SISMED]],TblDisponibilidad[],19,FALSE), 0)</f>
        <v>0</v>
      </c>
      <c r="P767">
        <f>IFERROR(VLOOKUP(Tabla1[[#This Row],[SISMED]],TblDisponibilidad[],20,FALSE), 0)</f>
        <v>0</v>
      </c>
      <c r="Q767">
        <f>IFERROR(VLOOKUP(Tabla1[[#This Row],[SISMED]],TblDisponibilidad[],21,FALSE), 0)</f>
        <v>0</v>
      </c>
      <c r="R767">
        <f>IFERROR(VLOOKUP(Tabla1[[#This Row],[SISMED]],TblDisponibilidad[],22,FALSE), 0)</f>
        <v>0</v>
      </c>
      <c r="S767" s="15">
        <f>IFERROR(VLOOKUP(Tabla1[[#This Row],[SISMED]],TblDisponibilidad[],23,FALSE), 0)</f>
        <v>0</v>
      </c>
    </row>
    <row r="768" spans="1:19" x14ac:dyDescent="0.3">
      <c r="A768" s="15" t="s">
        <v>798</v>
      </c>
      <c r="B768" t="str">
        <f>IFERROR(VLOOKUP(Tabla1[[#This Row],[SISMED]],TblDisponibilidad[],2,FALSE), "")</f>
        <v/>
      </c>
      <c r="C768">
        <f>IFERROR(VLOOKUP(Tabla1[[#This Row],[SISMED]],TblDisponibilidad[],7,FALSE), 0)</f>
        <v>0</v>
      </c>
      <c r="D768">
        <f>IFERROR(VLOOKUP(Tabla1[[#This Row],[SISMED]],TblDisponibilidad[],8,FALSE), 0)</f>
        <v>0</v>
      </c>
      <c r="E768">
        <f>IFERROR(VLOOKUP(Tabla1[[#This Row],[SISMED]],TblDisponibilidad[],9,FALSE), 0)</f>
        <v>0</v>
      </c>
      <c r="F768">
        <f>IFERROR(VLOOKUP(Tabla1[[#This Row],[SISMED]],TblDisponibilidad[],10,FALSE), 0)</f>
        <v>0</v>
      </c>
      <c r="G768">
        <f>IFERROR(VLOOKUP(Tabla1[[#This Row],[SISMED]],TblDisponibilidad[],11,FALSE), 0)</f>
        <v>0</v>
      </c>
      <c r="H768">
        <f>IFERROR(VLOOKUP(Tabla1[[#This Row],[SISMED]],TblDisponibilidad[],12,FALSE), 0)</f>
        <v>0</v>
      </c>
      <c r="I768">
        <f>IFERROR(VLOOKUP(Tabla1[[#This Row],[SISMED]],TblDisponibilidad[],13,FALSE), 0)</f>
        <v>0</v>
      </c>
      <c r="J768">
        <f>IFERROR(VLOOKUP(Tabla1[[#This Row],[SISMED]],TblDisponibilidad[],14,FALSE), 0)</f>
        <v>0</v>
      </c>
      <c r="K768">
        <f>IFERROR(VLOOKUP(Tabla1[[#This Row],[SISMED]],TblDisponibilidad[],15,FALSE), 0)</f>
        <v>0</v>
      </c>
      <c r="L768">
        <f>IFERROR(VLOOKUP(Tabla1[[#This Row],[SISMED]],TblDisponibilidad[],16,FALSE), 0)</f>
        <v>0</v>
      </c>
      <c r="M768">
        <f>IFERROR(VLOOKUP(Tabla1[[#This Row],[SISMED]],TblDisponibilidad[],17,FALSE), 0)</f>
        <v>0</v>
      </c>
      <c r="N768">
        <f>IFERROR(VLOOKUP(Tabla1[[#This Row],[SISMED]],TblDisponibilidad[],18,FALSE), 0)</f>
        <v>0</v>
      </c>
      <c r="O768">
        <f>IFERROR(VLOOKUP(Tabla1[[#This Row],[SISMED]],TblDisponibilidad[],19,FALSE), 0)</f>
        <v>0</v>
      </c>
      <c r="P768">
        <f>IFERROR(VLOOKUP(Tabla1[[#This Row],[SISMED]],TblDisponibilidad[],20,FALSE), 0)</f>
        <v>0</v>
      </c>
      <c r="Q768">
        <f>IFERROR(VLOOKUP(Tabla1[[#This Row],[SISMED]],TblDisponibilidad[],21,FALSE), 0)</f>
        <v>0</v>
      </c>
      <c r="R768">
        <f>IFERROR(VLOOKUP(Tabla1[[#This Row],[SISMED]],TblDisponibilidad[],22,FALSE), 0)</f>
        <v>0</v>
      </c>
      <c r="S768" s="15">
        <f>IFERROR(VLOOKUP(Tabla1[[#This Row],[SISMED]],TblDisponibilidad[],23,FALSE), 0)</f>
        <v>0</v>
      </c>
    </row>
    <row r="769" spans="1:19" x14ac:dyDescent="0.3">
      <c r="A769" s="15" t="s">
        <v>799</v>
      </c>
      <c r="B769" t="str">
        <f>IFERROR(VLOOKUP(Tabla1[[#This Row],[SISMED]],TblDisponibilidad[],2,FALSE), "")</f>
        <v/>
      </c>
      <c r="C769">
        <f>IFERROR(VLOOKUP(Tabla1[[#This Row],[SISMED]],TblDisponibilidad[],7,FALSE), 0)</f>
        <v>0</v>
      </c>
      <c r="D769">
        <f>IFERROR(VLOOKUP(Tabla1[[#This Row],[SISMED]],TblDisponibilidad[],8,FALSE), 0)</f>
        <v>0</v>
      </c>
      <c r="E769">
        <f>IFERROR(VLOOKUP(Tabla1[[#This Row],[SISMED]],TblDisponibilidad[],9,FALSE), 0)</f>
        <v>0</v>
      </c>
      <c r="F769">
        <f>IFERROR(VLOOKUP(Tabla1[[#This Row],[SISMED]],TblDisponibilidad[],10,FALSE), 0)</f>
        <v>0</v>
      </c>
      <c r="G769">
        <f>IFERROR(VLOOKUP(Tabla1[[#This Row],[SISMED]],TblDisponibilidad[],11,FALSE), 0)</f>
        <v>0</v>
      </c>
      <c r="H769">
        <f>IFERROR(VLOOKUP(Tabla1[[#This Row],[SISMED]],TblDisponibilidad[],12,FALSE), 0)</f>
        <v>0</v>
      </c>
      <c r="I769">
        <f>IFERROR(VLOOKUP(Tabla1[[#This Row],[SISMED]],TblDisponibilidad[],13,FALSE), 0)</f>
        <v>0</v>
      </c>
      <c r="J769">
        <f>IFERROR(VLOOKUP(Tabla1[[#This Row],[SISMED]],TblDisponibilidad[],14,FALSE), 0)</f>
        <v>0</v>
      </c>
      <c r="K769">
        <f>IFERROR(VLOOKUP(Tabla1[[#This Row],[SISMED]],TblDisponibilidad[],15,FALSE), 0)</f>
        <v>0</v>
      </c>
      <c r="L769">
        <f>IFERROR(VLOOKUP(Tabla1[[#This Row],[SISMED]],TblDisponibilidad[],16,FALSE), 0)</f>
        <v>0</v>
      </c>
      <c r="M769">
        <f>IFERROR(VLOOKUP(Tabla1[[#This Row],[SISMED]],TblDisponibilidad[],17,FALSE), 0)</f>
        <v>0</v>
      </c>
      <c r="N769">
        <f>IFERROR(VLOOKUP(Tabla1[[#This Row],[SISMED]],TblDisponibilidad[],18,FALSE), 0)</f>
        <v>0</v>
      </c>
      <c r="O769">
        <f>IFERROR(VLOOKUP(Tabla1[[#This Row],[SISMED]],TblDisponibilidad[],19,FALSE), 0)</f>
        <v>0</v>
      </c>
      <c r="P769">
        <f>IFERROR(VLOOKUP(Tabla1[[#This Row],[SISMED]],TblDisponibilidad[],20,FALSE), 0)</f>
        <v>0</v>
      </c>
      <c r="Q769">
        <f>IFERROR(VLOOKUP(Tabla1[[#This Row],[SISMED]],TblDisponibilidad[],21,FALSE), 0)</f>
        <v>0</v>
      </c>
      <c r="R769">
        <f>IFERROR(VLOOKUP(Tabla1[[#This Row],[SISMED]],TblDisponibilidad[],22,FALSE), 0)</f>
        <v>0</v>
      </c>
      <c r="S769" s="15">
        <f>IFERROR(VLOOKUP(Tabla1[[#This Row],[SISMED]],TblDisponibilidad[],23,FALSE), 0)</f>
        <v>0</v>
      </c>
    </row>
    <row r="770" spans="1:19" x14ac:dyDescent="0.3">
      <c r="A770" s="15" t="s">
        <v>800</v>
      </c>
      <c r="B770" t="str">
        <f>IFERROR(VLOOKUP(Tabla1[[#This Row],[SISMED]],TblDisponibilidad[],2,FALSE), "")</f>
        <v/>
      </c>
      <c r="C770">
        <f>IFERROR(VLOOKUP(Tabla1[[#This Row],[SISMED]],TblDisponibilidad[],7,FALSE), 0)</f>
        <v>0</v>
      </c>
      <c r="D770">
        <f>IFERROR(VLOOKUP(Tabla1[[#This Row],[SISMED]],TblDisponibilidad[],8,FALSE), 0)</f>
        <v>0</v>
      </c>
      <c r="E770">
        <f>IFERROR(VLOOKUP(Tabla1[[#This Row],[SISMED]],TblDisponibilidad[],9,FALSE), 0)</f>
        <v>0</v>
      </c>
      <c r="F770">
        <f>IFERROR(VLOOKUP(Tabla1[[#This Row],[SISMED]],TblDisponibilidad[],10,FALSE), 0)</f>
        <v>0</v>
      </c>
      <c r="G770">
        <f>IFERROR(VLOOKUP(Tabla1[[#This Row],[SISMED]],TblDisponibilidad[],11,FALSE), 0)</f>
        <v>0</v>
      </c>
      <c r="H770">
        <f>IFERROR(VLOOKUP(Tabla1[[#This Row],[SISMED]],TblDisponibilidad[],12,FALSE), 0)</f>
        <v>0</v>
      </c>
      <c r="I770">
        <f>IFERROR(VLOOKUP(Tabla1[[#This Row],[SISMED]],TblDisponibilidad[],13,FALSE), 0)</f>
        <v>0</v>
      </c>
      <c r="J770">
        <f>IFERROR(VLOOKUP(Tabla1[[#This Row],[SISMED]],TblDisponibilidad[],14,FALSE), 0)</f>
        <v>0</v>
      </c>
      <c r="K770">
        <f>IFERROR(VLOOKUP(Tabla1[[#This Row],[SISMED]],TblDisponibilidad[],15,FALSE), 0)</f>
        <v>0</v>
      </c>
      <c r="L770">
        <f>IFERROR(VLOOKUP(Tabla1[[#This Row],[SISMED]],TblDisponibilidad[],16,FALSE), 0)</f>
        <v>0</v>
      </c>
      <c r="M770">
        <f>IFERROR(VLOOKUP(Tabla1[[#This Row],[SISMED]],TblDisponibilidad[],17,FALSE), 0)</f>
        <v>0</v>
      </c>
      <c r="N770">
        <f>IFERROR(VLOOKUP(Tabla1[[#This Row],[SISMED]],TblDisponibilidad[],18,FALSE), 0)</f>
        <v>0</v>
      </c>
      <c r="O770">
        <f>IFERROR(VLOOKUP(Tabla1[[#This Row],[SISMED]],TblDisponibilidad[],19,FALSE), 0)</f>
        <v>0</v>
      </c>
      <c r="P770">
        <f>IFERROR(VLOOKUP(Tabla1[[#This Row],[SISMED]],TblDisponibilidad[],20,FALSE), 0)</f>
        <v>0</v>
      </c>
      <c r="Q770">
        <f>IFERROR(VLOOKUP(Tabla1[[#This Row],[SISMED]],TblDisponibilidad[],21,FALSE), 0)</f>
        <v>0</v>
      </c>
      <c r="R770">
        <f>IFERROR(VLOOKUP(Tabla1[[#This Row],[SISMED]],TblDisponibilidad[],22,FALSE), 0)</f>
        <v>0</v>
      </c>
      <c r="S770" s="15">
        <f>IFERROR(VLOOKUP(Tabla1[[#This Row],[SISMED]],TblDisponibilidad[],23,FALSE), 0)</f>
        <v>0</v>
      </c>
    </row>
    <row r="771" spans="1:19" x14ac:dyDescent="0.3">
      <c r="A771" s="15" t="s">
        <v>801</v>
      </c>
      <c r="B771" t="str">
        <f>IFERROR(VLOOKUP(Tabla1[[#This Row],[SISMED]],TblDisponibilidad[],2,FALSE), "")</f>
        <v/>
      </c>
      <c r="C771">
        <f>IFERROR(VLOOKUP(Tabla1[[#This Row],[SISMED]],TblDisponibilidad[],7,FALSE), 0)</f>
        <v>0</v>
      </c>
      <c r="D771">
        <f>IFERROR(VLOOKUP(Tabla1[[#This Row],[SISMED]],TblDisponibilidad[],8,FALSE), 0)</f>
        <v>0</v>
      </c>
      <c r="E771">
        <f>IFERROR(VLOOKUP(Tabla1[[#This Row],[SISMED]],TblDisponibilidad[],9,FALSE), 0)</f>
        <v>0</v>
      </c>
      <c r="F771">
        <f>IFERROR(VLOOKUP(Tabla1[[#This Row],[SISMED]],TblDisponibilidad[],10,FALSE), 0)</f>
        <v>0</v>
      </c>
      <c r="G771">
        <f>IFERROR(VLOOKUP(Tabla1[[#This Row],[SISMED]],TblDisponibilidad[],11,FALSE), 0)</f>
        <v>0</v>
      </c>
      <c r="H771">
        <f>IFERROR(VLOOKUP(Tabla1[[#This Row],[SISMED]],TblDisponibilidad[],12,FALSE), 0)</f>
        <v>0</v>
      </c>
      <c r="I771">
        <f>IFERROR(VLOOKUP(Tabla1[[#This Row],[SISMED]],TblDisponibilidad[],13,FALSE), 0)</f>
        <v>0</v>
      </c>
      <c r="J771">
        <f>IFERROR(VLOOKUP(Tabla1[[#This Row],[SISMED]],TblDisponibilidad[],14,FALSE), 0)</f>
        <v>0</v>
      </c>
      <c r="K771">
        <f>IFERROR(VLOOKUP(Tabla1[[#This Row],[SISMED]],TblDisponibilidad[],15,FALSE), 0)</f>
        <v>0</v>
      </c>
      <c r="L771">
        <f>IFERROR(VLOOKUP(Tabla1[[#This Row],[SISMED]],TblDisponibilidad[],16,FALSE), 0)</f>
        <v>0</v>
      </c>
      <c r="M771">
        <f>IFERROR(VLOOKUP(Tabla1[[#This Row],[SISMED]],TblDisponibilidad[],17,FALSE), 0)</f>
        <v>0</v>
      </c>
      <c r="N771">
        <f>IFERROR(VLOOKUP(Tabla1[[#This Row],[SISMED]],TblDisponibilidad[],18,FALSE), 0)</f>
        <v>0</v>
      </c>
      <c r="O771">
        <f>IFERROR(VLOOKUP(Tabla1[[#This Row],[SISMED]],TblDisponibilidad[],19,FALSE), 0)</f>
        <v>0</v>
      </c>
      <c r="P771">
        <f>IFERROR(VLOOKUP(Tabla1[[#This Row],[SISMED]],TblDisponibilidad[],20,FALSE), 0)</f>
        <v>0</v>
      </c>
      <c r="Q771">
        <f>IFERROR(VLOOKUP(Tabla1[[#This Row],[SISMED]],TblDisponibilidad[],21,FALSE), 0)</f>
        <v>0</v>
      </c>
      <c r="R771">
        <f>IFERROR(VLOOKUP(Tabla1[[#This Row],[SISMED]],TblDisponibilidad[],22,FALSE), 0)</f>
        <v>0</v>
      </c>
      <c r="S771" s="15">
        <f>IFERROR(VLOOKUP(Tabla1[[#This Row],[SISMED]],TblDisponibilidad[],23,FALSE), 0)</f>
        <v>0</v>
      </c>
    </row>
    <row r="772" spans="1:19" x14ac:dyDescent="0.3">
      <c r="A772" s="15" t="s">
        <v>802</v>
      </c>
      <c r="B772" t="str">
        <f>IFERROR(VLOOKUP(Tabla1[[#This Row],[SISMED]],TblDisponibilidad[],2,FALSE), "")</f>
        <v/>
      </c>
      <c r="C772">
        <f>IFERROR(VLOOKUP(Tabla1[[#This Row],[SISMED]],TblDisponibilidad[],7,FALSE), 0)</f>
        <v>0</v>
      </c>
      <c r="D772">
        <f>IFERROR(VLOOKUP(Tabla1[[#This Row],[SISMED]],TblDisponibilidad[],8,FALSE), 0)</f>
        <v>0</v>
      </c>
      <c r="E772">
        <f>IFERROR(VLOOKUP(Tabla1[[#This Row],[SISMED]],TblDisponibilidad[],9,FALSE), 0)</f>
        <v>0</v>
      </c>
      <c r="F772">
        <f>IFERROR(VLOOKUP(Tabla1[[#This Row],[SISMED]],TblDisponibilidad[],10,FALSE), 0)</f>
        <v>0</v>
      </c>
      <c r="G772">
        <f>IFERROR(VLOOKUP(Tabla1[[#This Row],[SISMED]],TblDisponibilidad[],11,FALSE), 0)</f>
        <v>0</v>
      </c>
      <c r="H772">
        <f>IFERROR(VLOOKUP(Tabla1[[#This Row],[SISMED]],TblDisponibilidad[],12,FALSE), 0)</f>
        <v>0</v>
      </c>
      <c r="I772">
        <f>IFERROR(VLOOKUP(Tabla1[[#This Row],[SISMED]],TblDisponibilidad[],13,FALSE), 0)</f>
        <v>0</v>
      </c>
      <c r="J772">
        <f>IFERROR(VLOOKUP(Tabla1[[#This Row],[SISMED]],TblDisponibilidad[],14,FALSE), 0)</f>
        <v>0</v>
      </c>
      <c r="K772">
        <f>IFERROR(VLOOKUP(Tabla1[[#This Row],[SISMED]],TblDisponibilidad[],15,FALSE), 0)</f>
        <v>0</v>
      </c>
      <c r="L772">
        <f>IFERROR(VLOOKUP(Tabla1[[#This Row],[SISMED]],TblDisponibilidad[],16,FALSE), 0)</f>
        <v>0</v>
      </c>
      <c r="M772">
        <f>IFERROR(VLOOKUP(Tabla1[[#This Row],[SISMED]],TblDisponibilidad[],17,FALSE), 0)</f>
        <v>0</v>
      </c>
      <c r="N772">
        <f>IFERROR(VLOOKUP(Tabla1[[#This Row],[SISMED]],TblDisponibilidad[],18,FALSE), 0)</f>
        <v>0</v>
      </c>
      <c r="O772">
        <f>IFERROR(VLOOKUP(Tabla1[[#This Row],[SISMED]],TblDisponibilidad[],19,FALSE), 0)</f>
        <v>0</v>
      </c>
      <c r="P772">
        <f>IFERROR(VLOOKUP(Tabla1[[#This Row],[SISMED]],TblDisponibilidad[],20,FALSE), 0)</f>
        <v>0</v>
      </c>
      <c r="Q772">
        <f>IFERROR(VLOOKUP(Tabla1[[#This Row],[SISMED]],TblDisponibilidad[],21,FALSE), 0)</f>
        <v>0</v>
      </c>
      <c r="R772">
        <f>IFERROR(VLOOKUP(Tabla1[[#This Row],[SISMED]],TblDisponibilidad[],22,FALSE), 0)</f>
        <v>0</v>
      </c>
      <c r="S772" s="15">
        <f>IFERROR(VLOOKUP(Tabla1[[#This Row],[SISMED]],TblDisponibilidad[],23,FALSE), 0)</f>
        <v>0</v>
      </c>
    </row>
    <row r="773" spans="1:19" x14ac:dyDescent="0.3">
      <c r="A773" s="15" t="s">
        <v>803</v>
      </c>
      <c r="B773" t="str">
        <f>IFERROR(VLOOKUP(Tabla1[[#This Row],[SISMED]],TblDisponibilidad[],2,FALSE), "")</f>
        <v/>
      </c>
      <c r="C773">
        <f>IFERROR(VLOOKUP(Tabla1[[#This Row],[SISMED]],TblDisponibilidad[],7,FALSE), 0)</f>
        <v>0</v>
      </c>
      <c r="D773">
        <f>IFERROR(VLOOKUP(Tabla1[[#This Row],[SISMED]],TblDisponibilidad[],8,FALSE), 0)</f>
        <v>0</v>
      </c>
      <c r="E773">
        <f>IFERROR(VLOOKUP(Tabla1[[#This Row],[SISMED]],TblDisponibilidad[],9,FALSE), 0)</f>
        <v>0</v>
      </c>
      <c r="F773">
        <f>IFERROR(VLOOKUP(Tabla1[[#This Row],[SISMED]],TblDisponibilidad[],10,FALSE), 0)</f>
        <v>0</v>
      </c>
      <c r="G773">
        <f>IFERROR(VLOOKUP(Tabla1[[#This Row],[SISMED]],TblDisponibilidad[],11,FALSE), 0)</f>
        <v>0</v>
      </c>
      <c r="H773">
        <f>IFERROR(VLOOKUP(Tabla1[[#This Row],[SISMED]],TblDisponibilidad[],12,FALSE), 0)</f>
        <v>0</v>
      </c>
      <c r="I773">
        <f>IFERROR(VLOOKUP(Tabla1[[#This Row],[SISMED]],TblDisponibilidad[],13,FALSE), 0)</f>
        <v>0</v>
      </c>
      <c r="J773">
        <f>IFERROR(VLOOKUP(Tabla1[[#This Row],[SISMED]],TblDisponibilidad[],14,FALSE), 0)</f>
        <v>0</v>
      </c>
      <c r="K773">
        <f>IFERROR(VLOOKUP(Tabla1[[#This Row],[SISMED]],TblDisponibilidad[],15,FALSE), 0)</f>
        <v>0</v>
      </c>
      <c r="L773">
        <f>IFERROR(VLOOKUP(Tabla1[[#This Row],[SISMED]],TblDisponibilidad[],16,FALSE), 0)</f>
        <v>0</v>
      </c>
      <c r="M773">
        <f>IFERROR(VLOOKUP(Tabla1[[#This Row],[SISMED]],TblDisponibilidad[],17,FALSE), 0)</f>
        <v>0</v>
      </c>
      <c r="N773">
        <f>IFERROR(VLOOKUP(Tabla1[[#This Row],[SISMED]],TblDisponibilidad[],18,FALSE), 0)</f>
        <v>0</v>
      </c>
      <c r="O773">
        <f>IFERROR(VLOOKUP(Tabla1[[#This Row],[SISMED]],TblDisponibilidad[],19,FALSE), 0)</f>
        <v>0</v>
      </c>
      <c r="P773">
        <f>IFERROR(VLOOKUP(Tabla1[[#This Row],[SISMED]],TblDisponibilidad[],20,FALSE), 0)</f>
        <v>0</v>
      </c>
      <c r="Q773">
        <f>IFERROR(VLOOKUP(Tabla1[[#This Row],[SISMED]],TblDisponibilidad[],21,FALSE), 0)</f>
        <v>0</v>
      </c>
      <c r="R773">
        <f>IFERROR(VLOOKUP(Tabla1[[#This Row],[SISMED]],TblDisponibilidad[],22,FALSE), 0)</f>
        <v>0</v>
      </c>
      <c r="S773" s="15">
        <f>IFERROR(VLOOKUP(Tabla1[[#This Row],[SISMED]],TblDisponibilidad[],23,FALSE), 0)</f>
        <v>0</v>
      </c>
    </row>
    <row r="774" spans="1:19" x14ac:dyDescent="0.3">
      <c r="A774" s="15" t="s">
        <v>804</v>
      </c>
      <c r="B774" t="str">
        <f>IFERROR(VLOOKUP(Tabla1[[#This Row],[SISMED]],TblDisponibilidad[],2,FALSE), "")</f>
        <v/>
      </c>
      <c r="C774">
        <f>IFERROR(VLOOKUP(Tabla1[[#This Row],[SISMED]],TblDisponibilidad[],7,FALSE), 0)</f>
        <v>0</v>
      </c>
      <c r="D774">
        <f>IFERROR(VLOOKUP(Tabla1[[#This Row],[SISMED]],TblDisponibilidad[],8,FALSE), 0)</f>
        <v>0</v>
      </c>
      <c r="E774">
        <f>IFERROR(VLOOKUP(Tabla1[[#This Row],[SISMED]],TblDisponibilidad[],9,FALSE), 0)</f>
        <v>0</v>
      </c>
      <c r="F774">
        <f>IFERROR(VLOOKUP(Tabla1[[#This Row],[SISMED]],TblDisponibilidad[],10,FALSE), 0)</f>
        <v>0</v>
      </c>
      <c r="G774">
        <f>IFERROR(VLOOKUP(Tabla1[[#This Row],[SISMED]],TblDisponibilidad[],11,FALSE), 0)</f>
        <v>0</v>
      </c>
      <c r="H774">
        <f>IFERROR(VLOOKUP(Tabla1[[#This Row],[SISMED]],TblDisponibilidad[],12,FALSE), 0)</f>
        <v>0</v>
      </c>
      <c r="I774">
        <f>IFERROR(VLOOKUP(Tabla1[[#This Row],[SISMED]],TblDisponibilidad[],13,FALSE), 0)</f>
        <v>0</v>
      </c>
      <c r="J774">
        <f>IFERROR(VLOOKUP(Tabla1[[#This Row],[SISMED]],TblDisponibilidad[],14,FALSE), 0)</f>
        <v>0</v>
      </c>
      <c r="K774">
        <f>IFERROR(VLOOKUP(Tabla1[[#This Row],[SISMED]],TblDisponibilidad[],15,FALSE), 0)</f>
        <v>0</v>
      </c>
      <c r="L774">
        <f>IFERROR(VLOOKUP(Tabla1[[#This Row],[SISMED]],TblDisponibilidad[],16,FALSE), 0)</f>
        <v>0</v>
      </c>
      <c r="M774">
        <f>IFERROR(VLOOKUP(Tabla1[[#This Row],[SISMED]],TblDisponibilidad[],17,FALSE), 0)</f>
        <v>0</v>
      </c>
      <c r="N774">
        <f>IFERROR(VLOOKUP(Tabla1[[#This Row],[SISMED]],TblDisponibilidad[],18,FALSE), 0)</f>
        <v>0</v>
      </c>
      <c r="O774">
        <f>IFERROR(VLOOKUP(Tabla1[[#This Row],[SISMED]],TblDisponibilidad[],19,FALSE), 0)</f>
        <v>0</v>
      </c>
      <c r="P774">
        <f>IFERROR(VLOOKUP(Tabla1[[#This Row],[SISMED]],TblDisponibilidad[],20,FALSE), 0)</f>
        <v>0</v>
      </c>
      <c r="Q774">
        <f>IFERROR(VLOOKUP(Tabla1[[#This Row],[SISMED]],TblDisponibilidad[],21,FALSE), 0)</f>
        <v>0</v>
      </c>
      <c r="R774">
        <f>IFERROR(VLOOKUP(Tabla1[[#This Row],[SISMED]],TblDisponibilidad[],22,FALSE), 0)</f>
        <v>0</v>
      </c>
      <c r="S774" s="15">
        <f>IFERROR(VLOOKUP(Tabla1[[#This Row],[SISMED]],TblDisponibilidad[],23,FALSE), 0)</f>
        <v>0</v>
      </c>
    </row>
    <row r="775" spans="1:19" x14ac:dyDescent="0.3">
      <c r="A775" s="15" t="s">
        <v>805</v>
      </c>
      <c r="B775" t="str">
        <f>IFERROR(VLOOKUP(Tabla1[[#This Row],[SISMED]],TblDisponibilidad[],2,FALSE), "")</f>
        <v/>
      </c>
      <c r="C775">
        <f>IFERROR(VLOOKUP(Tabla1[[#This Row],[SISMED]],TblDisponibilidad[],7,FALSE), 0)</f>
        <v>0</v>
      </c>
      <c r="D775">
        <f>IFERROR(VLOOKUP(Tabla1[[#This Row],[SISMED]],TblDisponibilidad[],8,FALSE), 0)</f>
        <v>0</v>
      </c>
      <c r="E775">
        <f>IFERROR(VLOOKUP(Tabla1[[#This Row],[SISMED]],TblDisponibilidad[],9,FALSE), 0)</f>
        <v>0</v>
      </c>
      <c r="F775">
        <f>IFERROR(VLOOKUP(Tabla1[[#This Row],[SISMED]],TblDisponibilidad[],10,FALSE), 0)</f>
        <v>0</v>
      </c>
      <c r="G775">
        <f>IFERROR(VLOOKUP(Tabla1[[#This Row],[SISMED]],TblDisponibilidad[],11,FALSE), 0)</f>
        <v>0</v>
      </c>
      <c r="H775">
        <f>IFERROR(VLOOKUP(Tabla1[[#This Row],[SISMED]],TblDisponibilidad[],12,FALSE), 0)</f>
        <v>0</v>
      </c>
      <c r="I775">
        <f>IFERROR(VLOOKUP(Tabla1[[#This Row],[SISMED]],TblDisponibilidad[],13,FALSE), 0)</f>
        <v>0</v>
      </c>
      <c r="J775">
        <f>IFERROR(VLOOKUP(Tabla1[[#This Row],[SISMED]],TblDisponibilidad[],14,FALSE), 0)</f>
        <v>0</v>
      </c>
      <c r="K775">
        <f>IFERROR(VLOOKUP(Tabla1[[#This Row],[SISMED]],TblDisponibilidad[],15,FALSE), 0)</f>
        <v>0</v>
      </c>
      <c r="L775">
        <f>IFERROR(VLOOKUP(Tabla1[[#This Row],[SISMED]],TblDisponibilidad[],16,FALSE), 0)</f>
        <v>0</v>
      </c>
      <c r="M775">
        <f>IFERROR(VLOOKUP(Tabla1[[#This Row],[SISMED]],TblDisponibilidad[],17,FALSE), 0)</f>
        <v>0</v>
      </c>
      <c r="N775">
        <f>IFERROR(VLOOKUP(Tabla1[[#This Row],[SISMED]],TblDisponibilidad[],18,FALSE), 0)</f>
        <v>0</v>
      </c>
      <c r="O775">
        <f>IFERROR(VLOOKUP(Tabla1[[#This Row],[SISMED]],TblDisponibilidad[],19,FALSE), 0)</f>
        <v>0</v>
      </c>
      <c r="P775">
        <f>IFERROR(VLOOKUP(Tabla1[[#This Row],[SISMED]],TblDisponibilidad[],20,FALSE), 0)</f>
        <v>0</v>
      </c>
      <c r="Q775">
        <f>IFERROR(VLOOKUP(Tabla1[[#This Row],[SISMED]],TblDisponibilidad[],21,FALSE), 0)</f>
        <v>0</v>
      </c>
      <c r="R775">
        <f>IFERROR(VLOOKUP(Tabla1[[#This Row],[SISMED]],TblDisponibilidad[],22,FALSE), 0)</f>
        <v>0</v>
      </c>
      <c r="S775" s="15">
        <f>IFERROR(VLOOKUP(Tabla1[[#This Row],[SISMED]],TblDisponibilidad[],23,FALSE), 0)</f>
        <v>0</v>
      </c>
    </row>
    <row r="776" spans="1:19" x14ac:dyDescent="0.3">
      <c r="A776" s="15" t="s">
        <v>806</v>
      </c>
      <c r="B776" t="str">
        <f>IFERROR(VLOOKUP(Tabla1[[#This Row],[SISMED]],TblDisponibilidad[],2,FALSE), "")</f>
        <v/>
      </c>
      <c r="C776">
        <f>IFERROR(VLOOKUP(Tabla1[[#This Row],[SISMED]],TblDisponibilidad[],7,FALSE), 0)</f>
        <v>0</v>
      </c>
      <c r="D776">
        <f>IFERROR(VLOOKUP(Tabla1[[#This Row],[SISMED]],TblDisponibilidad[],8,FALSE), 0)</f>
        <v>0</v>
      </c>
      <c r="E776">
        <f>IFERROR(VLOOKUP(Tabla1[[#This Row],[SISMED]],TblDisponibilidad[],9,FALSE), 0)</f>
        <v>0</v>
      </c>
      <c r="F776">
        <f>IFERROR(VLOOKUP(Tabla1[[#This Row],[SISMED]],TblDisponibilidad[],10,FALSE), 0)</f>
        <v>0</v>
      </c>
      <c r="G776">
        <f>IFERROR(VLOOKUP(Tabla1[[#This Row],[SISMED]],TblDisponibilidad[],11,FALSE), 0)</f>
        <v>0</v>
      </c>
      <c r="H776">
        <f>IFERROR(VLOOKUP(Tabla1[[#This Row],[SISMED]],TblDisponibilidad[],12,FALSE), 0)</f>
        <v>0</v>
      </c>
      <c r="I776">
        <f>IFERROR(VLOOKUP(Tabla1[[#This Row],[SISMED]],TblDisponibilidad[],13,FALSE), 0)</f>
        <v>0</v>
      </c>
      <c r="J776">
        <f>IFERROR(VLOOKUP(Tabla1[[#This Row],[SISMED]],TblDisponibilidad[],14,FALSE), 0)</f>
        <v>0</v>
      </c>
      <c r="K776">
        <f>IFERROR(VLOOKUP(Tabla1[[#This Row],[SISMED]],TblDisponibilidad[],15,FALSE), 0)</f>
        <v>0</v>
      </c>
      <c r="L776">
        <f>IFERROR(VLOOKUP(Tabla1[[#This Row],[SISMED]],TblDisponibilidad[],16,FALSE), 0)</f>
        <v>0</v>
      </c>
      <c r="M776">
        <f>IFERROR(VLOOKUP(Tabla1[[#This Row],[SISMED]],TblDisponibilidad[],17,FALSE), 0)</f>
        <v>0</v>
      </c>
      <c r="N776">
        <f>IFERROR(VLOOKUP(Tabla1[[#This Row],[SISMED]],TblDisponibilidad[],18,FALSE), 0)</f>
        <v>0</v>
      </c>
      <c r="O776">
        <f>IFERROR(VLOOKUP(Tabla1[[#This Row],[SISMED]],TblDisponibilidad[],19,FALSE), 0)</f>
        <v>0</v>
      </c>
      <c r="P776">
        <f>IFERROR(VLOOKUP(Tabla1[[#This Row],[SISMED]],TblDisponibilidad[],20,FALSE), 0)</f>
        <v>0</v>
      </c>
      <c r="Q776">
        <f>IFERROR(VLOOKUP(Tabla1[[#This Row],[SISMED]],TblDisponibilidad[],21,FALSE), 0)</f>
        <v>0</v>
      </c>
      <c r="R776">
        <f>IFERROR(VLOOKUP(Tabla1[[#This Row],[SISMED]],TblDisponibilidad[],22,FALSE), 0)</f>
        <v>0</v>
      </c>
      <c r="S776" s="15">
        <f>IFERROR(VLOOKUP(Tabla1[[#This Row],[SISMED]],TblDisponibilidad[],23,FALSE), 0)</f>
        <v>0</v>
      </c>
    </row>
    <row r="777" spans="1:19" x14ac:dyDescent="0.3">
      <c r="A777" s="15" t="s">
        <v>807</v>
      </c>
      <c r="B777" t="str">
        <f>IFERROR(VLOOKUP(Tabla1[[#This Row],[SISMED]],TblDisponibilidad[],2,FALSE), "")</f>
        <v/>
      </c>
      <c r="C777">
        <f>IFERROR(VLOOKUP(Tabla1[[#This Row],[SISMED]],TblDisponibilidad[],7,FALSE), 0)</f>
        <v>0</v>
      </c>
      <c r="D777">
        <f>IFERROR(VLOOKUP(Tabla1[[#This Row],[SISMED]],TblDisponibilidad[],8,FALSE), 0)</f>
        <v>0</v>
      </c>
      <c r="E777">
        <f>IFERROR(VLOOKUP(Tabla1[[#This Row],[SISMED]],TblDisponibilidad[],9,FALSE), 0)</f>
        <v>0</v>
      </c>
      <c r="F777">
        <f>IFERROR(VLOOKUP(Tabla1[[#This Row],[SISMED]],TblDisponibilidad[],10,FALSE), 0)</f>
        <v>0</v>
      </c>
      <c r="G777">
        <f>IFERROR(VLOOKUP(Tabla1[[#This Row],[SISMED]],TblDisponibilidad[],11,FALSE), 0)</f>
        <v>0</v>
      </c>
      <c r="H777">
        <f>IFERROR(VLOOKUP(Tabla1[[#This Row],[SISMED]],TblDisponibilidad[],12,FALSE), 0)</f>
        <v>0</v>
      </c>
      <c r="I777">
        <f>IFERROR(VLOOKUP(Tabla1[[#This Row],[SISMED]],TblDisponibilidad[],13,FALSE), 0)</f>
        <v>0</v>
      </c>
      <c r="J777">
        <f>IFERROR(VLOOKUP(Tabla1[[#This Row],[SISMED]],TblDisponibilidad[],14,FALSE), 0)</f>
        <v>0</v>
      </c>
      <c r="K777">
        <f>IFERROR(VLOOKUP(Tabla1[[#This Row],[SISMED]],TblDisponibilidad[],15,FALSE), 0)</f>
        <v>0</v>
      </c>
      <c r="L777">
        <f>IFERROR(VLOOKUP(Tabla1[[#This Row],[SISMED]],TblDisponibilidad[],16,FALSE), 0)</f>
        <v>0</v>
      </c>
      <c r="M777">
        <f>IFERROR(VLOOKUP(Tabla1[[#This Row],[SISMED]],TblDisponibilidad[],17,FALSE), 0)</f>
        <v>0</v>
      </c>
      <c r="N777">
        <f>IFERROR(VLOOKUP(Tabla1[[#This Row],[SISMED]],TblDisponibilidad[],18,FALSE), 0)</f>
        <v>0</v>
      </c>
      <c r="O777">
        <f>IFERROR(VLOOKUP(Tabla1[[#This Row],[SISMED]],TblDisponibilidad[],19,FALSE), 0)</f>
        <v>0</v>
      </c>
      <c r="P777">
        <f>IFERROR(VLOOKUP(Tabla1[[#This Row],[SISMED]],TblDisponibilidad[],20,FALSE), 0)</f>
        <v>0</v>
      </c>
      <c r="Q777">
        <f>IFERROR(VLOOKUP(Tabla1[[#This Row],[SISMED]],TblDisponibilidad[],21,FALSE), 0)</f>
        <v>0</v>
      </c>
      <c r="R777">
        <f>IFERROR(VLOOKUP(Tabla1[[#This Row],[SISMED]],TblDisponibilidad[],22,FALSE), 0)</f>
        <v>0</v>
      </c>
      <c r="S777" s="15">
        <f>IFERROR(VLOOKUP(Tabla1[[#This Row],[SISMED]],TblDisponibilidad[],23,FALSE), 0)</f>
        <v>0</v>
      </c>
    </row>
    <row r="778" spans="1:19" x14ac:dyDescent="0.3">
      <c r="A778" s="15" t="s">
        <v>808</v>
      </c>
      <c r="B778" t="str">
        <f>IFERROR(VLOOKUP(Tabla1[[#This Row],[SISMED]],TblDisponibilidad[],2,FALSE), "")</f>
        <v/>
      </c>
      <c r="C778">
        <f>IFERROR(VLOOKUP(Tabla1[[#This Row],[SISMED]],TblDisponibilidad[],7,FALSE), 0)</f>
        <v>0</v>
      </c>
      <c r="D778">
        <f>IFERROR(VLOOKUP(Tabla1[[#This Row],[SISMED]],TblDisponibilidad[],8,FALSE), 0)</f>
        <v>0</v>
      </c>
      <c r="E778">
        <f>IFERROR(VLOOKUP(Tabla1[[#This Row],[SISMED]],TblDisponibilidad[],9,FALSE), 0)</f>
        <v>0</v>
      </c>
      <c r="F778">
        <f>IFERROR(VLOOKUP(Tabla1[[#This Row],[SISMED]],TblDisponibilidad[],10,FALSE), 0)</f>
        <v>0</v>
      </c>
      <c r="G778">
        <f>IFERROR(VLOOKUP(Tabla1[[#This Row],[SISMED]],TblDisponibilidad[],11,FALSE), 0)</f>
        <v>0</v>
      </c>
      <c r="H778">
        <f>IFERROR(VLOOKUP(Tabla1[[#This Row],[SISMED]],TblDisponibilidad[],12,FALSE), 0)</f>
        <v>0</v>
      </c>
      <c r="I778">
        <f>IFERROR(VLOOKUP(Tabla1[[#This Row],[SISMED]],TblDisponibilidad[],13,FALSE), 0)</f>
        <v>0</v>
      </c>
      <c r="J778">
        <f>IFERROR(VLOOKUP(Tabla1[[#This Row],[SISMED]],TblDisponibilidad[],14,FALSE), 0)</f>
        <v>0</v>
      </c>
      <c r="K778">
        <f>IFERROR(VLOOKUP(Tabla1[[#This Row],[SISMED]],TblDisponibilidad[],15,FALSE), 0)</f>
        <v>0</v>
      </c>
      <c r="L778">
        <f>IFERROR(VLOOKUP(Tabla1[[#This Row],[SISMED]],TblDisponibilidad[],16,FALSE), 0)</f>
        <v>0</v>
      </c>
      <c r="M778">
        <f>IFERROR(VLOOKUP(Tabla1[[#This Row],[SISMED]],TblDisponibilidad[],17,FALSE), 0)</f>
        <v>0</v>
      </c>
      <c r="N778">
        <f>IFERROR(VLOOKUP(Tabla1[[#This Row],[SISMED]],TblDisponibilidad[],18,FALSE), 0)</f>
        <v>0</v>
      </c>
      <c r="O778">
        <f>IFERROR(VLOOKUP(Tabla1[[#This Row],[SISMED]],TblDisponibilidad[],19,FALSE), 0)</f>
        <v>0</v>
      </c>
      <c r="P778">
        <f>IFERROR(VLOOKUP(Tabla1[[#This Row],[SISMED]],TblDisponibilidad[],20,FALSE), 0)</f>
        <v>0</v>
      </c>
      <c r="Q778">
        <f>IFERROR(VLOOKUP(Tabla1[[#This Row],[SISMED]],TblDisponibilidad[],21,FALSE), 0)</f>
        <v>0</v>
      </c>
      <c r="R778">
        <f>IFERROR(VLOOKUP(Tabla1[[#This Row],[SISMED]],TblDisponibilidad[],22,FALSE), 0)</f>
        <v>0</v>
      </c>
      <c r="S778" s="15">
        <f>IFERROR(VLOOKUP(Tabla1[[#This Row],[SISMED]],TblDisponibilidad[],23,FALSE), 0)</f>
        <v>0</v>
      </c>
    </row>
    <row r="779" spans="1:19" x14ac:dyDescent="0.3">
      <c r="A779" s="15" t="s">
        <v>809</v>
      </c>
      <c r="B779" t="str">
        <f>IFERROR(VLOOKUP(Tabla1[[#This Row],[SISMED]],TblDisponibilidad[],2,FALSE), "")</f>
        <v/>
      </c>
      <c r="C779">
        <f>IFERROR(VLOOKUP(Tabla1[[#This Row],[SISMED]],TblDisponibilidad[],7,FALSE), 0)</f>
        <v>0</v>
      </c>
      <c r="D779">
        <f>IFERROR(VLOOKUP(Tabla1[[#This Row],[SISMED]],TblDisponibilidad[],8,FALSE), 0)</f>
        <v>0</v>
      </c>
      <c r="E779">
        <f>IFERROR(VLOOKUP(Tabla1[[#This Row],[SISMED]],TblDisponibilidad[],9,FALSE), 0)</f>
        <v>0</v>
      </c>
      <c r="F779">
        <f>IFERROR(VLOOKUP(Tabla1[[#This Row],[SISMED]],TblDisponibilidad[],10,FALSE), 0)</f>
        <v>0</v>
      </c>
      <c r="G779">
        <f>IFERROR(VLOOKUP(Tabla1[[#This Row],[SISMED]],TblDisponibilidad[],11,FALSE), 0)</f>
        <v>0</v>
      </c>
      <c r="H779">
        <f>IFERROR(VLOOKUP(Tabla1[[#This Row],[SISMED]],TblDisponibilidad[],12,FALSE), 0)</f>
        <v>0</v>
      </c>
      <c r="I779">
        <f>IFERROR(VLOOKUP(Tabla1[[#This Row],[SISMED]],TblDisponibilidad[],13,FALSE), 0)</f>
        <v>0</v>
      </c>
      <c r="J779">
        <f>IFERROR(VLOOKUP(Tabla1[[#This Row],[SISMED]],TblDisponibilidad[],14,FALSE), 0)</f>
        <v>0</v>
      </c>
      <c r="K779">
        <f>IFERROR(VLOOKUP(Tabla1[[#This Row],[SISMED]],TblDisponibilidad[],15,FALSE), 0)</f>
        <v>0</v>
      </c>
      <c r="L779">
        <f>IFERROR(VLOOKUP(Tabla1[[#This Row],[SISMED]],TblDisponibilidad[],16,FALSE), 0)</f>
        <v>0</v>
      </c>
      <c r="M779">
        <f>IFERROR(VLOOKUP(Tabla1[[#This Row],[SISMED]],TblDisponibilidad[],17,FALSE), 0)</f>
        <v>0</v>
      </c>
      <c r="N779">
        <f>IFERROR(VLOOKUP(Tabla1[[#This Row],[SISMED]],TblDisponibilidad[],18,FALSE), 0)</f>
        <v>0</v>
      </c>
      <c r="O779">
        <f>IFERROR(VLOOKUP(Tabla1[[#This Row],[SISMED]],TblDisponibilidad[],19,FALSE), 0)</f>
        <v>0</v>
      </c>
      <c r="P779">
        <f>IFERROR(VLOOKUP(Tabla1[[#This Row],[SISMED]],TblDisponibilidad[],20,FALSE), 0)</f>
        <v>0</v>
      </c>
      <c r="Q779">
        <f>IFERROR(VLOOKUP(Tabla1[[#This Row],[SISMED]],TblDisponibilidad[],21,FALSE), 0)</f>
        <v>0</v>
      </c>
      <c r="R779">
        <f>IFERROR(VLOOKUP(Tabla1[[#This Row],[SISMED]],TblDisponibilidad[],22,FALSE), 0)</f>
        <v>0</v>
      </c>
      <c r="S779" s="15">
        <f>IFERROR(VLOOKUP(Tabla1[[#This Row],[SISMED]],TblDisponibilidad[],23,FALSE), 0)</f>
        <v>0</v>
      </c>
    </row>
    <row r="780" spans="1:19" x14ac:dyDescent="0.3">
      <c r="A780" s="15" t="s">
        <v>810</v>
      </c>
      <c r="B780" t="str">
        <f>IFERROR(VLOOKUP(Tabla1[[#This Row],[SISMED]],TblDisponibilidad[],2,FALSE), "")</f>
        <v/>
      </c>
      <c r="C780">
        <f>IFERROR(VLOOKUP(Tabla1[[#This Row],[SISMED]],TblDisponibilidad[],7,FALSE), 0)</f>
        <v>0</v>
      </c>
      <c r="D780">
        <f>IFERROR(VLOOKUP(Tabla1[[#This Row],[SISMED]],TblDisponibilidad[],8,FALSE), 0)</f>
        <v>0</v>
      </c>
      <c r="E780">
        <f>IFERROR(VLOOKUP(Tabla1[[#This Row],[SISMED]],TblDisponibilidad[],9,FALSE), 0)</f>
        <v>0</v>
      </c>
      <c r="F780">
        <f>IFERROR(VLOOKUP(Tabla1[[#This Row],[SISMED]],TblDisponibilidad[],10,FALSE), 0)</f>
        <v>0</v>
      </c>
      <c r="G780">
        <f>IFERROR(VLOOKUP(Tabla1[[#This Row],[SISMED]],TblDisponibilidad[],11,FALSE), 0)</f>
        <v>0</v>
      </c>
      <c r="H780">
        <f>IFERROR(VLOOKUP(Tabla1[[#This Row],[SISMED]],TblDisponibilidad[],12,FALSE), 0)</f>
        <v>0</v>
      </c>
      <c r="I780">
        <f>IFERROR(VLOOKUP(Tabla1[[#This Row],[SISMED]],TblDisponibilidad[],13,FALSE), 0)</f>
        <v>0</v>
      </c>
      <c r="J780">
        <f>IFERROR(VLOOKUP(Tabla1[[#This Row],[SISMED]],TblDisponibilidad[],14,FALSE), 0)</f>
        <v>0</v>
      </c>
      <c r="K780">
        <f>IFERROR(VLOOKUP(Tabla1[[#This Row],[SISMED]],TblDisponibilidad[],15,FALSE), 0)</f>
        <v>0</v>
      </c>
      <c r="L780">
        <f>IFERROR(VLOOKUP(Tabla1[[#This Row],[SISMED]],TblDisponibilidad[],16,FALSE), 0)</f>
        <v>0</v>
      </c>
      <c r="M780">
        <f>IFERROR(VLOOKUP(Tabla1[[#This Row],[SISMED]],TblDisponibilidad[],17,FALSE), 0)</f>
        <v>0</v>
      </c>
      <c r="N780">
        <f>IFERROR(VLOOKUP(Tabla1[[#This Row],[SISMED]],TblDisponibilidad[],18,FALSE), 0)</f>
        <v>0</v>
      </c>
      <c r="O780">
        <f>IFERROR(VLOOKUP(Tabla1[[#This Row],[SISMED]],TblDisponibilidad[],19,FALSE), 0)</f>
        <v>0</v>
      </c>
      <c r="P780">
        <f>IFERROR(VLOOKUP(Tabla1[[#This Row],[SISMED]],TblDisponibilidad[],20,FALSE), 0)</f>
        <v>0</v>
      </c>
      <c r="Q780">
        <f>IFERROR(VLOOKUP(Tabla1[[#This Row],[SISMED]],TblDisponibilidad[],21,FALSE), 0)</f>
        <v>0</v>
      </c>
      <c r="R780">
        <f>IFERROR(VLOOKUP(Tabla1[[#This Row],[SISMED]],TblDisponibilidad[],22,FALSE), 0)</f>
        <v>0</v>
      </c>
      <c r="S780" s="15">
        <f>IFERROR(VLOOKUP(Tabla1[[#This Row],[SISMED]],TblDisponibilidad[],23,FALSE), 0)</f>
        <v>0</v>
      </c>
    </row>
    <row r="781" spans="1:19" x14ac:dyDescent="0.3">
      <c r="A781" s="15" t="s">
        <v>811</v>
      </c>
      <c r="B781" t="str">
        <f>IFERROR(VLOOKUP(Tabla1[[#This Row],[SISMED]],TblDisponibilidad[],2,FALSE), "")</f>
        <v/>
      </c>
      <c r="C781">
        <f>IFERROR(VLOOKUP(Tabla1[[#This Row],[SISMED]],TblDisponibilidad[],7,FALSE), 0)</f>
        <v>0</v>
      </c>
      <c r="D781">
        <f>IFERROR(VLOOKUP(Tabla1[[#This Row],[SISMED]],TblDisponibilidad[],8,FALSE), 0)</f>
        <v>0</v>
      </c>
      <c r="E781">
        <f>IFERROR(VLOOKUP(Tabla1[[#This Row],[SISMED]],TblDisponibilidad[],9,FALSE), 0)</f>
        <v>0</v>
      </c>
      <c r="F781">
        <f>IFERROR(VLOOKUP(Tabla1[[#This Row],[SISMED]],TblDisponibilidad[],10,FALSE), 0)</f>
        <v>0</v>
      </c>
      <c r="G781">
        <f>IFERROR(VLOOKUP(Tabla1[[#This Row],[SISMED]],TblDisponibilidad[],11,FALSE), 0)</f>
        <v>0</v>
      </c>
      <c r="H781">
        <f>IFERROR(VLOOKUP(Tabla1[[#This Row],[SISMED]],TblDisponibilidad[],12,FALSE), 0)</f>
        <v>0</v>
      </c>
      <c r="I781">
        <f>IFERROR(VLOOKUP(Tabla1[[#This Row],[SISMED]],TblDisponibilidad[],13,FALSE), 0)</f>
        <v>0</v>
      </c>
      <c r="J781">
        <f>IFERROR(VLOOKUP(Tabla1[[#This Row],[SISMED]],TblDisponibilidad[],14,FALSE), 0)</f>
        <v>0</v>
      </c>
      <c r="K781">
        <f>IFERROR(VLOOKUP(Tabla1[[#This Row],[SISMED]],TblDisponibilidad[],15,FALSE), 0)</f>
        <v>0</v>
      </c>
      <c r="L781">
        <f>IFERROR(VLOOKUP(Tabla1[[#This Row],[SISMED]],TblDisponibilidad[],16,FALSE), 0)</f>
        <v>0</v>
      </c>
      <c r="M781">
        <f>IFERROR(VLOOKUP(Tabla1[[#This Row],[SISMED]],TblDisponibilidad[],17,FALSE), 0)</f>
        <v>0</v>
      </c>
      <c r="N781">
        <f>IFERROR(VLOOKUP(Tabla1[[#This Row],[SISMED]],TblDisponibilidad[],18,FALSE), 0)</f>
        <v>0</v>
      </c>
      <c r="O781">
        <f>IFERROR(VLOOKUP(Tabla1[[#This Row],[SISMED]],TblDisponibilidad[],19,FALSE), 0)</f>
        <v>0</v>
      </c>
      <c r="P781">
        <f>IFERROR(VLOOKUP(Tabla1[[#This Row],[SISMED]],TblDisponibilidad[],20,FALSE), 0)</f>
        <v>0</v>
      </c>
      <c r="Q781">
        <f>IFERROR(VLOOKUP(Tabla1[[#This Row],[SISMED]],TblDisponibilidad[],21,FALSE), 0)</f>
        <v>0</v>
      </c>
      <c r="R781">
        <f>IFERROR(VLOOKUP(Tabla1[[#This Row],[SISMED]],TblDisponibilidad[],22,FALSE), 0)</f>
        <v>0</v>
      </c>
      <c r="S781" s="15">
        <f>IFERROR(VLOOKUP(Tabla1[[#This Row],[SISMED]],TblDisponibilidad[],23,FALSE), 0)</f>
        <v>0</v>
      </c>
    </row>
    <row r="782" spans="1:19" x14ac:dyDescent="0.3">
      <c r="A782" s="15" t="s">
        <v>812</v>
      </c>
      <c r="B782" t="str">
        <f>IFERROR(VLOOKUP(Tabla1[[#This Row],[SISMED]],TblDisponibilidad[],2,FALSE), "")</f>
        <v/>
      </c>
      <c r="C782">
        <f>IFERROR(VLOOKUP(Tabla1[[#This Row],[SISMED]],TblDisponibilidad[],7,FALSE), 0)</f>
        <v>0</v>
      </c>
      <c r="D782">
        <f>IFERROR(VLOOKUP(Tabla1[[#This Row],[SISMED]],TblDisponibilidad[],8,FALSE), 0)</f>
        <v>0</v>
      </c>
      <c r="E782">
        <f>IFERROR(VLOOKUP(Tabla1[[#This Row],[SISMED]],TblDisponibilidad[],9,FALSE), 0)</f>
        <v>0</v>
      </c>
      <c r="F782">
        <f>IFERROR(VLOOKUP(Tabla1[[#This Row],[SISMED]],TblDisponibilidad[],10,FALSE), 0)</f>
        <v>0</v>
      </c>
      <c r="G782">
        <f>IFERROR(VLOOKUP(Tabla1[[#This Row],[SISMED]],TblDisponibilidad[],11,FALSE), 0)</f>
        <v>0</v>
      </c>
      <c r="H782">
        <f>IFERROR(VLOOKUP(Tabla1[[#This Row],[SISMED]],TblDisponibilidad[],12,FALSE), 0)</f>
        <v>0</v>
      </c>
      <c r="I782">
        <f>IFERROR(VLOOKUP(Tabla1[[#This Row],[SISMED]],TblDisponibilidad[],13,FALSE), 0)</f>
        <v>0</v>
      </c>
      <c r="J782">
        <f>IFERROR(VLOOKUP(Tabla1[[#This Row],[SISMED]],TblDisponibilidad[],14,FALSE), 0)</f>
        <v>0</v>
      </c>
      <c r="K782">
        <f>IFERROR(VLOOKUP(Tabla1[[#This Row],[SISMED]],TblDisponibilidad[],15,FALSE), 0)</f>
        <v>0</v>
      </c>
      <c r="L782">
        <f>IFERROR(VLOOKUP(Tabla1[[#This Row],[SISMED]],TblDisponibilidad[],16,FALSE), 0)</f>
        <v>0</v>
      </c>
      <c r="M782">
        <f>IFERROR(VLOOKUP(Tabla1[[#This Row],[SISMED]],TblDisponibilidad[],17,FALSE), 0)</f>
        <v>0</v>
      </c>
      <c r="N782">
        <f>IFERROR(VLOOKUP(Tabla1[[#This Row],[SISMED]],TblDisponibilidad[],18,FALSE), 0)</f>
        <v>0</v>
      </c>
      <c r="O782">
        <f>IFERROR(VLOOKUP(Tabla1[[#This Row],[SISMED]],TblDisponibilidad[],19,FALSE), 0)</f>
        <v>0</v>
      </c>
      <c r="P782">
        <f>IFERROR(VLOOKUP(Tabla1[[#This Row],[SISMED]],TblDisponibilidad[],20,FALSE), 0)</f>
        <v>0</v>
      </c>
      <c r="Q782">
        <f>IFERROR(VLOOKUP(Tabla1[[#This Row],[SISMED]],TblDisponibilidad[],21,FALSE), 0)</f>
        <v>0</v>
      </c>
      <c r="R782">
        <f>IFERROR(VLOOKUP(Tabla1[[#This Row],[SISMED]],TblDisponibilidad[],22,FALSE), 0)</f>
        <v>0</v>
      </c>
      <c r="S782" s="15">
        <f>IFERROR(VLOOKUP(Tabla1[[#This Row],[SISMED]],TblDisponibilidad[],23,FALSE), 0)</f>
        <v>0</v>
      </c>
    </row>
    <row r="783" spans="1:19" x14ac:dyDescent="0.3">
      <c r="A783" s="15" t="s">
        <v>813</v>
      </c>
      <c r="B783" t="str">
        <f>IFERROR(VLOOKUP(Tabla1[[#This Row],[SISMED]],TblDisponibilidad[],2,FALSE), "")</f>
        <v/>
      </c>
      <c r="C783">
        <f>IFERROR(VLOOKUP(Tabla1[[#This Row],[SISMED]],TblDisponibilidad[],7,FALSE), 0)</f>
        <v>0</v>
      </c>
      <c r="D783">
        <f>IFERROR(VLOOKUP(Tabla1[[#This Row],[SISMED]],TblDisponibilidad[],8,FALSE), 0)</f>
        <v>0</v>
      </c>
      <c r="E783">
        <f>IFERROR(VLOOKUP(Tabla1[[#This Row],[SISMED]],TblDisponibilidad[],9,FALSE), 0)</f>
        <v>0</v>
      </c>
      <c r="F783">
        <f>IFERROR(VLOOKUP(Tabla1[[#This Row],[SISMED]],TblDisponibilidad[],10,FALSE), 0)</f>
        <v>0</v>
      </c>
      <c r="G783">
        <f>IFERROR(VLOOKUP(Tabla1[[#This Row],[SISMED]],TblDisponibilidad[],11,FALSE), 0)</f>
        <v>0</v>
      </c>
      <c r="H783">
        <f>IFERROR(VLOOKUP(Tabla1[[#This Row],[SISMED]],TblDisponibilidad[],12,FALSE), 0)</f>
        <v>0</v>
      </c>
      <c r="I783">
        <f>IFERROR(VLOOKUP(Tabla1[[#This Row],[SISMED]],TblDisponibilidad[],13,FALSE), 0)</f>
        <v>0</v>
      </c>
      <c r="J783">
        <f>IFERROR(VLOOKUP(Tabla1[[#This Row],[SISMED]],TblDisponibilidad[],14,FALSE), 0)</f>
        <v>0</v>
      </c>
      <c r="K783">
        <f>IFERROR(VLOOKUP(Tabla1[[#This Row],[SISMED]],TblDisponibilidad[],15,FALSE), 0)</f>
        <v>0</v>
      </c>
      <c r="L783">
        <f>IFERROR(VLOOKUP(Tabla1[[#This Row],[SISMED]],TblDisponibilidad[],16,FALSE), 0)</f>
        <v>0</v>
      </c>
      <c r="M783">
        <f>IFERROR(VLOOKUP(Tabla1[[#This Row],[SISMED]],TblDisponibilidad[],17,FALSE), 0)</f>
        <v>0</v>
      </c>
      <c r="N783">
        <f>IFERROR(VLOOKUP(Tabla1[[#This Row],[SISMED]],TblDisponibilidad[],18,FALSE), 0)</f>
        <v>0</v>
      </c>
      <c r="O783">
        <f>IFERROR(VLOOKUP(Tabla1[[#This Row],[SISMED]],TblDisponibilidad[],19,FALSE), 0)</f>
        <v>0</v>
      </c>
      <c r="P783">
        <f>IFERROR(VLOOKUP(Tabla1[[#This Row],[SISMED]],TblDisponibilidad[],20,FALSE), 0)</f>
        <v>0</v>
      </c>
      <c r="Q783">
        <f>IFERROR(VLOOKUP(Tabla1[[#This Row],[SISMED]],TblDisponibilidad[],21,FALSE), 0)</f>
        <v>0</v>
      </c>
      <c r="R783">
        <f>IFERROR(VLOOKUP(Tabla1[[#This Row],[SISMED]],TblDisponibilidad[],22,FALSE), 0)</f>
        <v>0</v>
      </c>
      <c r="S783" s="15">
        <f>IFERROR(VLOOKUP(Tabla1[[#This Row],[SISMED]],TblDisponibilidad[],23,FALSE), 0)</f>
        <v>0</v>
      </c>
    </row>
    <row r="784" spans="1:19" x14ac:dyDescent="0.3">
      <c r="A784" s="15" t="s">
        <v>814</v>
      </c>
      <c r="B784" t="str">
        <f>IFERROR(VLOOKUP(Tabla1[[#This Row],[SISMED]],TblDisponibilidad[],2,FALSE), "")</f>
        <v/>
      </c>
      <c r="C784">
        <f>IFERROR(VLOOKUP(Tabla1[[#This Row],[SISMED]],TblDisponibilidad[],7,FALSE), 0)</f>
        <v>0</v>
      </c>
      <c r="D784">
        <f>IFERROR(VLOOKUP(Tabla1[[#This Row],[SISMED]],TblDisponibilidad[],8,FALSE), 0)</f>
        <v>0</v>
      </c>
      <c r="E784">
        <f>IFERROR(VLOOKUP(Tabla1[[#This Row],[SISMED]],TblDisponibilidad[],9,FALSE), 0)</f>
        <v>0</v>
      </c>
      <c r="F784">
        <f>IFERROR(VLOOKUP(Tabla1[[#This Row],[SISMED]],TblDisponibilidad[],10,FALSE), 0)</f>
        <v>0</v>
      </c>
      <c r="G784">
        <f>IFERROR(VLOOKUP(Tabla1[[#This Row],[SISMED]],TblDisponibilidad[],11,FALSE), 0)</f>
        <v>0</v>
      </c>
      <c r="H784">
        <f>IFERROR(VLOOKUP(Tabla1[[#This Row],[SISMED]],TblDisponibilidad[],12,FALSE), 0)</f>
        <v>0</v>
      </c>
      <c r="I784">
        <f>IFERROR(VLOOKUP(Tabla1[[#This Row],[SISMED]],TblDisponibilidad[],13,FALSE), 0)</f>
        <v>0</v>
      </c>
      <c r="J784">
        <f>IFERROR(VLOOKUP(Tabla1[[#This Row],[SISMED]],TblDisponibilidad[],14,FALSE), 0)</f>
        <v>0</v>
      </c>
      <c r="K784">
        <f>IFERROR(VLOOKUP(Tabla1[[#This Row],[SISMED]],TblDisponibilidad[],15,FALSE), 0)</f>
        <v>0</v>
      </c>
      <c r="L784">
        <f>IFERROR(VLOOKUP(Tabla1[[#This Row],[SISMED]],TblDisponibilidad[],16,FALSE), 0)</f>
        <v>0</v>
      </c>
      <c r="M784">
        <f>IFERROR(VLOOKUP(Tabla1[[#This Row],[SISMED]],TblDisponibilidad[],17,FALSE), 0)</f>
        <v>0</v>
      </c>
      <c r="N784">
        <f>IFERROR(VLOOKUP(Tabla1[[#This Row],[SISMED]],TblDisponibilidad[],18,FALSE), 0)</f>
        <v>0</v>
      </c>
      <c r="O784">
        <f>IFERROR(VLOOKUP(Tabla1[[#This Row],[SISMED]],TblDisponibilidad[],19,FALSE), 0)</f>
        <v>0</v>
      </c>
      <c r="P784">
        <f>IFERROR(VLOOKUP(Tabla1[[#This Row],[SISMED]],TblDisponibilidad[],20,FALSE), 0)</f>
        <v>0</v>
      </c>
      <c r="Q784">
        <f>IFERROR(VLOOKUP(Tabla1[[#This Row],[SISMED]],TblDisponibilidad[],21,FALSE), 0)</f>
        <v>0</v>
      </c>
      <c r="R784">
        <f>IFERROR(VLOOKUP(Tabla1[[#This Row],[SISMED]],TblDisponibilidad[],22,FALSE), 0)</f>
        <v>0</v>
      </c>
      <c r="S784" s="15">
        <f>IFERROR(VLOOKUP(Tabla1[[#This Row],[SISMED]],TblDisponibilidad[],23,FALSE), 0)</f>
        <v>0</v>
      </c>
    </row>
    <row r="785" spans="1:19" x14ac:dyDescent="0.3">
      <c r="A785" s="15" t="s">
        <v>815</v>
      </c>
      <c r="B785" t="str">
        <f>IFERROR(VLOOKUP(Tabla1[[#This Row],[SISMED]],TblDisponibilidad[],2,FALSE), "")</f>
        <v/>
      </c>
      <c r="C785">
        <f>IFERROR(VLOOKUP(Tabla1[[#This Row],[SISMED]],TblDisponibilidad[],7,FALSE), 0)</f>
        <v>0</v>
      </c>
      <c r="D785">
        <f>IFERROR(VLOOKUP(Tabla1[[#This Row],[SISMED]],TblDisponibilidad[],8,FALSE), 0)</f>
        <v>0</v>
      </c>
      <c r="E785">
        <f>IFERROR(VLOOKUP(Tabla1[[#This Row],[SISMED]],TblDisponibilidad[],9,FALSE), 0)</f>
        <v>0</v>
      </c>
      <c r="F785">
        <f>IFERROR(VLOOKUP(Tabla1[[#This Row],[SISMED]],TblDisponibilidad[],10,FALSE), 0)</f>
        <v>0</v>
      </c>
      <c r="G785">
        <f>IFERROR(VLOOKUP(Tabla1[[#This Row],[SISMED]],TblDisponibilidad[],11,FALSE), 0)</f>
        <v>0</v>
      </c>
      <c r="H785">
        <f>IFERROR(VLOOKUP(Tabla1[[#This Row],[SISMED]],TblDisponibilidad[],12,FALSE), 0)</f>
        <v>0</v>
      </c>
      <c r="I785">
        <f>IFERROR(VLOOKUP(Tabla1[[#This Row],[SISMED]],TblDisponibilidad[],13,FALSE), 0)</f>
        <v>0</v>
      </c>
      <c r="J785">
        <f>IFERROR(VLOOKUP(Tabla1[[#This Row],[SISMED]],TblDisponibilidad[],14,FALSE), 0)</f>
        <v>0</v>
      </c>
      <c r="K785">
        <f>IFERROR(VLOOKUP(Tabla1[[#This Row],[SISMED]],TblDisponibilidad[],15,FALSE), 0)</f>
        <v>0</v>
      </c>
      <c r="L785">
        <f>IFERROR(VLOOKUP(Tabla1[[#This Row],[SISMED]],TblDisponibilidad[],16,FALSE), 0)</f>
        <v>0</v>
      </c>
      <c r="M785">
        <f>IFERROR(VLOOKUP(Tabla1[[#This Row],[SISMED]],TblDisponibilidad[],17,FALSE), 0)</f>
        <v>0</v>
      </c>
      <c r="N785">
        <f>IFERROR(VLOOKUP(Tabla1[[#This Row],[SISMED]],TblDisponibilidad[],18,FALSE), 0)</f>
        <v>0</v>
      </c>
      <c r="O785">
        <f>IFERROR(VLOOKUP(Tabla1[[#This Row],[SISMED]],TblDisponibilidad[],19,FALSE), 0)</f>
        <v>0</v>
      </c>
      <c r="P785">
        <f>IFERROR(VLOOKUP(Tabla1[[#This Row],[SISMED]],TblDisponibilidad[],20,FALSE), 0)</f>
        <v>0</v>
      </c>
      <c r="Q785">
        <f>IFERROR(VLOOKUP(Tabla1[[#This Row],[SISMED]],TblDisponibilidad[],21,FALSE), 0)</f>
        <v>0</v>
      </c>
      <c r="R785">
        <f>IFERROR(VLOOKUP(Tabla1[[#This Row],[SISMED]],TblDisponibilidad[],22,FALSE), 0)</f>
        <v>0</v>
      </c>
      <c r="S785" s="15">
        <f>IFERROR(VLOOKUP(Tabla1[[#This Row],[SISMED]],TblDisponibilidad[],23,FALSE), 0)</f>
        <v>0</v>
      </c>
    </row>
    <row r="786" spans="1:19" x14ac:dyDescent="0.3">
      <c r="A786" s="15" t="s">
        <v>816</v>
      </c>
      <c r="B786" t="str">
        <f>IFERROR(VLOOKUP(Tabla1[[#This Row],[SISMED]],TblDisponibilidad[],2,FALSE), "")</f>
        <v/>
      </c>
      <c r="C786">
        <f>IFERROR(VLOOKUP(Tabla1[[#This Row],[SISMED]],TblDisponibilidad[],7,FALSE), 0)</f>
        <v>0</v>
      </c>
      <c r="D786">
        <f>IFERROR(VLOOKUP(Tabla1[[#This Row],[SISMED]],TblDisponibilidad[],8,FALSE), 0)</f>
        <v>0</v>
      </c>
      <c r="E786">
        <f>IFERROR(VLOOKUP(Tabla1[[#This Row],[SISMED]],TblDisponibilidad[],9,FALSE), 0)</f>
        <v>0</v>
      </c>
      <c r="F786">
        <f>IFERROR(VLOOKUP(Tabla1[[#This Row],[SISMED]],TblDisponibilidad[],10,FALSE), 0)</f>
        <v>0</v>
      </c>
      <c r="G786">
        <f>IFERROR(VLOOKUP(Tabla1[[#This Row],[SISMED]],TblDisponibilidad[],11,FALSE), 0)</f>
        <v>0</v>
      </c>
      <c r="H786">
        <f>IFERROR(VLOOKUP(Tabla1[[#This Row],[SISMED]],TblDisponibilidad[],12,FALSE), 0)</f>
        <v>0</v>
      </c>
      <c r="I786">
        <f>IFERROR(VLOOKUP(Tabla1[[#This Row],[SISMED]],TblDisponibilidad[],13,FALSE), 0)</f>
        <v>0</v>
      </c>
      <c r="J786">
        <f>IFERROR(VLOOKUP(Tabla1[[#This Row],[SISMED]],TblDisponibilidad[],14,FALSE), 0)</f>
        <v>0</v>
      </c>
      <c r="K786">
        <f>IFERROR(VLOOKUP(Tabla1[[#This Row],[SISMED]],TblDisponibilidad[],15,FALSE), 0)</f>
        <v>0</v>
      </c>
      <c r="L786">
        <f>IFERROR(VLOOKUP(Tabla1[[#This Row],[SISMED]],TblDisponibilidad[],16,FALSE), 0)</f>
        <v>0</v>
      </c>
      <c r="M786">
        <f>IFERROR(VLOOKUP(Tabla1[[#This Row],[SISMED]],TblDisponibilidad[],17,FALSE), 0)</f>
        <v>0</v>
      </c>
      <c r="N786">
        <f>IFERROR(VLOOKUP(Tabla1[[#This Row],[SISMED]],TblDisponibilidad[],18,FALSE), 0)</f>
        <v>0</v>
      </c>
      <c r="O786">
        <f>IFERROR(VLOOKUP(Tabla1[[#This Row],[SISMED]],TblDisponibilidad[],19,FALSE), 0)</f>
        <v>0</v>
      </c>
      <c r="P786">
        <f>IFERROR(VLOOKUP(Tabla1[[#This Row],[SISMED]],TblDisponibilidad[],20,FALSE), 0)</f>
        <v>0</v>
      </c>
      <c r="Q786">
        <f>IFERROR(VLOOKUP(Tabla1[[#This Row],[SISMED]],TblDisponibilidad[],21,FALSE), 0)</f>
        <v>0</v>
      </c>
      <c r="R786">
        <f>IFERROR(VLOOKUP(Tabla1[[#This Row],[SISMED]],TblDisponibilidad[],22,FALSE), 0)</f>
        <v>0</v>
      </c>
      <c r="S786" s="15">
        <f>IFERROR(VLOOKUP(Tabla1[[#This Row],[SISMED]],TblDisponibilidad[],23,FALSE), 0)</f>
        <v>0</v>
      </c>
    </row>
    <row r="787" spans="1:19" x14ac:dyDescent="0.3">
      <c r="A787" s="15" t="s">
        <v>817</v>
      </c>
      <c r="B787" t="str">
        <f>IFERROR(VLOOKUP(Tabla1[[#This Row],[SISMED]],TblDisponibilidad[],2,FALSE), "")</f>
        <v/>
      </c>
      <c r="C787">
        <f>IFERROR(VLOOKUP(Tabla1[[#This Row],[SISMED]],TblDisponibilidad[],7,FALSE), 0)</f>
        <v>0</v>
      </c>
      <c r="D787">
        <f>IFERROR(VLOOKUP(Tabla1[[#This Row],[SISMED]],TblDisponibilidad[],8,FALSE), 0)</f>
        <v>0</v>
      </c>
      <c r="E787">
        <f>IFERROR(VLOOKUP(Tabla1[[#This Row],[SISMED]],TblDisponibilidad[],9,FALSE), 0)</f>
        <v>0</v>
      </c>
      <c r="F787">
        <f>IFERROR(VLOOKUP(Tabla1[[#This Row],[SISMED]],TblDisponibilidad[],10,FALSE), 0)</f>
        <v>0</v>
      </c>
      <c r="G787">
        <f>IFERROR(VLOOKUP(Tabla1[[#This Row],[SISMED]],TblDisponibilidad[],11,FALSE), 0)</f>
        <v>0</v>
      </c>
      <c r="H787">
        <f>IFERROR(VLOOKUP(Tabla1[[#This Row],[SISMED]],TblDisponibilidad[],12,FALSE), 0)</f>
        <v>0</v>
      </c>
      <c r="I787">
        <f>IFERROR(VLOOKUP(Tabla1[[#This Row],[SISMED]],TblDisponibilidad[],13,FALSE), 0)</f>
        <v>0</v>
      </c>
      <c r="J787">
        <f>IFERROR(VLOOKUP(Tabla1[[#This Row],[SISMED]],TblDisponibilidad[],14,FALSE), 0)</f>
        <v>0</v>
      </c>
      <c r="K787">
        <f>IFERROR(VLOOKUP(Tabla1[[#This Row],[SISMED]],TblDisponibilidad[],15,FALSE), 0)</f>
        <v>0</v>
      </c>
      <c r="L787">
        <f>IFERROR(VLOOKUP(Tabla1[[#This Row],[SISMED]],TblDisponibilidad[],16,FALSE), 0)</f>
        <v>0</v>
      </c>
      <c r="M787">
        <f>IFERROR(VLOOKUP(Tabla1[[#This Row],[SISMED]],TblDisponibilidad[],17,FALSE), 0)</f>
        <v>0</v>
      </c>
      <c r="N787">
        <f>IFERROR(VLOOKUP(Tabla1[[#This Row],[SISMED]],TblDisponibilidad[],18,FALSE), 0)</f>
        <v>0</v>
      </c>
      <c r="O787">
        <f>IFERROR(VLOOKUP(Tabla1[[#This Row],[SISMED]],TblDisponibilidad[],19,FALSE), 0)</f>
        <v>0</v>
      </c>
      <c r="P787">
        <f>IFERROR(VLOOKUP(Tabla1[[#This Row],[SISMED]],TblDisponibilidad[],20,FALSE), 0)</f>
        <v>0</v>
      </c>
      <c r="Q787">
        <f>IFERROR(VLOOKUP(Tabla1[[#This Row],[SISMED]],TblDisponibilidad[],21,FALSE), 0)</f>
        <v>0</v>
      </c>
      <c r="R787">
        <f>IFERROR(VLOOKUP(Tabla1[[#This Row],[SISMED]],TblDisponibilidad[],22,FALSE), 0)</f>
        <v>0</v>
      </c>
      <c r="S787" s="15">
        <f>IFERROR(VLOOKUP(Tabla1[[#This Row],[SISMED]],TblDisponibilidad[],23,FALSE), 0)</f>
        <v>0</v>
      </c>
    </row>
    <row r="788" spans="1:19" x14ac:dyDescent="0.3">
      <c r="A788" s="15" t="s">
        <v>818</v>
      </c>
      <c r="B788" t="str">
        <f>IFERROR(VLOOKUP(Tabla1[[#This Row],[SISMED]],TblDisponibilidad[],2,FALSE), "")</f>
        <v/>
      </c>
      <c r="C788">
        <f>IFERROR(VLOOKUP(Tabla1[[#This Row],[SISMED]],TblDisponibilidad[],7,FALSE), 0)</f>
        <v>0</v>
      </c>
      <c r="D788">
        <f>IFERROR(VLOOKUP(Tabla1[[#This Row],[SISMED]],TblDisponibilidad[],8,FALSE), 0)</f>
        <v>0</v>
      </c>
      <c r="E788">
        <f>IFERROR(VLOOKUP(Tabla1[[#This Row],[SISMED]],TblDisponibilidad[],9,FALSE), 0)</f>
        <v>0</v>
      </c>
      <c r="F788">
        <f>IFERROR(VLOOKUP(Tabla1[[#This Row],[SISMED]],TblDisponibilidad[],10,FALSE), 0)</f>
        <v>0</v>
      </c>
      <c r="G788">
        <f>IFERROR(VLOOKUP(Tabla1[[#This Row],[SISMED]],TblDisponibilidad[],11,FALSE), 0)</f>
        <v>0</v>
      </c>
      <c r="H788">
        <f>IFERROR(VLOOKUP(Tabla1[[#This Row],[SISMED]],TblDisponibilidad[],12,FALSE), 0)</f>
        <v>0</v>
      </c>
      <c r="I788">
        <f>IFERROR(VLOOKUP(Tabla1[[#This Row],[SISMED]],TblDisponibilidad[],13,FALSE), 0)</f>
        <v>0</v>
      </c>
      <c r="J788">
        <f>IFERROR(VLOOKUP(Tabla1[[#This Row],[SISMED]],TblDisponibilidad[],14,FALSE), 0)</f>
        <v>0</v>
      </c>
      <c r="K788">
        <f>IFERROR(VLOOKUP(Tabla1[[#This Row],[SISMED]],TblDisponibilidad[],15,FALSE), 0)</f>
        <v>0</v>
      </c>
      <c r="L788">
        <f>IFERROR(VLOOKUP(Tabla1[[#This Row],[SISMED]],TblDisponibilidad[],16,FALSE), 0)</f>
        <v>0</v>
      </c>
      <c r="M788">
        <f>IFERROR(VLOOKUP(Tabla1[[#This Row],[SISMED]],TblDisponibilidad[],17,FALSE), 0)</f>
        <v>0</v>
      </c>
      <c r="N788">
        <f>IFERROR(VLOOKUP(Tabla1[[#This Row],[SISMED]],TblDisponibilidad[],18,FALSE), 0)</f>
        <v>0</v>
      </c>
      <c r="O788">
        <f>IFERROR(VLOOKUP(Tabla1[[#This Row],[SISMED]],TblDisponibilidad[],19,FALSE), 0)</f>
        <v>0</v>
      </c>
      <c r="P788">
        <f>IFERROR(VLOOKUP(Tabla1[[#This Row],[SISMED]],TblDisponibilidad[],20,FALSE), 0)</f>
        <v>0</v>
      </c>
      <c r="Q788">
        <f>IFERROR(VLOOKUP(Tabla1[[#This Row],[SISMED]],TblDisponibilidad[],21,FALSE), 0)</f>
        <v>0</v>
      </c>
      <c r="R788">
        <f>IFERROR(VLOOKUP(Tabla1[[#This Row],[SISMED]],TblDisponibilidad[],22,FALSE), 0)</f>
        <v>0</v>
      </c>
      <c r="S788" s="15">
        <f>IFERROR(VLOOKUP(Tabla1[[#This Row],[SISMED]],TblDisponibilidad[],23,FALSE), 0)</f>
        <v>0</v>
      </c>
    </row>
    <row r="789" spans="1:19" x14ac:dyDescent="0.3">
      <c r="A789" s="15" t="s">
        <v>819</v>
      </c>
      <c r="B789" t="str">
        <f>IFERROR(VLOOKUP(Tabla1[[#This Row],[SISMED]],TblDisponibilidad[],2,FALSE), "")</f>
        <v/>
      </c>
      <c r="C789">
        <f>IFERROR(VLOOKUP(Tabla1[[#This Row],[SISMED]],TblDisponibilidad[],7,FALSE), 0)</f>
        <v>0</v>
      </c>
      <c r="D789">
        <f>IFERROR(VLOOKUP(Tabla1[[#This Row],[SISMED]],TblDisponibilidad[],8,FALSE), 0)</f>
        <v>0</v>
      </c>
      <c r="E789">
        <f>IFERROR(VLOOKUP(Tabla1[[#This Row],[SISMED]],TblDisponibilidad[],9,FALSE), 0)</f>
        <v>0</v>
      </c>
      <c r="F789">
        <f>IFERROR(VLOOKUP(Tabla1[[#This Row],[SISMED]],TblDisponibilidad[],10,FALSE), 0)</f>
        <v>0</v>
      </c>
      <c r="G789">
        <f>IFERROR(VLOOKUP(Tabla1[[#This Row],[SISMED]],TblDisponibilidad[],11,FALSE), 0)</f>
        <v>0</v>
      </c>
      <c r="H789">
        <f>IFERROR(VLOOKUP(Tabla1[[#This Row],[SISMED]],TblDisponibilidad[],12,FALSE), 0)</f>
        <v>0</v>
      </c>
      <c r="I789">
        <f>IFERROR(VLOOKUP(Tabla1[[#This Row],[SISMED]],TblDisponibilidad[],13,FALSE), 0)</f>
        <v>0</v>
      </c>
      <c r="J789">
        <f>IFERROR(VLOOKUP(Tabla1[[#This Row],[SISMED]],TblDisponibilidad[],14,FALSE), 0)</f>
        <v>0</v>
      </c>
      <c r="K789">
        <f>IFERROR(VLOOKUP(Tabla1[[#This Row],[SISMED]],TblDisponibilidad[],15,FALSE), 0)</f>
        <v>0</v>
      </c>
      <c r="L789">
        <f>IFERROR(VLOOKUP(Tabla1[[#This Row],[SISMED]],TblDisponibilidad[],16,FALSE), 0)</f>
        <v>0</v>
      </c>
      <c r="M789">
        <f>IFERROR(VLOOKUP(Tabla1[[#This Row],[SISMED]],TblDisponibilidad[],17,FALSE), 0)</f>
        <v>0</v>
      </c>
      <c r="N789">
        <f>IFERROR(VLOOKUP(Tabla1[[#This Row],[SISMED]],TblDisponibilidad[],18,FALSE), 0)</f>
        <v>0</v>
      </c>
      <c r="O789">
        <f>IFERROR(VLOOKUP(Tabla1[[#This Row],[SISMED]],TblDisponibilidad[],19,FALSE), 0)</f>
        <v>0</v>
      </c>
      <c r="P789">
        <f>IFERROR(VLOOKUP(Tabla1[[#This Row],[SISMED]],TblDisponibilidad[],20,FALSE), 0)</f>
        <v>0</v>
      </c>
      <c r="Q789">
        <f>IFERROR(VLOOKUP(Tabla1[[#This Row],[SISMED]],TblDisponibilidad[],21,FALSE), 0)</f>
        <v>0</v>
      </c>
      <c r="R789">
        <f>IFERROR(VLOOKUP(Tabla1[[#This Row],[SISMED]],TblDisponibilidad[],22,FALSE), 0)</f>
        <v>0</v>
      </c>
      <c r="S789" s="15">
        <f>IFERROR(VLOOKUP(Tabla1[[#This Row],[SISMED]],TblDisponibilidad[],23,FALSE), 0)</f>
        <v>0</v>
      </c>
    </row>
    <row r="790" spans="1:19" x14ac:dyDescent="0.3">
      <c r="A790" s="15" t="s">
        <v>820</v>
      </c>
      <c r="B790" t="str">
        <f>IFERROR(VLOOKUP(Tabla1[[#This Row],[SISMED]],TblDisponibilidad[],2,FALSE), "")</f>
        <v/>
      </c>
      <c r="C790">
        <f>IFERROR(VLOOKUP(Tabla1[[#This Row],[SISMED]],TblDisponibilidad[],7,FALSE), 0)</f>
        <v>0</v>
      </c>
      <c r="D790">
        <f>IFERROR(VLOOKUP(Tabla1[[#This Row],[SISMED]],TblDisponibilidad[],8,FALSE), 0)</f>
        <v>0</v>
      </c>
      <c r="E790">
        <f>IFERROR(VLOOKUP(Tabla1[[#This Row],[SISMED]],TblDisponibilidad[],9,FALSE), 0)</f>
        <v>0</v>
      </c>
      <c r="F790">
        <f>IFERROR(VLOOKUP(Tabla1[[#This Row],[SISMED]],TblDisponibilidad[],10,FALSE), 0)</f>
        <v>0</v>
      </c>
      <c r="G790">
        <f>IFERROR(VLOOKUP(Tabla1[[#This Row],[SISMED]],TblDisponibilidad[],11,FALSE), 0)</f>
        <v>0</v>
      </c>
      <c r="H790">
        <f>IFERROR(VLOOKUP(Tabla1[[#This Row],[SISMED]],TblDisponibilidad[],12,FALSE), 0)</f>
        <v>0</v>
      </c>
      <c r="I790">
        <f>IFERROR(VLOOKUP(Tabla1[[#This Row],[SISMED]],TblDisponibilidad[],13,FALSE), 0)</f>
        <v>0</v>
      </c>
      <c r="J790">
        <f>IFERROR(VLOOKUP(Tabla1[[#This Row],[SISMED]],TblDisponibilidad[],14,FALSE), 0)</f>
        <v>0</v>
      </c>
      <c r="K790">
        <f>IFERROR(VLOOKUP(Tabla1[[#This Row],[SISMED]],TblDisponibilidad[],15,FALSE), 0)</f>
        <v>0</v>
      </c>
      <c r="L790">
        <f>IFERROR(VLOOKUP(Tabla1[[#This Row],[SISMED]],TblDisponibilidad[],16,FALSE), 0)</f>
        <v>0</v>
      </c>
      <c r="M790">
        <f>IFERROR(VLOOKUP(Tabla1[[#This Row],[SISMED]],TblDisponibilidad[],17,FALSE), 0)</f>
        <v>0</v>
      </c>
      <c r="N790">
        <f>IFERROR(VLOOKUP(Tabla1[[#This Row],[SISMED]],TblDisponibilidad[],18,FALSE), 0)</f>
        <v>0</v>
      </c>
      <c r="O790">
        <f>IFERROR(VLOOKUP(Tabla1[[#This Row],[SISMED]],TblDisponibilidad[],19,FALSE), 0)</f>
        <v>0</v>
      </c>
      <c r="P790">
        <f>IFERROR(VLOOKUP(Tabla1[[#This Row],[SISMED]],TblDisponibilidad[],20,FALSE), 0)</f>
        <v>0</v>
      </c>
      <c r="Q790">
        <f>IFERROR(VLOOKUP(Tabla1[[#This Row],[SISMED]],TblDisponibilidad[],21,FALSE), 0)</f>
        <v>0</v>
      </c>
      <c r="R790">
        <f>IFERROR(VLOOKUP(Tabla1[[#This Row],[SISMED]],TblDisponibilidad[],22,FALSE), 0)</f>
        <v>0</v>
      </c>
      <c r="S790" s="15">
        <f>IFERROR(VLOOKUP(Tabla1[[#This Row],[SISMED]],TblDisponibilidad[],23,FALSE), 0)</f>
        <v>0</v>
      </c>
    </row>
    <row r="791" spans="1:19" x14ac:dyDescent="0.3">
      <c r="A791" s="15" t="s">
        <v>821</v>
      </c>
      <c r="B791" t="str">
        <f>IFERROR(VLOOKUP(Tabla1[[#This Row],[SISMED]],TblDisponibilidad[],2,FALSE), "")</f>
        <v/>
      </c>
      <c r="C791">
        <f>IFERROR(VLOOKUP(Tabla1[[#This Row],[SISMED]],TblDisponibilidad[],7,FALSE), 0)</f>
        <v>0</v>
      </c>
      <c r="D791">
        <f>IFERROR(VLOOKUP(Tabla1[[#This Row],[SISMED]],TblDisponibilidad[],8,FALSE), 0)</f>
        <v>0</v>
      </c>
      <c r="E791">
        <f>IFERROR(VLOOKUP(Tabla1[[#This Row],[SISMED]],TblDisponibilidad[],9,FALSE), 0)</f>
        <v>0</v>
      </c>
      <c r="F791">
        <f>IFERROR(VLOOKUP(Tabla1[[#This Row],[SISMED]],TblDisponibilidad[],10,FALSE), 0)</f>
        <v>0</v>
      </c>
      <c r="G791">
        <f>IFERROR(VLOOKUP(Tabla1[[#This Row],[SISMED]],TblDisponibilidad[],11,FALSE), 0)</f>
        <v>0</v>
      </c>
      <c r="H791">
        <f>IFERROR(VLOOKUP(Tabla1[[#This Row],[SISMED]],TblDisponibilidad[],12,FALSE), 0)</f>
        <v>0</v>
      </c>
      <c r="I791">
        <f>IFERROR(VLOOKUP(Tabla1[[#This Row],[SISMED]],TblDisponibilidad[],13,FALSE), 0)</f>
        <v>0</v>
      </c>
      <c r="J791">
        <f>IFERROR(VLOOKUP(Tabla1[[#This Row],[SISMED]],TblDisponibilidad[],14,FALSE), 0)</f>
        <v>0</v>
      </c>
      <c r="K791">
        <f>IFERROR(VLOOKUP(Tabla1[[#This Row],[SISMED]],TblDisponibilidad[],15,FALSE), 0)</f>
        <v>0</v>
      </c>
      <c r="L791">
        <f>IFERROR(VLOOKUP(Tabla1[[#This Row],[SISMED]],TblDisponibilidad[],16,FALSE), 0)</f>
        <v>0</v>
      </c>
      <c r="M791">
        <f>IFERROR(VLOOKUP(Tabla1[[#This Row],[SISMED]],TblDisponibilidad[],17,FALSE), 0)</f>
        <v>0</v>
      </c>
      <c r="N791">
        <f>IFERROR(VLOOKUP(Tabla1[[#This Row],[SISMED]],TblDisponibilidad[],18,FALSE), 0)</f>
        <v>0</v>
      </c>
      <c r="O791">
        <f>IFERROR(VLOOKUP(Tabla1[[#This Row],[SISMED]],TblDisponibilidad[],19,FALSE), 0)</f>
        <v>0</v>
      </c>
      <c r="P791">
        <f>IFERROR(VLOOKUP(Tabla1[[#This Row],[SISMED]],TblDisponibilidad[],20,FALSE), 0)</f>
        <v>0</v>
      </c>
      <c r="Q791">
        <f>IFERROR(VLOOKUP(Tabla1[[#This Row],[SISMED]],TblDisponibilidad[],21,FALSE), 0)</f>
        <v>0</v>
      </c>
      <c r="R791">
        <f>IFERROR(VLOOKUP(Tabla1[[#This Row],[SISMED]],TblDisponibilidad[],22,FALSE), 0)</f>
        <v>0</v>
      </c>
      <c r="S791" s="15">
        <f>IFERROR(VLOOKUP(Tabla1[[#This Row],[SISMED]],TblDisponibilidad[],23,FALSE), 0)</f>
        <v>0</v>
      </c>
    </row>
    <row r="792" spans="1:19" x14ac:dyDescent="0.3">
      <c r="A792" s="15" t="s">
        <v>822</v>
      </c>
      <c r="B792" t="str">
        <f>IFERROR(VLOOKUP(Tabla1[[#This Row],[SISMED]],TblDisponibilidad[],2,FALSE), "")</f>
        <v/>
      </c>
      <c r="C792">
        <f>IFERROR(VLOOKUP(Tabla1[[#This Row],[SISMED]],TblDisponibilidad[],7,FALSE), 0)</f>
        <v>0</v>
      </c>
      <c r="D792">
        <f>IFERROR(VLOOKUP(Tabla1[[#This Row],[SISMED]],TblDisponibilidad[],8,FALSE), 0)</f>
        <v>0</v>
      </c>
      <c r="E792">
        <f>IFERROR(VLOOKUP(Tabla1[[#This Row],[SISMED]],TblDisponibilidad[],9,FALSE), 0)</f>
        <v>0</v>
      </c>
      <c r="F792">
        <f>IFERROR(VLOOKUP(Tabla1[[#This Row],[SISMED]],TblDisponibilidad[],10,FALSE), 0)</f>
        <v>0</v>
      </c>
      <c r="G792">
        <f>IFERROR(VLOOKUP(Tabla1[[#This Row],[SISMED]],TblDisponibilidad[],11,FALSE), 0)</f>
        <v>0</v>
      </c>
      <c r="H792">
        <f>IFERROR(VLOOKUP(Tabla1[[#This Row],[SISMED]],TblDisponibilidad[],12,FALSE), 0)</f>
        <v>0</v>
      </c>
      <c r="I792">
        <f>IFERROR(VLOOKUP(Tabla1[[#This Row],[SISMED]],TblDisponibilidad[],13,FALSE), 0)</f>
        <v>0</v>
      </c>
      <c r="J792">
        <f>IFERROR(VLOOKUP(Tabla1[[#This Row],[SISMED]],TblDisponibilidad[],14,FALSE), 0)</f>
        <v>0</v>
      </c>
      <c r="K792">
        <f>IFERROR(VLOOKUP(Tabla1[[#This Row],[SISMED]],TblDisponibilidad[],15,FALSE), 0)</f>
        <v>0</v>
      </c>
      <c r="L792">
        <f>IFERROR(VLOOKUP(Tabla1[[#This Row],[SISMED]],TblDisponibilidad[],16,FALSE), 0)</f>
        <v>0</v>
      </c>
      <c r="M792">
        <f>IFERROR(VLOOKUP(Tabla1[[#This Row],[SISMED]],TblDisponibilidad[],17,FALSE), 0)</f>
        <v>0</v>
      </c>
      <c r="N792">
        <f>IFERROR(VLOOKUP(Tabla1[[#This Row],[SISMED]],TblDisponibilidad[],18,FALSE), 0)</f>
        <v>0</v>
      </c>
      <c r="O792">
        <f>IFERROR(VLOOKUP(Tabla1[[#This Row],[SISMED]],TblDisponibilidad[],19,FALSE), 0)</f>
        <v>0</v>
      </c>
      <c r="P792">
        <f>IFERROR(VLOOKUP(Tabla1[[#This Row],[SISMED]],TblDisponibilidad[],20,FALSE), 0)</f>
        <v>0</v>
      </c>
      <c r="Q792">
        <f>IFERROR(VLOOKUP(Tabla1[[#This Row],[SISMED]],TblDisponibilidad[],21,FALSE), 0)</f>
        <v>0</v>
      </c>
      <c r="R792">
        <f>IFERROR(VLOOKUP(Tabla1[[#This Row],[SISMED]],TblDisponibilidad[],22,FALSE), 0)</f>
        <v>0</v>
      </c>
      <c r="S792" s="15">
        <f>IFERROR(VLOOKUP(Tabla1[[#This Row],[SISMED]],TblDisponibilidad[],23,FALSE), 0)</f>
        <v>0</v>
      </c>
    </row>
    <row r="793" spans="1:19" x14ac:dyDescent="0.3">
      <c r="A793" s="15" t="s">
        <v>823</v>
      </c>
      <c r="B793" t="str">
        <f>IFERROR(VLOOKUP(Tabla1[[#This Row],[SISMED]],TblDisponibilidad[],2,FALSE), "")</f>
        <v/>
      </c>
      <c r="C793">
        <f>IFERROR(VLOOKUP(Tabla1[[#This Row],[SISMED]],TblDisponibilidad[],7,FALSE), 0)</f>
        <v>0</v>
      </c>
      <c r="D793">
        <f>IFERROR(VLOOKUP(Tabla1[[#This Row],[SISMED]],TblDisponibilidad[],8,FALSE), 0)</f>
        <v>0</v>
      </c>
      <c r="E793">
        <f>IFERROR(VLOOKUP(Tabla1[[#This Row],[SISMED]],TblDisponibilidad[],9,FALSE), 0)</f>
        <v>0</v>
      </c>
      <c r="F793">
        <f>IFERROR(VLOOKUP(Tabla1[[#This Row],[SISMED]],TblDisponibilidad[],10,FALSE), 0)</f>
        <v>0</v>
      </c>
      <c r="G793">
        <f>IFERROR(VLOOKUP(Tabla1[[#This Row],[SISMED]],TblDisponibilidad[],11,FALSE), 0)</f>
        <v>0</v>
      </c>
      <c r="H793">
        <f>IFERROR(VLOOKUP(Tabla1[[#This Row],[SISMED]],TblDisponibilidad[],12,FALSE), 0)</f>
        <v>0</v>
      </c>
      <c r="I793">
        <f>IFERROR(VLOOKUP(Tabla1[[#This Row],[SISMED]],TblDisponibilidad[],13,FALSE), 0)</f>
        <v>0</v>
      </c>
      <c r="J793">
        <f>IFERROR(VLOOKUP(Tabla1[[#This Row],[SISMED]],TblDisponibilidad[],14,FALSE), 0)</f>
        <v>0</v>
      </c>
      <c r="K793">
        <f>IFERROR(VLOOKUP(Tabla1[[#This Row],[SISMED]],TblDisponibilidad[],15,FALSE), 0)</f>
        <v>0</v>
      </c>
      <c r="L793">
        <f>IFERROR(VLOOKUP(Tabla1[[#This Row],[SISMED]],TblDisponibilidad[],16,FALSE), 0)</f>
        <v>0</v>
      </c>
      <c r="M793">
        <f>IFERROR(VLOOKUP(Tabla1[[#This Row],[SISMED]],TblDisponibilidad[],17,FALSE), 0)</f>
        <v>0</v>
      </c>
      <c r="N793">
        <f>IFERROR(VLOOKUP(Tabla1[[#This Row],[SISMED]],TblDisponibilidad[],18,FALSE), 0)</f>
        <v>0</v>
      </c>
      <c r="O793">
        <f>IFERROR(VLOOKUP(Tabla1[[#This Row],[SISMED]],TblDisponibilidad[],19,FALSE), 0)</f>
        <v>0</v>
      </c>
      <c r="P793">
        <f>IFERROR(VLOOKUP(Tabla1[[#This Row],[SISMED]],TblDisponibilidad[],20,FALSE), 0)</f>
        <v>0</v>
      </c>
      <c r="Q793">
        <f>IFERROR(VLOOKUP(Tabla1[[#This Row],[SISMED]],TblDisponibilidad[],21,FALSE), 0)</f>
        <v>0</v>
      </c>
      <c r="R793">
        <f>IFERROR(VLOOKUP(Tabla1[[#This Row],[SISMED]],TblDisponibilidad[],22,FALSE), 0)</f>
        <v>0</v>
      </c>
      <c r="S793" s="15">
        <f>IFERROR(VLOOKUP(Tabla1[[#This Row],[SISMED]],TblDisponibilidad[],23,FALSE), 0)</f>
        <v>0</v>
      </c>
    </row>
    <row r="794" spans="1:19" x14ac:dyDescent="0.3">
      <c r="A794" s="15" t="s">
        <v>824</v>
      </c>
      <c r="B794" t="str">
        <f>IFERROR(VLOOKUP(Tabla1[[#This Row],[SISMED]],TblDisponibilidad[],2,FALSE), "")</f>
        <v/>
      </c>
      <c r="C794">
        <f>IFERROR(VLOOKUP(Tabla1[[#This Row],[SISMED]],TblDisponibilidad[],7,FALSE), 0)</f>
        <v>0</v>
      </c>
      <c r="D794">
        <f>IFERROR(VLOOKUP(Tabla1[[#This Row],[SISMED]],TblDisponibilidad[],8,FALSE), 0)</f>
        <v>0</v>
      </c>
      <c r="E794">
        <f>IFERROR(VLOOKUP(Tabla1[[#This Row],[SISMED]],TblDisponibilidad[],9,FALSE), 0)</f>
        <v>0</v>
      </c>
      <c r="F794">
        <f>IFERROR(VLOOKUP(Tabla1[[#This Row],[SISMED]],TblDisponibilidad[],10,FALSE), 0)</f>
        <v>0</v>
      </c>
      <c r="G794">
        <f>IFERROR(VLOOKUP(Tabla1[[#This Row],[SISMED]],TblDisponibilidad[],11,FALSE), 0)</f>
        <v>0</v>
      </c>
      <c r="H794">
        <f>IFERROR(VLOOKUP(Tabla1[[#This Row],[SISMED]],TblDisponibilidad[],12,FALSE), 0)</f>
        <v>0</v>
      </c>
      <c r="I794">
        <f>IFERROR(VLOOKUP(Tabla1[[#This Row],[SISMED]],TblDisponibilidad[],13,FALSE), 0)</f>
        <v>0</v>
      </c>
      <c r="J794">
        <f>IFERROR(VLOOKUP(Tabla1[[#This Row],[SISMED]],TblDisponibilidad[],14,FALSE), 0)</f>
        <v>0</v>
      </c>
      <c r="K794">
        <f>IFERROR(VLOOKUP(Tabla1[[#This Row],[SISMED]],TblDisponibilidad[],15,FALSE), 0)</f>
        <v>0</v>
      </c>
      <c r="L794">
        <f>IFERROR(VLOOKUP(Tabla1[[#This Row],[SISMED]],TblDisponibilidad[],16,FALSE), 0)</f>
        <v>0</v>
      </c>
      <c r="M794">
        <f>IFERROR(VLOOKUP(Tabla1[[#This Row],[SISMED]],TblDisponibilidad[],17,FALSE), 0)</f>
        <v>0</v>
      </c>
      <c r="N794">
        <f>IFERROR(VLOOKUP(Tabla1[[#This Row],[SISMED]],TblDisponibilidad[],18,FALSE), 0)</f>
        <v>0</v>
      </c>
      <c r="O794">
        <f>IFERROR(VLOOKUP(Tabla1[[#This Row],[SISMED]],TblDisponibilidad[],19,FALSE), 0)</f>
        <v>0</v>
      </c>
      <c r="P794">
        <f>IFERROR(VLOOKUP(Tabla1[[#This Row],[SISMED]],TblDisponibilidad[],20,FALSE), 0)</f>
        <v>0</v>
      </c>
      <c r="Q794">
        <f>IFERROR(VLOOKUP(Tabla1[[#This Row],[SISMED]],TblDisponibilidad[],21,FALSE), 0)</f>
        <v>0</v>
      </c>
      <c r="R794">
        <f>IFERROR(VLOOKUP(Tabla1[[#This Row],[SISMED]],TblDisponibilidad[],22,FALSE), 0)</f>
        <v>0</v>
      </c>
      <c r="S794" s="15">
        <f>IFERROR(VLOOKUP(Tabla1[[#This Row],[SISMED]],TblDisponibilidad[],23,FALSE), 0)</f>
        <v>0</v>
      </c>
    </row>
    <row r="795" spans="1:19" x14ac:dyDescent="0.3">
      <c r="A795" s="15" t="s">
        <v>825</v>
      </c>
      <c r="B795" t="str">
        <f>IFERROR(VLOOKUP(Tabla1[[#This Row],[SISMED]],TblDisponibilidad[],2,FALSE), "")</f>
        <v/>
      </c>
      <c r="C795">
        <f>IFERROR(VLOOKUP(Tabla1[[#This Row],[SISMED]],TblDisponibilidad[],7,FALSE), 0)</f>
        <v>0</v>
      </c>
      <c r="D795">
        <f>IFERROR(VLOOKUP(Tabla1[[#This Row],[SISMED]],TblDisponibilidad[],8,FALSE), 0)</f>
        <v>0</v>
      </c>
      <c r="E795">
        <f>IFERROR(VLOOKUP(Tabla1[[#This Row],[SISMED]],TblDisponibilidad[],9,FALSE), 0)</f>
        <v>0</v>
      </c>
      <c r="F795">
        <f>IFERROR(VLOOKUP(Tabla1[[#This Row],[SISMED]],TblDisponibilidad[],10,FALSE), 0)</f>
        <v>0</v>
      </c>
      <c r="G795">
        <f>IFERROR(VLOOKUP(Tabla1[[#This Row],[SISMED]],TblDisponibilidad[],11,FALSE), 0)</f>
        <v>0</v>
      </c>
      <c r="H795">
        <f>IFERROR(VLOOKUP(Tabla1[[#This Row],[SISMED]],TblDisponibilidad[],12,FALSE), 0)</f>
        <v>0</v>
      </c>
      <c r="I795">
        <f>IFERROR(VLOOKUP(Tabla1[[#This Row],[SISMED]],TblDisponibilidad[],13,FALSE), 0)</f>
        <v>0</v>
      </c>
      <c r="J795">
        <f>IFERROR(VLOOKUP(Tabla1[[#This Row],[SISMED]],TblDisponibilidad[],14,FALSE), 0)</f>
        <v>0</v>
      </c>
      <c r="K795">
        <f>IFERROR(VLOOKUP(Tabla1[[#This Row],[SISMED]],TblDisponibilidad[],15,FALSE), 0)</f>
        <v>0</v>
      </c>
      <c r="L795">
        <f>IFERROR(VLOOKUP(Tabla1[[#This Row],[SISMED]],TblDisponibilidad[],16,FALSE), 0)</f>
        <v>0</v>
      </c>
      <c r="M795">
        <f>IFERROR(VLOOKUP(Tabla1[[#This Row],[SISMED]],TblDisponibilidad[],17,FALSE), 0)</f>
        <v>0</v>
      </c>
      <c r="N795">
        <f>IFERROR(VLOOKUP(Tabla1[[#This Row],[SISMED]],TblDisponibilidad[],18,FALSE), 0)</f>
        <v>0</v>
      </c>
      <c r="O795">
        <f>IFERROR(VLOOKUP(Tabla1[[#This Row],[SISMED]],TblDisponibilidad[],19,FALSE), 0)</f>
        <v>0</v>
      </c>
      <c r="P795">
        <f>IFERROR(VLOOKUP(Tabla1[[#This Row],[SISMED]],TblDisponibilidad[],20,FALSE), 0)</f>
        <v>0</v>
      </c>
      <c r="Q795">
        <f>IFERROR(VLOOKUP(Tabla1[[#This Row],[SISMED]],TblDisponibilidad[],21,FALSE), 0)</f>
        <v>0</v>
      </c>
      <c r="R795">
        <f>IFERROR(VLOOKUP(Tabla1[[#This Row],[SISMED]],TblDisponibilidad[],22,FALSE), 0)</f>
        <v>0</v>
      </c>
      <c r="S795" s="15">
        <f>IFERROR(VLOOKUP(Tabla1[[#This Row],[SISMED]],TblDisponibilidad[],23,FALSE), 0)</f>
        <v>0</v>
      </c>
    </row>
    <row r="796" spans="1:19" x14ac:dyDescent="0.3">
      <c r="A796" s="15" t="s">
        <v>826</v>
      </c>
      <c r="B796" t="str">
        <f>IFERROR(VLOOKUP(Tabla1[[#This Row],[SISMED]],TblDisponibilidad[],2,FALSE), "")</f>
        <v/>
      </c>
      <c r="C796">
        <f>IFERROR(VLOOKUP(Tabla1[[#This Row],[SISMED]],TblDisponibilidad[],7,FALSE), 0)</f>
        <v>0</v>
      </c>
      <c r="D796">
        <f>IFERROR(VLOOKUP(Tabla1[[#This Row],[SISMED]],TblDisponibilidad[],8,FALSE), 0)</f>
        <v>0</v>
      </c>
      <c r="E796">
        <f>IFERROR(VLOOKUP(Tabla1[[#This Row],[SISMED]],TblDisponibilidad[],9,FALSE), 0)</f>
        <v>0</v>
      </c>
      <c r="F796">
        <f>IFERROR(VLOOKUP(Tabla1[[#This Row],[SISMED]],TblDisponibilidad[],10,FALSE), 0)</f>
        <v>0</v>
      </c>
      <c r="G796">
        <f>IFERROR(VLOOKUP(Tabla1[[#This Row],[SISMED]],TblDisponibilidad[],11,FALSE), 0)</f>
        <v>0</v>
      </c>
      <c r="H796">
        <f>IFERROR(VLOOKUP(Tabla1[[#This Row],[SISMED]],TblDisponibilidad[],12,FALSE), 0)</f>
        <v>0</v>
      </c>
      <c r="I796">
        <f>IFERROR(VLOOKUP(Tabla1[[#This Row],[SISMED]],TblDisponibilidad[],13,FALSE), 0)</f>
        <v>0</v>
      </c>
      <c r="J796">
        <f>IFERROR(VLOOKUP(Tabla1[[#This Row],[SISMED]],TblDisponibilidad[],14,FALSE), 0)</f>
        <v>0</v>
      </c>
      <c r="K796">
        <f>IFERROR(VLOOKUP(Tabla1[[#This Row],[SISMED]],TblDisponibilidad[],15,FALSE), 0)</f>
        <v>0</v>
      </c>
      <c r="L796">
        <f>IFERROR(VLOOKUP(Tabla1[[#This Row],[SISMED]],TblDisponibilidad[],16,FALSE), 0)</f>
        <v>0</v>
      </c>
      <c r="M796">
        <f>IFERROR(VLOOKUP(Tabla1[[#This Row],[SISMED]],TblDisponibilidad[],17,FALSE), 0)</f>
        <v>0</v>
      </c>
      <c r="N796">
        <f>IFERROR(VLOOKUP(Tabla1[[#This Row],[SISMED]],TblDisponibilidad[],18,FALSE), 0)</f>
        <v>0</v>
      </c>
      <c r="O796">
        <f>IFERROR(VLOOKUP(Tabla1[[#This Row],[SISMED]],TblDisponibilidad[],19,FALSE), 0)</f>
        <v>0</v>
      </c>
      <c r="P796">
        <f>IFERROR(VLOOKUP(Tabla1[[#This Row],[SISMED]],TblDisponibilidad[],20,FALSE), 0)</f>
        <v>0</v>
      </c>
      <c r="Q796">
        <f>IFERROR(VLOOKUP(Tabla1[[#This Row],[SISMED]],TblDisponibilidad[],21,FALSE), 0)</f>
        <v>0</v>
      </c>
      <c r="R796">
        <f>IFERROR(VLOOKUP(Tabla1[[#This Row],[SISMED]],TblDisponibilidad[],22,FALSE), 0)</f>
        <v>0</v>
      </c>
      <c r="S796" s="15">
        <f>IFERROR(VLOOKUP(Tabla1[[#This Row],[SISMED]],TblDisponibilidad[],23,FALSE), 0)</f>
        <v>0</v>
      </c>
    </row>
    <row r="797" spans="1:19" x14ac:dyDescent="0.3">
      <c r="A797" s="15" t="s">
        <v>827</v>
      </c>
      <c r="B797" t="str">
        <f>IFERROR(VLOOKUP(Tabla1[[#This Row],[SISMED]],TblDisponibilidad[],2,FALSE), "")</f>
        <v/>
      </c>
      <c r="C797">
        <f>IFERROR(VLOOKUP(Tabla1[[#This Row],[SISMED]],TblDisponibilidad[],7,FALSE), 0)</f>
        <v>0</v>
      </c>
      <c r="D797">
        <f>IFERROR(VLOOKUP(Tabla1[[#This Row],[SISMED]],TblDisponibilidad[],8,FALSE), 0)</f>
        <v>0</v>
      </c>
      <c r="E797">
        <f>IFERROR(VLOOKUP(Tabla1[[#This Row],[SISMED]],TblDisponibilidad[],9,FALSE), 0)</f>
        <v>0</v>
      </c>
      <c r="F797">
        <f>IFERROR(VLOOKUP(Tabla1[[#This Row],[SISMED]],TblDisponibilidad[],10,FALSE), 0)</f>
        <v>0</v>
      </c>
      <c r="G797">
        <f>IFERROR(VLOOKUP(Tabla1[[#This Row],[SISMED]],TblDisponibilidad[],11,FALSE), 0)</f>
        <v>0</v>
      </c>
      <c r="H797">
        <f>IFERROR(VLOOKUP(Tabla1[[#This Row],[SISMED]],TblDisponibilidad[],12,FALSE), 0)</f>
        <v>0</v>
      </c>
      <c r="I797">
        <f>IFERROR(VLOOKUP(Tabla1[[#This Row],[SISMED]],TblDisponibilidad[],13,FALSE), 0)</f>
        <v>0</v>
      </c>
      <c r="J797">
        <f>IFERROR(VLOOKUP(Tabla1[[#This Row],[SISMED]],TblDisponibilidad[],14,FALSE), 0)</f>
        <v>0</v>
      </c>
      <c r="K797">
        <f>IFERROR(VLOOKUP(Tabla1[[#This Row],[SISMED]],TblDisponibilidad[],15,FALSE), 0)</f>
        <v>0</v>
      </c>
      <c r="L797">
        <f>IFERROR(VLOOKUP(Tabla1[[#This Row],[SISMED]],TblDisponibilidad[],16,FALSE), 0)</f>
        <v>0</v>
      </c>
      <c r="M797">
        <f>IFERROR(VLOOKUP(Tabla1[[#This Row],[SISMED]],TblDisponibilidad[],17,FALSE), 0)</f>
        <v>0</v>
      </c>
      <c r="N797">
        <f>IFERROR(VLOOKUP(Tabla1[[#This Row],[SISMED]],TblDisponibilidad[],18,FALSE), 0)</f>
        <v>0</v>
      </c>
      <c r="O797">
        <f>IFERROR(VLOOKUP(Tabla1[[#This Row],[SISMED]],TblDisponibilidad[],19,FALSE), 0)</f>
        <v>0</v>
      </c>
      <c r="P797">
        <f>IFERROR(VLOOKUP(Tabla1[[#This Row],[SISMED]],TblDisponibilidad[],20,FALSE), 0)</f>
        <v>0</v>
      </c>
      <c r="Q797">
        <f>IFERROR(VLOOKUP(Tabla1[[#This Row],[SISMED]],TblDisponibilidad[],21,FALSE), 0)</f>
        <v>0</v>
      </c>
      <c r="R797">
        <f>IFERROR(VLOOKUP(Tabla1[[#This Row],[SISMED]],TblDisponibilidad[],22,FALSE), 0)</f>
        <v>0</v>
      </c>
      <c r="S797" s="15">
        <f>IFERROR(VLOOKUP(Tabla1[[#This Row],[SISMED]],TblDisponibilidad[],23,FALSE), 0)</f>
        <v>0</v>
      </c>
    </row>
    <row r="798" spans="1:19" x14ac:dyDescent="0.3">
      <c r="A798" s="15" t="s">
        <v>828</v>
      </c>
      <c r="B798" t="str">
        <f>IFERROR(VLOOKUP(Tabla1[[#This Row],[SISMED]],TblDisponibilidad[],2,FALSE), "")</f>
        <v/>
      </c>
      <c r="C798">
        <f>IFERROR(VLOOKUP(Tabla1[[#This Row],[SISMED]],TblDisponibilidad[],7,FALSE), 0)</f>
        <v>0</v>
      </c>
      <c r="D798">
        <f>IFERROR(VLOOKUP(Tabla1[[#This Row],[SISMED]],TblDisponibilidad[],8,FALSE), 0)</f>
        <v>0</v>
      </c>
      <c r="E798">
        <f>IFERROR(VLOOKUP(Tabla1[[#This Row],[SISMED]],TblDisponibilidad[],9,FALSE), 0)</f>
        <v>0</v>
      </c>
      <c r="F798">
        <f>IFERROR(VLOOKUP(Tabla1[[#This Row],[SISMED]],TblDisponibilidad[],10,FALSE), 0)</f>
        <v>0</v>
      </c>
      <c r="G798">
        <f>IFERROR(VLOOKUP(Tabla1[[#This Row],[SISMED]],TblDisponibilidad[],11,FALSE), 0)</f>
        <v>0</v>
      </c>
      <c r="H798">
        <f>IFERROR(VLOOKUP(Tabla1[[#This Row],[SISMED]],TblDisponibilidad[],12,FALSE), 0)</f>
        <v>0</v>
      </c>
      <c r="I798">
        <f>IFERROR(VLOOKUP(Tabla1[[#This Row],[SISMED]],TblDisponibilidad[],13,FALSE), 0)</f>
        <v>0</v>
      </c>
      <c r="J798">
        <f>IFERROR(VLOOKUP(Tabla1[[#This Row],[SISMED]],TblDisponibilidad[],14,FALSE), 0)</f>
        <v>0</v>
      </c>
      <c r="K798">
        <f>IFERROR(VLOOKUP(Tabla1[[#This Row],[SISMED]],TblDisponibilidad[],15,FALSE), 0)</f>
        <v>0</v>
      </c>
      <c r="L798">
        <f>IFERROR(VLOOKUP(Tabla1[[#This Row],[SISMED]],TblDisponibilidad[],16,FALSE), 0)</f>
        <v>0</v>
      </c>
      <c r="M798">
        <f>IFERROR(VLOOKUP(Tabla1[[#This Row],[SISMED]],TblDisponibilidad[],17,FALSE), 0)</f>
        <v>0</v>
      </c>
      <c r="N798">
        <f>IFERROR(VLOOKUP(Tabla1[[#This Row],[SISMED]],TblDisponibilidad[],18,FALSE), 0)</f>
        <v>0</v>
      </c>
      <c r="O798">
        <f>IFERROR(VLOOKUP(Tabla1[[#This Row],[SISMED]],TblDisponibilidad[],19,FALSE), 0)</f>
        <v>0</v>
      </c>
      <c r="P798">
        <f>IFERROR(VLOOKUP(Tabla1[[#This Row],[SISMED]],TblDisponibilidad[],20,FALSE), 0)</f>
        <v>0</v>
      </c>
      <c r="Q798">
        <f>IFERROR(VLOOKUP(Tabla1[[#This Row],[SISMED]],TblDisponibilidad[],21,FALSE), 0)</f>
        <v>0</v>
      </c>
      <c r="R798">
        <f>IFERROR(VLOOKUP(Tabla1[[#This Row],[SISMED]],TblDisponibilidad[],22,FALSE), 0)</f>
        <v>0</v>
      </c>
      <c r="S798" s="15">
        <f>IFERROR(VLOOKUP(Tabla1[[#This Row],[SISMED]],TblDisponibilidad[],23,FALSE), 0)</f>
        <v>0</v>
      </c>
    </row>
    <row r="799" spans="1:19" x14ac:dyDescent="0.3">
      <c r="A799" s="15" t="s">
        <v>829</v>
      </c>
      <c r="B799" t="str">
        <f>IFERROR(VLOOKUP(Tabla1[[#This Row],[SISMED]],TblDisponibilidad[],2,FALSE), "")</f>
        <v/>
      </c>
      <c r="C799">
        <f>IFERROR(VLOOKUP(Tabla1[[#This Row],[SISMED]],TblDisponibilidad[],7,FALSE), 0)</f>
        <v>0</v>
      </c>
      <c r="D799">
        <f>IFERROR(VLOOKUP(Tabla1[[#This Row],[SISMED]],TblDisponibilidad[],8,FALSE), 0)</f>
        <v>0</v>
      </c>
      <c r="E799">
        <f>IFERROR(VLOOKUP(Tabla1[[#This Row],[SISMED]],TblDisponibilidad[],9,FALSE), 0)</f>
        <v>0</v>
      </c>
      <c r="F799">
        <f>IFERROR(VLOOKUP(Tabla1[[#This Row],[SISMED]],TblDisponibilidad[],10,FALSE), 0)</f>
        <v>0</v>
      </c>
      <c r="G799">
        <f>IFERROR(VLOOKUP(Tabla1[[#This Row],[SISMED]],TblDisponibilidad[],11,FALSE), 0)</f>
        <v>0</v>
      </c>
      <c r="H799">
        <f>IFERROR(VLOOKUP(Tabla1[[#This Row],[SISMED]],TblDisponibilidad[],12,FALSE), 0)</f>
        <v>0</v>
      </c>
      <c r="I799">
        <f>IFERROR(VLOOKUP(Tabla1[[#This Row],[SISMED]],TblDisponibilidad[],13,FALSE), 0)</f>
        <v>0</v>
      </c>
      <c r="J799">
        <f>IFERROR(VLOOKUP(Tabla1[[#This Row],[SISMED]],TblDisponibilidad[],14,FALSE), 0)</f>
        <v>0</v>
      </c>
      <c r="K799">
        <f>IFERROR(VLOOKUP(Tabla1[[#This Row],[SISMED]],TblDisponibilidad[],15,FALSE), 0)</f>
        <v>0</v>
      </c>
      <c r="L799">
        <f>IFERROR(VLOOKUP(Tabla1[[#This Row],[SISMED]],TblDisponibilidad[],16,FALSE), 0)</f>
        <v>0</v>
      </c>
      <c r="M799">
        <f>IFERROR(VLOOKUP(Tabla1[[#This Row],[SISMED]],TblDisponibilidad[],17,FALSE), 0)</f>
        <v>0</v>
      </c>
      <c r="N799">
        <f>IFERROR(VLOOKUP(Tabla1[[#This Row],[SISMED]],TblDisponibilidad[],18,FALSE), 0)</f>
        <v>0</v>
      </c>
      <c r="O799">
        <f>IFERROR(VLOOKUP(Tabla1[[#This Row],[SISMED]],TblDisponibilidad[],19,FALSE), 0)</f>
        <v>0</v>
      </c>
      <c r="P799">
        <f>IFERROR(VLOOKUP(Tabla1[[#This Row],[SISMED]],TblDisponibilidad[],20,FALSE), 0)</f>
        <v>0</v>
      </c>
      <c r="Q799">
        <f>IFERROR(VLOOKUP(Tabla1[[#This Row],[SISMED]],TblDisponibilidad[],21,FALSE), 0)</f>
        <v>0</v>
      </c>
      <c r="R799">
        <f>IFERROR(VLOOKUP(Tabla1[[#This Row],[SISMED]],TblDisponibilidad[],22,FALSE), 0)</f>
        <v>0</v>
      </c>
      <c r="S799" s="15">
        <f>IFERROR(VLOOKUP(Tabla1[[#This Row],[SISMED]],TblDisponibilidad[],23,FALSE), 0)</f>
        <v>0</v>
      </c>
    </row>
    <row r="800" spans="1:19" x14ac:dyDescent="0.3">
      <c r="A800" s="15" t="s">
        <v>830</v>
      </c>
      <c r="B800" t="str">
        <f>IFERROR(VLOOKUP(Tabla1[[#This Row],[SISMED]],TblDisponibilidad[],2,FALSE), "")</f>
        <v/>
      </c>
      <c r="C800">
        <f>IFERROR(VLOOKUP(Tabla1[[#This Row],[SISMED]],TblDisponibilidad[],7,FALSE), 0)</f>
        <v>0</v>
      </c>
      <c r="D800">
        <f>IFERROR(VLOOKUP(Tabla1[[#This Row],[SISMED]],TblDisponibilidad[],8,FALSE), 0)</f>
        <v>0</v>
      </c>
      <c r="E800">
        <f>IFERROR(VLOOKUP(Tabla1[[#This Row],[SISMED]],TblDisponibilidad[],9,FALSE), 0)</f>
        <v>0</v>
      </c>
      <c r="F800">
        <f>IFERROR(VLOOKUP(Tabla1[[#This Row],[SISMED]],TblDisponibilidad[],10,FALSE), 0)</f>
        <v>0</v>
      </c>
      <c r="G800">
        <f>IFERROR(VLOOKUP(Tabla1[[#This Row],[SISMED]],TblDisponibilidad[],11,FALSE), 0)</f>
        <v>0</v>
      </c>
      <c r="H800">
        <f>IFERROR(VLOOKUP(Tabla1[[#This Row],[SISMED]],TblDisponibilidad[],12,FALSE), 0)</f>
        <v>0</v>
      </c>
      <c r="I800">
        <f>IFERROR(VLOOKUP(Tabla1[[#This Row],[SISMED]],TblDisponibilidad[],13,FALSE), 0)</f>
        <v>0</v>
      </c>
      <c r="J800">
        <f>IFERROR(VLOOKUP(Tabla1[[#This Row],[SISMED]],TblDisponibilidad[],14,FALSE), 0)</f>
        <v>0</v>
      </c>
      <c r="K800">
        <f>IFERROR(VLOOKUP(Tabla1[[#This Row],[SISMED]],TblDisponibilidad[],15,FALSE), 0)</f>
        <v>0</v>
      </c>
      <c r="L800">
        <f>IFERROR(VLOOKUP(Tabla1[[#This Row],[SISMED]],TblDisponibilidad[],16,FALSE), 0)</f>
        <v>0</v>
      </c>
      <c r="M800">
        <f>IFERROR(VLOOKUP(Tabla1[[#This Row],[SISMED]],TblDisponibilidad[],17,FALSE), 0)</f>
        <v>0</v>
      </c>
      <c r="N800">
        <f>IFERROR(VLOOKUP(Tabla1[[#This Row],[SISMED]],TblDisponibilidad[],18,FALSE), 0)</f>
        <v>0</v>
      </c>
      <c r="O800">
        <f>IFERROR(VLOOKUP(Tabla1[[#This Row],[SISMED]],TblDisponibilidad[],19,FALSE), 0)</f>
        <v>0</v>
      </c>
      <c r="P800">
        <f>IFERROR(VLOOKUP(Tabla1[[#This Row],[SISMED]],TblDisponibilidad[],20,FALSE), 0)</f>
        <v>0</v>
      </c>
      <c r="Q800">
        <f>IFERROR(VLOOKUP(Tabla1[[#This Row],[SISMED]],TblDisponibilidad[],21,FALSE), 0)</f>
        <v>0</v>
      </c>
      <c r="R800">
        <f>IFERROR(VLOOKUP(Tabla1[[#This Row],[SISMED]],TblDisponibilidad[],22,FALSE), 0)</f>
        <v>0</v>
      </c>
      <c r="S800" s="15">
        <f>IFERROR(VLOOKUP(Tabla1[[#This Row],[SISMED]],TblDisponibilidad[],23,FALSE), 0)</f>
        <v>0</v>
      </c>
    </row>
    <row r="801" spans="1:19" x14ac:dyDescent="0.3">
      <c r="A801" s="15" t="s">
        <v>831</v>
      </c>
      <c r="B801" t="str">
        <f>IFERROR(VLOOKUP(Tabla1[[#This Row],[SISMED]],TblDisponibilidad[],2,FALSE), "")</f>
        <v/>
      </c>
      <c r="C801">
        <f>IFERROR(VLOOKUP(Tabla1[[#This Row],[SISMED]],TblDisponibilidad[],7,FALSE), 0)</f>
        <v>0</v>
      </c>
      <c r="D801">
        <f>IFERROR(VLOOKUP(Tabla1[[#This Row],[SISMED]],TblDisponibilidad[],8,FALSE), 0)</f>
        <v>0</v>
      </c>
      <c r="E801">
        <f>IFERROR(VLOOKUP(Tabla1[[#This Row],[SISMED]],TblDisponibilidad[],9,FALSE), 0)</f>
        <v>0</v>
      </c>
      <c r="F801">
        <f>IFERROR(VLOOKUP(Tabla1[[#This Row],[SISMED]],TblDisponibilidad[],10,FALSE), 0)</f>
        <v>0</v>
      </c>
      <c r="G801">
        <f>IFERROR(VLOOKUP(Tabla1[[#This Row],[SISMED]],TblDisponibilidad[],11,FALSE), 0)</f>
        <v>0</v>
      </c>
      <c r="H801">
        <f>IFERROR(VLOOKUP(Tabla1[[#This Row],[SISMED]],TblDisponibilidad[],12,FALSE), 0)</f>
        <v>0</v>
      </c>
      <c r="I801">
        <f>IFERROR(VLOOKUP(Tabla1[[#This Row],[SISMED]],TblDisponibilidad[],13,FALSE), 0)</f>
        <v>0</v>
      </c>
      <c r="J801">
        <f>IFERROR(VLOOKUP(Tabla1[[#This Row],[SISMED]],TblDisponibilidad[],14,FALSE), 0)</f>
        <v>0</v>
      </c>
      <c r="K801">
        <f>IFERROR(VLOOKUP(Tabla1[[#This Row],[SISMED]],TblDisponibilidad[],15,FALSE), 0)</f>
        <v>0</v>
      </c>
      <c r="L801">
        <f>IFERROR(VLOOKUP(Tabla1[[#This Row],[SISMED]],TblDisponibilidad[],16,FALSE), 0)</f>
        <v>0</v>
      </c>
      <c r="M801">
        <f>IFERROR(VLOOKUP(Tabla1[[#This Row],[SISMED]],TblDisponibilidad[],17,FALSE), 0)</f>
        <v>0</v>
      </c>
      <c r="N801">
        <f>IFERROR(VLOOKUP(Tabla1[[#This Row],[SISMED]],TblDisponibilidad[],18,FALSE), 0)</f>
        <v>0</v>
      </c>
      <c r="O801">
        <f>IFERROR(VLOOKUP(Tabla1[[#This Row],[SISMED]],TblDisponibilidad[],19,FALSE), 0)</f>
        <v>0</v>
      </c>
      <c r="P801">
        <f>IFERROR(VLOOKUP(Tabla1[[#This Row],[SISMED]],TblDisponibilidad[],20,FALSE), 0)</f>
        <v>0</v>
      </c>
      <c r="Q801">
        <f>IFERROR(VLOOKUP(Tabla1[[#This Row],[SISMED]],TblDisponibilidad[],21,FALSE), 0)</f>
        <v>0</v>
      </c>
      <c r="R801">
        <f>IFERROR(VLOOKUP(Tabla1[[#This Row],[SISMED]],TblDisponibilidad[],22,FALSE), 0)</f>
        <v>0</v>
      </c>
      <c r="S801" s="15">
        <f>IFERROR(VLOOKUP(Tabla1[[#This Row],[SISMED]],TblDisponibilidad[],23,FALSE), 0)</f>
        <v>0</v>
      </c>
    </row>
    <row r="802" spans="1:19" x14ac:dyDescent="0.3">
      <c r="A802" s="15" t="s">
        <v>832</v>
      </c>
      <c r="B802" t="str">
        <f>IFERROR(VLOOKUP(Tabla1[[#This Row],[SISMED]],TblDisponibilidad[],2,FALSE), "")</f>
        <v/>
      </c>
      <c r="C802">
        <f>IFERROR(VLOOKUP(Tabla1[[#This Row],[SISMED]],TblDisponibilidad[],7,FALSE), 0)</f>
        <v>0</v>
      </c>
      <c r="D802">
        <f>IFERROR(VLOOKUP(Tabla1[[#This Row],[SISMED]],TblDisponibilidad[],8,FALSE), 0)</f>
        <v>0</v>
      </c>
      <c r="E802">
        <f>IFERROR(VLOOKUP(Tabla1[[#This Row],[SISMED]],TblDisponibilidad[],9,FALSE), 0)</f>
        <v>0</v>
      </c>
      <c r="F802">
        <f>IFERROR(VLOOKUP(Tabla1[[#This Row],[SISMED]],TblDisponibilidad[],10,FALSE), 0)</f>
        <v>0</v>
      </c>
      <c r="G802">
        <f>IFERROR(VLOOKUP(Tabla1[[#This Row],[SISMED]],TblDisponibilidad[],11,FALSE), 0)</f>
        <v>0</v>
      </c>
      <c r="H802">
        <f>IFERROR(VLOOKUP(Tabla1[[#This Row],[SISMED]],TblDisponibilidad[],12,FALSE), 0)</f>
        <v>0</v>
      </c>
      <c r="I802">
        <f>IFERROR(VLOOKUP(Tabla1[[#This Row],[SISMED]],TblDisponibilidad[],13,FALSE), 0)</f>
        <v>0</v>
      </c>
      <c r="J802">
        <f>IFERROR(VLOOKUP(Tabla1[[#This Row],[SISMED]],TblDisponibilidad[],14,FALSE), 0)</f>
        <v>0</v>
      </c>
      <c r="K802">
        <f>IFERROR(VLOOKUP(Tabla1[[#This Row],[SISMED]],TblDisponibilidad[],15,FALSE), 0)</f>
        <v>0</v>
      </c>
      <c r="L802">
        <f>IFERROR(VLOOKUP(Tabla1[[#This Row],[SISMED]],TblDisponibilidad[],16,FALSE), 0)</f>
        <v>0</v>
      </c>
      <c r="M802">
        <f>IFERROR(VLOOKUP(Tabla1[[#This Row],[SISMED]],TblDisponibilidad[],17,FALSE), 0)</f>
        <v>0</v>
      </c>
      <c r="N802">
        <f>IFERROR(VLOOKUP(Tabla1[[#This Row],[SISMED]],TblDisponibilidad[],18,FALSE), 0)</f>
        <v>0</v>
      </c>
      <c r="O802">
        <f>IFERROR(VLOOKUP(Tabla1[[#This Row],[SISMED]],TblDisponibilidad[],19,FALSE), 0)</f>
        <v>0</v>
      </c>
      <c r="P802">
        <f>IFERROR(VLOOKUP(Tabla1[[#This Row],[SISMED]],TblDisponibilidad[],20,FALSE), 0)</f>
        <v>0</v>
      </c>
      <c r="Q802">
        <f>IFERROR(VLOOKUP(Tabla1[[#This Row],[SISMED]],TblDisponibilidad[],21,FALSE), 0)</f>
        <v>0</v>
      </c>
      <c r="R802">
        <f>IFERROR(VLOOKUP(Tabla1[[#This Row],[SISMED]],TblDisponibilidad[],22,FALSE), 0)</f>
        <v>0</v>
      </c>
      <c r="S802" s="15">
        <f>IFERROR(VLOOKUP(Tabla1[[#This Row],[SISMED]],TblDisponibilidad[],23,FALSE), 0)</f>
        <v>0</v>
      </c>
    </row>
    <row r="803" spans="1:19" x14ac:dyDescent="0.3">
      <c r="A803" s="15" t="s">
        <v>833</v>
      </c>
      <c r="B803" t="str">
        <f>IFERROR(VLOOKUP(Tabla1[[#This Row],[SISMED]],TblDisponibilidad[],2,FALSE), "")</f>
        <v/>
      </c>
      <c r="C803">
        <f>IFERROR(VLOOKUP(Tabla1[[#This Row],[SISMED]],TblDisponibilidad[],7,FALSE), 0)</f>
        <v>0</v>
      </c>
      <c r="D803">
        <f>IFERROR(VLOOKUP(Tabla1[[#This Row],[SISMED]],TblDisponibilidad[],8,FALSE), 0)</f>
        <v>0</v>
      </c>
      <c r="E803">
        <f>IFERROR(VLOOKUP(Tabla1[[#This Row],[SISMED]],TblDisponibilidad[],9,FALSE), 0)</f>
        <v>0</v>
      </c>
      <c r="F803">
        <f>IFERROR(VLOOKUP(Tabla1[[#This Row],[SISMED]],TblDisponibilidad[],10,FALSE), 0)</f>
        <v>0</v>
      </c>
      <c r="G803">
        <f>IFERROR(VLOOKUP(Tabla1[[#This Row],[SISMED]],TblDisponibilidad[],11,FALSE), 0)</f>
        <v>0</v>
      </c>
      <c r="H803">
        <f>IFERROR(VLOOKUP(Tabla1[[#This Row],[SISMED]],TblDisponibilidad[],12,FALSE), 0)</f>
        <v>0</v>
      </c>
      <c r="I803">
        <f>IFERROR(VLOOKUP(Tabla1[[#This Row],[SISMED]],TblDisponibilidad[],13,FALSE), 0)</f>
        <v>0</v>
      </c>
      <c r="J803">
        <f>IFERROR(VLOOKUP(Tabla1[[#This Row],[SISMED]],TblDisponibilidad[],14,FALSE), 0)</f>
        <v>0</v>
      </c>
      <c r="K803">
        <f>IFERROR(VLOOKUP(Tabla1[[#This Row],[SISMED]],TblDisponibilidad[],15,FALSE), 0)</f>
        <v>0</v>
      </c>
      <c r="L803">
        <f>IFERROR(VLOOKUP(Tabla1[[#This Row],[SISMED]],TblDisponibilidad[],16,FALSE), 0)</f>
        <v>0</v>
      </c>
      <c r="M803">
        <f>IFERROR(VLOOKUP(Tabla1[[#This Row],[SISMED]],TblDisponibilidad[],17,FALSE), 0)</f>
        <v>0</v>
      </c>
      <c r="N803">
        <f>IFERROR(VLOOKUP(Tabla1[[#This Row],[SISMED]],TblDisponibilidad[],18,FALSE), 0)</f>
        <v>0</v>
      </c>
      <c r="O803">
        <f>IFERROR(VLOOKUP(Tabla1[[#This Row],[SISMED]],TblDisponibilidad[],19,FALSE), 0)</f>
        <v>0</v>
      </c>
      <c r="P803">
        <f>IFERROR(VLOOKUP(Tabla1[[#This Row],[SISMED]],TblDisponibilidad[],20,FALSE), 0)</f>
        <v>0</v>
      </c>
      <c r="Q803">
        <f>IFERROR(VLOOKUP(Tabla1[[#This Row],[SISMED]],TblDisponibilidad[],21,FALSE), 0)</f>
        <v>0</v>
      </c>
      <c r="R803">
        <f>IFERROR(VLOOKUP(Tabla1[[#This Row],[SISMED]],TblDisponibilidad[],22,FALSE), 0)</f>
        <v>0</v>
      </c>
      <c r="S803" s="15">
        <f>IFERROR(VLOOKUP(Tabla1[[#This Row],[SISMED]],TblDisponibilidad[],23,FALSE), 0)</f>
        <v>0</v>
      </c>
    </row>
    <row r="804" spans="1:19" x14ac:dyDescent="0.3">
      <c r="A804" s="15" t="s">
        <v>834</v>
      </c>
      <c r="B804" t="str">
        <f>IFERROR(VLOOKUP(Tabla1[[#This Row],[SISMED]],TblDisponibilidad[],2,FALSE), "")</f>
        <v/>
      </c>
      <c r="C804">
        <f>IFERROR(VLOOKUP(Tabla1[[#This Row],[SISMED]],TblDisponibilidad[],7,FALSE), 0)</f>
        <v>0</v>
      </c>
      <c r="D804">
        <f>IFERROR(VLOOKUP(Tabla1[[#This Row],[SISMED]],TblDisponibilidad[],8,FALSE), 0)</f>
        <v>0</v>
      </c>
      <c r="E804">
        <f>IFERROR(VLOOKUP(Tabla1[[#This Row],[SISMED]],TblDisponibilidad[],9,FALSE), 0)</f>
        <v>0</v>
      </c>
      <c r="F804">
        <f>IFERROR(VLOOKUP(Tabla1[[#This Row],[SISMED]],TblDisponibilidad[],10,FALSE), 0)</f>
        <v>0</v>
      </c>
      <c r="G804">
        <f>IFERROR(VLOOKUP(Tabla1[[#This Row],[SISMED]],TblDisponibilidad[],11,FALSE), 0)</f>
        <v>0</v>
      </c>
      <c r="H804">
        <f>IFERROR(VLOOKUP(Tabla1[[#This Row],[SISMED]],TblDisponibilidad[],12,FALSE), 0)</f>
        <v>0</v>
      </c>
      <c r="I804">
        <f>IFERROR(VLOOKUP(Tabla1[[#This Row],[SISMED]],TblDisponibilidad[],13,FALSE), 0)</f>
        <v>0</v>
      </c>
      <c r="J804">
        <f>IFERROR(VLOOKUP(Tabla1[[#This Row],[SISMED]],TblDisponibilidad[],14,FALSE), 0)</f>
        <v>0</v>
      </c>
      <c r="K804">
        <f>IFERROR(VLOOKUP(Tabla1[[#This Row],[SISMED]],TblDisponibilidad[],15,FALSE), 0)</f>
        <v>0</v>
      </c>
      <c r="L804">
        <f>IFERROR(VLOOKUP(Tabla1[[#This Row],[SISMED]],TblDisponibilidad[],16,FALSE), 0)</f>
        <v>0</v>
      </c>
      <c r="M804">
        <f>IFERROR(VLOOKUP(Tabla1[[#This Row],[SISMED]],TblDisponibilidad[],17,FALSE), 0)</f>
        <v>0</v>
      </c>
      <c r="N804">
        <f>IFERROR(VLOOKUP(Tabla1[[#This Row],[SISMED]],TblDisponibilidad[],18,FALSE), 0)</f>
        <v>0</v>
      </c>
      <c r="O804">
        <f>IFERROR(VLOOKUP(Tabla1[[#This Row],[SISMED]],TblDisponibilidad[],19,FALSE), 0)</f>
        <v>0</v>
      </c>
      <c r="P804">
        <f>IFERROR(VLOOKUP(Tabla1[[#This Row],[SISMED]],TblDisponibilidad[],20,FALSE), 0)</f>
        <v>0</v>
      </c>
      <c r="Q804">
        <f>IFERROR(VLOOKUP(Tabla1[[#This Row],[SISMED]],TblDisponibilidad[],21,FALSE), 0)</f>
        <v>0</v>
      </c>
      <c r="R804">
        <f>IFERROR(VLOOKUP(Tabla1[[#This Row],[SISMED]],TblDisponibilidad[],22,FALSE), 0)</f>
        <v>0</v>
      </c>
      <c r="S804" s="15">
        <f>IFERROR(VLOOKUP(Tabla1[[#This Row],[SISMED]],TblDisponibilidad[],23,FALSE), 0)</f>
        <v>0</v>
      </c>
    </row>
    <row r="805" spans="1:19" x14ac:dyDescent="0.3">
      <c r="A805" s="15" t="s">
        <v>835</v>
      </c>
      <c r="B805" t="str">
        <f>IFERROR(VLOOKUP(Tabla1[[#This Row],[SISMED]],TblDisponibilidad[],2,FALSE), "")</f>
        <v/>
      </c>
      <c r="C805">
        <f>IFERROR(VLOOKUP(Tabla1[[#This Row],[SISMED]],TblDisponibilidad[],7,FALSE), 0)</f>
        <v>0</v>
      </c>
      <c r="D805">
        <f>IFERROR(VLOOKUP(Tabla1[[#This Row],[SISMED]],TblDisponibilidad[],8,FALSE), 0)</f>
        <v>0</v>
      </c>
      <c r="E805">
        <f>IFERROR(VLOOKUP(Tabla1[[#This Row],[SISMED]],TblDisponibilidad[],9,FALSE), 0)</f>
        <v>0</v>
      </c>
      <c r="F805">
        <f>IFERROR(VLOOKUP(Tabla1[[#This Row],[SISMED]],TblDisponibilidad[],10,FALSE), 0)</f>
        <v>0</v>
      </c>
      <c r="G805">
        <f>IFERROR(VLOOKUP(Tabla1[[#This Row],[SISMED]],TblDisponibilidad[],11,FALSE), 0)</f>
        <v>0</v>
      </c>
      <c r="H805">
        <f>IFERROR(VLOOKUP(Tabla1[[#This Row],[SISMED]],TblDisponibilidad[],12,FALSE), 0)</f>
        <v>0</v>
      </c>
      <c r="I805">
        <f>IFERROR(VLOOKUP(Tabla1[[#This Row],[SISMED]],TblDisponibilidad[],13,FALSE), 0)</f>
        <v>0</v>
      </c>
      <c r="J805">
        <f>IFERROR(VLOOKUP(Tabla1[[#This Row],[SISMED]],TblDisponibilidad[],14,FALSE), 0)</f>
        <v>0</v>
      </c>
      <c r="K805">
        <f>IFERROR(VLOOKUP(Tabla1[[#This Row],[SISMED]],TblDisponibilidad[],15,FALSE), 0)</f>
        <v>0</v>
      </c>
      <c r="L805">
        <f>IFERROR(VLOOKUP(Tabla1[[#This Row],[SISMED]],TblDisponibilidad[],16,FALSE), 0)</f>
        <v>0</v>
      </c>
      <c r="M805">
        <f>IFERROR(VLOOKUP(Tabla1[[#This Row],[SISMED]],TblDisponibilidad[],17,FALSE), 0)</f>
        <v>0</v>
      </c>
      <c r="N805">
        <f>IFERROR(VLOOKUP(Tabla1[[#This Row],[SISMED]],TblDisponibilidad[],18,FALSE), 0)</f>
        <v>0</v>
      </c>
      <c r="O805">
        <f>IFERROR(VLOOKUP(Tabla1[[#This Row],[SISMED]],TblDisponibilidad[],19,FALSE), 0)</f>
        <v>0</v>
      </c>
      <c r="P805">
        <f>IFERROR(VLOOKUP(Tabla1[[#This Row],[SISMED]],TblDisponibilidad[],20,FALSE), 0)</f>
        <v>0</v>
      </c>
      <c r="Q805">
        <f>IFERROR(VLOOKUP(Tabla1[[#This Row],[SISMED]],TblDisponibilidad[],21,FALSE), 0)</f>
        <v>0</v>
      </c>
      <c r="R805">
        <f>IFERROR(VLOOKUP(Tabla1[[#This Row],[SISMED]],TblDisponibilidad[],22,FALSE), 0)</f>
        <v>0</v>
      </c>
      <c r="S805" s="15">
        <f>IFERROR(VLOOKUP(Tabla1[[#This Row],[SISMED]],TblDisponibilidad[],23,FALSE), 0)</f>
        <v>0</v>
      </c>
    </row>
    <row r="806" spans="1:19" x14ac:dyDescent="0.3">
      <c r="A806" s="15" t="s">
        <v>836</v>
      </c>
      <c r="B806" t="str">
        <f>IFERROR(VLOOKUP(Tabla1[[#This Row],[SISMED]],TblDisponibilidad[],2,FALSE), "")</f>
        <v/>
      </c>
      <c r="C806">
        <f>IFERROR(VLOOKUP(Tabla1[[#This Row],[SISMED]],TblDisponibilidad[],7,FALSE), 0)</f>
        <v>0</v>
      </c>
      <c r="D806">
        <f>IFERROR(VLOOKUP(Tabla1[[#This Row],[SISMED]],TblDisponibilidad[],8,FALSE), 0)</f>
        <v>0</v>
      </c>
      <c r="E806">
        <f>IFERROR(VLOOKUP(Tabla1[[#This Row],[SISMED]],TblDisponibilidad[],9,FALSE), 0)</f>
        <v>0</v>
      </c>
      <c r="F806">
        <f>IFERROR(VLOOKUP(Tabla1[[#This Row],[SISMED]],TblDisponibilidad[],10,FALSE), 0)</f>
        <v>0</v>
      </c>
      <c r="G806">
        <f>IFERROR(VLOOKUP(Tabla1[[#This Row],[SISMED]],TblDisponibilidad[],11,FALSE), 0)</f>
        <v>0</v>
      </c>
      <c r="H806">
        <f>IFERROR(VLOOKUP(Tabla1[[#This Row],[SISMED]],TblDisponibilidad[],12,FALSE), 0)</f>
        <v>0</v>
      </c>
      <c r="I806">
        <f>IFERROR(VLOOKUP(Tabla1[[#This Row],[SISMED]],TblDisponibilidad[],13,FALSE), 0)</f>
        <v>0</v>
      </c>
      <c r="J806">
        <f>IFERROR(VLOOKUP(Tabla1[[#This Row],[SISMED]],TblDisponibilidad[],14,FALSE), 0)</f>
        <v>0</v>
      </c>
      <c r="K806">
        <f>IFERROR(VLOOKUP(Tabla1[[#This Row],[SISMED]],TblDisponibilidad[],15,FALSE), 0)</f>
        <v>0</v>
      </c>
      <c r="L806">
        <f>IFERROR(VLOOKUP(Tabla1[[#This Row],[SISMED]],TblDisponibilidad[],16,FALSE), 0)</f>
        <v>0</v>
      </c>
      <c r="M806">
        <f>IFERROR(VLOOKUP(Tabla1[[#This Row],[SISMED]],TblDisponibilidad[],17,FALSE), 0)</f>
        <v>0</v>
      </c>
      <c r="N806">
        <f>IFERROR(VLOOKUP(Tabla1[[#This Row],[SISMED]],TblDisponibilidad[],18,FALSE), 0)</f>
        <v>0</v>
      </c>
      <c r="O806">
        <f>IFERROR(VLOOKUP(Tabla1[[#This Row],[SISMED]],TblDisponibilidad[],19,FALSE), 0)</f>
        <v>0</v>
      </c>
      <c r="P806">
        <f>IFERROR(VLOOKUP(Tabla1[[#This Row],[SISMED]],TblDisponibilidad[],20,FALSE), 0)</f>
        <v>0</v>
      </c>
      <c r="Q806">
        <f>IFERROR(VLOOKUP(Tabla1[[#This Row],[SISMED]],TblDisponibilidad[],21,FALSE), 0)</f>
        <v>0</v>
      </c>
      <c r="R806">
        <f>IFERROR(VLOOKUP(Tabla1[[#This Row],[SISMED]],TblDisponibilidad[],22,FALSE), 0)</f>
        <v>0</v>
      </c>
      <c r="S806" s="15">
        <f>IFERROR(VLOOKUP(Tabla1[[#This Row],[SISMED]],TblDisponibilidad[],23,FALSE), 0)</f>
        <v>0</v>
      </c>
    </row>
    <row r="807" spans="1:19" x14ac:dyDescent="0.3">
      <c r="A807" s="15" t="s">
        <v>837</v>
      </c>
      <c r="B807" t="str">
        <f>IFERROR(VLOOKUP(Tabla1[[#This Row],[SISMED]],TblDisponibilidad[],2,FALSE), "")</f>
        <v/>
      </c>
      <c r="C807">
        <f>IFERROR(VLOOKUP(Tabla1[[#This Row],[SISMED]],TblDisponibilidad[],7,FALSE), 0)</f>
        <v>0</v>
      </c>
      <c r="D807">
        <f>IFERROR(VLOOKUP(Tabla1[[#This Row],[SISMED]],TblDisponibilidad[],8,FALSE), 0)</f>
        <v>0</v>
      </c>
      <c r="E807">
        <f>IFERROR(VLOOKUP(Tabla1[[#This Row],[SISMED]],TblDisponibilidad[],9,FALSE), 0)</f>
        <v>0</v>
      </c>
      <c r="F807">
        <f>IFERROR(VLOOKUP(Tabla1[[#This Row],[SISMED]],TblDisponibilidad[],10,FALSE), 0)</f>
        <v>0</v>
      </c>
      <c r="G807">
        <f>IFERROR(VLOOKUP(Tabla1[[#This Row],[SISMED]],TblDisponibilidad[],11,FALSE), 0)</f>
        <v>0</v>
      </c>
      <c r="H807">
        <f>IFERROR(VLOOKUP(Tabla1[[#This Row],[SISMED]],TblDisponibilidad[],12,FALSE), 0)</f>
        <v>0</v>
      </c>
      <c r="I807">
        <f>IFERROR(VLOOKUP(Tabla1[[#This Row],[SISMED]],TblDisponibilidad[],13,FALSE), 0)</f>
        <v>0</v>
      </c>
      <c r="J807">
        <f>IFERROR(VLOOKUP(Tabla1[[#This Row],[SISMED]],TblDisponibilidad[],14,FALSE), 0)</f>
        <v>0</v>
      </c>
      <c r="K807">
        <f>IFERROR(VLOOKUP(Tabla1[[#This Row],[SISMED]],TblDisponibilidad[],15,FALSE), 0)</f>
        <v>0</v>
      </c>
      <c r="L807">
        <f>IFERROR(VLOOKUP(Tabla1[[#This Row],[SISMED]],TblDisponibilidad[],16,FALSE), 0)</f>
        <v>0</v>
      </c>
      <c r="M807">
        <f>IFERROR(VLOOKUP(Tabla1[[#This Row],[SISMED]],TblDisponibilidad[],17,FALSE), 0)</f>
        <v>0</v>
      </c>
      <c r="N807">
        <f>IFERROR(VLOOKUP(Tabla1[[#This Row],[SISMED]],TblDisponibilidad[],18,FALSE), 0)</f>
        <v>0</v>
      </c>
      <c r="O807">
        <f>IFERROR(VLOOKUP(Tabla1[[#This Row],[SISMED]],TblDisponibilidad[],19,FALSE), 0)</f>
        <v>0</v>
      </c>
      <c r="P807">
        <f>IFERROR(VLOOKUP(Tabla1[[#This Row],[SISMED]],TblDisponibilidad[],20,FALSE), 0)</f>
        <v>0</v>
      </c>
      <c r="Q807">
        <f>IFERROR(VLOOKUP(Tabla1[[#This Row],[SISMED]],TblDisponibilidad[],21,FALSE), 0)</f>
        <v>0</v>
      </c>
      <c r="R807">
        <f>IFERROR(VLOOKUP(Tabla1[[#This Row],[SISMED]],TblDisponibilidad[],22,FALSE), 0)</f>
        <v>0</v>
      </c>
      <c r="S807" s="15">
        <f>IFERROR(VLOOKUP(Tabla1[[#This Row],[SISMED]],TblDisponibilidad[],23,FALSE), 0)</f>
        <v>0</v>
      </c>
    </row>
    <row r="808" spans="1:19" x14ac:dyDescent="0.3">
      <c r="A808" s="15" t="s">
        <v>838</v>
      </c>
      <c r="B808" t="str">
        <f>IFERROR(VLOOKUP(Tabla1[[#This Row],[SISMED]],TblDisponibilidad[],2,FALSE), "")</f>
        <v/>
      </c>
      <c r="C808">
        <f>IFERROR(VLOOKUP(Tabla1[[#This Row],[SISMED]],TblDisponibilidad[],7,FALSE), 0)</f>
        <v>0</v>
      </c>
      <c r="D808">
        <f>IFERROR(VLOOKUP(Tabla1[[#This Row],[SISMED]],TblDisponibilidad[],8,FALSE), 0)</f>
        <v>0</v>
      </c>
      <c r="E808">
        <f>IFERROR(VLOOKUP(Tabla1[[#This Row],[SISMED]],TblDisponibilidad[],9,FALSE), 0)</f>
        <v>0</v>
      </c>
      <c r="F808">
        <f>IFERROR(VLOOKUP(Tabla1[[#This Row],[SISMED]],TblDisponibilidad[],10,FALSE), 0)</f>
        <v>0</v>
      </c>
      <c r="G808">
        <f>IFERROR(VLOOKUP(Tabla1[[#This Row],[SISMED]],TblDisponibilidad[],11,FALSE), 0)</f>
        <v>0</v>
      </c>
      <c r="H808">
        <f>IFERROR(VLOOKUP(Tabla1[[#This Row],[SISMED]],TblDisponibilidad[],12,FALSE), 0)</f>
        <v>0</v>
      </c>
      <c r="I808">
        <f>IFERROR(VLOOKUP(Tabla1[[#This Row],[SISMED]],TblDisponibilidad[],13,FALSE), 0)</f>
        <v>0</v>
      </c>
      <c r="J808">
        <f>IFERROR(VLOOKUP(Tabla1[[#This Row],[SISMED]],TblDisponibilidad[],14,FALSE), 0)</f>
        <v>0</v>
      </c>
      <c r="K808">
        <f>IFERROR(VLOOKUP(Tabla1[[#This Row],[SISMED]],TblDisponibilidad[],15,FALSE), 0)</f>
        <v>0</v>
      </c>
      <c r="L808">
        <f>IFERROR(VLOOKUP(Tabla1[[#This Row],[SISMED]],TblDisponibilidad[],16,FALSE), 0)</f>
        <v>0</v>
      </c>
      <c r="M808">
        <f>IFERROR(VLOOKUP(Tabla1[[#This Row],[SISMED]],TblDisponibilidad[],17,FALSE), 0)</f>
        <v>0</v>
      </c>
      <c r="N808">
        <f>IFERROR(VLOOKUP(Tabla1[[#This Row],[SISMED]],TblDisponibilidad[],18,FALSE), 0)</f>
        <v>0</v>
      </c>
      <c r="O808">
        <f>IFERROR(VLOOKUP(Tabla1[[#This Row],[SISMED]],TblDisponibilidad[],19,FALSE), 0)</f>
        <v>0</v>
      </c>
      <c r="P808">
        <f>IFERROR(VLOOKUP(Tabla1[[#This Row],[SISMED]],TblDisponibilidad[],20,FALSE), 0)</f>
        <v>0</v>
      </c>
      <c r="Q808">
        <f>IFERROR(VLOOKUP(Tabla1[[#This Row],[SISMED]],TblDisponibilidad[],21,FALSE), 0)</f>
        <v>0</v>
      </c>
      <c r="R808">
        <f>IFERROR(VLOOKUP(Tabla1[[#This Row],[SISMED]],TblDisponibilidad[],22,FALSE), 0)</f>
        <v>0</v>
      </c>
      <c r="S808" s="15">
        <f>IFERROR(VLOOKUP(Tabla1[[#This Row],[SISMED]],TblDisponibilidad[],23,FALSE), 0)</f>
        <v>0</v>
      </c>
    </row>
    <row r="809" spans="1:19" x14ac:dyDescent="0.3">
      <c r="A809" s="15" t="s">
        <v>839</v>
      </c>
      <c r="B809" t="str">
        <f>IFERROR(VLOOKUP(Tabla1[[#This Row],[SISMED]],TblDisponibilidad[],2,FALSE), "")</f>
        <v/>
      </c>
      <c r="C809">
        <f>IFERROR(VLOOKUP(Tabla1[[#This Row],[SISMED]],TblDisponibilidad[],7,FALSE), 0)</f>
        <v>0</v>
      </c>
      <c r="D809">
        <f>IFERROR(VLOOKUP(Tabla1[[#This Row],[SISMED]],TblDisponibilidad[],8,FALSE), 0)</f>
        <v>0</v>
      </c>
      <c r="E809">
        <f>IFERROR(VLOOKUP(Tabla1[[#This Row],[SISMED]],TblDisponibilidad[],9,FALSE), 0)</f>
        <v>0</v>
      </c>
      <c r="F809">
        <f>IFERROR(VLOOKUP(Tabla1[[#This Row],[SISMED]],TblDisponibilidad[],10,FALSE), 0)</f>
        <v>0</v>
      </c>
      <c r="G809">
        <f>IFERROR(VLOOKUP(Tabla1[[#This Row],[SISMED]],TblDisponibilidad[],11,FALSE), 0)</f>
        <v>0</v>
      </c>
      <c r="H809">
        <f>IFERROR(VLOOKUP(Tabla1[[#This Row],[SISMED]],TblDisponibilidad[],12,FALSE), 0)</f>
        <v>0</v>
      </c>
      <c r="I809">
        <f>IFERROR(VLOOKUP(Tabla1[[#This Row],[SISMED]],TblDisponibilidad[],13,FALSE), 0)</f>
        <v>0</v>
      </c>
      <c r="J809">
        <f>IFERROR(VLOOKUP(Tabla1[[#This Row],[SISMED]],TblDisponibilidad[],14,FALSE), 0)</f>
        <v>0</v>
      </c>
      <c r="K809">
        <f>IFERROR(VLOOKUP(Tabla1[[#This Row],[SISMED]],TblDisponibilidad[],15,FALSE), 0)</f>
        <v>0</v>
      </c>
      <c r="L809">
        <f>IFERROR(VLOOKUP(Tabla1[[#This Row],[SISMED]],TblDisponibilidad[],16,FALSE), 0)</f>
        <v>0</v>
      </c>
      <c r="M809">
        <f>IFERROR(VLOOKUP(Tabla1[[#This Row],[SISMED]],TblDisponibilidad[],17,FALSE), 0)</f>
        <v>0</v>
      </c>
      <c r="N809">
        <f>IFERROR(VLOOKUP(Tabla1[[#This Row],[SISMED]],TblDisponibilidad[],18,FALSE), 0)</f>
        <v>0</v>
      </c>
      <c r="O809">
        <f>IFERROR(VLOOKUP(Tabla1[[#This Row],[SISMED]],TblDisponibilidad[],19,FALSE), 0)</f>
        <v>0</v>
      </c>
      <c r="P809">
        <f>IFERROR(VLOOKUP(Tabla1[[#This Row],[SISMED]],TblDisponibilidad[],20,FALSE), 0)</f>
        <v>0</v>
      </c>
      <c r="Q809">
        <f>IFERROR(VLOOKUP(Tabla1[[#This Row],[SISMED]],TblDisponibilidad[],21,FALSE), 0)</f>
        <v>0</v>
      </c>
      <c r="R809">
        <f>IFERROR(VLOOKUP(Tabla1[[#This Row],[SISMED]],TblDisponibilidad[],22,FALSE), 0)</f>
        <v>0</v>
      </c>
      <c r="S809" s="15">
        <f>IFERROR(VLOOKUP(Tabla1[[#This Row],[SISMED]],TblDisponibilidad[],23,FALSE), 0)</f>
        <v>0</v>
      </c>
    </row>
    <row r="810" spans="1:19" x14ac:dyDescent="0.3">
      <c r="A810" s="15" t="s">
        <v>840</v>
      </c>
      <c r="B810" t="str">
        <f>IFERROR(VLOOKUP(Tabla1[[#This Row],[SISMED]],TblDisponibilidad[],2,FALSE), "")</f>
        <v/>
      </c>
      <c r="C810">
        <f>IFERROR(VLOOKUP(Tabla1[[#This Row],[SISMED]],TblDisponibilidad[],7,FALSE), 0)</f>
        <v>0</v>
      </c>
      <c r="D810">
        <f>IFERROR(VLOOKUP(Tabla1[[#This Row],[SISMED]],TblDisponibilidad[],8,FALSE), 0)</f>
        <v>0</v>
      </c>
      <c r="E810">
        <f>IFERROR(VLOOKUP(Tabla1[[#This Row],[SISMED]],TblDisponibilidad[],9,FALSE), 0)</f>
        <v>0</v>
      </c>
      <c r="F810">
        <f>IFERROR(VLOOKUP(Tabla1[[#This Row],[SISMED]],TblDisponibilidad[],10,FALSE), 0)</f>
        <v>0</v>
      </c>
      <c r="G810">
        <f>IFERROR(VLOOKUP(Tabla1[[#This Row],[SISMED]],TblDisponibilidad[],11,FALSE), 0)</f>
        <v>0</v>
      </c>
      <c r="H810">
        <f>IFERROR(VLOOKUP(Tabla1[[#This Row],[SISMED]],TblDisponibilidad[],12,FALSE), 0)</f>
        <v>0</v>
      </c>
      <c r="I810">
        <f>IFERROR(VLOOKUP(Tabla1[[#This Row],[SISMED]],TblDisponibilidad[],13,FALSE), 0)</f>
        <v>0</v>
      </c>
      <c r="J810">
        <f>IFERROR(VLOOKUP(Tabla1[[#This Row],[SISMED]],TblDisponibilidad[],14,FALSE), 0)</f>
        <v>0</v>
      </c>
      <c r="K810">
        <f>IFERROR(VLOOKUP(Tabla1[[#This Row],[SISMED]],TblDisponibilidad[],15,FALSE), 0)</f>
        <v>0</v>
      </c>
      <c r="L810">
        <f>IFERROR(VLOOKUP(Tabla1[[#This Row],[SISMED]],TblDisponibilidad[],16,FALSE), 0)</f>
        <v>0</v>
      </c>
      <c r="M810">
        <f>IFERROR(VLOOKUP(Tabla1[[#This Row],[SISMED]],TblDisponibilidad[],17,FALSE), 0)</f>
        <v>0</v>
      </c>
      <c r="N810">
        <f>IFERROR(VLOOKUP(Tabla1[[#This Row],[SISMED]],TblDisponibilidad[],18,FALSE), 0)</f>
        <v>0</v>
      </c>
      <c r="O810">
        <f>IFERROR(VLOOKUP(Tabla1[[#This Row],[SISMED]],TblDisponibilidad[],19,FALSE), 0)</f>
        <v>0</v>
      </c>
      <c r="P810">
        <f>IFERROR(VLOOKUP(Tabla1[[#This Row],[SISMED]],TblDisponibilidad[],20,FALSE), 0)</f>
        <v>0</v>
      </c>
      <c r="Q810">
        <f>IFERROR(VLOOKUP(Tabla1[[#This Row],[SISMED]],TblDisponibilidad[],21,FALSE), 0)</f>
        <v>0</v>
      </c>
      <c r="R810">
        <f>IFERROR(VLOOKUP(Tabla1[[#This Row],[SISMED]],TblDisponibilidad[],22,FALSE), 0)</f>
        <v>0</v>
      </c>
      <c r="S810" s="15">
        <f>IFERROR(VLOOKUP(Tabla1[[#This Row],[SISMED]],TblDisponibilidad[],23,FALSE), 0)</f>
        <v>0</v>
      </c>
    </row>
    <row r="811" spans="1:19" x14ac:dyDescent="0.3">
      <c r="A811" s="15" t="s">
        <v>841</v>
      </c>
      <c r="B811" t="str">
        <f>IFERROR(VLOOKUP(Tabla1[[#This Row],[SISMED]],TblDisponibilidad[],2,FALSE), "")</f>
        <v/>
      </c>
      <c r="C811">
        <f>IFERROR(VLOOKUP(Tabla1[[#This Row],[SISMED]],TblDisponibilidad[],7,FALSE), 0)</f>
        <v>0</v>
      </c>
      <c r="D811">
        <f>IFERROR(VLOOKUP(Tabla1[[#This Row],[SISMED]],TblDisponibilidad[],8,FALSE), 0)</f>
        <v>0</v>
      </c>
      <c r="E811">
        <f>IFERROR(VLOOKUP(Tabla1[[#This Row],[SISMED]],TblDisponibilidad[],9,FALSE), 0)</f>
        <v>0</v>
      </c>
      <c r="F811">
        <f>IFERROR(VLOOKUP(Tabla1[[#This Row],[SISMED]],TblDisponibilidad[],10,FALSE), 0)</f>
        <v>0</v>
      </c>
      <c r="G811">
        <f>IFERROR(VLOOKUP(Tabla1[[#This Row],[SISMED]],TblDisponibilidad[],11,FALSE), 0)</f>
        <v>0</v>
      </c>
      <c r="H811">
        <f>IFERROR(VLOOKUP(Tabla1[[#This Row],[SISMED]],TblDisponibilidad[],12,FALSE), 0)</f>
        <v>0</v>
      </c>
      <c r="I811">
        <f>IFERROR(VLOOKUP(Tabla1[[#This Row],[SISMED]],TblDisponibilidad[],13,FALSE), 0)</f>
        <v>0</v>
      </c>
      <c r="J811">
        <f>IFERROR(VLOOKUP(Tabla1[[#This Row],[SISMED]],TblDisponibilidad[],14,FALSE), 0)</f>
        <v>0</v>
      </c>
      <c r="K811">
        <f>IFERROR(VLOOKUP(Tabla1[[#This Row],[SISMED]],TblDisponibilidad[],15,FALSE), 0)</f>
        <v>0</v>
      </c>
      <c r="L811">
        <f>IFERROR(VLOOKUP(Tabla1[[#This Row],[SISMED]],TblDisponibilidad[],16,FALSE), 0)</f>
        <v>0</v>
      </c>
      <c r="M811">
        <f>IFERROR(VLOOKUP(Tabla1[[#This Row],[SISMED]],TblDisponibilidad[],17,FALSE), 0)</f>
        <v>0</v>
      </c>
      <c r="N811">
        <f>IFERROR(VLOOKUP(Tabla1[[#This Row],[SISMED]],TblDisponibilidad[],18,FALSE), 0)</f>
        <v>0</v>
      </c>
      <c r="O811">
        <f>IFERROR(VLOOKUP(Tabla1[[#This Row],[SISMED]],TblDisponibilidad[],19,FALSE), 0)</f>
        <v>0</v>
      </c>
      <c r="P811">
        <f>IFERROR(VLOOKUP(Tabla1[[#This Row],[SISMED]],TblDisponibilidad[],20,FALSE), 0)</f>
        <v>0</v>
      </c>
      <c r="Q811">
        <f>IFERROR(VLOOKUP(Tabla1[[#This Row],[SISMED]],TblDisponibilidad[],21,FALSE), 0)</f>
        <v>0</v>
      </c>
      <c r="R811">
        <f>IFERROR(VLOOKUP(Tabla1[[#This Row],[SISMED]],TblDisponibilidad[],22,FALSE), 0)</f>
        <v>0</v>
      </c>
      <c r="S811" s="15">
        <f>IFERROR(VLOOKUP(Tabla1[[#This Row],[SISMED]],TblDisponibilidad[],23,FALSE), 0)</f>
        <v>0</v>
      </c>
    </row>
    <row r="812" spans="1:19" x14ac:dyDescent="0.3">
      <c r="A812" s="15" t="s">
        <v>842</v>
      </c>
      <c r="B812" t="str">
        <f>IFERROR(VLOOKUP(Tabla1[[#This Row],[SISMED]],TblDisponibilidad[],2,FALSE), "")</f>
        <v/>
      </c>
      <c r="C812">
        <f>IFERROR(VLOOKUP(Tabla1[[#This Row],[SISMED]],TblDisponibilidad[],7,FALSE), 0)</f>
        <v>0</v>
      </c>
      <c r="D812">
        <f>IFERROR(VLOOKUP(Tabla1[[#This Row],[SISMED]],TblDisponibilidad[],8,FALSE), 0)</f>
        <v>0</v>
      </c>
      <c r="E812">
        <f>IFERROR(VLOOKUP(Tabla1[[#This Row],[SISMED]],TblDisponibilidad[],9,FALSE), 0)</f>
        <v>0</v>
      </c>
      <c r="F812">
        <f>IFERROR(VLOOKUP(Tabla1[[#This Row],[SISMED]],TblDisponibilidad[],10,FALSE), 0)</f>
        <v>0</v>
      </c>
      <c r="G812">
        <f>IFERROR(VLOOKUP(Tabla1[[#This Row],[SISMED]],TblDisponibilidad[],11,FALSE), 0)</f>
        <v>0</v>
      </c>
      <c r="H812">
        <f>IFERROR(VLOOKUP(Tabla1[[#This Row],[SISMED]],TblDisponibilidad[],12,FALSE), 0)</f>
        <v>0</v>
      </c>
      <c r="I812">
        <f>IFERROR(VLOOKUP(Tabla1[[#This Row],[SISMED]],TblDisponibilidad[],13,FALSE), 0)</f>
        <v>0</v>
      </c>
      <c r="J812">
        <f>IFERROR(VLOOKUP(Tabla1[[#This Row],[SISMED]],TblDisponibilidad[],14,FALSE), 0)</f>
        <v>0</v>
      </c>
      <c r="K812">
        <f>IFERROR(VLOOKUP(Tabla1[[#This Row],[SISMED]],TblDisponibilidad[],15,FALSE), 0)</f>
        <v>0</v>
      </c>
      <c r="L812">
        <f>IFERROR(VLOOKUP(Tabla1[[#This Row],[SISMED]],TblDisponibilidad[],16,FALSE), 0)</f>
        <v>0</v>
      </c>
      <c r="M812">
        <f>IFERROR(VLOOKUP(Tabla1[[#This Row],[SISMED]],TblDisponibilidad[],17,FALSE), 0)</f>
        <v>0</v>
      </c>
      <c r="N812">
        <f>IFERROR(VLOOKUP(Tabla1[[#This Row],[SISMED]],TblDisponibilidad[],18,FALSE), 0)</f>
        <v>0</v>
      </c>
      <c r="O812">
        <f>IFERROR(VLOOKUP(Tabla1[[#This Row],[SISMED]],TblDisponibilidad[],19,FALSE), 0)</f>
        <v>0</v>
      </c>
      <c r="P812">
        <f>IFERROR(VLOOKUP(Tabla1[[#This Row],[SISMED]],TblDisponibilidad[],20,FALSE), 0)</f>
        <v>0</v>
      </c>
      <c r="Q812">
        <f>IFERROR(VLOOKUP(Tabla1[[#This Row],[SISMED]],TblDisponibilidad[],21,FALSE), 0)</f>
        <v>0</v>
      </c>
      <c r="R812">
        <f>IFERROR(VLOOKUP(Tabla1[[#This Row],[SISMED]],TblDisponibilidad[],22,FALSE), 0)</f>
        <v>0</v>
      </c>
      <c r="S812" s="15">
        <f>IFERROR(VLOOKUP(Tabla1[[#This Row],[SISMED]],TblDisponibilidad[],23,FALSE), 0)</f>
        <v>0</v>
      </c>
    </row>
    <row r="813" spans="1:19" x14ac:dyDescent="0.3">
      <c r="A813" s="15" t="s">
        <v>843</v>
      </c>
      <c r="B813" t="str">
        <f>IFERROR(VLOOKUP(Tabla1[[#This Row],[SISMED]],TblDisponibilidad[],2,FALSE), "")</f>
        <v/>
      </c>
      <c r="C813">
        <f>IFERROR(VLOOKUP(Tabla1[[#This Row],[SISMED]],TblDisponibilidad[],7,FALSE), 0)</f>
        <v>0</v>
      </c>
      <c r="D813">
        <f>IFERROR(VLOOKUP(Tabla1[[#This Row],[SISMED]],TblDisponibilidad[],8,FALSE), 0)</f>
        <v>0</v>
      </c>
      <c r="E813">
        <f>IFERROR(VLOOKUP(Tabla1[[#This Row],[SISMED]],TblDisponibilidad[],9,FALSE), 0)</f>
        <v>0</v>
      </c>
      <c r="F813">
        <f>IFERROR(VLOOKUP(Tabla1[[#This Row],[SISMED]],TblDisponibilidad[],10,FALSE), 0)</f>
        <v>0</v>
      </c>
      <c r="G813">
        <f>IFERROR(VLOOKUP(Tabla1[[#This Row],[SISMED]],TblDisponibilidad[],11,FALSE), 0)</f>
        <v>0</v>
      </c>
      <c r="H813">
        <f>IFERROR(VLOOKUP(Tabla1[[#This Row],[SISMED]],TblDisponibilidad[],12,FALSE), 0)</f>
        <v>0</v>
      </c>
      <c r="I813">
        <f>IFERROR(VLOOKUP(Tabla1[[#This Row],[SISMED]],TblDisponibilidad[],13,FALSE), 0)</f>
        <v>0</v>
      </c>
      <c r="J813">
        <f>IFERROR(VLOOKUP(Tabla1[[#This Row],[SISMED]],TblDisponibilidad[],14,FALSE), 0)</f>
        <v>0</v>
      </c>
      <c r="K813">
        <f>IFERROR(VLOOKUP(Tabla1[[#This Row],[SISMED]],TblDisponibilidad[],15,FALSE), 0)</f>
        <v>0</v>
      </c>
      <c r="L813">
        <f>IFERROR(VLOOKUP(Tabla1[[#This Row],[SISMED]],TblDisponibilidad[],16,FALSE), 0)</f>
        <v>0</v>
      </c>
      <c r="M813">
        <f>IFERROR(VLOOKUP(Tabla1[[#This Row],[SISMED]],TblDisponibilidad[],17,FALSE), 0)</f>
        <v>0</v>
      </c>
      <c r="N813">
        <f>IFERROR(VLOOKUP(Tabla1[[#This Row],[SISMED]],TblDisponibilidad[],18,FALSE), 0)</f>
        <v>0</v>
      </c>
      <c r="O813">
        <f>IFERROR(VLOOKUP(Tabla1[[#This Row],[SISMED]],TblDisponibilidad[],19,FALSE), 0)</f>
        <v>0</v>
      </c>
      <c r="P813">
        <f>IFERROR(VLOOKUP(Tabla1[[#This Row],[SISMED]],TblDisponibilidad[],20,FALSE), 0)</f>
        <v>0</v>
      </c>
      <c r="Q813">
        <f>IFERROR(VLOOKUP(Tabla1[[#This Row],[SISMED]],TblDisponibilidad[],21,FALSE), 0)</f>
        <v>0</v>
      </c>
      <c r="R813">
        <f>IFERROR(VLOOKUP(Tabla1[[#This Row],[SISMED]],TblDisponibilidad[],22,FALSE), 0)</f>
        <v>0</v>
      </c>
      <c r="S813" s="15">
        <f>IFERROR(VLOOKUP(Tabla1[[#This Row],[SISMED]],TblDisponibilidad[],23,FALSE), 0)</f>
        <v>0</v>
      </c>
    </row>
    <row r="814" spans="1:19" x14ac:dyDescent="0.3">
      <c r="A814" s="15" t="s">
        <v>844</v>
      </c>
      <c r="B814" t="str">
        <f>IFERROR(VLOOKUP(Tabla1[[#This Row],[SISMED]],TblDisponibilidad[],2,FALSE), "")</f>
        <v/>
      </c>
      <c r="C814">
        <f>IFERROR(VLOOKUP(Tabla1[[#This Row],[SISMED]],TblDisponibilidad[],7,FALSE), 0)</f>
        <v>0</v>
      </c>
      <c r="D814">
        <f>IFERROR(VLOOKUP(Tabla1[[#This Row],[SISMED]],TblDisponibilidad[],8,FALSE), 0)</f>
        <v>0</v>
      </c>
      <c r="E814">
        <f>IFERROR(VLOOKUP(Tabla1[[#This Row],[SISMED]],TblDisponibilidad[],9,FALSE), 0)</f>
        <v>0</v>
      </c>
      <c r="F814">
        <f>IFERROR(VLOOKUP(Tabla1[[#This Row],[SISMED]],TblDisponibilidad[],10,FALSE), 0)</f>
        <v>0</v>
      </c>
      <c r="G814">
        <f>IFERROR(VLOOKUP(Tabla1[[#This Row],[SISMED]],TblDisponibilidad[],11,FALSE), 0)</f>
        <v>0</v>
      </c>
      <c r="H814">
        <f>IFERROR(VLOOKUP(Tabla1[[#This Row],[SISMED]],TblDisponibilidad[],12,FALSE), 0)</f>
        <v>0</v>
      </c>
      <c r="I814">
        <f>IFERROR(VLOOKUP(Tabla1[[#This Row],[SISMED]],TblDisponibilidad[],13,FALSE), 0)</f>
        <v>0</v>
      </c>
      <c r="J814">
        <f>IFERROR(VLOOKUP(Tabla1[[#This Row],[SISMED]],TblDisponibilidad[],14,FALSE), 0)</f>
        <v>0</v>
      </c>
      <c r="K814">
        <f>IFERROR(VLOOKUP(Tabla1[[#This Row],[SISMED]],TblDisponibilidad[],15,FALSE), 0)</f>
        <v>0</v>
      </c>
      <c r="L814">
        <f>IFERROR(VLOOKUP(Tabla1[[#This Row],[SISMED]],TblDisponibilidad[],16,FALSE), 0)</f>
        <v>0</v>
      </c>
      <c r="M814">
        <f>IFERROR(VLOOKUP(Tabla1[[#This Row],[SISMED]],TblDisponibilidad[],17,FALSE), 0)</f>
        <v>0</v>
      </c>
      <c r="N814">
        <f>IFERROR(VLOOKUP(Tabla1[[#This Row],[SISMED]],TblDisponibilidad[],18,FALSE), 0)</f>
        <v>0</v>
      </c>
      <c r="O814">
        <f>IFERROR(VLOOKUP(Tabla1[[#This Row],[SISMED]],TblDisponibilidad[],19,FALSE), 0)</f>
        <v>0</v>
      </c>
      <c r="P814">
        <f>IFERROR(VLOOKUP(Tabla1[[#This Row],[SISMED]],TblDisponibilidad[],20,FALSE), 0)</f>
        <v>0</v>
      </c>
      <c r="Q814">
        <f>IFERROR(VLOOKUP(Tabla1[[#This Row],[SISMED]],TblDisponibilidad[],21,FALSE), 0)</f>
        <v>0</v>
      </c>
      <c r="R814">
        <f>IFERROR(VLOOKUP(Tabla1[[#This Row],[SISMED]],TblDisponibilidad[],22,FALSE), 0)</f>
        <v>0</v>
      </c>
      <c r="S814" s="15">
        <f>IFERROR(VLOOKUP(Tabla1[[#This Row],[SISMED]],TblDisponibilidad[],23,FALSE), 0)</f>
        <v>0</v>
      </c>
    </row>
    <row r="815" spans="1:19" x14ac:dyDescent="0.3">
      <c r="A815" s="15" t="s">
        <v>845</v>
      </c>
      <c r="B815" t="str">
        <f>IFERROR(VLOOKUP(Tabla1[[#This Row],[SISMED]],TblDisponibilidad[],2,FALSE), "")</f>
        <v/>
      </c>
      <c r="C815">
        <f>IFERROR(VLOOKUP(Tabla1[[#This Row],[SISMED]],TblDisponibilidad[],7,FALSE), 0)</f>
        <v>0</v>
      </c>
      <c r="D815">
        <f>IFERROR(VLOOKUP(Tabla1[[#This Row],[SISMED]],TblDisponibilidad[],8,FALSE), 0)</f>
        <v>0</v>
      </c>
      <c r="E815">
        <f>IFERROR(VLOOKUP(Tabla1[[#This Row],[SISMED]],TblDisponibilidad[],9,FALSE), 0)</f>
        <v>0</v>
      </c>
      <c r="F815">
        <f>IFERROR(VLOOKUP(Tabla1[[#This Row],[SISMED]],TblDisponibilidad[],10,FALSE), 0)</f>
        <v>0</v>
      </c>
      <c r="G815">
        <f>IFERROR(VLOOKUP(Tabla1[[#This Row],[SISMED]],TblDisponibilidad[],11,FALSE), 0)</f>
        <v>0</v>
      </c>
      <c r="H815">
        <f>IFERROR(VLOOKUP(Tabla1[[#This Row],[SISMED]],TblDisponibilidad[],12,FALSE), 0)</f>
        <v>0</v>
      </c>
      <c r="I815">
        <f>IFERROR(VLOOKUP(Tabla1[[#This Row],[SISMED]],TblDisponibilidad[],13,FALSE), 0)</f>
        <v>0</v>
      </c>
      <c r="J815">
        <f>IFERROR(VLOOKUP(Tabla1[[#This Row],[SISMED]],TblDisponibilidad[],14,FALSE), 0)</f>
        <v>0</v>
      </c>
      <c r="K815">
        <f>IFERROR(VLOOKUP(Tabla1[[#This Row],[SISMED]],TblDisponibilidad[],15,FALSE), 0)</f>
        <v>0</v>
      </c>
      <c r="L815">
        <f>IFERROR(VLOOKUP(Tabla1[[#This Row],[SISMED]],TblDisponibilidad[],16,FALSE), 0)</f>
        <v>0</v>
      </c>
      <c r="M815">
        <f>IFERROR(VLOOKUP(Tabla1[[#This Row],[SISMED]],TblDisponibilidad[],17,FALSE), 0)</f>
        <v>0</v>
      </c>
      <c r="N815">
        <f>IFERROR(VLOOKUP(Tabla1[[#This Row],[SISMED]],TblDisponibilidad[],18,FALSE), 0)</f>
        <v>0</v>
      </c>
      <c r="O815">
        <f>IFERROR(VLOOKUP(Tabla1[[#This Row],[SISMED]],TblDisponibilidad[],19,FALSE), 0)</f>
        <v>0</v>
      </c>
      <c r="P815">
        <f>IFERROR(VLOOKUP(Tabla1[[#This Row],[SISMED]],TblDisponibilidad[],20,FALSE), 0)</f>
        <v>0</v>
      </c>
      <c r="Q815">
        <f>IFERROR(VLOOKUP(Tabla1[[#This Row],[SISMED]],TblDisponibilidad[],21,FALSE), 0)</f>
        <v>0</v>
      </c>
      <c r="R815">
        <f>IFERROR(VLOOKUP(Tabla1[[#This Row],[SISMED]],TblDisponibilidad[],22,FALSE), 0)</f>
        <v>0</v>
      </c>
      <c r="S815" s="15">
        <f>IFERROR(VLOOKUP(Tabla1[[#This Row],[SISMED]],TblDisponibilidad[],23,FALSE), 0)</f>
        <v>0</v>
      </c>
    </row>
    <row r="816" spans="1:19" x14ac:dyDescent="0.3">
      <c r="A816" s="15" t="s">
        <v>846</v>
      </c>
      <c r="B816" t="str">
        <f>IFERROR(VLOOKUP(Tabla1[[#This Row],[SISMED]],TblDisponibilidad[],2,FALSE), "")</f>
        <v/>
      </c>
      <c r="C816">
        <f>IFERROR(VLOOKUP(Tabla1[[#This Row],[SISMED]],TblDisponibilidad[],7,FALSE), 0)</f>
        <v>0</v>
      </c>
      <c r="D816">
        <f>IFERROR(VLOOKUP(Tabla1[[#This Row],[SISMED]],TblDisponibilidad[],8,FALSE), 0)</f>
        <v>0</v>
      </c>
      <c r="E816">
        <f>IFERROR(VLOOKUP(Tabla1[[#This Row],[SISMED]],TblDisponibilidad[],9,FALSE), 0)</f>
        <v>0</v>
      </c>
      <c r="F816">
        <f>IFERROR(VLOOKUP(Tabla1[[#This Row],[SISMED]],TblDisponibilidad[],10,FALSE), 0)</f>
        <v>0</v>
      </c>
      <c r="G816">
        <f>IFERROR(VLOOKUP(Tabla1[[#This Row],[SISMED]],TblDisponibilidad[],11,FALSE), 0)</f>
        <v>0</v>
      </c>
      <c r="H816">
        <f>IFERROR(VLOOKUP(Tabla1[[#This Row],[SISMED]],TblDisponibilidad[],12,FALSE), 0)</f>
        <v>0</v>
      </c>
      <c r="I816">
        <f>IFERROR(VLOOKUP(Tabla1[[#This Row],[SISMED]],TblDisponibilidad[],13,FALSE), 0)</f>
        <v>0</v>
      </c>
      <c r="J816">
        <f>IFERROR(VLOOKUP(Tabla1[[#This Row],[SISMED]],TblDisponibilidad[],14,FALSE), 0)</f>
        <v>0</v>
      </c>
      <c r="K816">
        <f>IFERROR(VLOOKUP(Tabla1[[#This Row],[SISMED]],TblDisponibilidad[],15,FALSE), 0)</f>
        <v>0</v>
      </c>
      <c r="L816">
        <f>IFERROR(VLOOKUP(Tabla1[[#This Row],[SISMED]],TblDisponibilidad[],16,FALSE), 0)</f>
        <v>0</v>
      </c>
      <c r="M816">
        <f>IFERROR(VLOOKUP(Tabla1[[#This Row],[SISMED]],TblDisponibilidad[],17,FALSE), 0)</f>
        <v>0</v>
      </c>
      <c r="N816">
        <f>IFERROR(VLOOKUP(Tabla1[[#This Row],[SISMED]],TblDisponibilidad[],18,FALSE), 0)</f>
        <v>0</v>
      </c>
      <c r="O816">
        <f>IFERROR(VLOOKUP(Tabla1[[#This Row],[SISMED]],TblDisponibilidad[],19,FALSE), 0)</f>
        <v>0</v>
      </c>
      <c r="P816">
        <f>IFERROR(VLOOKUP(Tabla1[[#This Row],[SISMED]],TblDisponibilidad[],20,FALSE), 0)</f>
        <v>0</v>
      </c>
      <c r="Q816">
        <f>IFERROR(VLOOKUP(Tabla1[[#This Row],[SISMED]],TblDisponibilidad[],21,FALSE), 0)</f>
        <v>0</v>
      </c>
      <c r="R816">
        <f>IFERROR(VLOOKUP(Tabla1[[#This Row],[SISMED]],TblDisponibilidad[],22,FALSE), 0)</f>
        <v>0</v>
      </c>
      <c r="S816" s="15">
        <f>IFERROR(VLOOKUP(Tabla1[[#This Row],[SISMED]],TblDisponibilidad[],23,FALSE), 0)</f>
        <v>0</v>
      </c>
    </row>
    <row r="817" spans="1:19" x14ac:dyDescent="0.3">
      <c r="A817" s="15" t="s">
        <v>847</v>
      </c>
      <c r="B817" t="str">
        <f>IFERROR(VLOOKUP(Tabla1[[#This Row],[SISMED]],TblDisponibilidad[],2,FALSE), "")</f>
        <v/>
      </c>
      <c r="C817">
        <f>IFERROR(VLOOKUP(Tabla1[[#This Row],[SISMED]],TblDisponibilidad[],7,FALSE), 0)</f>
        <v>0</v>
      </c>
      <c r="D817">
        <f>IFERROR(VLOOKUP(Tabla1[[#This Row],[SISMED]],TblDisponibilidad[],8,FALSE), 0)</f>
        <v>0</v>
      </c>
      <c r="E817">
        <f>IFERROR(VLOOKUP(Tabla1[[#This Row],[SISMED]],TblDisponibilidad[],9,FALSE), 0)</f>
        <v>0</v>
      </c>
      <c r="F817">
        <f>IFERROR(VLOOKUP(Tabla1[[#This Row],[SISMED]],TblDisponibilidad[],10,FALSE), 0)</f>
        <v>0</v>
      </c>
      <c r="G817">
        <f>IFERROR(VLOOKUP(Tabla1[[#This Row],[SISMED]],TblDisponibilidad[],11,FALSE), 0)</f>
        <v>0</v>
      </c>
      <c r="H817">
        <f>IFERROR(VLOOKUP(Tabla1[[#This Row],[SISMED]],TblDisponibilidad[],12,FALSE), 0)</f>
        <v>0</v>
      </c>
      <c r="I817">
        <f>IFERROR(VLOOKUP(Tabla1[[#This Row],[SISMED]],TblDisponibilidad[],13,FALSE), 0)</f>
        <v>0</v>
      </c>
      <c r="J817">
        <f>IFERROR(VLOOKUP(Tabla1[[#This Row],[SISMED]],TblDisponibilidad[],14,FALSE), 0)</f>
        <v>0</v>
      </c>
      <c r="K817">
        <f>IFERROR(VLOOKUP(Tabla1[[#This Row],[SISMED]],TblDisponibilidad[],15,FALSE), 0)</f>
        <v>0</v>
      </c>
      <c r="L817">
        <f>IFERROR(VLOOKUP(Tabla1[[#This Row],[SISMED]],TblDisponibilidad[],16,FALSE), 0)</f>
        <v>0</v>
      </c>
      <c r="M817">
        <f>IFERROR(VLOOKUP(Tabla1[[#This Row],[SISMED]],TblDisponibilidad[],17,FALSE), 0)</f>
        <v>0</v>
      </c>
      <c r="N817">
        <f>IFERROR(VLOOKUP(Tabla1[[#This Row],[SISMED]],TblDisponibilidad[],18,FALSE), 0)</f>
        <v>0</v>
      </c>
      <c r="O817">
        <f>IFERROR(VLOOKUP(Tabla1[[#This Row],[SISMED]],TblDisponibilidad[],19,FALSE), 0)</f>
        <v>0</v>
      </c>
      <c r="P817">
        <f>IFERROR(VLOOKUP(Tabla1[[#This Row],[SISMED]],TblDisponibilidad[],20,FALSE), 0)</f>
        <v>0</v>
      </c>
      <c r="Q817">
        <f>IFERROR(VLOOKUP(Tabla1[[#This Row],[SISMED]],TblDisponibilidad[],21,FALSE), 0)</f>
        <v>0</v>
      </c>
      <c r="R817">
        <f>IFERROR(VLOOKUP(Tabla1[[#This Row],[SISMED]],TblDisponibilidad[],22,FALSE), 0)</f>
        <v>0</v>
      </c>
      <c r="S817" s="15">
        <f>IFERROR(VLOOKUP(Tabla1[[#This Row],[SISMED]],TblDisponibilidad[],23,FALSE), 0)</f>
        <v>0</v>
      </c>
    </row>
    <row r="818" spans="1:19" x14ac:dyDescent="0.3">
      <c r="A818" s="15" t="s">
        <v>848</v>
      </c>
      <c r="B818" t="str">
        <f>IFERROR(VLOOKUP(Tabla1[[#This Row],[SISMED]],TblDisponibilidad[],2,FALSE), "")</f>
        <v/>
      </c>
      <c r="C818">
        <f>IFERROR(VLOOKUP(Tabla1[[#This Row],[SISMED]],TblDisponibilidad[],7,FALSE), 0)</f>
        <v>0</v>
      </c>
      <c r="D818">
        <f>IFERROR(VLOOKUP(Tabla1[[#This Row],[SISMED]],TblDisponibilidad[],8,FALSE), 0)</f>
        <v>0</v>
      </c>
      <c r="E818">
        <f>IFERROR(VLOOKUP(Tabla1[[#This Row],[SISMED]],TblDisponibilidad[],9,FALSE), 0)</f>
        <v>0</v>
      </c>
      <c r="F818">
        <f>IFERROR(VLOOKUP(Tabla1[[#This Row],[SISMED]],TblDisponibilidad[],10,FALSE), 0)</f>
        <v>0</v>
      </c>
      <c r="G818">
        <f>IFERROR(VLOOKUP(Tabla1[[#This Row],[SISMED]],TblDisponibilidad[],11,FALSE), 0)</f>
        <v>0</v>
      </c>
      <c r="H818">
        <f>IFERROR(VLOOKUP(Tabla1[[#This Row],[SISMED]],TblDisponibilidad[],12,FALSE), 0)</f>
        <v>0</v>
      </c>
      <c r="I818">
        <f>IFERROR(VLOOKUP(Tabla1[[#This Row],[SISMED]],TblDisponibilidad[],13,FALSE), 0)</f>
        <v>0</v>
      </c>
      <c r="J818">
        <f>IFERROR(VLOOKUP(Tabla1[[#This Row],[SISMED]],TblDisponibilidad[],14,FALSE), 0)</f>
        <v>0</v>
      </c>
      <c r="K818">
        <f>IFERROR(VLOOKUP(Tabla1[[#This Row],[SISMED]],TblDisponibilidad[],15,FALSE), 0)</f>
        <v>0</v>
      </c>
      <c r="L818">
        <f>IFERROR(VLOOKUP(Tabla1[[#This Row],[SISMED]],TblDisponibilidad[],16,FALSE), 0)</f>
        <v>0</v>
      </c>
      <c r="M818">
        <f>IFERROR(VLOOKUP(Tabla1[[#This Row],[SISMED]],TblDisponibilidad[],17,FALSE), 0)</f>
        <v>0</v>
      </c>
      <c r="N818">
        <f>IFERROR(VLOOKUP(Tabla1[[#This Row],[SISMED]],TblDisponibilidad[],18,FALSE), 0)</f>
        <v>0</v>
      </c>
      <c r="O818">
        <f>IFERROR(VLOOKUP(Tabla1[[#This Row],[SISMED]],TblDisponibilidad[],19,FALSE), 0)</f>
        <v>0</v>
      </c>
      <c r="P818">
        <f>IFERROR(VLOOKUP(Tabla1[[#This Row],[SISMED]],TblDisponibilidad[],20,FALSE), 0)</f>
        <v>0</v>
      </c>
      <c r="Q818">
        <f>IFERROR(VLOOKUP(Tabla1[[#This Row],[SISMED]],TblDisponibilidad[],21,FALSE), 0)</f>
        <v>0</v>
      </c>
      <c r="R818">
        <f>IFERROR(VLOOKUP(Tabla1[[#This Row],[SISMED]],TblDisponibilidad[],22,FALSE), 0)</f>
        <v>0</v>
      </c>
      <c r="S818" s="15">
        <f>IFERROR(VLOOKUP(Tabla1[[#This Row],[SISMED]],TblDisponibilidad[],23,FALSE), 0)</f>
        <v>0</v>
      </c>
    </row>
    <row r="819" spans="1:19" x14ac:dyDescent="0.3">
      <c r="A819" s="15" t="s">
        <v>849</v>
      </c>
      <c r="B819" t="str">
        <f>IFERROR(VLOOKUP(Tabla1[[#This Row],[SISMED]],TblDisponibilidad[],2,FALSE), "")</f>
        <v/>
      </c>
      <c r="C819">
        <f>IFERROR(VLOOKUP(Tabla1[[#This Row],[SISMED]],TblDisponibilidad[],7,FALSE), 0)</f>
        <v>0</v>
      </c>
      <c r="D819">
        <f>IFERROR(VLOOKUP(Tabla1[[#This Row],[SISMED]],TblDisponibilidad[],8,FALSE), 0)</f>
        <v>0</v>
      </c>
      <c r="E819">
        <f>IFERROR(VLOOKUP(Tabla1[[#This Row],[SISMED]],TblDisponibilidad[],9,FALSE), 0)</f>
        <v>0</v>
      </c>
      <c r="F819">
        <f>IFERROR(VLOOKUP(Tabla1[[#This Row],[SISMED]],TblDisponibilidad[],10,FALSE), 0)</f>
        <v>0</v>
      </c>
      <c r="G819">
        <f>IFERROR(VLOOKUP(Tabla1[[#This Row],[SISMED]],TblDisponibilidad[],11,FALSE), 0)</f>
        <v>0</v>
      </c>
      <c r="H819">
        <f>IFERROR(VLOOKUP(Tabla1[[#This Row],[SISMED]],TblDisponibilidad[],12,FALSE), 0)</f>
        <v>0</v>
      </c>
      <c r="I819">
        <f>IFERROR(VLOOKUP(Tabla1[[#This Row],[SISMED]],TblDisponibilidad[],13,FALSE), 0)</f>
        <v>0</v>
      </c>
      <c r="J819">
        <f>IFERROR(VLOOKUP(Tabla1[[#This Row],[SISMED]],TblDisponibilidad[],14,FALSE), 0)</f>
        <v>0</v>
      </c>
      <c r="K819">
        <f>IFERROR(VLOOKUP(Tabla1[[#This Row],[SISMED]],TblDisponibilidad[],15,FALSE), 0)</f>
        <v>0</v>
      </c>
      <c r="L819">
        <f>IFERROR(VLOOKUP(Tabla1[[#This Row],[SISMED]],TblDisponibilidad[],16,FALSE), 0)</f>
        <v>0</v>
      </c>
      <c r="M819">
        <f>IFERROR(VLOOKUP(Tabla1[[#This Row],[SISMED]],TblDisponibilidad[],17,FALSE), 0)</f>
        <v>0</v>
      </c>
      <c r="N819">
        <f>IFERROR(VLOOKUP(Tabla1[[#This Row],[SISMED]],TblDisponibilidad[],18,FALSE), 0)</f>
        <v>0</v>
      </c>
      <c r="O819">
        <f>IFERROR(VLOOKUP(Tabla1[[#This Row],[SISMED]],TblDisponibilidad[],19,FALSE), 0)</f>
        <v>0</v>
      </c>
      <c r="P819">
        <f>IFERROR(VLOOKUP(Tabla1[[#This Row],[SISMED]],TblDisponibilidad[],20,FALSE), 0)</f>
        <v>0</v>
      </c>
      <c r="Q819">
        <f>IFERROR(VLOOKUP(Tabla1[[#This Row],[SISMED]],TblDisponibilidad[],21,FALSE), 0)</f>
        <v>0</v>
      </c>
      <c r="R819">
        <f>IFERROR(VLOOKUP(Tabla1[[#This Row],[SISMED]],TblDisponibilidad[],22,FALSE), 0)</f>
        <v>0</v>
      </c>
      <c r="S819" s="15">
        <f>IFERROR(VLOOKUP(Tabla1[[#This Row],[SISMED]],TblDisponibilidad[],23,FALSE), 0)</f>
        <v>0</v>
      </c>
    </row>
    <row r="820" spans="1:19" x14ac:dyDescent="0.3">
      <c r="A820" s="15" t="s">
        <v>850</v>
      </c>
      <c r="B820" t="str">
        <f>IFERROR(VLOOKUP(Tabla1[[#This Row],[SISMED]],TblDisponibilidad[],2,FALSE), "")</f>
        <v/>
      </c>
      <c r="C820">
        <f>IFERROR(VLOOKUP(Tabla1[[#This Row],[SISMED]],TblDisponibilidad[],7,FALSE), 0)</f>
        <v>0</v>
      </c>
      <c r="D820">
        <f>IFERROR(VLOOKUP(Tabla1[[#This Row],[SISMED]],TblDisponibilidad[],8,FALSE), 0)</f>
        <v>0</v>
      </c>
      <c r="E820">
        <f>IFERROR(VLOOKUP(Tabla1[[#This Row],[SISMED]],TblDisponibilidad[],9,FALSE), 0)</f>
        <v>0</v>
      </c>
      <c r="F820">
        <f>IFERROR(VLOOKUP(Tabla1[[#This Row],[SISMED]],TblDisponibilidad[],10,FALSE), 0)</f>
        <v>0</v>
      </c>
      <c r="G820">
        <f>IFERROR(VLOOKUP(Tabla1[[#This Row],[SISMED]],TblDisponibilidad[],11,FALSE), 0)</f>
        <v>0</v>
      </c>
      <c r="H820">
        <f>IFERROR(VLOOKUP(Tabla1[[#This Row],[SISMED]],TblDisponibilidad[],12,FALSE), 0)</f>
        <v>0</v>
      </c>
      <c r="I820">
        <f>IFERROR(VLOOKUP(Tabla1[[#This Row],[SISMED]],TblDisponibilidad[],13,FALSE), 0)</f>
        <v>0</v>
      </c>
      <c r="J820">
        <f>IFERROR(VLOOKUP(Tabla1[[#This Row],[SISMED]],TblDisponibilidad[],14,FALSE), 0)</f>
        <v>0</v>
      </c>
      <c r="K820">
        <f>IFERROR(VLOOKUP(Tabla1[[#This Row],[SISMED]],TblDisponibilidad[],15,FALSE), 0)</f>
        <v>0</v>
      </c>
      <c r="L820">
        <f>IFERROR(VLOOKUP(Tabla1[[#This Row],[SISMED]],TblDisponibilidad[],16,FALSE), 0)</f>
        <v>0</v>
      </c>
      <c r="M820">
        <f>IFERROR(VLOOKUP(Tabla1[[#This Row],[SISMED]],TblDisponibilidad[],17,FALSE), 0)</f>
        <v>0</v>
      </c>
      <c r="N820">
        <f>IFERROR(VLOOKUP(Tabla1[[#This Row],[SISMED]],TblDisponibilidad[],18,FALSE), 0)</f>
        <v>0</v>
      </c>
      <c r="O820">
        <f>IFERROR(VLOOKUP(Tabla1[[#This Row],[SISMED]],TblDisponibilidad[],19,FALSE), 0)</f>
        <v>0</v>
      </c>
      <c r="P820">
        <f>IFERROR(VLOOKUP(Tabla1[[#This Row],[SISMED]],TblDisponibilidad[],20,FALSE), 0)</f>
        <v>0</v>
      </c>
      <c r="Q820">
        <f>IFERROR(VLOOKUP(Tabla1[[#This Row],[SISMED]],TblDisponibilidad[],21,FALSE), 0)</f>
        <v>0</v>
      </c>
      <c r="R820">
        <f>IFERROR(VLOOKUP(Tabla1[[#This Row],[SISMED]],TblDisponibilidad[],22,FALSE), 0)</f>
        <v>0</v>
      </c>
      <c r="S820" s="15">
        <f>IFERROR(VLOOKUP(Tabla1[[#This Row],[SISMED]],TblDisponibilidad[],23,FALSE), 0)</f>
        <v>0</v>
      </c>
    </row>
    <row r="821" spans="1:19" x14ac:dyDescent="0.3">
      <c r="A821" s="15" t="s">
        <v>851</v>
      </c>
      <c r="B821" t="str">
        <f>IFERROR(VLOOKUP(Tabla1[[#This Row],[SISMED]],TblDisponibilidad[],2,FALSE), "")</f>
        <v/>
      </c>
      <c r="C821">
        <f>IFERROR(VLOOKUP(Tabla1[[#This Row],[SISMED]],TblDisponibilidad[],7,FALSE), 0)</f>
        <v>0</v>
      </c>
      <c r="D821">
        <f>IFERROR(VLOOKUP(Tabla1[[#This Row],[SISMED]],TblDisponibilidad[],8,FALSE), 0)</f>
        <v>0</v>
      </c>
      <c r="E821">
        <f>IFERROR(VLOOKUP(Tabla1[[#This Row],[SISMED]],TblDisponibilidad[],9,FALSE), 0)</f>
        <v>0</v>
      </c>
      <c r="F821">
        <f>IFERROR(VLOOKUP(Tabla1[[#This Row],[SISMED]],TblDisponibilidad[],10,FALSE), 0)</f>
        <v>0</v>
      </c>
      <c r="G821">
        <f>IFERROR(VLOOKUP(Tabla1[[#This Row],[SISMED]],TblDisponibilidad[],11,FALSE), 0)</f>
        <v>0</v>
      </c>
      <c r="H821">
        <f>IFERROR(VLOOKUP(Tabla1[[#This Row],[SISMED]],TblDisponibilidad[],12,FALSE), 0)</f>
        <v>0</v>
      </c>
      <c r="I821">
        <f>IFERROR(VLOOKUP(Tabla1[[#This Row],[SISMED]],TblDisponibilidad[],13,FALSE), 0)</f>
        <v>0</v>
      </c>
      <c r="J821">
        <f>IFERROR(VLOOKUP(Tabla1[[#This Row],[SISMED]],TblDisponibilidad[],14,FALSE), 0)</f>
        <v>0</v>
      </c>
      <c r="K821">
        <f>IFERROR(VLOOKUP(Tabla1[[#This Row],[SISMED]],TblDisponibilidad[],15,FALSE), 0)</f>
        <v>0</v>
      </c>
      <c r="L821">
        <f>IFERROR(VLOOKUP(Tabla1[[#This Row],[SISMED]],TblDisponibilidad[],16,FALSE), 0)</f>
        <v>0</v>
      </c>
      <c r="M821">
        <f>IFERROR(VLOOKUP(Tabla1[[#This Row],[SISMED]],TblDisponibilidad[],17,FALSE), 0)</f>
        <v>0</v>
      </c>
      <c r="N821">
        <f>IFERROR(VLOOKUP(Tabla1[[#This Row],[SISMED]],TblDisponibilidad[],18,FALSE), 0)</f>
        <v>0</v>
      </c>
      <c r="O821">
        <f>IFERROR(VLOOKUP(Tabla1[[#This Row],[SISMED]],TblDisponibilidad[],19,FALSE), 0)</f>
        <v>0</v>
      </c>
      <c r="P821">
        <f>IFERROR(VLOOKUP(Tabla1[[#This Row],[SISMED]],TblDisponibilidad[],20,FALSE), 0)</f>
        <v>0</v>
      </c>
      <c r="Q821">
        <f>IFERROR(VLOOKUP(Tabla1[[#This Row],[SISMED]],TblDisponibilidad[],21,FALSE), 0)</f>
        <v>0</v>
      </c>
      <c r="R821">
        <f>IFERROR(VLOOKUP(Tabla1[[#This Row],[SISMED]],TblDisponibilidad[],22,FALSE), 0)</f>
        <v>0</v>
      </c>
      <c r="S821" s="15">
        <f>IFERROR(VLOOKUP(Tabla1[[#This Row],[SISMED]],TblDisponibilidad[],23,FALSE), 0)</f>
        <v>0</v>
      </c>
    </row>
    <row r="822" spans="1:19" x14ac:dyDescent="0.3">
      <c r="A822" s="15" t="s">
        <v>852</v>
      </c>
      <c r="B822" t="str">
        <f>IFERROR(VLOOKUP(Tabla1[[#This Row],[SISMED]],TblDisponibilidad[],2,FALSE), "")</f>
        <v/>
      </c>
      <c r="C822">
        <f>IFERROR(VLOOKUP(Tabla1[[#This Row],[SISMED]],TblDisponibilidad[],7,FALSE), 0)</f>
        <v>0</v>
      </c>
      <c r="D822">
        <f>IFERROR(VLOOKUP(Tabla1[[#This Row],[SISMED]],TblDisponibilidad[],8,FALSE), 0)</f>
        <v>0</v>
      </c>
      <c r="E822">
        <f>IFERROR(VLOOKUP(Tabla1[[#This Row],[SISMED]],TblDisponibilidad[],9,FALSE), 0)</f>
        <v>0</v>
      </c>
      <c r="F822">
        <f>IFERROR(VLOOKUP(Tabla1[[#This Row],[SISMED]],TblDisponibilidad[],10,FALSE), 0)</f>
        <v>0</v>
      </c>
      <c r="G822">
        <f>IFERROR(VLOOKUP(Tabla1[[#This Row],[SISMED]],TblDisponibilidad[],11,FALSE), 0)</f>
        <v>0</v>
      </c>
      <c r="H822">
        <f>IFERROR(VLOOKUP(Tabla1[[#This Row],[SISMED]],TblDisponibilidad[],12,FALSE), 0)</f>
        <v>0</v>
      </c>
      <c r="I822">
        <f>IFERROR(VLOOKUP(Tabla1[[#This Row],[SISMED]],TblDisponibilidad[],13,FALSE), 0)</f>
        <v>0</v>
      </c>
      <c r="J822">
        <f>IFERROR(VLOOKUP(Tabla1[[#This Row],[SISMED]],TblDisponibilidad[],14,FALSE), 0)</f>
        <v>0</v>
      </c>
      <c r="K822">
        <f>IFERROR(VLOOKUP(Tabla1[[#This Row],[SISMED]],TblDisponibilidad[],15,FALSE), 0)</f>
        <v>0</v>
      </c>
      <c r="L822">
        <f>IFERROR(VLOOKUP(Tabla1[[#This Row],[SISMED]],TblDisponibilidad[],16,FALSE), 0)</f>
        <v>0</v>
      </c>
      <c r="M822">
        <f>IFERROR(VLOOKUP(Tabla1[[#This Row],[SISMED]],TblDisponibilidad[],17,FALSE), 0)</f>
        <v>0</v>
      </c>
      <c r="N822">
        <f>IFERROR(VLOOKUP(Tabla1[[#This Row],[SISMED]],TblDisponibilidad[],18,FALSE), 0)</f>
        <v>0</v>
      </c>
      <c r="O822">
        <f>IFERROR(VLOOKUP(Tabla1[[#This Row],[SISMED]],TblDisponibilidad[],19,FALSE), 0)</f>
        <v>0</v>
      </c>
      <c r="P822">
        <f>IFERROR(VLOOKUP(Tabla1[[#This Row],[SISMED]],TblDisponibilidad[],20,FALSE), 0)</f>
        <v>0</v>
      </c>
      <c r="Q822">
        <f>IFERROR(VLOOKUP(Tabla1[[#This Row],[SISMED]],TblDisponibilidad[],21,FALSE), 0)</f>
        <v>0</v>
      </c>
      <c r="R822">
        <f>IFERROR(VLOOKUP(Tabla1[[#This Row],[SISMED]],TblDisponibilidad[],22,FALSE), 0)</f>
        <v>0</v>
      </c>
      <c r="S822" s="15">
        <f>IFERROR(VLOOKUP(Tabla1[[#This Row],[SISMED]],TblDisponibilidad[],23,FALSE), 0)</f>
        <v>0</v>
      </c>
    </row>
    <row r="823" spans="1:19" x14ac:dyDescent="0.3">
      <c r="A823" s="15" t="s">
        <v>853</v>
      </c>
      <c r="B823" t="str">
        <f>IFERROR(VLOOKUP(Tabla1[[#This Row],[SISMED]],TblDisponibilidad[],2,FALSE), "")</f>
        <v/>
      </c>
      <c r="C823">
        <f>IFERROR(VLOOKUP(Tabla1[[#This Row],[SISMED]],TblDisponibilidad[],7,FALSE), 0)</f>
        <v>0</v>
      </c>
      <c r="D823">
        <f>IFERROR(VLOOKUP(Tabla1[[#This Row],[SISMED]],TblDisponibilidad[],8,FALSE), 0)</f>
        <v>0</v>
      </c>
      <c r="E823">
        <f>IFERROR(VLOOKUP(Tabla1[[#This Row],[SISMED]],TblDisponibilidad[],9,FALSE), 0)</f>
        <v>0</v>
      </c>
      <c r="F823">
        <f>IFERROR(VLOOKUP(Tabla1[[#This Row],[SISMED]],TblDisponibilidad[],10,FALSE), 0)</f>
        <v>0</v>
      </c>
      <c r="G823">
        <f>IFERROR(VLOOKUP(Tabla1[[#This Row],[SISMED]],TblDisponibilidad[],11,FALSE), 0)</f>
        <v>0</v>
      </c>
      <c r="H823">
        <f>IFERROR(VLOOKUP(Tabla1[[#This Row],[SISMED]],TblDisponibilidad[],12,FALSE), 0)</f>
        <v>0</v>
      </c>
      <c r="I823">
        <f>IFERROR(VLOOKUP(Tabla1[[#This Row],[SISMED]],TblDisponibilidad[],13,FALSE), 0)</f>
        <v>0</v>
      </c>
      <c r="J823">
        <f>IFERROR(VLOOKUP(Tabla1[[#This Row],[SISMED]],TblDisponibilidad[],14,FALSE), 0)</f>
        <v>0</v>
      </c>
      <c r="K823">
        <f>IFERROR(VLOOKUP(Tabla1[[#This Row],[SISMED]],TblDisponibilidad[],15,FALSE), 0)</f>
        <v>0</v>
      </c>
      <c r="L823">
        <f>IFERROR(VLOOKUP(Tabla1[[#This Row],[SISMED]],TblDisponibilidad[],16,FALSE), 0)</f>
        <v>0</v>
      </c>
      <c r="M823">
        <f>IFERROR(VLOOKUP(Tabla1[[#This Row],[SISMED]],TblDisponibilidad[],17,FALSE), 0)</f>
        <v>0</v>
      </c>
      <c r="N823">
        <f>IFERROR(VLOOKUP(Tabla1[[#This Row],[SISMED]],TblDisponibilidad[],18,FALSE), 0)</f>
        <v>0</v>
      </c>
      <c r="O823">
        <f>IFERROR(VLOOKUP(Tabla1[[#This Row],[SISMED]],TblDisponibilidad[],19,FALSE), 0)</f>
        <v>0</v>
      </c>
      <c r="P823">
        <f>IFERROR(VLOOKUP(Tabla1[[#This Row],[SISMED]],TblDisponibilidad[],20,FALSE), 0)</f>
        <v>0</v>
      </c>
      <c r="Q823">
        <f>IFERROR(VLOOKUP(Tabla1[[#This Row],[SISMED]],TblDisponibilidad[],21,FALSE), 0)</f>
        <v>0</v>
      </c>
      <c r="R823">
        <f>IFERROR(VLOOKUP(Tabla1[[#This Row],[SISMED]],TblDisponibilidad[],22,FALSE), 0)</f>
        <v>0</v>
      </c>
      <c r="S823" s="15">
        <f>IFERROR(VLOOKUP(Tabla1[[#This Row],[SISMED]],TblDisponibilidad[],23,FALSE), 0)</f>
        <v>0</v>
      </c>
    </row>
    <row r="824" spans="1:19" x14ac:dyDescent="0.3">
      <c r="A824" s="15" t="s">
        <v>854</v>
      </c>
      <c r="B824" t="str">
        <f>IFERROR(VLOOKUP(Tabla1[[#This Row],[SISMED]],TblDisponibilidad[],2,FALSE), "")</f>
        <v/>
      </c>
      <c r="C824">
        <f>IFERROR(VLOOKUP(Tabla1[[#This Row],[SISMED]],TblDisponibilidad[],7,FALSE), 0)</f>
        <v>0</v>
      </c>
      <c r="D824">
        <f>IFERROR(VLOOKUP(Tabla1[[#This Row],[SISMED]],TblDisponibilidad[],8,FALSE), 0)</f>
        <v>0</v>
      </c>
      <c r="E824">
        <f>IFERROR(VLOOKUP(Tabla1[[#This Row],[SISMED]],TblDisponibilidad[],9,FALSE), 0)</f>
        <v>0</v>
      </c>
      <c r="F824">
        <f>IFERROR(VLOOKUP(Tabla1[[#This Row],[SISMED]],TblDisponibilidad[],10,FALSE), 0)</f>
        <v>0</v>
      </c>
      <c r="G824">
        <f>IFERROR(VLOOKUP(Tabla1[[#This Row],[SISMED]],TblDisponibilidad[],11,FALSE), 0)</f>
        <v>0</v>
      </c>
      <c r="H824">
        <f>IFERROR(VLOOKUP(Tabla1[[#This Row],[SISMED]],TblDisponibilidad[],12,FALSE), 0)</f>
        <v>0</v>
      </c>
      <c r="I824">
        <f>IFERROR(VLOOKUP(Tabla1[[#This Row],[SISMED]],TblDisponibilidad[],13,FALSE), 0)</f>
        <v>0</v>
      </c>
      <c r="J824">
        <f>IFERROR(VLOOKUP(Tabla1[[#This Row],[SISMED]],TblDisponibilidad[],14,FALSE), 0)</f>
        <v>0</v>
      </c>
      <c r="K824">
        <f>IFERROR(VLOOKUP(Tabla1[[#This Row],[SISMED]],TblDisponibilidad[],15,FALSE), 0)</f>
        <v>0</v>
      </c>
      <c r="L824">
        <f>IFERROR(VLOOKUP(Tabla1[[#This Row],[SISMED]],TblDisponibilidad[],16,FALSE), 0)</f>
        <v>0</v>
      </c>
      <c r="M824">
        <f>IFERROR(VLOOKUP(Tabla1[[#This Row],[SISMED]],TblDisponibilidad[],17,FALSE), 0)</f>
        <v>0</v>
      </c>
      <c r="N824">
        <f>IFERROR(VLOOKUP(Tabla1[[#This Row],[SISMED]],TblDisponibilidad[],18,FALSE), 0)</f>
        <v>0</v>
      </c>
      <c r="O824">
        <f>IFERROR(VLOOKUP(Tabla1[[#This Row],[SISMED]],TblDisponibilidad[],19,FALSE), 0)</f>
        <v>0</v>
      </c>
      <c r="P824">
        <f>IFERROR(VLOOKUP(Tabla1[[#This Row],[SISMED]],TblDisponibilidad[],20,FALSE), 0)</f>
        <v>0</v>
      </c>
      <c r="Q824">
        <f>IFERROR(VLOOKUP(Tabla1[[#This Row],[SISMED]],TblDisponibilidad[],21,FALSE), 0)</f>
        <v>0</v>
      </c>
      <c r="R824">
        <f>IFERROR(VLOOKUP(Tabla1[[#This Row],[SISMED]],TblDisponibilidad[],22,FALSE), 0)</f>
        <v>0</v>
      </c>
      <c r="S824" s="15">
        <f>IFERROR(VLOOKUP(Tabla1[[#This Row],[SISMED]],TblDisponibilidad[],23,FALSE), 0)</f>
        <v>0</v>
      </c>
    </row>
    <row r="825" spans="1:19" x14ac:dyDescent="0.3">
      <c r="A825" s="15" t="s">
        <v>855</v>
      </c>
      <c r="B825" t="str">
        <f>IFERROR(VLOOKUP(Tabla1[[#This Row],[SISMED]],TblDisponibilidad[],2,FALSE), "")</f>
        <v/>
      </c>
      <c r="C825">
        <f>IFERROR(VLOOKUP(Tabla1[[#This Row],[SISMED]],TblDisponibilidad[],7,FALSE), 0)</f>
        <v>0</v>
      </c>
      <c r="D825">
        <f>IFERROR(VLOOKUP(Tabla1[[#This Row],[SISMED]],TblDisponibilidad[],8,FALSE), 0)</f>
        <v>0</v>
      </c>
      <c r="E825">
        <f>IFERROR(VLOOKUP(Tabla1[[#This Row],[SISMED]],TblDisponibilidad[],9,FALSE), 0)</f>
        <v>0</v>
      </c>
      <c r="F825">
        <f>IFERROR(VLOOKUP(Tabla1[[#This Row],[SISMED]],TblDisponibilidad[],10,FALSE), 0)</f>
        <v>0</v>
      </c>
      <c r="G825">
        <f>IFERROR(VLOOKUP(Tabla1[[#This Row],[SISMED]],TblDisponibilidad[],11,FALSE), 0)</f>
        <v>0</v>
      </c>
      <c r="H825">
        <f>IFERROR(VLOOKUP(Tabla1[[#This Row],[SISMED]],TblDisponibilidad[],12,FALSE), 0)</f>
        <v>0</v>
      </c>
      <c r="I825">
        <f>IFERROR(VLOOKUP(Tabla1[[#This Row],[SISMED]],TblDisponibilidad[],13,FALSE), 0)</f>
        <v>0</v>
      </c>
      <c r="J825">
        <f>IFERROR(VLOOKUP(Tabla1[[#This Row],[SISMED]],TblDisponibilidad[],14,FALSE), 0)</f>
        <v>0</v>
      </c>
      <c r="K825">
        <f>IFERROR(VLOOKUP(Tabla1[[#This Row],[SISMED]],TblDisponibilidad[],15,FALSE), 0)</f>
        <v>0</v>
      </c>
      <c r="L825">
        <f>IFERROR(VLOOKUP(Tabla1[[#This Row],[SISMED]],TblDisponibilidad[],16,FALSE), 0)</f>
        <v>0</v>
      </c>
      <c r="M825">
        <f>IFERROR(VLOOKUP(Tabla1[[#This Row],[SISMED]],TblDisponibilidad[],17,FALSE), 0)</f>
        <v>0</v>
      </c>
      <c r="N825">
        <f>IFERROR(VLOOKUP(Tabla1[[#This Row],[SISMED]],TblDisponibilidad[],18,FALSE), 0)</f>
        <v>0</v>
      </c>
      <c r="O825">
        <f>IFERROR(VLOOKUP(Tabla1[[#This Row],[SISMED]],TblDisponibilidad[],19,FALSE), 0)</f>
        <v>0</v>
      </c>
      <c r="P825">
        <f>IFERROR(VLOOKUP(Tabla1[[#This Row],[SISMED]],TblDisponibilidad[],20,FALSE), 0)</f>
        <v>0</v>
      </c>
      <c r="Q825">
        <f>IFERROR(VLOOKUP(Tabla1[[#This Row],[SISMED]],TblDisponibilidad[],21,FALSE), 0)</f>
        <v>0</v>
      </c>
      <c r="R825">
        <f>IFERROR(VLOOKUP(Tabla1[[#This Row],[SISMED]],TblDisponibilidad[],22,FALSE), 0)</f>
        <v>0</v>
      </c>
      <c r="S825" s="15">
        <f>IFERROR(VLOOKUP(Tabla1[[#This Row],[SISMED]],TblDisponibilidad[],23,FALSE), 0)</f>
        <v>0</v>
      </c>
    </row>
    <row r="826" spans="1:19" x14ac:dyDescent="0.3">
      <c r="A826" s="15" t="s">
        <v>856</v>
      </c>
      <c r="B826" t="str">
        <f>IFERROR(VLOOKUP(Tabla1[[#This Row],[SISMED]],TblDisponibilidad[],2,FALSE), "")</f>
        <v/>
      </c>
      <c r="C826">
        <f>IFERROR(VLOOKUP(Tabla1[[#This Row],[SISMED]],TblDisponibilidad[],7,FALSE), 0)</f>
        <v>0</v>
      </c>
      <c r="D826">
        <f>IFERROR(VLOOKUP(Tabla1[[#This Row],[SISMED]],TblDisponibilidad[],8,FALSE), 0)</f>
        <v>0</v>
      </c>
      <c r="E826">
        <f>IFERROR(VLOOKUP(Tabla1[[#This Row],[SISMED]],TblDisponibilidad[],9,FALSE), 0)</f>
        <v>0</v>
      </c>
      <c r="F826">
        <f>IFERROR(VLOOKUP(Tabla1[[#This Row],[SISMED]],TblDisponibilidad[],10,FALSE), 0)</f>
        <v>0</v>
      </c>
      <c r="G826">
        <f>IFERROR(VLOOKUP(Tabla1[[#This Row],[SISMED]],TblDisponibilidad[],11,FALSE), 0)</f>
        <v>0</v>
      </c>
      <c r="H826">
        <f>IFERROR(VLOOKUP(Tabla1[[#This Row],[SISMED]],TblDisponibilidad[],12,FALSE), 0)</f>
        <v>0</v>
      </c>
      <c r="I826">
        <f>IFERROR(VLOOKUP(Tabla1[[#This Row],[SISMED]],TblDisponibilidad[],13,FALSE), 0)</f>
        <v>0</v>
      </c>
      <c r="J826">
        <f>IFERROR(VLOOKUP(Tabla1[[#This Row],[SISMED]],TblDisponibilidad[],14,FALSE), 0)</f>
        <v>0</v>
      </c>
      <c r="K826">
        <f>IFERROR(VLOOKUP(Tabla1[[#This Row],[SISMED]],TblDisponibilidad[],15,FALSE), 0)</f>
        <v>0</v>
      </c>
      <c r="L826">
        <f>IFERROR(VLOOKUP(Tabla1[[#This Row],[SISMED]],TblDisponibilidad[],16,FALSE), 0)</f>
        <v>0</v>
      </c>
      <c r="M826">
        <f>IFERROR(VLOOKUP(Tabla1[[#This Row],[SISMED]],TblDisponibilidad[],17,FALSE), 0)</f>
        <v>0</v>
      </c>
      <c r="N826">
        <f>IFERROR(VLOOKUP(Tabla1[[#This Row],[SISMED]],TblDisponibilidad[],18,FALSE), 0)</f>
        <v>0</v>
      </c>
      <c r="O826">
        <f>IFERROR(VLOOKUP(Tabla1[[#This Row],[SISMED]],TblDisponibilidad[],19,FALSE), 0)</f>
        <v>0</v>
      </c>
      <c r="P826">
        <f>IFERROR(VLOOKUP(Tabla1[[#This Row],[SISMED]],TblDisponibilidad[],20,FALSE), 0)</f>
        <v>0</v>
      </c>
      <c r="Q826">
        <f>IFERROR(VLOOKUP(Tabla1[[#This Row],[SISMED]],TblDisponibilidad[],21,FALSE), 0)</f>
        <v>0</v>
      </c>
      <c r="R826">
        <f>IFERROR(VLOOKUP(Tabla1[[#This Row],[SISMED]],TblDisponibilidad[],22,FALSE), 0)</f>
        <v>0</v>
      </c>
      <c r="S826" s="15">
        <f>IFERROR(VLOOKUP(Tabla1[[#This Row],[SISMED]],TblDisponibilidad[],23,FALSE), 0)</f>
        <v>0</v>
      </c>
    </row>
    <row r="827" spans="1:19" x14ac:dyDescent="0.3">
      <c r="A827" s="15" t="s">
        <v>857</v>
      </c>
      <c r="B827" t="str">
        <f>IFERROR(VLOOKUP(Tabla1[[#This Row],[SISMED]],TblDisponibilidad[],2,FALSE), "")</f>
        <v/>
      </c>
      <c r="C827">
        <f>IFERROR(VLOOKUP(Tabla1[[#This Row],[SISMED]],TblDisponibilidad[],7,FALSE), 0)</f>
        <v>0</v>
      </c>
      <c r="D827">
        <f>IFERROR(VLOOKUP(Tabla1[[#This Row],[SISMED]],TblDisponibilidad[],8,FALSE), 0)</f>
        <v>0</v>
      </c>
      <c r="E827">
        <f>IFERROR(VLOOKUP(Tabla1[[#This Row],[SISMED]],TblDisponibilidad[],9,FALSE), 0)</f>
        <v>0</v>
      </c>
      <c r="F827">
        <f>IFERROR(VLOOKUP(Tabla1[[#This Row],[SISMED]],TblDisponibilidad[],10,FALSE), 0)</f>
        <v>0</v>
      </c>
      <c r="G827">
        <f>IFERROR(VLOOKUP(Tabla1[[#This Row],[SISMED]],TblDisponibilidad[],11,FALSE), 0)</f>
        <v>0</v>
      </c>
      <c r="H827">
        <f>IFERROR(VLOOKUP(Tabla1[[#This Row],[SISMED]],TblDisponibilidad[],12,FALSE), 0)</f>
        <v>0</v>
      </c>
      <c r="I827">
        <f>IFERROR(VLOOKUP(Tabla1[[#This Row],[SISMED]],TblDisponibilidad[],13,FALSE), 0)</f>
        <v>0</v>
      </c>
      <c r="J827">
        <f>IFERROR(VLOOKUP(Tabla1[[#This Row],[SISMED]],TblDisponibilidad[],14,FALSE), 0)</f>
        <v>0</v>
      </c>
      <c r="K827">
        <f>IFERROR(VLOOKUP(Tabla1[[#This Row],[SISMED]],TblDisponibilidad[],15,FALSE), 0)</f>
        <v>0</v>
      </c>
      <c r="L827">
        <f>IFERROR(VLOOKUP(Tabla1[[#This Row],[SISMED]],TblDisponibilidad[],16,FALSE), 0)</f>
        <v>0</v>
      </c>
      <c r="M827">
        <f>IFERROR(VLOOKUP(Tabla1[[#This Row],[SISMED]],TblDisponibilidad[],17,FALSE), 0)</f>
        <v>0</v>
      </c>
      <c r="N827">
        <f>IFERROR(VLOOKUP(Tabla1[[#This Row],[SISMED]],TblDisponibilidad[],18,FALSE), 0)</f>
        <v>0</v>
      </c>
      <c r="O827">
        <f>IFERROR(VLOOKUP(Tabla1[[#This Row],[SISMED]],TblDisponibilidad[],19,FALSE), 0)</f>
        <v>0</v>
      </c>
      <c r="P827">
        <f>IFERROR(VLOOKUP(Tabla1[[#This Row],[SISMED]],TblDisponibilidad[],20,FALSE), 0)</f>
        <v>0</v>
      </c>
      <c r="Q827">
        <f>IFERROR(VLOOKUP(Tabla1[[#This Row],[SISMED]],TblDisponibilidad[],21,FALSE), 0)</f>
        <v>0</v>
      </c>
      <c r="R827">
        <f>IFERROR(VLOOKUP(Tabla1[[#This Row],[SISMED]],TblDisponibilidad[],22,FALSE), 0)</f>
        <v>0</v>
      </c>
      <c r="S827" s="15">
        <f>IFERROR(VLOOKUP(Tabla1[[#This Row],[SISMED]],TblDisponibilidad[],23,FALSE), 0)</f>
        <v>0</v>
      </c>
    </row>
    <row r="828" spans="1:19" x14ac:dyDescent="0.3">
      <c r="A828" s="15" t="s">
        <v>858</v>
      </c>
      <c r="B828" t="str">
        <f>IFERROR(VLOOKUP(Tabla1[[#This Row],[SISMED]],TblDisponibilidad[],2,FALSE), "")</f>
        <v/>
      </c>
      <c r="C828">
        <f>IFERROR(VLOOKUP(Tabla1[[#This Row],[SISMED]],TblDisponibilidad[],7,FALSE), 0)</f>
        <v>0</v>
      </c>
      <c r="D828">
        <f>IFERROR(VLOOKUP(Tabla1[[#This Row],[SISMED]],TblDisponibilidad[],8,FALSE), 0)</f>
        <v>0</v>
      </c>
      <c r="E828">
        <f>IFERROR(VLOOKUP(Tabla1[[#This Row],[SISMED]],TblDisponibilidad[],9,FALSE), 0)</f>
        <v>0</v>
      </c>
      <c r="F828">
        <f>IFERROR(VLOOKUP(Tabla1[[#This Row],[SISMED]],TblDisponibilidad[],10,FALSE), 0)</f>
        <v>0</v>
      </c>
      <c r="G828">
        <f>IFERROR(VLOOKUP(Tabla1[[#This Row],[SISMED]],TblDisponibilidad[],11,FALSE), 0)</f>
        <v>0</v>
      </c>
      <c r="H828">
        <f>IFERROR(VLOOKUP(Tabla1[[#This Row],[SISMED]],TblDisponibilidad[],12,FALSE), 0)</f>
        <v>0</v>
      </c>
      <c r="I828">
        <f>IFERROR(VLOOKUP(Tabla1[[#This Row],[SISMED]],TblDisponibilidad[],13,FALSE), 0)</f>
        <v>0</v>
      </c>
      <c r="J828">
        <f>IFERROR(VLOOKUP(Tabla1[[#This Row],[SISMED]],TblDisponibilidad[],14,FALSE), 0)</f>
        <v>0</v>
      </c>
      <c r="K828">
        <f>IFERROR(VLOOKUP(Tabla1[[#This Row],[SISMED]],TblDisponibilidad[],15,FALSE), 0)</f>
        <v>0</v>
      </c>
      <c r="L828">
        <f>IFERROR(VLOOKUP(Tabla1[[#This Row],[SISMED]],TblDisponibilidad[],16,FALSE), 0)</f>
        <v>0</v>
      </c>
      <c r="M828">
        <f>IFERROR(VLOOKUP(Tabla1[[#This Row],[SISMED]],TblDisponibilidad[],17,FALSE), 0)</f>
        <v>0</v>
      </c>
      <c r="N828">
        <f>IFERROR(VLOOKUP(Tabla1[[#This Row],[SISMED]],TblDisponibilidad[],18,FALSE), 0)</f>
        <v>0</v>
      </c>
      <c r="O828">
        <f>IFERROR(VLOOKUP(Tabla1[[#This Row],[SISMED]],TblDisponibilidad[],19,FALSE), 0)</f>
        <v>0</v>
      </c>
      <c r="P828">
        <f>IFERROR(VLOOKUP(Tabla1[[#This Row],[SISMED]],TblDisponibilidad[],20,FALSE), 0)</f>
        <v>0</v>
      </c>
      <c r="Q828">
        <f>IFERROR(VLOOKUP(Tabla1[[#This Row],[SISMED]],TblDisponibilidad[],21,FALSE), 0)</f>
        <v>0</v>
      </c>
      <c r="R828">
        <f>IFERROR(VLOOKUP(Tabla1[[#This Row],[SISMED]],TblDisponibilidad[],22,FALSE), 0)</f>
        <v>0</v>
      </c>
      <c r="S828" s="15">
        <f>IFERROR(VLOOKUP(Tabla1[[#This Row],[SISMED]],TblDisponibilidad[],23,FALSE), 0)</f>
        <v>0</v>
      </c>
    </row>
    <row r="829" spans="1:19" x14ac:dyDescent="0.3">
      <c r="A829" s="15" t="s">
        <v>859</v>
      </c>
      <c r="B829" t="str">
        <f>IFERROR(VLOOKUP(Tabla1[[#This Row],[SISMED]],TblDisponibilidad[],2,FALSE), "")</f>
        <v/>
      </c>
      <c r="C829">
        <f>IFERROR(VLOOKUP(Tabla1[[#This Row],[SISMED]],TblDisponibilidad[],7,FALSE), 0)</f>
        <v>0</v>
      </c>
      <c r="D829">
        <f>IFERROR(VLOOKUP(Tabla1[[#This Row],[SISMED]],TblDisponibilidad[],8,FALSE), 0)</f>
        <v>0</v>
      </c>
      <c r="E829">
        <f>IFERROR(VLOOKUP(Tabla1[[#This Row],[SISMED]],TblDisponibilidad[],9,FALSE), 0)</f>
        <v>0</v>
      </c>
      <c r="F829">
        <f>IFERROR(VLOOKUP(Tabla1[[#This Row],[SISMED]],TblDisponibilidad[],10,FALSE), 0)</f>
        <v>0</v>
      </c>
      <c r="G829">
        <f>IFERROR(VLOOKUP(Tabla1[[#This Row],[SISMED]],TblDisponibilidad[],11,FALSE), 0)</f>
        <v>0</v>
      </c>
      <c r="H829">
        <f>IFERROR(VLOOKUP(Tabla1[[#This Row],[SISMED]],TblDisponibilidad[],12,FALSE), 0)</f>
        <v>0</v>
      </c>
      <c r="I829">
        <f>IFERROR(VLOOKUP(Tabla1[[#This Row],[SISMED]],TblDisponibilidad[],13,FALSE), 0)</f>
        <v>0</v>
      </c>
      <c r="J829">
        <f>IFERROR(VLOOKUP(Tabla1[[#This Row],[SISMED]],TblDisponibilidad[],14,FALSE), 0)</f>
        <v>0</v>
      </c>
      <c r="K829">
        <f>IFERROR(VLOOKUP(Tabla1[[#This Row],[SISMED]],TblDisponibilidad[],15,FALSE), 0)</f>
        <v>0</v>
      </c>
      <c r="L829">
        <f>IFERROR(VLOOKUP(Tabla1[[#This Row],[SISMED]],TblDisponibilidad[],16,FALSE), 0)</f>
        <v>0</v>
      </c>
      <c r="M829">
        <f>IFERROR(VLOOKUP(Tabla1[[#This Row],[SISMED]],TblDisponibilidad[],17,FALSE), 0)</f>
        <v>0</v>
      </c>
      <c r="N829">
        <f>IFERROR(VLOOKUP(Tabla1[[#This Row],[SISMED]],TblDisponibilidad[],18,FALSE), 0)</f>
        <v>0</v>
      </c>
      <c r="O829">
        <f>IFERROR(VLOOKUP(Tabla1[[#This Row],[SISMED]],TblDisponibilidad[],19,FALSE), 0)</f>
        <v>0</v>
      </c>
      <c r="P829">
        <f>IFERROR(VLOOKUP(Tabla1[[#This Row],[SISMED]],TblDisponibilidad[],20,FALSE), 0)</f>
        <v>0</v>
      </c>
      <c r="Q829">
        <f>IFERROR(VLOOKUP(Tabla1[[#This Row],[SISMED]],TblDisponibilidad[],21,FALSE), 0)</f>
        <v>0</v>
      </c>
      <c r="R829">
        <f>IFERROR(VLOOKUP(Tabla1[[#This Row],[SISMED]],TblDisponibilidad[],22,FALSE), 0)</f>
        <v>0</v>
      </c>
      <c r="S829" s="15">
        <f>IFERROR(VLOOKUP(Tabla1[[#This Row],[SISMED]],TblDisponibilidad[],23,FALSE), 0)</f>
        <v>0</v>
      </c>
    </row>
    <row r="830" spans="1:19" x14ac:dyDescent="0.3">
      <c r="A830" s="15" t="s">
        <v>860</v>
      </c>
      <c r="B830" t="str">
        <f>IFERROR(VLOOKUP(Tabla1[[#This Row],[SISMED]],TblDisponibilidad[],2,FALSE), "")</f>
        <v/>
      </c>
      <c r="C830">
        <f>IFERROR(VLOOKUP(Tabla1[[#This Row],[SISMED]],TblDisponibilidad[],7,FALSE), 0)</f>
        <v>0</v>
      </c>
      <c r="D830">
        <f>IFERROR(VLOOKUP(Tabla1[[#This Row],[SISMED]],TblDisponibilidad[],8,FALSE), 0)</f>
        <v>0</v>
      </c>
      <c r="E830">
        <f>IFERROR(VLOOKUP(Tabla1[[#This Row],[SISMED]],TblDisponibilidad[],9,FALSE), 0)</f>
        <v>0</v>
      </c>
      <c r="F830">
        <f>IFERROR(VLOOKUP(Tabla1[[#This Row],[SISMED]],TblDisponibilidad[],10,FALSE), 0)</f>
        <v>0</v>
      </c>
      <c r="G830">
        <f>IFERROR(VLOOKUP(Tabla1[[#This Row],[SISMED]],TblDisponibilidad[],11,FALSE), 0)</f>
        <v>0</v>
      </c>
      <c r="H830">
        <f>IFERROR(VLOOKUP(Tabla1[[#This Row],[SISMED]],TblDisponibilidad[],12,FALSE), 0)</f>
        <v>0</v>
      </c>
      <c r="I830">
        <f>IFERROR(VLOOKUP(Tabla1[[#This Row],[SISMED]],TblDisponibilidad[],13,FALSE), 0)</f>
        <v>0</v>
      </c>
      <c r="J830">
        <f>IFERROR(VLOOKUP(Tabla1[[#This Row],[SISMED]],TblDisponibilidad[],14,FALSE), 0)</f>
        <v>0</v>
      </c>
      <c r="K830">
        <f>IFERROR(VLOOKUP(Tabla1[[#This Row],[SISMED]],TblDisponibilidad[],15,FALSE), 0)</f>
        <v>0</v>
      </c>
      <c r="L830">
        <f>IFERROR(VLOOKUP(Tabla1[[#This Row],[SISMED]],TblDisponibilidad[],16,FALSE), 0)</f>
        <v>0</v>
      </c>
      <c r="M830">
        <f>IFERROR(VLOOKUP(Tabla1[[#This Row],[SISMED]],TblDisponibilidad[],17,FALSE), 0)</f>
        <v>0</v>
      </c>
      <c r="N830">
        <f>IFERROR(VLOOKUP(Tabla1[[#This Row],[SISMED]],TblDisponibilidad[],18,FALSE), 0)</f>
        <v>0</v>
      </c>
      <c r="O830">
        <f>IFERROR(VLOOKUP(Tabla1[[#This Row],[SISMED]],TblDisponibilidad[],19,FALSE), 0)</f>
        <v>0</v>
      </c>
      <c r="P830">
        <f>IFERROR(VLOOKUP(Tabla1[[#This Row],[SISMED]],TblDisponibilidad[],20,FALSE), 0)</f>
        <v>0</v>
      </c>
      <c r="Q830">
        <f>IFERROR(VLOOKUP(Tabla1[[#This Row],[SISMED]],TblDisponibilidad[],21,FALSE), 0)</f>
        <v>0</v>
      </c>
      <c r="R830">
        <f>IFERROR(VLOOKUP(Tabla1[[#This Row],[SISMED]],TblDisponibilidad[],22,FALSE), 0)</f>
        <v>0</v>
      </c>
      <c r="S830" s="15">
        <f>IFERROR(VLOOKUP(Tabla1[[#This Row],[SISMED]],TblDisponibilidad[],23,FALSE), 0)</f>
        <v>0</v>
      </c>
    </row>
    <row r="831" spans="1:19" x14ac:dyDescent="0.3">
      <c r="A831" s="15" t="s">
        <v>861</v>
      </c>
      <c r="B831" t="str">
        <f>IFERROR(VLOOKUP(Tabla1[[#This Row],[SISMED]],TblDisponibilidad[],2,FALSE), "")</f>
        <v/>
      </c>
      <c r="C831">
        <f>IFERROR(VLOOKUP(Tabla1[[#This Row],[SISMED]],TblDisponibilidad[],7,FALSE), 0)</f>
        <v>0</v>
      </c>
      <c r="D831">
        <f>IFERROR(VLOOKUP(Tabla1[[#This Row],[SISMED]],TblDisponibilidad[],8,FALSE), 0)</f>
        <v>0</v>
      </c>
      <c r="E831">
        <f>IFERROR(VLOOKUP(Tabla1[[#This Row],[SISMED]],TblDisponibilidad[],9,FALSE), 0)</f>
        <v>0</v>
      </c>
      <c r="F831">
        <f>IFERROR(VLOOKUP(Tabla1[[#This Row],[SISMED]],TblDisponibilidad[],10,FALSE), 0)</f>
        <v>0</v>
      </c>
      <c r="G831">
        <f>IFERROR(VLOOKUP(Tabla1[[#This Row],[SISMED]],TblDisponibilidad[],11,FALSE), 0)</f>
        <v>0</v>
      </c>
      <c r="H831">
        <f>IFERROR(VLOOKUP(Tabla1[[#This Row],[SISMED]],TblDisponibilidad[],12,FALSE), 0)</f>
        <v>0</v>
      </c>
      <c r="I831">
        <f>IFERROR(VLOOKUP(Tabla1[[#This Row],[SISMED]],TblDisponibilidad[],13,FALSE), 0)</f>
        <v>0</v>
      </c>
      <c r="J831">
        <f>IFERROR(VLOOKUP(Tabla1[[#This Row],[SISMED]],TblDisponibilidad[],14,FALSE), 0)</f>
        <v>0</v>
      </c>
      <c r="K831">
        <f>IFERROR(VLOOKUP(Tabla1[[#This Row],[SISMED]],TblDisponibilidad[],15,FALSE), 0)</f>
        <v>0</v>
      </c>
      <c r="L831">
        <f>IFERROR(VLOOKUP(Tabla1[[#This Row],[SISMED]],TblDisponibilidad[],16,FALSE), 0)</f>
        <v>0</v>
      </c>
      <c r="M831">
        <f>IFERROR(VLOOKUP(Tabla1[[#This Row],[SISMED]],TblDisponibilidad[],17,FALSE), 0)</f>
        <v>0</v>
      </c>
      <c r="N831">
        <f>IFERROR(VLOOKUP(Tabla1[[#This Row],[SISMED]],TblDisponibilidad[],18,FALSE), 0)</f>
        <v>0</v>
      </c>
      <c r="O831">
        <f>IFERROR(VLOOKUP(Tabla1[[#This Row],[SISMED]],TblDisponibilidad[],19,FALSE), 0)</f>
        <v>0</v>
      </c>
      <c r="P831">
        <f>IFERROR(VLOOKUP(Tabla1[[#This Row],[SISMED]],TblDisponibilidad[],20,FALSE), 0)</f>
        <v>0</v>
      </c>
      <c r="Q831">
        <f>IFERROR(VLOOKUP(Tabla1[[#This Row],[SISMED]],TblDisponibilidad[],21,FALSE), 0)</f>
        <v>0</v>
      </c>
      <c r="R831">
        <f>IFERROR(VLOOKUP(Tabla1[[#This Row],[SISMED]],TblDisponibilidad[],22,FALSE), 0)</f>
        <v>0</v>
      </c>
      <c r="S831" s="15">
        <f>IFERROR(VLOOKUP(Tabla1[[#This Row],[SISMED]],TblDisponibilidad[],23,FALSE), 0)</f>
        <v>0</v>
      </c>
    </row>
    <row r="832" spans="1:19" x14ac:dyDescent="0.3">
      <c r="A832" s="15" t="s">
        <v>862</v>
      </c>
      <c r="B832" t="str">
        <f>IFERROR(VLOOKUP(Tabla1[[#This Row],[SISMED]],TblDisponibilidad[],2,FALSE), "")</f>
        <v/>
      </c>
      <c r="C832">
        <f>IFERROR(VLOOKUP(Tabla1[[#This Row],[SISMED]],TblDisponibilidad[],7,FALSE), 0)</f>
        <v>0</v>
      </c>
      <c r="D832">
        <f>IFERROR(VLOOKUP(Tabla1[[#This Row],[SISMED]],TblDisponibilidad[],8,FALSE), 0)</f>
        <v>0</v>
      </c>
      <c r="E832">
        <f>IFERROR(VLOOKUP(Tabla1[[#This Row],[SISMED]],TblDisponibilidad[],9,FALSE), 0)</f>
        <v>0</v>
      </c>
      <c r="F832">
        <f>IFERROR(VLOOKUP(Tabla1[[#This Row],[SISMED]],TblDisponibilidad[],10,FALSE), 0)</f>
        <v>0</v>
      </c>
      <c r="G832">
        <f>IFERROR(VLOOKUP(Tabla1[[#This Row],[SISMED]],TblDisponibilidad[],11,FALSE), 0)</f>
        <v>0</v>
      </c>
      <c r="H832">
        <f>IFERROR(VLOOKUP(Tabla1[[#This Row],[SISMED]],TblDisponibilidad[],12,FALSE), 0)</f>
        <v>0</v>
      </c>
      <c r="I832">
        <f>IFERROR(VLOOKUP(Tabla1[[#This Row],[SISMED]],TblDisponibilidad[],13,FALSE), 0)</f>
        <v>0</v>
      </c>
      <c r="J832">
        <f>IFERROR(VLOOKUP(Tabla1[[#This Row],[SISMED]],TblDisponibilidad[],14,FALSE), 0)</f>
        <v>0</v>
      </c>
      <c r="K832">
        <f>IFERROR(VLOOKUP(Tabla1[[#This Row],[SISMED]],TblDisponibilidad[],15,FALSE), 0)</f>
        <v>0</v>
      </c>
      <c r="L832">
        <f>IFERROR(VLOOKUP(Tabla1[[#This Row],[SISMED]],TblDisponibilidad[],16,FALSE), 0)</f>
        <v>0</v>
      </c>
      <c r="M832">
        <f>IFERROR(VLOOKUP(Tabla1[[#This Row],[SISMED]],TblDisponibilidad[],17,FALSE), 0)</f>
        <v>0</v>
      </c>
      <c r="N832">
        <f>IFERROR(VLOOKUP(Tabla1[[#This Row],[SISMED]],TblDisponibilidad[],18,FALSE), 0)</f>
        <v>0</v>
      </c>
      <c r="O832">
        <f>IFERROR(VLOOKUP(Tabla1[[#This Row],[SISMED]],TblDisponibilidad[],19,FALSE), 0)</f>
        <v>0</v>
      </c>
      <c r="P832">
        <f>IFERROR(VLOOKUP(Tabla1[[#This Row],[SISMED]],TblDisponibilidad[],20,FALSE), 0)</f>
        <v>0</v>
      </c>
      <c r="Q832">
        <f>IFERROR(VLOOKUP(Tabla1[[#This Row],[SISMED]],TblDisponibilidad[],21,FALSE), 0)</f>
        <v>0</v>
      </c>
      <c r="R832">
        <f>IFERROR(VLOOKUP(Tabla1[[#This Row],[SISMED]],TblDisponibilidad[],22,FALSE), 0)</f>
        <v>0</v>
      </c>
      <c r="S832" s="15">
        <f>IFERROR(VLOOKUP(Tabla1[[#This Row],[SISMED]],TblDisponibilidad[],23,FALSE), 0)</f>
        <v>0</v>
      </c>
    </row>
    <row r="833" spans="1:19" x14ac:dyDescent="0.3">
      <c r="A833" s="15" t="s">
        <v>863</v>
      </c>
      <c r="B833" t="str">
        <f>IFERROR(VLOOKUP(Tabla1[[#This Row],[SISMED]],TblDisponibilidad[],2,FALSE), "")</f>
        <v/>
      </c>
      <c r="C833">
        <f>IFERROR(VLOOKUP(Tabla1[[#This Row],[SISMED]],TblDisponibilidad[],7,FALSE), 0)</f>
        <v>0</v>
      </c>
      <c r="D833">
        <f>IFERROR(VLOOKUP(Tabla1[[#This Row],[SISMED]],TblDisponibilidad[],8,FALSE), 0)</f>
        <v>0</v>
      </c>
      <c r="E833">
        <f>IFERROR(VLOOKUP(Tabla1[[#This Row],[SISMED]],TblDisponibilidad[],9,FALSE), 0)</f>
        <v>0</v>
      </c>
      <c r="F833">
        <f>IFERROR(VLOOKUP(Tabla1[[#This Row],[SISMED]],TblDisponibilidad[],10,FALSE), 0)</f>
        <v>0</v>
      </c>
      <c r="G833">
        <f>IFERROR(VLOOKUP(Tabla1[[#This Row],[SISMED]],TblDisponibilidad[],11,FALSE), 0)</f>
        <v>0</v>
      </c>
      <c r="H833">
        <f>IFERROR(VLOOKUP(Tabla1[[#This Row],[SISMED]],TblDisponibilidad[],12,FALSE), 0)</f>
        <v>0</v>
      </c>
      <c r="I833">
        <f>IFERROR(VLOOKUP(Tabla1[[#This Row],[SISMED]],TblDisponibilidad[],13,FALSE), 0)</f>
        <v>0</v>
      </c>
      <c r="J833">
        <f>IFERROR(VLOOKUP(Tabla1[[#This Row],[SISMED]],TblDisponibilidad[],14,FALSE), 0)</f>
        <v>0</v>
      </c>
      <c r="K833">
        <f>IFERROR(VLOOKUP(Tabla1[[#This Row],[SISMED]],TblDisponibilidad[],15,FALSE), 0)</f>
        <v>0</v>
      </c>
      <c r="L833">
        <f>IFERROR(VLOOKUP(Tabla1[[#This Row],[SISMED]],TblDisponibilidad[],16,FALSE), 0)</f>
        <v>0</v>
      </c>
      <c r="M833">
        <f>IFERROR(VLOOKUP(Tabla1[[#This Row],[SISMED]],TblDisponibilidad[],17,FALSE), 0)</f>
        <v>0</v>
      </c>
      <c r="N833">
        <f>IFERROR(VLOOKUP(Tabla1[[#This Row],[SISMED]],TblDisponibilidad[],18,FALSE), 0)</f>
        <v>0</v>
      </c>
      <c r="O833">
        <f>IFERROR(VLOOKUP(Tabla1[[#This Row],[SISMED]],TblDisponibilidad[],19,FALSE), 0)</f>
        <v>0</v>
      </c>
      <c r="P833">
        <f>IFERROR(VLOOKUP(Tabla1[[#This Row],[SISMED]],TblDisponibilidad[],20,FALSE), 0)</f>
        <v>0</v>
      </c>
      <c r="Q833">
        <f>IFERROR(VLOOKUP(Tabla1[[#This Row],[SISMED]],TblDisponibilidad[],21,FALSE), 0)</f>
        <v>0</v>
      </c>
      <c r="R833">
        <f>IFERROR(VLOOKUP(Tabla1[[#This Row],[SISMED]],TblDisponibilidad[],22,FALSE), 0)</f>
        <v>0</v>
      </c>
      <c r="S833" s="15">
        <f>IFERROR(VLOOKUP(Tabla1[[#This Row],[SISMED]],TblDisponibilidad[],23,FALSE), 0)</f>
        <v>0</v>
      </c>
    </row>
    <row r="834" spans="1:19" x14ac:dyDescent="0.3">
      <c r="A834" s="15" t="s">
        <v>864</v>
      </c>
      <c r="B834" t="str">
        <f>IFERROR(VLOOKUP(Tabla1[[#This Row],[SISMED]],TblDisponibilidad[],2,FALSE), "")</f>
        <v/>
      </c>
      <c r="C834">
        <f>IFERROR(VLOOKUP(Tabla1[[#This Row],[SISMED]],TblDisponibilidad[],7,FALSE), 0)</f>
        <v>0</v>
      </c>
      <c r="D834">
        <f>IFERROR(VLOOKUP(Tabla1[[#This Row],[SISMED]],TblDisponibilidad[],8,FALSE), 0)</f>
        <v>0</v>
      </c>
      <c r="E834">
        <f>IFERROR(VLOOKUP(Tabla1[[#This Row],[SISMED]],TblDisponibilidad[],9,FALSE), 0)</f>
        <v>0</v>
      </c>
      <c r="F834">
        <f>IFERROR(VLOOKUP(Tabla1[[#This Row],[SISMED]],TblDisponibilidad[],10,FALSE), 0)</f>
        <v>0</v>
      </c>
      <c r="G834">
        <f>IFERROR(VLOOKUP(Tabla1[[#This Row],[SISMED]],TblDisponibilidad[],11,FALSE), 0)</f>
        <v>0</v>
      </c>
      <c r="H834">
        <f>IFERROR(VLOOKUP(Tabla1[[#This Row],[SISMED]],TblDisponibilidad[],12,FALSE), 0)</f>
        <v>0</v>
      </c>
      <c r="I834">
        <f>IFERROR(VLOOKUP(Tabla1[[#This Row],[SISMED]],TblDisponibilidad[],13,FALSE), 0)</f>
        <v>0</v>
      </c>
      <c r="J834">
        <f>IFERROR(VLOOKUP(Tabla1[[#This Row],[SISMED]],TblDisponibilidad[],14,FALSE), 0)</f>
        <v>0</v>
      </c>
      <c r="K834">
        <f>IFERROR(VLOOKUP(Tabla1[[#This Row],[SISMED]],TblDisponibilidad[],15,FALSE), 0)</f>
        <v>0</v>
      </c>
      <c r="L834">
        <f>IFERROR(VLOOKUP(Tabla1[[#This Row],[SISMED]],TblDisponibilidad[],16,FALSE), 0)</f>
        <v>0</v>
      </c>
      <c r="M834">
        <f>IFERROR(VLOOKUP(Tabla1[[#This Row],[SISMED]],TblDisponibilidad[],17,FALSE), 0)</f>
        <v>0</v>
      </c>
      <c r="N834">
        <f>IFERROR(VLOOKUP(Tabla1[[#This Row],[SISMED]],TblDisponibilidad[],18,FALSE), 0)</f>
        <v>0</v>
      </c>
      <c r="O834">
        <f>IFERROR(VLOOKUP(Tabla1[[#This Row],[SISMED]],TblDisponibilidad[],19,FALSE), 0)</f>
        <v>0</v>
      </c>
      <c r="P834">
        <f>IFERROR(VLOOKUP(Tabla1[[#This Row],[SISMED]],TblDisponibilidad[],20,FALSE), 0)</f>
        <v>0</v>
      </c>
      <c r="Q834">
        <f>IFERROR(VLOOKUP(Tabla1[[#This Row],[SISMED]],TblDisponibilidad[],21,FALSE), 0)</f>
        <v>0</v>
      </c>
      <c r="R834">
        <f>IFERROR(VLOOKUP(Tabla1[[#This Row],[SISMED]],TblDisponibilidad[],22,FALSE), 0)</f>
        <v>0</v>
      </c>
      <c r="S834" s="15">
        <f>IFERROR(VLOOKUP(Tabla1[[#This Row],[SISMED]],TblDisponibilidad[],23,FALSE), 0)</f>
        <v>0</v>
      </c>
    </row>
    <row r="835" spans="1:19" x14ac:dyDescent="0.3">
      <c r="A835" s="15" t="s">
        <v>865</v>
      </c>
      <c r="B835" t="str">
        <f>IFERROR(VLOOKUP(Tabla1[[#This Row],[SISMED]],TblDisponibilidad[],2,FALSE), "")</f>
        <v/>
      </c>
      <c r="C835">
        <f>IFERROR(VLOOKUP(Tabla1[[#This Row],[SISMED]],TblDisponibilidad[],7,FALSE), 0)</f>
        <v>0</v>
      </c>
      <c r="D835">
        <f>IFERROR(VLOOKUP(Tabla1[[#This Row],[SISMED]],TblDisponibilidad[],8,FALSE), 0)</f>
        <v>0</v>
      </c>
      <c r="E835">
        <f>IFERROR(VLOOKUP(Tabla1[[#This Row],[SISMED]],TblDisponibilidad[],9,FALSE), 0)</f>
        <v>0</v>
      </c>
      <c r="F835">
        <f>IFERROR(VLOOKUP(Tabla1[[#This Row],[SISMED]],TblDisponibilidad[],10,FALSE), 0)</f>
        <v>0</v>
      </c>
      <c r="G835">
        <f>IFERROR(VLOOKUP(Tabla1[[#This Row],[SISMED]],TblDisponibilidad[],11,FALSE), 0)</f>
        <v>0</v>
      </c>
      <c r="H835">
        <f>IFERROR(VLOOKUP(Tabla1[[#This Row],[SISMED]],TblDisponibilidad[],12,FALSE), 0)</f>
        <v>0</v>
      </c>
      <c r="I835">
        <f>IFERROR(VLOOKUP(Tabla1[[#This Row],[SISMED]],TblDisponibilidad[],13,FALSE), 0)</f>
        <v>0</v>
      </c>
      <c r="J835">
        <f>IFERROR(VLOOKUP(Tabla1[[#This Row],[SISMED]],TblDisponibilidad[],14,FALSE), 0)</f>
        <v>0</v>
      </c>
      <c r="K835">
        <f>IFERROR(VLOOKUP(Tabla1[[#This Row],[SISMED]],TblDisponibilidad[],15,FALSE), 0)</f>
        <v>0</v>
      </c>
      <c r="L835">
        <f>IFERROR(VLOOKUP(Tabla1[[#This Row],[SISMED]],TblDisponibilidad[],16,FALSE), 0)</f>
        <v>0</v>
      </c>
      <c r="M835">
        <f>IFERROR(VLOOKUP(Tabla1[[#This Row],[SISMED]],TblDisponibilidad[],17,FALSE), 0)</f>
        <v>0</v>
      </c>
      <c r="N835">
        <f>IFERROR(VLOOKUP(Tabla1[[#This Row],[SISMED]],TblDisponibilidad[],18,FALSE), 0)</f>
        <v>0</v>
      </c>
      <c r="O835">
        <f>IFERROR(VLOOKUP(Tabla1[[#This Row],[SISMED]],TblDisponibilidad[],19,FALSE), 0)</f>
        <v>0</v>
      </c>
      <c r="P835">
        <f>IFERROR(VLOOKUP(Tabla1[[#This Row],[SISMED]],TblDisponibilidad[],20,FALSE), 0)</f>
        <v>0</v>
      </c>
      <c r="Q835">
        <f>IFERROR(VLOOKUP(Tabla1[[#This Row],[SISMED]],TblDisponibilidad[],21,FALSE), 0)</f>
        <v>0</v>
      </c>
      <c r="R835">
        <f>IFERROR(VLOOKUP(Tabla1[[#This Row],[SISMED]],TblDisponibilidad[],22,FALSE), 0)</f>
        <v>0</v>
      </c>
      <c r="S835" s="15">
        <f>IFERROR(VLOOKUP(Tabla1[[#This Row],[SISMED]],TblDisponibilidad[],23,FALSE), 0)</f>
        <v>0</v>
      </c>
    </row>
    <row r="836" spans="1:19" x14ac:dyDescent="0.3">
      <c r="A836" s="15" t="s">
        <v>866</v>
      </c>
      <c r="B836" t="str">
        <f>IFERROR(VLOOKUP(Tabla1[[#This Row],[SISMED]],TblDisponibilidad[],2,FALSE), "")</f>
        <v/>
      </c>
      <c r="C836">
        <f>IFERROR(VLOOKUP(Tabla1[[#This Row],[SISMED]],TblDisponibilidad[],7,FALSE), 0)</f>
        <v>0</v>
      </c>
      <c r="D836">
        <f>IFERROR(VLOOKUP(Tabla1[[#This Row],[SISMED]],TblDisponibilidad[],8,FALSE), 0)</f>
        <v>0</v>
      </c>
      <c r="E836">
        <f>IFERROR(VLOOKUP(Tabla1[[#This Row],[SISMED]],TblDisponibilidad[],9,FALSE), 0)</f>
        <v>0</v>
      </c>
      <c r="F836">
        <f>IFERROR(VLOOKUP(Tabla1[[#This Row],[SISMED]],TblDisponibilidad[],10,FALSE), 0)</f>
        <v>0</v>
      </c>
      <c r="G836">
        <f>IFERROR(VLOOKUP(Tabla1[[#This Row],[SISMED]],TblDisponibilidad[],11,FALSE), 0)</f>
        <v>0</v>
      </c>
      <c r="H836">
        <f>IFERROR(VLOOKUP(Tabla1[[#This Row],[SISMED]],TblDisponibilidad[],12,FALSE), 0)</f>
        <v>0</v>
      </c>
      <c r="I836">
        <f>IFERROR(VLOOKUP(Tabla1[[#This Row],[SISMED]],TblDisponibilidad[],13,FALSE), 0)</f>
        <v>0</v>
      </c>
      <c r="J836">
        <f>IFERROR(VLOOKUP(Tabla1[[#This Row],[SISMED]],TblDisponibilidad[],14,FALSE), 0)</f>
        <v>0</v>
      </c>
      <c r="K836">
        <f>IFERROR(VLOOKUP(Tabla1[[#This Row],[SISMED]],TblDisponibilidad[],15,FALSE), 0)</f>
        <v>0</v>
      </c>
      <c r="L836">
        <f>IFERROR(VLOOKUP(Tabla1[[#This Row],[SISMED]],TblDisponibilidad[],16,FALSE), 0)</f>
        <v>0</v>
      </c>
      <c r="M836">
        <f>IFERROR(VLOOKUP(Tabla1[[#This Row],[SISMED]],TblDisponibilidad[],17,FALSE), 0)</f>
        <v>0</v>
      </c>
      <c r="N836">
        <f>IFERROR(VLOOKUP(Tabla1[[#This Row],[SISMED]],TblDisponibilidad[],18,FALSE), 0)</f>
        <v>0</v>
      </c>
      <c r="O836">
        <f>IFERROR(VLOOKUP(Tabla1[[#This Row],[SISMED]],TblDisponibilidad[],19,FALSE), 0)</f>
        <v>0</v>
      </c>
      <c r="P836">
        <f>IFERROR(VLOOKUP(Tabla1[[#This Row],[SISMED]],TblDisponibilidad[],20,FALSE), 0)</f>
        <v>0</v>
      </c>
      <c r="Q836">
        <f>IFERROR(VLOOKUP(Tabla1[[#This Row],[SISMED]],TblDisponibilidad[],21,FALSE), 0)</f>
        <v>0</v>
      </c>
      <c r="R836">
        <f>IFERROR(VLOOKUP(Tabla1[[#This Row],[SISMED]],TblDisponibilidad[],22,FALSE), 0)</f>
        <v>0</v>
      </c>
      <c r="S836" s="15">
        <f>IFERROR(VLOOKUP(Tabla1[[#This Row],[SISMED]],TblDisponibilidad[],23,FALSE), 0)</f>
        <v>0</v>
      </c>
    </row>
    <row r="837" spans="1:19" x14ac:dyDescent="0.3">
      <c r="A837" s="15" t="s">
        <v>867</v>
      </c>
      <c r="B837" t="str">
        <f>IFERROR(VLOOKUP(Tabla1[[#This Row],[SISMED]],TblDisponibilidad[],2,FALSE), "")</f>
        <v/>
      </c>
      <c r="C837">
        <f>IFERROR(VLOOKUP(Tabla1[[#This Row],[SISMED]],TblDisponibilidad[],7,FALSE), 0)</f>
        <v>0</v>
      </c>
      <c r="D837">
        <f>IFERROR(VLOOKUP(Tabla1[[#This Row],[SISMED]],TblDisponibilidad[],8,FALSE), 0)</f>
        <v>0</v>
      </c>
      <c r="E837">
        <f>IFERROR(VLOOKUP(Tabla1[[#This Row],[SISMED]],TblDisponibilidad[],9,FALSE), 0)</f>
        <v>0</v>
      </c>
      <c r="F837">
        <f>IFERROR(VLOOKUP(Tabla1[[#This Row],[SISMED]],TblDisponibilidad[],10,FALSE), 0)</f>
        <v>0</v>
      </c>
      <c r="G837">
        <f>IFERROR(VLOOKUP(Tabla1[[#This Row],[SISMED]],TblDisponibilidad[],11,FALSE), 0)</f>
        <v>0</v>
      </c>
      <c r="H837">
        <f>IFERROR(VLOOKUP(Tabla1[[#This Row],[SISMED]],TblDisponibilidad[],12,FALSE), 0)</f>
        <v>0</v>
      </c>
      <c r="I837">
        <f>IFERROR(VLOOKUP(Tabla1[[#This Row],[SISMED]],TblDisponibilidad[],13,FALSE), 0)</f>
        <v>0</v>
      </c>
      <c r="J837">
        <f>IFERROR(VLOOKUP(Tabla1[[#This Row],[SISMED]],TblDisponibilidad[],14,FALSE), 0)</f>
        <v>0</v>
      </c>
      <c r="K837">
        <f>IFERROR(VLOOKUP(Tabla1[[#This Row],[SISMED]],TblDisponibilidad[],15,FALSE), 0)</f>
        <v>0</v>
      </c>
      <c r="L837">
        <f>IFERROR(VLOOKUP(Tabla1[[#This Row],[SISMED]],TblDisponibilidad[],16,FALSE), 0)</f>
        <v>0</v>
      </c>
      <c r="M837">
        <f>IFERROR(VLOOKUP(Tabla1[[#This Row],[SISMED]],TblDisponibilidad[],17,FALSE), 0)</f>
        <v>0</v>
      </c>
      <c r="N837">
        <f>IFERROR(VLOOKUP(Tabla1[[#This Row],[SISMED]],TblDisponibilidad[],18,FALSE), 0)</f>
        <v>0</v>
      </c>
      <c r="O837">
        <f>IFERROR(VLOOKUP(Tabla1[[#This Row],[SISMED]],TblDisponibilidad[],19,FALSE), 0)</f>
        <v>0</v>
      </c>
      <c r="P837">
        <f>IFERROR(VLOOKUP(Tabla1[[#This Row],[SISMED]],TblDisponibilidad[],20,FALSE), 0)</f>
        <v>0</v>
      </c>
      <c r="Q837">
        <f>IFERROR(VLOOKUP(Tabla1[[#This Row],[SISMED]],TblDisponibilidad[],21,FALSE), 0)</f>
        <v>0</v>
      </c>
      <c r="R837">
        <f>IFERROR(VLOOKUP(Tabla1[[#This Row],[SISMED]],TblDisponibilidad[],22,FALSE), 0)</f>
        <v>0</v>
      </c>
      <c r="S837" s="15">
        <f>IFERROR(VLOOKUP(Tabla1[[#This Row],[SISMED]],TblDisponibilidad[],23,FALSE), 0)</f>
        <v>0</v>
      </c>
    </row>
    <row r="838" spans="1:19" x14ac:dyDescent="0.3">
      <c r="A838" s="15" t="s">
        <v>868</v>
      </c>
      <c r="B838" t="str">
        <f>IFERROR(VLOOKUP(Tabla1[[#This Row],[SISMED]],TblDisponibilidad[],2,FALSE), "")</f>
        <v/>
      </c>
      <c r="C838">
        <f>IFERROR(VLOOKUP(Tabla1[[#This Row],[SISMED]],TblDisponibilidad[],7,FALSE), 0)</f>
        <v>0</v>
      </c>
      <c r="D838">
        <f>IFERROR(VLOOKUP(Tabla1[[#This Row],[SISMED]],TblDisponibilidad[],8,FALSE), 0)</f>
        <v>0</v>
      </c>
      <c r="E838">
        <f>IFERROR(VLOOKUP(Tabla1[[#This Row],[SISMED]],TblDisponibilidad[],9,FALSE), 0)</f>
        <v>0</v>
      </c>
      <c r="F838">
        <f>IFERROR(VLOOKUP(Tabla1[[#This Row],[SISMED]],TblDisponibilidad[],10,FALSE), 0)</f>
        <v>0</v>
      </c>
      <c r="G838">
        <f>IFERROR(VLOOKUP(Tabla1[[#This Row],[SISMED]],TblDisponibilidad[],11,FALSE), 0)</f>
        <v>0</v>
      </c>
      <c r="H838">
        <f>IFERROR(VLOOKUP(Tabla1[[#This Row],[SISMED]],TblDisponibilidad[],12,FALSE), 0)</f>
        <v>0</v>
      </c>
      <c r="I838">
        <f>IFERROR(VLOOKUP(Tabla1[[#This Row],[SISMED]],TblDisponibilidad[],13,FALSE), 0)</f>
        <v>0</v>
      </c>
      <c r="J838">
        <f>IFERROR(VLOOKUP(Tabla1[[#This Row],[SISMED]],TblDisponibilidad[],14,FALSE), 0)</f>
        <v>0</v>
      </c>
      <c r="K838">
        <f>IFERROR(VLOOKUP(Tabla1[[#This Row],[SISMED]],TblDisponibilidad[],15,FALSE), 0)</f>
        <v>0</v>
      </c>
      <c r="L838">
        <f>IFERROR(VLOOKUP(Tabla1[[#This Row],[SISMED]],TblDisponibilidad[],16,FALSE), 0)</f>
        <v>0</v>
      </c>
      <c r="M838">
        <f>IFERROR(VLOOKUP(Tabla1[[#This Row],[SISMED]],TblDisponibilidad[],17,FALSE), 0)</f>
        <v>0</v>
      </c>
      <c r="N838">
        <f>IFERROR(VLOOKUP(Tabla1[[#This Row],[SISMED]],TblDisponibilidad[],18,FALSE), 0)</f>
        <v>0</v>
      </c>
      <c r="O838">
        <f>IFERROR(VLOOKUP(Tabla1[[#This Row],[SISMED]],TblDisponibilidad[],19,FALSE), 0)</f>
        <v>0</v>
      </c>
      <c r="P838">
        <f>IFERROR(VLOOKUP(Tabla1[[#This Row],[SISMED]],TblDisponibilidad[],20,FALSE), 0)</f>
        <v>0</v>
      </c>
      <c r="Q838">
        <f>IFERROR(VLOOKUP(Tabla1[[#This Row],[SISMED]],TblDisponibilidad[],21,FALSE), 0)</f>
        <v>0</v>
      </c>
      <c r="R838">
        <f>IFERROR(VLOOKUP(Tabla1[[#This Row],[SISMED]],TblDisponibilidad[],22,FALSE), 0)</f>
        <v>0</v>
      </c>
      <c r="S838" s="15">
        <f>IFERROR(VLOOKUP(Tabla1[[#This Row],[SISMED]],TblDisponibilidad[],23,FALSE), 0)</f>
        <v>0</v>
      </c>
    </row>
    <row r="839" spans="1:19" x14ac:dyDescent="0.3">
      <c r="A839" s="15" t="s">
        <v>869</v>
      </c>
      <c r="B839" t="str">
        <f>IFERROR(VLOOKUP(Tabla1[[#This Row],[SISMED]],TblDisponibilidad[],2,FALSE), "")</f>
        <v/>
      </c>
      <c r="C839">
        <f>IFERROR(VLOOKUP(Tabla1[[#This Row],[SISMED]],TblDisponibilidad[],7,FALSE), 0)</f>
        <v>0</v>
      </c>
      <c r="D839">
        <f>IFERROR(VLOOKUP(Tabla1[[#This Row],[SISMED]],TblDisponibilidad[],8,FALSE), 0)</f>
        <v>0</v>
      </c>
      <c r="E839">
        <f>IFERROR(VLOOKUP(Tabla1[[#This Row],[SISMED]],TblDisponibilidad[],9,FALSE), 0)</f>
        <v>0</v>
      </c>
      <c r="F839">
        <f>IFERROR(VLOOKUP(Tabla1[[#This Row],[SISMED]],TblDisponibilidad[],10,FALSE), 0)</f>
        <v>0</v>
      </c>
      <c r="G839">
        <f>IFERROR(VLOOKUP(Tabla1[[#This Row],[SISMED]],TblDisponibilidad[],11,FALSE), 0)</f>
        <v>0</v>
      </c>
      <c r="H839">
        <f>IFERROR(VLOOKUP(Tabla1[[#This Row],[SISMED]],TblDisponibilidad[],12,FALSE), 0)</f>
        <v>0</v>
      </c>
      <c r="I839">
        <f>IFERROR(VLOOKUP(Tabla1[[#This Row],[SISMED]],TblDisponibilidad[],13,FALSE), 0)</f>
        <v>0</v>
      </c>
      <c r="J839">
        <f>IFERROR(VLOOKUP(Tabla1[[#This Row],[SISMED]],TblDisponibilidad[],14,FALSE), 0)</f>
        <v>0</v>
      </c>
      <c r="K839">
        <f>IFERROR(VLOOKUP(Tabla1[[#This Row],[SISMED]],TblDisponibilidad[],15,FALSE), 0)</f>
        <v>0</v>
      </c>
      <c r="L839">
        <f>IFERROR(VLOOKUP(Tabla1[[#This Row],[SISMED]],TblDisponibilidad[],16,FALSE), 0)</f>
        <v>0</v>
      </c>
      <c r="M839">
        <f>IFERROR(VLOOKUP(Tabla1[[#This Row],[SISMED]],TblDisponibilidad[],17,FALSE), 0)</f>
        <v>0</v>
      </c>
      <c r="N839">
        <f>IFERROR(VLOOKUP(Tabla1[[#This Row],[SISMED]],TblDisponibilidad[],18,FALSE), 0)</f>
        <v>0</v>
      </c>
      <c r="O839">
        <f>IFERROR(VLOOKUP(Tabla1[[#This Row],[SISMED]],TblDisponibilidad[],19,FALSE), 0)</f>
        <v>0</v>
      </c>
      <c r="P839">
        <f>IFERROR(VLOOKUP(Tabla1[[#This Row],[SISMED]],TblDisponibilidad[],20,FALSE), 0)</f>
        <v>0</v>
      </c>
      <c r="Q839">
        <f>IFERROR(VLOOKUP(Tabla1[[#This Row],[SISMED]],TblDisponibilidad[],21,FALSE), 0)</f>
        <v>0</v>
      </c>
      <c r="R839">
        <f>IFERROR(VLOOKUP(Tabla1[[#This Row],[SISMED]],TblDisponibilidad[],22,FALSE), 0)</f>
        <v>0</v>
      </c>
      <c r="S839" s="15">
        <f>IFERROR(VLOOKUP(Tabla1[[#This Row],[SISMED]],TblDisponibilidad[],23,FALSE), 0)</f>
        <v>0</v>
      </c>
    </row>
    <row r="840" spans="1:19" x14ac:dyDescent="0.3">
      <c r="A840" s="15" t="s">
        <v>870</v>
      </c>
      <c r="B840" t="str">
        <f>IFERROR(VLOOKUP(Tabla1[[#This Row],[SISMED]],TblDisponibilidad[],2,FALSE), "")</f>
        <v/>
      </c>
      <c r="C840">
        <f>IFERROR(VLOOKUP(Tabla1[[#This Row],[SISMED]],TblDisponibilidad[],7,FALSE), 0)</f>
        <v>0</v>
      </c>
      <c r="D840">
        <f>IFERROR(VLOOKUP(Tabla1[[#This Row],[SISMED]],TblDisponibilidad[],8,FALSE), 0)</f>
        <v>0</v>
      </c>
      <c r="E840">
        <f>IFERROR(VLOOKUP(Tabla1[[#This Row],[SISMED]],TblDisponibilidad[],9,FALSE), 0)</f>
        <v>0</v>
      </c>
      <c r="F840">
        <f>IFERROR(VLOOKUP(Tabla1[[#This Row],[SISMED]],TblDisponibilidad[],10,FALSE), 0)</f>
        <v>0</v>
      </c>
      <c r="G840">
        <f>IFERROR(VLOOKUP(Tabla1[[#This Row],[SISMED]],TblDisponibilidad[],11,FALSE), 0)</f>
        <v>0</v>
      </c>
      <c r="H840">
        <f>IFERROR(VLOOKUP(Tabla1[[#This Row],[SISMED]],TblDisponibilidad[],12,FALSE), 0)</f>
        <v>0</v>
      </c>
      <c r="I840">
        <f>IFERROR(VLOOKUP(Tabla1[[#This Row],[SISMED]],TblDisponibilidad[],13,FALSE), 0)</f>
        <v>0</v>
      </c>
      <c r="J840">
        <f>IFERROR(VLOOKUP(Tabla1[[#This Row],[SISMED]],TblDisponibilidad[],14,FALSE), 0)</f>
        <v>0</v>
      </c>
      <c r="K840">
        <f>IFERROR(VLOOKUP(Tabla1[[#This Row],[SISMED]],TblDisponibilidad[],15,FALSE), 0)</f>
        <v>0</v>
      </c>
      <c r="L840">
        <f>IFERROR(VLOOKUP(Tabla1[[#This Row],[SISMED]],TblDisponibilidad[],16,FALSE), 0)</f>
        <v>0</v>
      </c>
      <c r="M840">
        <f>IFERROR(VLOOKUP(Tabla1[[#This Row],[SISMED]],TblDisponibilidad[],17,FALSE), 0)</f>
        <v>0</v>
      </c>
      <c r="N840">
        <f>IFERROR(VLOOKUP(Tabla1[[#This Row],[SISMED]],TblDisponibilidad[],18,FALSE), 0)</f>
        <v>0</v>
      </c>
      <c r="O840">
        <f>IFERROR(VLOOKUP(Tabla1[[#This Row],[SISMED]],TblDisponibilidad[],19,FALSE), 0)</f>
        <v>0</v>
      </c>
      <c r="P840">
        <f>IFERROR(VLOOKUP(Tabla1[[#This Row],[SISMED]],TblDisponibilidad[],20,FALSE), 0)</f>
        <v>0</v>
      </c>
      <c r="Q840">
        <f>IFERROR(VLOOKUP(Tabla1[[#This Row],[SISMED]],TblDisponibilidad[],21,FALSE), 0)</f>
        <v>0</v>
      </c>
      <c r="R840">
        <f>IFERROR(VLOOKUP(Tabla1[[#This Row],[SISMED]],TblDisponibilidad[],22,FALSE), 0)</f>
        <v>0</v>
      </c>
      <c r="S840" s="15">
        <f>IFERROR(VLOOKUP(Tabla1[[#This Row],[SISMED]],TblDisponibilidad[],23,FALSE), 0)</f>
        <v>0</v>
      </c>
    </row>
    <row r="841" spans="1:19" x14ac:dyDescent="0.3">
      <c r="A841" s="15" t="s">
        <v>871</v>
      </c>
      <c r="B841" t="str">
        <f>IFERROR(VLOOKUP(Tabla1[[#This Row],[SISMED]],TblDisponibilidad[],2,FALSE), "")</f>
        <v/>
      </c>
      <c r="C841">
        <f>IFERROR(VLOOKUP(Tabla1[[#This Row],[SISMED]],TblDisponibilidad[],7,FALSE), 0)</f>
        <v>0</v>
      </c>
      <c r="D841">
        <f>IFERROR(VLOOKUP(Tabla1[[#This Row],[SISMED]],TblDisponibilidad[],8,FALSE), 0)</f>
        <v>0</v>
      </c>
      <c r="E841">
        <f>IFERROR(VLOOKUP(Tabla1[[#This Row],[SISMED]],TblDisponibilidad[],9,FALSE), 0)</f>
        <v>0</v>
      </c>
      <c r="F841">
        <f>IFERROR(VLOOKUP(Tabla1[[#This Row],[SISMED]],TblDisponibilidad[],10,FALSE), 0)</f>
        <v>0</v>
      </c>
      <c r="G841">
        <f>IFERROR(VLOOKUP(Tabla1[[#This Row],[SISMED]],TblDisponibilidad[],11,FALSE), 0)</f>
        <v>0</v>
      </c>
      <c r="H841">
        <f>IFERROR(VLOOKUP(Tabla1[[#This Row],[SISMED]],TblDisponibilidad[],12,FALSE), 0)</f>
        <v>0</v>
      </c>
      <c r="I841">
        <f>IFERROR(VLOOKUP(Tabla1[[#This Row],[SISMED]],TblDisponibilidad[],13,FALSE), 0)</f>
        <v>0</v>
      </c>
      <c r="J841">
        <f>IFERROR(VLOOKUP(Tabla1[[#This Row],[SISMED]],TblDisponibilidad[],14,FALSE), 0)</f>
        <v>0</v>
      </c>
      <c r="K841">
        <f>IFERROR(VLOOKUP(Tabla1[[#This Row],[SISMED]],TblDisponibilidad[],15,FALSE), 0)</f>
        <v>0</v>
      </c>
      <c r="L841">
        <f>IFERROR(VLOOKUP(Tabla1[[#This Row],[SISMED]],TblDisponibilidad[],16,FALSE), 0)</f>
        <v>0</v>
      </c>
      <c r="M841">
        <f>IFERROR(VLOOKUP(Tabla1[[#This Row],[SISMED]],TblDisponibilidad[],17,FALSE), 0)</f>
        <v>0</v>
      </c>
      <c r="N841">
        <f>IFERROR(VLOOKUP(Tabla1[[#This Row],[SISMED]],TblDisponibilidad[],18,FALSE), 0)</f>
        <v>0</v>
      </c>
      <c r="O841">
        <f>IFERROR(VLOOKUP(Tabla1[[#This Row],[SISMED]],TblDisponibilidad[],19,FALSE), 0)</f>
        <v>0</v>
      </c>
      <c r="P841">
        <f>IFERROR(VLOOKUP(Tabla1[[#This Row],[SISMED]],TblDisponibilidad[],20,FALSE), 0)</f>
        <v>0</v>
      </c>
      <c r="Q841">
        <f>IFERROR(VLOOKUP(Tabla1[[#This Row],[SISMED]],TblDisponibilidad[],21,FALSE), 0)</f>
        <v>0</v>
      </c>
      <c r="R841">
        <f>IFERROR(VLOOKUP(Tabla1[[#This Row],[SISMED]],TblDisponibilidad[],22,FALSE), 0)</f>
        <v>0</v>
      </c>
      <c r="S841" s="15">
        <f>IFERROR(VLOOKUP(Tabla1[[#This Row],[SISMED]],TblDisponibilidad[],23,FALSE), 0)</f>
        <v>0</v>
      </c>
    </row>
    <row r="842" spans="1:19" x14ac:dyDescent="0.3">
      <c r="A842" s="15" t="s">
        <v>872</v>
      </c>
      <c r="B842" t="str">
        <f>IFERROR(VLOOKUP(Tabla1[[#This Row],[SISMED]],TblDisponibilidad[],2,FALSE), "")</f>
        <v/>
      </c>
      <c r="C842">
        <f>IFERROR(VLOOKUP(Tabla1[[#This Row],[SISMED]],TblDisponibilidad[],7,FALSE), 0)</f>
        <v>0</v>
      </c>
      <c r="D842">
        <f>IFERROR(VLOOKUP(Tabla1[[#This Row],[SISMED]],TblDisponibilidad[],8,FALSE), 0)</f>
        <v>0</v>
      </c>
      <c r="E842">
        <f>IFERROR(VLOOKUP(Tabla1[[#This Row],[SISMED]],TblDisponibilidad[],9,FALSE), 0)</f>
        <v>0</v>
      </c>
      <c r="F842">
        <f>IFERROR(VLOOKUP(Tabla1[[#This Row],[SISMED]],TblDisponibilidad[],10,FALSE), 0)</f>
        <v>0</v>
      </c>
      <c r="G842">
        <f>IFERROR(VLOOKUP(Tabla1[[#This Row],[SISMED]],TblDisponibilidad[],11,FALSE), 0)</f>
        <v>0</v>
      </c>
      <c r="H842">
        <f>IFERROR(VLOOKUP(Tabla1[[#This Row],[SISMED]],TblDisponibilidad[],12,FALSE), 0)</f>
        <v>0</v>
      </c>
      <c r="I842">
        <f>IFERROR(VLOOKUP(Tabla1[[#This Row],[SISMED]],TblDisponibilidad[],13,FALSE), 0)</f>
        <v>0</v>
      </c>
      <c r="J842">
        <f>IFERROR(VLOOKUP(Tabla1[[#This Row],[SISMED]],TblDisponibilidad[],14,FALSE), 0)</f>
        <v>0</v>
      </c>
      <c r="K842">
        <f>IFERROR(VLOOKUP(Tabla1[[#This Row],[SISMED]],TblDisponibilidad[],15,FALSE), 0)</f>
        <v>0</v>
      </c>
      <c r="L842">
        <f>IFERROR(VLOOKUP(Tabla1[[#This Row],[SISMED]],TblDisponibilidad[],16,FALSE), 0)</f>
        <v>0</v>
      </c>
      <c r="M842">
        <f>IFERROR(VLOOKUP(Tabla1[[#This Row],[SISMED]],TblDisponibilidad[],17,FALSE), 0)</f>
        <v>0</v>
      </c>
      <c r="N842">
        <f>IFERROR(VLOOKUP(Tabla1[[#This Row],[SISMED]],TblDisponibilidad[],18,FALSE), 0)</f>
        <v>0</v>
      </c>
      <c r="O842">
        <f>IFERROR(VLOOKUP(Tabla1[[#This Row],[SISMED]],TblDisponibilidad[],19,FALSE), 0)</f>
        <v>0</v>
      </c>
      <c r="P842">
        <f>IFERROR(VLOOKUP(Tabla1[[#This Row],[SISMED]],TblDisponibilidad[],20,FALSE), 0)</f>
        <v>0</v>
      </c>
      <c r="Q842">
        <f>IFERROR(VLOOKUP(Tabla1[[#This Row],[SISMED]],TblDisponibilidad[],21,FALSE), 0)</f>
        <v>0</v>
      </c>
      <c r="R842">
        <f>IFERROR(VLOOKUP(Tabla1[[#This Row],[SISMED]],TblDisponibilidad[],22,FALSE), 0)</f>
        <v>0</v>
      </c>
      <c r="S842" s="15">
        <f>IFERROR(VLOOKUP(Tabla1[[#This Row],[SISMED]],TblDisponibilidad[],23,FALSE), 0)</f>
        <v>0</v>
      </c>
    </row>
    <row r="843" spans="1:19" x14ac:dyDescent="0.3">
      <c r="A843" s="15" t="s">
        <v>873</v>
      </c>
      <c r="B843" t="str">
        <f>IFERROR(VLOOKUP(Tabla1[[#This Row],[SISMED]],TblDisponibilidad[],2,FALSE), "")</f>
        <v/>
      </c>
      <c r="C843">
        <f>IFERROR(VLOOKUP(Tabla1[[#This Row],[SISMED]],TblDisponibilidad[],7,FALSE), 0)</f>
        <v>0</v>
      </c>
      <c r="D843">
        <f>IFERROR(VLOOKUP(Tabla1[[#This Row],[SISMED]],TblDisponibilidad[],8,FALSE), 0)</f>
        <v>0</v>
      </c>
      <c r="E843">
        <f>IFERROR(VLOOKUP(Tabla1[[#This Row],[SISMED]],TblDisponibilidad[],9,FALSE), 0)</f>
        <v>0</v>
      </c>
      <c r="F843">
        <f>IFERROR(VLOOKUP(Tabla1[[#This Row],[SISMED]],TblDisponibilidad[],10,FALSE), 0)</f>
        <v>0</v>
      </c>
      <c r="G843">
        <f>IFERROR(VLOOKUP(Tabla1[[#This Row],[SISMED]],TblDisponibilidad[],11,FALSE), 0)</f>
        <v>0</v>
      </c>
      <c r="H843">
        <f>IFERROR(VLOOKUP(Tabla1[[#This Row],[SISMED]],TblDisponibilidad[],12,FALSE), 0)</f>
        <v>0</v>
      </c>
      <c r="I843">
        <f>IFERROR(VLOOKUP(Tabla1[[#This Row],[SISMED]],TblDisponibilidad[],13,FALSE), 0)</f>
        <v>0</v>
      </c>
      <c r="J843">
        <f>IFERROR(VLOOKUP(Tabla1[[#This Row],[SISMED]],TblDisponibilidad[],14,FALSE), 0)</f>
        <v>0</v>
      </c>
      <c r="K843">
        <f>IFERROR(VLOOKUP(Tabla1[[#This Row],[SISMED]],TblDisponibilidad[],15,FALSE), 0)</f>
        <v>0</v>
      </c>
      <c r="L843">
        <f>IFERROR(VLOOKUP(Tabla1[[#This Row],[SISMED]],TblDisponibilidad[],16,FALSE), 0)</f>
        <v>0</v>
      </c>
      <c r="M843">
        <f>IFERROR(VLOOKUP(Tabla1[[#This Row],[SISMED]],TblDisponibilidad[],17,FALSE), 0)</f>
        <v>0</v>
      </c>
      <c r="N843">
        <f>IFERROR(VLOOKUP(Tabla1[[#This Row],[SISMED]],TblDisponibilidad[],18,FALSE), 0)</f>
        <v>0</v>
      </c>
      <c r="O843">
        <f>IFERROR(VLOOKUP(Tabla1[[#This Row],[SISMED]],TblDisponibilidad[],19,FALSE), 0)</f>
        <v>0</v>
      </c>
      <c r="P843">
        <f>IFERROR(VLOOKUP(Tabla1[[#This Row],[SISMED]],TblDisponibilidad[],20,FALSE), 0)</f>
        <v>0</v>
      </c>
      <c r="Q843">
        <f>IFERROR(VLOOKUP(Tabla1[[#This Row],[SISMED]],TblDisponibilidad[],21,FALSE), 0)</f>
        <v>0</v>
      </c>
      <c r="R843">
        <f>IFERROR(VLOOKUP(Tabla1[[#This Row],[SISMED]],TblDisponibilidad[],22,FALSE), 0)</f>
        <v>0</v>
      </c>
      <c r="S843" s="15">
        <f>IFERROR(VLOOKUP(Tabla1[[#This Row],[SISMED]],TblDisponibilidad[],23,FALSE), 0)</f>
        <v>0</v>
      </c>
    </row>
    <row r="844" spans="1:19" x14ac:dyDescent="0.3">
      <c r="A844" s="15" t="s">
        <v>874</v>
      </c>
      <c r="B844" t="str">
        <f>IFERROR(VLOOKUP(Tabla1[[#This Row],[SISMED]],TblDisponibilidad[],2,FALSE), "")</f>
        <v/>
      </c>
      <c r="C844">
        <f>IFERROR(VLOOKUP(Tabla1[[#This Row],[SISMED]],TblDisponibilidad[],7,FALSE), 0)</f>
        <v>0</v>
      </c>
      <c r="D844">
        <f>IFERROR(VLOOKUP(Tabla1[[#This Row],[SISMED]],TblDisponibilidad[],8,FALSE), 0)</f>
        <v>0</v>
      </c>
      <c r="E844">
        <f>IFERROR(VLOOKUP(Tabla1[[#This Row],[SISMED]],TblDisponibilidad[],9,FALSE), 0)</f>
        <v>0</v>
      </c>
      <c r="F844">
        <f>IFERROR(VLOOKUP(Tabla1[[#This Row],[SISMED]],TblDisponibilidad[],10,FALSE), 0)</f>
        <v>0</v>
      </c>
      <c r="G844">
        <f>IFERROR(VLOOKUP(Tabla1[[#This Row],[SISMED]],TblDisponibilidad[],11,FALSE), 0)</f>
        <v>0</v>
      </c>
      <c r="H844">
        <f>IFERROR(VLOOKUP(Tabla1[[#This Row],[SISMED]],TblDisponibilidad[],12,FALSE), 0)</f>
        <v>0</v>
      </c>
      <c r="I844">
        <f>IFERROR(VLOOKUP(Tabla1[[#This Row],[SISMED]],TblDisponibilidad[],13,FALSE), 0)</f>
        <v>0</v>
      </c>
      <c r="J844">
        <f>IFERROR(VLOOKUP(Tabla1[[#This Row],[SISMED]],TblDisponibilidad[],14,FALSE), 0)</f>
        <v>0</v>
      </c>
      <c r="K844">
        <f>IFERROR(VLOOKUP(Tabla1[[#This Row],[SISMED]],TblDisponibilidad[],15,FALSE), 0)</f>
        <v>0</v>
      </c>
      <c r="L844">
        <f>IFERROR(VLOOKUP(Tabla1[[#This Row],[SISMED]],TblDisponibilidad[],16,FALSE), 0)</f>
        <v>0</v>
      </c>
      <c r="M844">
        <f>IFERROR(VLOOKUP(Tabla1[[#This Row],[SISMED]],TblDisponibilidad[],17,FALSE), 0)</f>
        <v>0</v>
      </c>
      <c r="N844">
        <f>IFERROR(VLOOKUP(Tabla1[[#This Row],[SISMED]],TblDisponibilidad[],18,FALSE), 0)</f>
        <v>0</v>
      </c>
      <c r="O844">
        <f>IFERROR(VLOOKUP(Tabla1[[#This Row],[SISMED]],TblDisponibilidad[],19,FALSE), 0)</f>
        <v>0</v>
      </c>
      <c r="P844">
        <f>IFERROR(VLOOKUP(Tabla1[[#This Row],[SISMED]],TblDisponibilidad[],20,FALSE), 0)</f>
        <v>0</v>
      </c>
      <c r="Q844">
        <f>IFERROR(VLOOKUP(Tabla1[[#This Row],[SISMED]],TblDisponibilidad[],21,FALSE), 0)</f>
        <v>0</v>
      </c>
      <c r="R844">
        <f>IFERROR(VLOOKUP(Tabla1[[#This Row],[SISMED]],TblDisponibilidad[],22,FALSE), 0)</f>
        <v>0</v>
      </c>
      <c r="S844" s="15">
        <f>IFERROR(VLOOKUP(Tabla1[[#This Row],[SISMED]],TblDisponibilidad[],23,FALSE), 0)</f>
        <v>0</v>
      </c>
    </row>
    <row r="845" spans="1:19" x14ac:dyDescent="0.3">
      <c r="A845" s="15" t="s">
        <v>875</v>
      </c>
      <c r="B845" t="str">
        <f>IFERROR(VLOOKUP(Tabla1[[#This Row],[SISMED]],TblDisponibilidad[],2,FALSE), "")</f>
        <v/>
      </c>
      <c r="C845">
        <f>IFERROR(VLOOKUP(Tabla1[[#This Row],[SISMED]],TblDisponibilidad[],7,FALSE), 0)</f>
        <v>0</v>
      </c>
      <c r="D845">
        <f>IFERROR(VLOOKUP(Tabla1[[#This Row],[SISMED]],TblDisponibilidad[],8,FALSE), 0)</f>
        <v>0</v>
      </c>
      <c r="E845">
        <f>IFERROR(VLOOKUP(Tabla1[[#This Row],[SISMED]],TblDisponibilidad[],9,FALSE), 0)</f>
        <v>0</v>
      </c>
      <c r="F845">
        <f>IFERROR(VLOOKUP(Tabla1[[#This Row],[SISMED]],TblDisponibilidad[],10,FALSE), 0)</f>
        <v>0</v>
      </c>
      <c r="G845">
        <f>IFERROR(VLOOKUP(Tabla1[[#This Row],[SISMED]],TblDisponibilidad[],11,FALSE), 0)</f>
        <v>0</v>
      </c>
      <c r="H845">
        <f>IFERROR(VLOOKUP(Tabla1[[#This Row],[SISMED]],TblDisponibilidad[],12,FALSE), 0)</f>
        <v>0</v>
      </c>
      <c r="I845">
        <f>IFERROR(VLOOKUP(Tabla1[[#This Row],[SISMED]],TblDisponibilidad[],13,FALSE), 0)</f>
        <v>0</v>
      </c>
      <c r="J845">
        <f>IFERROR(VLOOKUP(Tabla1[[#This Row],[SISMED]],TblDisponibilidad[],14,FALSE), 0)</f>
        <v>0</v>
      </c>
      <c r="K845">
        <f>IFERROR(VLOOKUP(Tabla1[[#This Row],[SISMED]],TblDisponibilidad[],15,FALSE), 0)</f>
        <v>0</v>
      </c>
      <c r="L845">
        <f>IFERROR(VLOOKUP(Tabla1[[#This Row],[SISMED]],TblDisponibilidad[],16,FALSE), 0)</f>
        <v>0</v>
      </c>
      <c r="M845">
        <f>IFERROR(VLOOKUP(Tabla1[[#This Row],[SISMED]],TblDisponibilidad[],17,FALSE), 0)</f>
        <v>0</v>
      </c>
      <c r="N845">
        <f>IFERROR(VLOOKUP(Tabla1[[#This Row],[SISMED]],TblDisponibilidad[],18,FALSE), 0)</f>
        <v>0</v>
      </c>
      <c r="O845">
        <f>IFERROR(VLOOKUP(Tabla1[[#This Row],[SISMED]],TblDisponibilidad[],19,FALSE), 0)</f>
        <v>0</v>
      </c>
      <c r="P845">
        <f>IFERROR(VLOOKUP(Tabla1[[#This Row],[SISMED]],TblDisponibilidad[],20,FALSE), 0)</f>
        <v>0</v>
      </c>
      <c r="Q845">
        <f>IFERROR(VLOOKUP(Tabla1[[#This Row],[SISMED]],TblDisponibilidad[],21,FALSE), 0)</f>
        <v>0</v>
      </c>
      <c r="R845">
        <f>IFERROR(VLOOKUP(Tabla1[[#This Row],[SISMED]],TblDisponibilidad[],22,FALSE), 0)</f>
        <v>0</v>
      </c>
      <c r="S845" s="15">
        <f>IFERROR(VLOOKUP(Tabla1[[#This Row],[SISMED]],TblDisponibilidad[],23,FALSE), 0)</f>
        <v>0</v>
      </c>
    </row>
    <row r="846" spans="1:19" x14ac:dyDescent="0.3">
      <c r="A846" s="15" t="s">
        <v>876</v>
      </c>
      <c r="B846" t="str">
        <f>IFERROR(VLOOKUP(Tabla1[[#This Row],[SISMED]],TblDisponibilidad[],2,FALSE), "")</f>
        <v/>
      </c>
      <c r="C846">
        <f>IFERROR(VLOOKUP(Tabla1[[#This Row],[SISMED]],TblDisponibilidad[],7,FALSE), 0)</f>
        <v>0</v>
      </c>
      <c r="D846">
        <f>IFERROR(VLOOKUP(Tabla1[[#This Row],[SISMED]],TblDisponibilidad[],8,FALSE), 0)</f>
        <v>0</v>
      </c>
      <c r="E846">
        <f>IFERROR(VLOOKUP(Tabla1[[#This Row],[SISMED]],TblDisponibilidad[],9,FALSE), 0)</f>
        <v>0</v>
      </c>
      <c r="F846">
        <f>IFERROR(VLOOKUP(Tabla1[[#This Row],[SISMED]],TblDisponibilidad[],10,FALSE), 0)</f>
        <v>0</v>
      </c>
      <c r="G846">
        <f>IFERROR(VLOOKUP(Tabla1[[#This Row],[SISMED]],TblDisponibilidad[],11,FALSE), 0)</f>
        <v>0</v>
      </c>
      <c r="H846">
        <f>IFERROR(VLOOKUP(Tabla1[[#This Row],[SISMED]],TblDisponibilidad[],12,FALSE), 0)</f>
        <v>0</v>
      </c>
      <c r="I846">
        <f>IFERROR(VLOOKUP(Tabla1[[#This Row],[SISMED]],TblDisponibilidad[],13,FALSE), 0)</f>
        <v>0</v>
      </c>
      <c r="J846">
        <f>IFERROR(VLOOKUP(Tabla1[[#This Row],[SISMED]],TblDisponibilidad[],14,FALSE), 0)</f>
        <v>0</v>
      </c>
      <c r="K846">
        <f>IFERROR(VLOOKUP(Tabla1[[#This Row],[SISMED]],TblDisponibilidad[],15,FALSE), 0)</f>
        <v>0</v>
      </c>
      <c r="L846">
        <f>IFERROR(VLOOKUP(Tabla1[[#This Row],[SISMED]],TblDisponibilidad[],16,FALSE), 0)</f>
        <v>0</v>
      </c>
      <c r="M846">
        <f>IFERROR(VLOOKUP(Tabla1[[#This Row],[SISMED]],TblDisponibilidad[],17,FALSE), 0)</f>
        <v>0</v>
      </c>
      <c r="N846">
        <f>IFERROR(VLOOKUP(Tabla1[[#This Row],[SISMED]],TblDisponibilidad[],18,FALSE), 0)</f>
        <v>0</v>
      </c>
      <c r="O846">
        <f>IFERROR(VLOOKUP(Tabla1[[#This Row],[SISMED]],TblDisponibilidad[],19,FALSE), 0)</f>
        <v>0</v>
      </c>
      <c r="P846">
        <f>IFERROR(VLOOKUP(Tabla1[[#This Row],[SISMED]],TblDisponibilidad[],20,FALSE), 0)</f>
        <v>0</v>
      </c>
      <c r="Q846">
        <f>IFERROR(VLOOKUP(Tabla1[[#This Row],[SISMED]],TblDisponibilidad[],21,FALSE), 0)</f>
        <v>0</v>
      </c>
      <c r="R846">
        <f>IFERROR(VLOOKUP(Tabla1[[#This Row],[SISMED]],TblDisponibilidad[],22,FALSE), 0)</f>
        <v>0</v>
      </c>
      <c r="S846" s="15">
        <f>IFERROR(VLOOKUP(Tabla1[[#This Row],[SISMED]],TblDisponibilidad[],23,FALSE), 0)</f>
        <v>0</v>
      </c>
    </row>
    <row r="847" spans="1:19" x14ac:dyDescent="0.3">
      <c r="A847" s="15" t="s">
        <v>877</v>
      </c>
      <c r="B847" t="str">
        <f>IFERROR(VLOOKUP(Tabla1[[#This Row],[SISMED]],TblDisponibilidad[],2,FALSE), "")</f>
        <v/>
      </c>
      <c r="C847">
        <f>IFERROR(VLOOKUP(Tabla1[[#This Row],[SISMED]],TblDisponibilidad[],7,FALSE), 0)</f>
        <v>0</v>
      </c>
      <c r="D847">
        <f>IFERROR(VLOOKUP(Tabla1[[#This Row],[SISMED]],TblDisponibilidad[],8,FALSE), 0)</f>
        <v>0</v>
      </c>
      <c r="E847">
        <f>IFERROR(VLOOKUP(Tabla1[[#This Row],[SISMED]],TblDisponibilidad[],9,FALSE), 0)</f>
        <v>0</v>
      </c>
      <c r="F847">
        <f>IFERROR(VLOOKUP(Tabla1[[#This Row],[SISMED]],TblDisponibilidad[],10,FALSE), 0)</f>
        <v>0</v>
      </c>
      <c r="G847">
        <f>IFERROR(VLOOKUP(Tabla1[[#This Row],[SISMED]],TblDisponibilidad[],11,FALSE), 0)</f>
        <v>0</v>
      </c>
      <c r="H847">
        <f>IFERROR(VLOOKUP(Tabla1[[#This Row],[SISMED]],TblDisponibilidad[],12,FALSE), 0)</f>
        <v>0</v>
      </c>
      <c r="I847">
        <f>IFERROR(VLOOKUP(Tabla1[[#This Row],[SISMED]],TblDisponibilidad[],13,FALSE), 0)</f>
        <v>0</v>
      </c>
      <c r="J847">
        <f>IFERROR(VLOOKUP(Tabla1[[#This Row],[SISMED]],TblDisponibilidad[],14,FALSE), 0)</f>
        <v>0</v>
      </c>
      <c r="K847">
        <f>IFERROR(VLOOKUP(Tabla1[[#This Row],[SISMED]],TblDisponibilidad[],15,FALSE), 0)</f>
        <v>0</v>
      </c>
      <c r="L847">
        <f>IFERROR(VLOOKUP(Tabla1[[#This Row],[SISMED]],TblDisponibilidad[],16,FALSE), 0)</f>
        <v>0</v>
      </c>
      <c r="M847">
        <f>IFERROR(VLOOKUP(Tabla1[[#This Row],[SISMED]],TblDisponibilidad[],17,FALSE), 0)</f>
        <v>0</v>
      </c>
      <c r="N847">
        <f>IFERROR(VLOOKUP(Tabla1[[#This Row],[SISMED]],TblDisponibilidad[],18,FALSE), 0)</f>
        <v>0</v>
      </c>
      <c r="O847">
        <f>IFERROR(VLOOKUP(Tabla1[[#This Row],[SISMED]],TblDisponibilidad[],19,FALSE), 0)</f>
        <v>0</v>
      </c>
      <c r="P847">
        <f>IFERROR(VLOOKUP(Tabla1[[#This Row],[SISMED]],TblDisponibilidad[],20,FALSE), 0)</f>
        <v>0</v>
      </c>
      <c r="Q847">
        <f>IFERROR(VLOOKUP(Tabla1[[#This Row],[SISMED]],TblDisponibilidad[],21,FALSE), 0)</f>
        <v>0</v>
      </c>
      <c r="R847">
        <f>IFERROR(VLOOKUP(Tabla1[[#This Row],[SISMED]],TblDisponibilidad[],22,FALSE), 0)</f>
        <v>0</v>
      </c>
      <c r="S847" s="15">
        <f>IFERROR(VLOOKUP(Tabla1[[#This Row],[SISMED]],TblDisponibilidad[],23,FALSE), 0)</f>
        <v>0</v>
      </c>
    </row>
    <row r="848" spans="1:19" x14ac:dyDescent="0.3">
      <c r="A848" s="15" t="s">
        <v>878</v>
      </c>
      <c r="B848" t="str">
        <f>IFERROR(VLOOKUP(Tabla1[[#This Row],[SISMED]],TblDisponibilidad[],2,FALSE), "")</f>
        <v/>
      </c>
      <c r="C848">
        <f>IFERROR(VLOOKUP(Tabla1[[#This Row],[SISMED]],TblDisponibilidad[],7,FALSE), 0)</f>
        <v>0</v>
      </c>
      <c r="D848">
        <f>IFERROR(VLOOKUP(Tabla1[[#This Row],[SISMED]],TblDisponibilidad[],8,FALSE), 0)</f>
        <v>0</v>
      </c>
      <c r="E848">
        <f>IFERROR(VLOOKUP(Tabla1[[#This Row],[SISMED]],TblDisponibilidad[],9,FALSE), 0)</f>
        <v>0</v>
      </c>
      <c r="F848">
        <f>IFERROR(VLOOKUP(Tabla1[[#This Row],[SISMED]],TblDisponibilidad[],10,FALSE), 0)</f>
        <v>0</v>
      </c>
      <c r="G848">
        <f>IFERROR(VLOOKUP(Tabla1[[#This Row],[SISMED]],TblDisponibilidad[],11,FALSE), 0)</f>
        <v>0</v>
      </c>
      <c r="H848">
        <f>IFERROR(VLOOKUP(Tabla1[[#This Row],[SISMED]],TblDisponibilidad[],12,FALSE), 0)</f>
        <v>0</v>
      </c>
      <c r="I848">
        <f>IFERROR(VLOOKUP(Tabla1[[#This Row],[SISMED]],TblDisponibilidad[],13,FALSE), 0)</f>
        <v>0</v>
      </c>
      <c r="J848">
        <f>IFERROR(VLOOKUP(Tabla1[[#This Row],[SISMED]],TblDisponibilidad[],14,FALSE), 0)</f>
        <v>0</v>
      </c>
      <c r="K848">
        <f>IFERROR(VLOOKUP(Tabla1[[#This Row],[SISMED]],TblDisponibilidad[],15,FALSE), 0)</f>
        <v>0</v>
      </c>
      <c r="L848">
        <f>IFERROR(VLOOKUP(Tabla1[[#This Row],[SISMED]],TblDisponibilidad[],16,FALSE), 0)</f>
        <v>0</v>
      </c>
      <c r="M848">
        <f>IFERROR(VLOOKUP(Tabla1[[#This Row],[SISMED]],TblDisponibilidad[],17,FALSE), 0)</f>
        <v>0</v>
      </c>
      <c r="N848">
        <f>IFERROR(VLOOKUP(Tabla1[[#This Row],[SISMED]],TblDisponibilidad[],18,FALSE), 0)</f>
        <v>0</v>
      </c>
      <c r="O848">
        <f>IFERROR(VLOOKUP(Tabla1[[#This Row],[SISMED]],TblDisponibilidad[],19,FALSE), 0)</f>
        <v>0</v>
      </c>
      <c r="P848">
        <f>IFERROR(VLOOKUP(Tabla1[[#This Row],[SISMED]],TblDisponibilidad[],20,FALSE), 0)</f>
        <v>0</v>
      </c>
      <c r="Q848">
        <f>IFERROR(VLOOKUP(Tabla1[[#This Row],[SISMED]],TblDisponibilidad[],21,FALSE), 0)</f>
        <v>0</v>
      </c>
      <c r="R848">
        <f>IFERROR(VLOOKUP(Tabla1[[#This Row],[SISMED]],TblDisponibilidad[],22,FALSE), 0)</f>
        <v>0</v>
      </c>
      <c r="S848" s="15">
        <f>IFERROR(VLOOKUP(Tabla1[[#This Row],[SISMED]],TblDisponibilidad[],23,FALSE), 0)</f>
        <v>0</v>
      </c>
    </row>
    <row r="849" spans="1:19" x14ac:dyDescent="0.3">
      <c r="A849" s="15" t="s">
        <v>879</v>
      </c>
      <c r="B849" t="str">
        <f>IFERROR(VLOOKUP(Tabla1[[#This Row],[SISMED]],TblDisponibilidad[],2,FALSE), "")</f>
        <v/>
      </c>
      <c r="C849">
        <f>IFERROR(VLOOKUP(Tabla1[[#This Row],[SISMED]],TblDisponibilidad[],7,FALSE), 0)</f>
        <v>0</v>
      </c>
      <c r="D849">
        <f>IFERROR(VLOOKUP(Tabla1[[#This Row],[SISMED]],TblDisponibilidad[],8,FALSE), 0)</f>
        <v>0</v>
      </c>
      <c r="E849">
        <f>IFERROR(VLOOKUP(Tabla1[[#This Row],[SISMED]],TblDisponibilidad[],9,FALSE), 0)</f>
        <v>0</v>
      </c>
      <c r="F849">
        <f>IFERROR(VLOOKUP(Tabla1[[#This Row],[SISMED]],TblDisponibilidad[],10,FALSE), 0)</f>
        <v>0</v>
      </c>
      <c r="G849">
        <f>IFERROR(VLOOKUP(Tabla1[[#This Row],[SISMED]],TblDisponibilidad[],11,FALSE), 0)</f>
        <v>0</v>
      </c>
      <c r="H849">
        <f>IFERROR(VLOOKUP(Tabla1[[#This Row],[SISMED]],TblDisponibilidad[],12,FALSE), 0)</f>
        <v>0</v>
      </c>
      <c r="I849">
        <f>IFERROR(VLOOKUP(Tabla1[[#This Row],[SISMED]],TblDisponibilidad[],13,FALSE), 0)</f>
        <v>0</v>
      </c>
      <c r="J849">
        <f>IFERROR(VLOOKUP(Tabla1[[#This Row],[SISMED]],TblDisponibilidad[],14,FALSE), 0)</f>
        <v>0</v>
      </c>
      <c r="K849">
        <f>IFERROR(VLOOKUP(Tabla1[[#This Row],[SISMED]],TblDisponibilidad[],15,FALSE), 0)</f>
        <v>0</v>
      </c>
      <c r="L849">
        <f>IFERROR(VLOOKUP(Tabla1[[#This Row],[SISMED]],TblDisponibilidad[],16,FALSE), 0)</f>
        <v>0</v>
      </c>
      <c r="M849">
        <f>IFERROR(VLOOKUP(Tabla1[[#This Row],[SISMED]],TblDisponibilidad[],17,FALSE), 0)</f>
        <v>0</v>
      </c>
      <c r="N849">
        <f>IFERROR(VLOOKUP(Tabla1[[#This Row],[SISMED]],TblDisponibilidad[],18,FALSE), 0)</f>
        <v>0</v>
      </c>
      <c r="O849">
        <f>IFERROR(VLOOKUP(Tabla1[[#This Row],[SISMED]],TblDisponibilidad[],19,FALSE), 0)</f>
        <v>0</v>
      </c>
      <c r="P849">
        <f>IFERROR(VLOOKUP(Tabla1[[#This Row],[SISMED]],TblDisponibilidad[],20,FALSE), 0)</f>
        <v>0</v>
      </c>
      <c r="Q849">
        <f>IFERROR(VLOOKUP(Tabla1[[#This Row],[SISMED]],TblDisponibilidad[],21,FALSE), 0)</f>
        <v>0</v>
      </c>
      <c r="R849">
        <f>IFERROR(VLOOKUP(Tabla1[[#This Row],[SISMED]],TblDisponibilidad[],22,FALSE), 0)</f>
        <v>0</v>
      </c>
      <c r="S849" s="15">
        <f>IFERROR(VLOOKUP(Tabla1[[#This Row],[SISMED]],TblDisponibilidad[],23,FALSE), 0)</f>
        <v>0</v>
      </c>
    </row>
    <row r="850" spans="1:19" x14ac:dyDescent="0.3">
      <c r="A850" s="15" t="s">
        <v>880</v>
      </c>
      <c r="B850" t="str">
        <f>IFERROR(VLOOKUP(Tabla1[[#This Row],[SISMED]],TblDisponibilidad[],2,FALSE), "")</f>
        <v/>
      </c>
      <c r="C850">
        <f>IFERROR(VLOOKUP(Tabla1[[#This Row],[SISMED]],TblDisponibilidad[],7,FALSE), 0)</f>
        <v>0</v>
      </c>
      <c r="D850">
        <f>IFERROR(VLOOKUP(Tabla1[[#This Row],[SISMED]],TblDisponibilidad[],8,FALSE), 0)</f>
        <v>0</v>
      </c>
      <c r="E850">
        <f>IFERROR(VLOOKUP(Tabla1[[#This Row],[SISMED]],TblDisponibilidad[],9,FALSE), 0)</f>
        <v>0</v>
      </c>
      <c r="F850">
        <f>IFERROR(VLOOKUP(Tabla1[[#This Row],[SISMED]],TblDisponibilidad[],10,FALSE), 0)</f>
        <v>0</v>
      </c>
      <c r="G850">
        <f>IFERROR(VLOOKUP(Tabla1[[#This Row],[SISMED]],TblDisponibilidad[],11,FALSE), 0)</f>
        <v>0</v>
      </c>
      <c r="H850">
        <f>IFERROR(VLOOKUP(Tabla1[[#This Row],[SISMED]],TblDisponibilidad[],12,FALSE), 0)</f>
        <v>0</v>
      </c>
      <c r="I850">
        <f>IFERROR(VLOOKUP(Tabla1[[#This Row],[SISMED]],TblDisponibilidad[],13,FALSE), 0)</f>
        <v>0</v>
      </c>
      <c r="J850">
        <f>IFERROR(VLOOKUP(Tabla1[[#This Row],[SISMED]],TblDisponibilidad[],14,FALSE), 0)</f>
        <v>0</v>
      </c>
      <c r="K850">
        <f>IFERROR(VLOOKUP(Tabla1[[#This Row],[SISMED]],TblDisponibilidad[],15,FALSE), 0)</f>
        <v>0</v>
      </c>
      <c r="L850">
        <f>IFERROR(VLOOKUP(Tabla1[[#This Row],[SISMED]],TblDisponibilidad[],16,FALSE), 0)</f>
        <v>0</v>
      </c>
      <c r="M850">
        <f>IFERROR(VLOOKUP(Tabla1[[#This Row],[SISMED]],TblDisponibilidad[],17,FALSE), 0)</f>
        <v>0</v>
      </c>
      <c r="N850">
        <f>IFERROR(VLOOKUP(Tabla1[[#This Row],[SISMED]],TblDisponibilidad[],18,FALSE), 0)</f>
        <v>0</v>
      </c>
      <c r="O850">
        <f>IFERROR(VLOOKUP(Tabla1[[#This Row],[SISMED]],TblDisponibilidad[],19,FALSE), 0)</f>
        <v>0</v>
      </c>
      <c r="P850">
        <f>IFERROR(VLOOKUP(Tabla1[[#This Row],[SISMED]],TblDisponibilidad[],20,FALSE), 0)</f>
        <v>0</v>
      </c>
      <c r="Q850">
        <f>IFERROR(VLOOKUP(Tabla1[[#This Row],[SISMED]],TblDisponibilidad[],21,FALSE), 0)</f>
        <v>0</v>
      </c>
      <c r="R850">
        <f>IFERROR(VLOOKUP(Tabla1[[#This Row],[SISMED]],TblDisponibilidad[],22,FALSE), 0)</f>
        <v>0</v>
      </c>
      <c r="S850" s="15">
        <f>IFERROR(VLOOKUP(Tabla1[[#This Row],[SISMED]],TblDisponibilidad[],23,FALSE), 0)</f>
        <v>0</v>
      </c>
    </row>
    <row r="851" spans="1:19" x14ac:dyDescent="0.3">
      <c r="A851" s="15" t="s">
        <v>881</v>
      </c>
      <c r="B851" t="str">
        <f>IFERROR(VLOOKUP(Tabla1[[#This Row],[SISMED]],TblDisponibilidad[],2,FALSE), "")</f>
        <v/>
      </c>
      <c r="C851">
        <f>IFERROR(VLOOKUP(Tabla1[[#This Row],[SISMED]],TblDisponibilidad[],7,FALSE), 0)</f>
        <v>0</v>
      </c>
      <c r="D851">
        <f>IFERROR(VLOOKUP(Tabla1[[#This Row],[SISMED]],TblDisponibilidad[],8,FALSE), 0)</f>
        <v>0</v>
      </c>
      <c r="E851">
        <f>IFERROR(VLOOKUP(Tabla1[[#This Row],[SISMED]],TblDisponibilidad[],9,FALSE), 0)</f>
        <v>0</v>
      </c>
      <c r="F851">
        <f>IFERROR(VLOOKUP(Tabla1[[#This Row],[SISMED]],TblDisponibilidad[],10,FALSE), 0)</f>
        <v>0</v>
      </c>
      <c r="G851">
        <f>IFERROR(VLOOKUP(Tabla1[[#This Row],[SISMED]],TblDisponibilidad[],11,FALSE), 0)</f>
        <v>0</v>
      </c>
      <c r="H851">
        <f>IFERROR(VLOOKUP(Tabla1[[#This Row],[SISMED]],TblDisponibilidad[],12,FALSE), 0)</f>
        <v>0</v>
      </c>
      <c r="I851">
        <f>IFERROR(VLOOKUP(Tabla1[[#This Row],[SISMED]],TblDisponibilidad[],13,FALSE), 0)</f>
        <v>0</v>
      </c>
      <c r="J851">
        <f>IFERROR(VLOOKUP(Tabla1[[#This Row],[SISMED]],TblDisponibilidad[],14,FALSE), 0)</f>
        <v>0</v>
      </c>
      <c r="K851">
        <f>IFERROR(VLOOKUP(Tabla1[[#This Row],[SISMED]],TblDisponibilidad[],15,FALSE), 0)</f>
        <v>0</v>
      </c>
      <c r="L851">
        <f>IFERROR(VLOOKUP(Tabla1[[#This Row],[SISMED]],TblDisponibilidad[],16,FALSE), 0)</f>
        <v>0</v>
      </c>
      <c r="M851">
        <f>IFERROR(VLOOKUP(Tabla1[[#This Row],[SISMED]],TblDisponibilidad[],17,FALSE), 0)</f>
        <v>0</v>
      </c>
      <c r="N851">
        <f>IFERROR(VLOOKUP(Tabla1[[#This Row],[SISMED]],TblDisponibilidad[],18,FALSE), 0)</f>
        <v>0</v>
      </c>
      <c r="O851">
        <f>IFERROR(VLOOKUP(Tabla1[[#This Row],[SISMED]],TblDisponibilidad[],19,FALSE), 0)</f>
        <v>0</v>
      </c>
      <c r="P851">
        <f>IFERROR(VLOOKUP(Tabla1[[#This Row],[SISMED]],TblDisponibilidad[],20,FALSE), 0)</f>
        <v>0</v>
      </c>
      <c r="Q851">
        <f>IFERROR(VLOOKUP(Tabla1[[#This Row],[SISMED]],TblDisponibilidad[],21,FALSE), 0)</f>
        <v>0</v>
      </c>
      <c r="R851">
        <f>IFERROR(VLOOKUP(Tabla1[[#This Row],[SISMED]],TblDisponibilidad[],22,FALSE), 0)</f>
        <v>0</v>
      </c>
      <c r="S851" s="15">
        <f>IFERROR(VLOOKUP(Tabla1[[#This Row],[SISMED]],TblDisponibilidad[],23,FALSE), 0)</f>
        <v>0</v>
      </c>
    </row>
    <row r="852" spans="1:19" x14ac:dyDescent="0.3">
      <c r="A852" s="15" t="s">
        <v>882</v>
      </c>
      <c r="B852" t="str">
        <f>IFERROR(VLOOKUP(Tabla1[[#This Row],[SISMED]],TblDisponibilidad[],2,FALSE), "")</f>
        <v/>
      </c>
      <c r="C852">
        <f>IFERROR(VLOOKUP(Tabla1[[#This Row],[SISMED]],TblDisponibilidad[],7,FALSE), 0)</f>
        <v>0</v>
      </c>
      <c r="D852">
        <f>IFERROR(VLOOKUP(Tabla1[[#This Row],[SISMED]],TblDisponibilidad[],8,FALSE), 0)</f>
        <v>0</v>
      </c>
      <c r="E852">
        <f>IFERROR(VLOOKUP(Tabla1[[#This Row],[SISMED]],TblDisponibilidad[],9,FALSE), 0)</f>
        <v>0</v>
      </c>
      <c r="F852">
        <f>IFERROR(VLOOKUP(Tabla1[[#This Row],[SISMED]],TblDisponibilidad[],10,FALSE), 0)</f>
        <v>0</v>
      </c>
      <c r="G852">
        <f>IFERROR(VLOOKUP(Tabla1[[#This Row],[SISMED]],TblDisponibilidad[],11,FALSE), 0)</f>
        <v>0</v>
      </c>
      <c r="H852">
        <f>IFERROR(VLOOKUP(Tabla1[[#This Row],[SISMED]],TblDisponibilidad[],12,FALSE), 0)</f>
        <v>0</v>
      </c>
      <c r="I852">
        <f>IFERROR(VLOOKUP(Tabla1[[#This Row],[SISMED]],TblDisponibilidad[],13,FALSE), 0)</f>
        <v>0</v>
      </c>
      <c r="J852">
        <f>IFERROR(VLOOKUP(Tabla1[[#This Row],[SISMED]],TblDisponibilidad[],14,FALSE), 0)</f>
        <v>0</v>
      </c>
      <c r="K852">
        <f>IFERROR(VLOOKUP(Tabla1[[#This Row],[SISMED]],TblDisponibilidad[],15,FALSE), 0)</f>
        <v>0</v>
      </c>
      <c r="L852">
        <f>IFERROR(VLOOKUP(Tabla1[[#This Row],[SISMED]],TblDisponibilidad[],16,FALSE), 0)</f>
        <v>0</v>
      </c>
      <c r="M852">
        <f>IFERROR(VLOOKUP(Tabla1[[#This Row],[SISMED]],TblDisponibilidad[],17,FALSE), 0)</f>
        <v>0</v>
      </c>
      <c r="N852">
        <f>IFERROR(VLOOKUP(Tabla1[[#This Row],[SISMED]],TblDisponibilidad[],18,FALSE), 0)</f>
        <v>0</v>
      </c>
      <c r="O852">
        <f>IFERROR(VLOOKUP(Tabla1[[#This Row],[SISMED]],TblDisponibilidad[],19,FALSE), 0)</f>
        <v>0</v>
      </c>
      <c r="P852">
        <f>IFERROR(VLOOKUP(Tabla1[[#This Row],[SISMED]],TblDisponibilidad[],20,FALSE), 0)</f>
        <v>0</v>
      </c>
      <c r="Q852">
        <f>IFERROR(VLOOKUP(Tabla1[[#This Row],[SISMED]],TblDisponibilidad[],21,FALSE), 0)</f>
        <v>0</v>
      </c>
      <c r="R852">
        <f>IFERROR(VLOOKUP(Tabla1[[#This Row],[SISMED]],TblDisponibilidad[],22,FALSE), 0)</f>
        <v>0</v>
      </c>
      <c r="S852" s="15">
        <f>IFERROR(VLOOKUP(Tabla1[[#This Row],[SISMED]],TblDisponibilidad[],23,FALSE), 0)</f>
        <v>0</v>
      </c>
    </row>
    <row r="853" spans="1:19" x14ac:dyDescent="0.3">
      <c r="A853" s="15" t="s">
        <v>883</v>
      </c>
      <c r="B853" t="str">
        <f>IFERROR(VLOOKUP(Tabla1[[#This Row],[SISMED]],TblDisponibilidad[],2,FALSE), "")</f>
        <v/>
      </c>
      <c r="C853">
        <f>IFERROR(VLOOKUP(Tabla1[[#This Row],[SISMED]],TblDisponibilidad[],7,FALSE), 0)</f>
        <v>0</v>
      </c>
      <c r="D853">
        <f>IFERROR(VLOOKUP(Tabla1[[#This Row],[SISMED]],TblDisponibilidad[],8,FALSE), 0)</f>
        <v>0</v>
      </c>
      <c r="E853">
        <f>IFERROR(VLOOKUP(Tabla1[[#This Row],[SISMED]],TblDisponibilidad[],9,FALSE), 0)</f>
        <v>0</v>
      </c>
      <c r="F853">
        <f>IFERROR(VLOOKUP(Tabla1[[#This Row],[SISMED]],TblDisponibilidad[],10,FALSE), 0)</f>
        <v>0</v>
      </c>
      <c r="G853">
        <f>IFERROR(VLOOKUP(Tabla1[[#This Row],[SISMED]],TblDisponibilidad[],11,FALSE), 0)</f>
        <v>0</v>
      </c>
      <c r="H853">
        <f>IFERROR(VLOOKUP(Tabla1[[#This Row],[SISMED]],TblDisponibilidad[],12,FALSE), 0)</f>
        <v>0</v>
      </c>
      <c r="I853">
        <f>IFERROR(VLOOKUP(Tabla1[[#This Row],[SISMED]],TblDisponibilidad[],13,FALSE), 0)</f>
        <v>0</v>
      </c>
      <c r="J853">
        <f>IFERROR(VLOOKUP(Tabla1[[#This Row],[SISMED]],TblDisponibilidad[],14,FALSE), 0)</f>
        <v>0</v>
      </c>
      <c r="K853">
        <f>IFERROR(VLOOKUP(Tabla1[[#This Row],[SISMED]],TblDisponibilidad[],15,FALSE), 0)</f>
        <v>0</v>
      </c>
      <c r="L853">
        <f>IFERROR(VLOOKUP(Tabla1[[#This Row],[SISMED]],TblDisponibilidad[],16,FALSE), 0)</f>
        <v>0</v>
      </c>
      <c r="M853">
        <f>IFERROR(VLOOKUP(Tabla1[[#This Row],[SISMED]],TblDisponibilidad[],17,FALSE), 0)</f>
        <v>0</v>
      </c>
      <c r="N853">
        <f>IFERROR(VLOOKUP(Tabla1[[#This Row],[SISMED]],TblDisponibilidad[],18,FALSE), 0)</f>
        <v>0</v>
      </c>
      <c r="O853">
        <f>IFERROR(VLOOKUP(Tabla1[[#This Row],[SISMED]],TblDisponibilidad[],19,FALSE), 0)</f>
        <v>0</v>
      </c>
      <c r="P853">
        <f>IFERROR(VLOOKUP(Tabla1[[#This Row],[SISMED]],TblDisponibilidad[],20,FALSE), 0)</f>
        <v>0</v>
      </c>
      <c r="Q853">
        <f>IFERROR(VLOOKUP(Tabla1[[#This Row],[SISMED]],TblDisponibilidad[],21,FALSE), 0)</f>
        <v>0</v>
      </c>
      <c r="R853">
        <f>IFERROR(VLOOKUP(Tabla1[[#This Row],[SISMED]],TblDisponibilidad[],22,FALSE), 0)</f>
        <v>0</v>
      </c>
      <c r="S853" s="15">
        <f>IFERROR(VLOOKUP(Tabla1[[#This Row],[SISMED]],TblDisponibilidad[],23,FALSE), 0)</f>
        <v>0</v>
      </c>
    </row>
    <row r="854" spans="1:19" x14ac:dyDescent="0.3">
      <c r="A854" s="15" t="s">
        <v>884</v>
      </c>
      <c r="B854" t="str">
        <f>IFERROR(VLOOKUP(Tabla1[[#This Row],[SISMED]],TblDisponibilidad[],2,FALSE), "")</f>
        <v/>
      </c>
      <c r="C854">
        <f>IFERROR(VLOOKUP(Tabla1[[#This Row],[SISMED]],TblDisponibilidad[],7,FALSE), 0)</f>
        <v>0</v>
      </c>
      <c r="D854">
        <f>IFERROR(VLOOKUP(Tabla1[[#This Row],[SISMED]],TblDisponibilidad[],8,FALSE), 0)</f>
        <v>0</v>
      </c>
      <c r="E854">
        <f>IFERROR(VLOOKUP(Tabla1[[#This Row],[SISMED]],TblDisponibilidad[],9,FALSE), 0)</f>
        <v>0</v>
      </c>
      <c r="F854">
        <f>IFERROR(VLOOKUP(Tabla1[[#This Row],[SISMED]],TblDisponibilidad[],10,FALSE), 0)</f>
        <v>0</v>
      </c>
      <c r="G854">
        <f>IFERROR(VLOOKUP(Tabla1[[#This Row],[SISMED]],TblDisponibilidad[],11,FALSE), 0)</f>
        <v>0</v>
      </c>
      <c r="H854">
        <f>IFERROR(VLOOKUP(Tabla1[[#This Row],[SISMED]],TblDisponibilidad[],12,FALSE), 0)</f>
        <v>0</v>
      </c>
      <c r="I854">
        <f>IFERROR(VLOOKUP(Tabla1[[#This Row],[SISMED]],TblDisponibilidad[],13,FALSE), 0)</f>
        <v>0</v>
      </c>
      <c r="J854">
        <f>IFERROR(VLOOKUP(Tabla1[[#This Row],[SISMED]],TblDisponibilidad[],14,FALSE), 0)</f>
        <v>0</v>
      </c>
      <c r="K854">
        <f>IFERROR(VLOOKUP(Tabla1[[#This Row],[SISMED]],TblDisponibilidad[],15,FALSE), 0)</f>
        <v>0</v>
      </c>
      <c r="L854">
        <f>IFERROR(VLOOKUP(Tabla1[[#This Row],[SISMED]],TblDisponibilidad[],16,FALSE), 0)</f>
        <v>0</v>
      </c>
      <c r="M854">
        <f>IFERROR(VLOOKUP(Tabla1[[#This Row],[SISMED]],TblDisponibilidad[],17,FALSE), 0)</f>
        <v>0</v>
      </c>
      <c r="N854">
        <f>IFERROR(VLOOKUP(Tabla1[[#This Row],[SISMED]],TblDisponibilidad[],18,FALSE), 0)</f>
        <v>0</v>
      </c>
      <c r="O854">
        <f>IFERROR(VLOOKUP(Tabla1[[#This Row],[SISMED]],TblDisponibilidad[],19,FALSE), 0)</f>
        <v>0</v>
      </c>
      <c r="P854">
        <f>IFERROR(VLOOKUP(Tabla1[[#This Row],[SISMED]],TblDisponibilidad[],20,FALSE), 0)</f>
        <v>0</v>
      </c>
      <c r="Q854">
        <f>IFERROR(VLOOKUP(Tabla1[[#This Row],[SISMED]],TblDisponibilidad[],21,FALSE), 0)</f>
        <v>0</v>
      </c>
      <c r="R854">
        <f>IFERROR(VLOOKUP(Tabla1[[#This Row],[SISMED]],TblDisponibilidad[],22,FALSE), 0)</f>
        <v>0</v>
      </c>
      <c r="S854" s="15">
        <f>IFERROR(VLOOKUP(Tabla1[[#This Row],[SISMED]],TblDisponibilidad[],23,FALSE), 0)</f>
        <v>0</v>
      </c>
    </row>
    <row r="855" spans="1:19" x14ac:dyDescent="0.3">
      <c r="A855" s="15" t="s">
        <v>885</v>
      </c>
      <c r="B855" t="str">
        <f>IFERROR(VLOOKUP(Tabla1[[#This Row],[SISMED]],TblDisponibilidad[],2,FALSE), "")</f>
        <v/>
      </c>
      <c r="C855">
        <f>IFERROR(VLOOKUP(Tabla1[[#This Row],[SISMED]],TblDisponibilidad[],7,FALSE), 0)</f>
        <v>0</v>
      </c>
      <c r="D855">
        <f>IFERROR(VLOOKUP(Tabla1[[#This Row],[SISMED]],TblDisponibilidad[],8,FALSE), 0)</f>
        <v>0</v>
      </c>
      <c r="E855">
        <f>IFERROR(VLOOKUP(Tabla1[[#This Row],[SISMED]],TblDisponibilidad[],9,FALSE), 0)</f>
        <v>0</v>
      </c>
      <c r="F855">
        <f>IFERROR(VLOOKUP(Tabla1[[#This Row],[SISMED]],TblDisponibilidad[],10,FALSE), 0)</f>
        <v>0</v>
      </c>
      <c r="G855">
        <f>IFERROR(VLOOKUP(Tabla1[[#This Row],[SISMED]],TblDisponibilidad[],11,FALSE), 0)</f>
        <v>0</v>
      </c>
      <c r="H855">
        <f>IFERROR(VLOOKUP(Tabla1[[#This Row],[SISMED]],TblDisponibilidad[],12,FALSE), 0)</f>
        <v>0</v>
      </c>
      <c r="I855">
        <f>IFERROR(VLOOKUP(Tabla1[[#This Row],[SISMED]],TblDisponibilidad[],13,FALSE), 0)</f>
        <v>0</v>
      </c>
      <c r="J855">
        <f>IFERROR(VLOOKUP(Tabla1[[#This Row],[SISMED]],TblDisponibilidad[],14,FALSE), 0)</f>
        <v>0</v>
      </c>
      <c r="K855">
        <f>IFERROR(VLOOKUP(Tabla1[[#This Row],[SISMED]],TblDisponibilidad[],15,FALSE), 0)</f>
        <v>0</v>
      </c>
      <c r="L855">
        <f>IFERROR(VLOOKUP(Tabla1[[#This Row],[SISMED]],TblDisponibilidad[],16,FALSE), 0)</f>
        <v>0</v>
      </c>
      <c r="M855">
        <f>IFERROR(VLOOKUP(Tabla1[[#This Row],[SISMED]],TblDisponibilidad[],17,FALSE), 0)</f>
        <v>0</v>
      </c>
      <c r="N855">
        <f>IFERROR(VLOOKUP(Tabla1[[#This Row],[SISMED]],TblDisponibilidad[],18,FALSE), 0)</f>
        <v>0</v>
      </c>
      <c r="O855">
        <f>IFERROR(VLOOKUP(Tabla1[[#This Row],[SISMED]],TblDisponibilidad[],19,FALSE), 0)</f>
        <v>0</v>
      </c>
      <c r="P855">
        <f>IFERROR(VLOOKUP(Tabla1[[#This Row],[SISMED]],TblDisponibilidad[],20,FALSE), 0)</f>
        <v>0</v>
      </c>
      <c r="Q855">
        <f>IFERROR(VLOOKUP(Tabla1[[#This Row],[SISMED]],TblDisponibilidad[],21,FALSE), 0)</f>
        <v>0</v>
      </c>
      <c r="R855">
        <f>IFERROR(VLOOKUP(Tabla1[[#This Row],[SISMED]],TblDisponibilidad[],22,FALSE), 0)</f>
        <v>0</v>
      </c>
      <c r="S855" s="15">
        <f>IFERROR(VLOOKUP(Tabla1[[#This Row],[SISMED]],TblDisponibilidad[],23,FALSE), 0)</f>
        <v>0</v>
      </c>
    </row>
    <row r="856" spans="1:19" x14ac:dyDescent="0.3">
      <c r="A856" s="15" t="s">
        <v>886</v>
      </c>
      <c r="B856" t="str">
        <f>IFERROR(VLOOKUP(Tabla1[[#This Row],[SISMED]],TblDisponibilidad[],2,FALSE), "")</f>
        <v/>
      </c>
      <c r="C856">
        <f>IFERROR(VLOOKUP(Tabla1[[#This Row],[SISMED]],TblDisponibilidad[],7,FALSE), 0)</f>
        <v>0</v>
      </c>
      <c r="D856">
        <f>IFERROR(VLOOKUP(Tabla1[[#This Row],[SISMED]],TblDisponibilidad[],8,FALSE), 0)</f>
        <v>0</v>
      </c>
      <c r="E856">
        <f>IFERROR(VLOOKUP(Tabla1[[#This Row],[SISMED]],TblDisponibilidad[],9,FALSE), 0)</f>
        <v>0</v>
      </c>
      <c r="F856">
        <f>IFERROR(VLOOKUP(Tabla1[[#This Row],[SISMED]],TblDisponibilidad[],10,FALSE), 0)</f>
        <v>0</v>
      </c>
      <c r="G856">
        <f>IFERROR(VLOOKUP(Tabla1[[#This Row],[SISMED]],TblDisponibilidad[],11,FALSE), 0)</f>
        <v>0</v>
      </c>
      <c r="H856">
        <f>IFERROR(VLOOKUP(Tabla1[[#This Row],[SISMED]],TblDisponibilidad[],12,FALSE), 0)</f>
        <v>0</v>
      </c>
      <c r="I856">
        <f>IFERROR(VLOOKUP(Tabla1[[#This Row],[SISMED]],TblDisponibilidad[],13,FALSE), 0)</f>
        <v>0</v>
      </c>
      <c r="J856">
        <f>IFERROR(VLOOKUP(Tabla1[[#This Row],[SISMED]],TblDisponibilidad[],14,FALSE), 0)</f>
        <v>0</v>
      </c>
      <c r="K856">
        <f>IFERROR(VLOOKUP(Tabla1[[#This Row],[SISMED]],TblDisponibilidad[],15,FALSE), 0)</f>
        <v>0</v>
      </c>
      <c r="L856">
        <f>IFERROR(VLOOKUP(Tabla1[[#This Row],[SISMED]],TblDisponibilidad[],16,FALSE), 0)</f>
        <v>0</v>
      </c>
      <c r="M856">
        <f>IFERROR(VLOOKUP(Tabla1[[#This Row],[SISMED]],TblDisponibilidad[],17,FALSE), 0)</f>
        <v>0</v>
      </c>
      <c r="N856">
        <f>IFERROR(VLOOKUP(Tabla1[[#This Row],[SISMED]],TblDisponibilidad[],18,FALSE), 0)</f>
        <v>0</v>
      </c>
      <c r="O856">
        <f>IFERROR(VLOOKUP(Tabla1[[#This Row],[SISMED]],TblDisponibilidad[],19,FALSE), 0)</f>
        <v>0</v>
      </c>
      <c r="P856">
        <f>IFERROR(VLOOKUP(Tabla1[[#This Row],[SISMED]],TblDisponibilidad[],20,FALSE), 0)</f>
        <v>0</v>
      </c>
      <c r="Q856">
        <f>IFERROR(VLOOKUP(Tabla1[[#This Row],[SISMED]],TblDisponibilidad[],21,FALSE), 0)</f>
        <v>0</v>
      </c>
      <c r="R856">
        <f>IFERROR(VLOOKUP(Tabla1[[#This Row],[SISMED]],TblDisponibilidad[],22,FALSE), 0)</f>
        <v>0</v>
      </c>
      <c r="S856" s="15">
        <f>IFERROR(VLOOKUP(Tabla1[[#This Row],[SISMED]],TblDisponibilidad[],23,FALSE), 0)</f>
        <v>0</v>
      </c>
    </row>
    <row r="857" spans="1:19" x14ac:dyDescent="0.3">
      <c r="A857" s="15" t="s">
        <v>887</v>
      </c>
      <c r="B857" t="str">
        <f>IFERROR(VLOOKUP(Tabla1[[#This Row],[SISMED]],TblDisponibilidad[],2,FALSE), "")</f>
        <v/>
      </c>
      <c r="C857">
        <f>IFERROR(VLOOKUP(Tabla1[[#This Row],[SISMED]],TblDisponibilidad[],7,FALSE), 0)</f>
        <v>0</v>
      </c>
      <c r="D857">
        <f>IFERROR(VLOOKUP(Tabla1[[#This Row],[SISMED]],TblDisponibilidad[],8,FALSE), 0)</f>
        <v>0</v>
      </c>
      <c r="E857">
        <f>IFERROR(VLOOKUP(Tabla1[[#This Row],[SISMED]],TblDisponibilidad[],9,FALSE), 0)</f>
        <v>0</v>
      </c>
      <c r="F857">
        <f>IFERROR(VLOOKUP(Tabla1[[#This Row],[SISMED]],TblDisponibilidad[],10,FALSE), 0)</f>
        <v>0</v>
      </c>
      <c r="G857">
        <f>IFERROR(VLOOKUP(Tabla1[[#This Row],[SISMED]],TblDisponibilidad[],11,FALSE), 0)</f>
        <v>0</v>
      </c>
      <c r="H857">
        <f>IFERROR(VLOOKUP(Tabla1[[#This Row],[SISMED]],TblDisponibilidad[],12,FALSE), 0)</f>
        <v>0</v>
      </c>
      <c r="I857">
        <f>IFERROR(VLOOKUP(Tabla1[[#This Row],[SISMED]],TblDisponibilidad[],13,FALSE), 0)</f>
        <v>0</v>
      </c>
      <c r="J857">
        <f>IFERROR(VLOOKUP(Tabla1[[#This Row],[SISMED]],TblDisponibilidad[],14,FALSE), 0)</f>
        <v>0</v>
      </c>
      <c r="K857">
        <f>IFERROR(VLOOKUP(Tabla1[[#This Row],[SISMED]],TblDisponibilidad[],15,FALSE), 0)</f>
        <v>0</v>
      </c>
      <c r="L857">
        <f>IFERROR(VLOOKUP(Tabla1[[#This Row],[SISMED]],TblDisponibilidad[],16,FALSE), 0)</f>
        <v>0</v>
      </c>
      <c r="M857">
        <f>IFERROR(VLOOKUP(Tabla1[[#This Row],[SISMED]],TblDisponibilidad[],17,FALSE), 0)</f>
        <v>0</v>
      </c>
      <c r="N857">
        <f>IFERROR(VLOOKUP(Tabla1[[#This Row],[SISMED]],TblDisponibilidad[],18,FALSE), 0)</f>
        <v>0</v>
      </c>
      <c r="O857">
        <f>IFERROR(VLOOKUP(Tabla1[[#This Row],[SISMED]],TblDisponibilidad[],19,FALSE), 0)</f>
        <v>0</v>
      </c>
      <c r="P857">
        <f>IFERROR(VLOOKUP(Tabla1[[#This Row],[SISMED]],TblDisponibilidad[],20,FALSE), 0)</f>
        <v>0</v>
      </c>
      <c r="Q857">
        <f>IFERROR(VLOOKUP(Tabla1[[#This Row],[SISMED]],TblDisponibilidad[],21,FALSE), 0)</f>
        <v>0</v>
      </c>
      <c r="R857">
        <f>IFERROR(VLOOKUP(Tabla1[[#This Row],[SISMED]],TblDisponibilidad[],22,FALSE), 0)</f>
        <v>0</v>
      </c>
      <c r="S857" s="15">
        <f>IFERROR(VLOOKUP(Tabla1[[#This Row],[SISMED]],TblDisponibilidad[],23,FALSE), 0)</f>
        <v>0</v>
      </c>
    </row>
    <row r="858" spans="1:19" x14ac:dyDescent="0.3">
      <c r="A858" s="15" t="s">
        <v>888</v>
      </c>
      <c r="B858" t="str">
        <f>IFERROR(VLOOKUP(Tabla1[[#This Row],[SISMED]],TblDisponibilidad[],2,FALSE), "")</f>
        <v/>
      </c>
      <c r="C858">
        <f>IFERROR(VLOOKUP(Tabla1[[#This Row],[SISMED]],TblDisponibilidad[],7,FALSE), 0)</f>
        <v>0</v>
      </c>
      <c r="D858">
        <f>IFERROR(VLOOKUP(Tabla1[[#This Row],[SISMED]],TblDisponibilidad[],8,FALSE), 0)</f>
        <v>0</v>
      </c>
      <c r="E858">
        <f>IFERROR(VLOOKUP(Tabla1[[#This Row],[SISMED]],TblDisponibilidad[],9,FALSE), 0)</f>
        <v>0</v>
      </c>
      <c r="F858">
        <f>IFERROR(VLOOKUP(Tabla1[[#This Row],[SISMED]],TblDisponibilidad[],10,FALSE), 0)</f>
        <v>0</v>
      </c>
      <c r="G858">
        <f>IFERROR(VLOOKUP(Tabla1[[#This Row],[SISMED]],TblDisponibilidad[],11,FALSE), 0)</f>
        <v>0</v>
      </c>
      <c r="H858">
        <f>IFERROR(VLOOKUP(Tabla1[[#This Row],[SISMED]],TblDisponibilidad[],12,FALSE), 0)</f>
        <v>0</v>
      </c>
      <c r="I858">
        <f>IFERROR(VLOOKUP(Tabla1[[#This Row],[SISMED]],TblDisponibilidad[],13,FALSE), 0)</f>
        <v>0</v>
      </c>
      <c r="J858">
        <f>IFERROR(VLOOKUP(Tabla1[[#This Row],[SISMED]],TblDisponibilidad[],14,FALSE), 0)</f>
        <v>0</v>
      </c>
      <c r="K858">
        <f>IFERROR(VLOOKUP(Tabla1[[#This Row],[SISMED]],TblDisponibilidad[],15,FALSE), 0)</f>
        <v>0</v>
      </c>
      <c r="L858">
        <f>IFERROR(VLOOKUP(Tabla1[[#This Row],[SISMED]],TblDisponibilidad[],16,FALSE), 0)</f>
        <v>0</v>
      </c>
      <c r="M858">
        <f>IFERROR(VLOOKUP(Tabla1[[#This Row],[SISMED]],TblDisponibilidad[],17,FALSE), 0)</f>
        <v>0</v>
      </c>
      <c r="N858">
        <f>IFERROR(VLOOKUP(Tabla1[[#This Row],[SISMED]],TblDisponibilidad[],18,FALSE), 0)</f>
        <v>0</v>
      </c>
      <c r="O858">
        <f>IFERROR(VLOOKUP(Tabla1[[#This Row],[SISMED]],TblDisponibilidad[],19,FALSE), 0)</f>
        <v>0</v>
      </c>
      <c r="P858">
        <f>IFERROR(VLOOKUP(Tabla1[[#This Row],[SISMED]],TblDisponibilidad[],20,FALSE), 0)</f>
        <v>0</v>
      </c>
      <c r="Q858">
        <f>IFERROR(VLOOKUP(Tabla1[[#This Row],[SISMED]],TblDisponibilidad[],21,FALSE), 0)</f>
        <v>0</v>
      </c>
      <c r="R858">
        <f>IFERROR(VLOOKUP(Tabla1[[#This Row],[SISMED]],TblDisponibilidad[],22,FALSE), 0)</f>
        <v>0</v>
      </c>
      <c r="S858" s="15">
        <f>IFERROR(VLOOKUP(Tabla1[[#This Row],[SISMED]],TblDisponibilidad[],23,FALSE), 0)</f>
        <v>0</v>
      </c>
    </row>
    <row r="859" spans="1:19" x14ac:dyDescent="0.3">
      <c r="A859" s="15" t="s">
        <v>889</v>
      </c>
      <c r="B859" t="str">
        <f>IFERROR(VLOOKUP(Tabla1[[#This Row],[SISMED]],TblDisponibilidad[],2,FALSE), "")</f>
        <v/>
      </c>
      <c r="C859">
        <f>IFERROR(VLOOKUP(Tabla1[[#This Row],[SISMED]],TblDisponibilidad[],7,FALSE), 0)</f>
        <v>0</v>
      </c>
      <c r="D859">
        <f>IFERROR(VLOOKUP(Tabla1[[#This Row],[SISMED]],TblDisponibilidad[],8,FALSE), 0)</f>
        <v>0</v>
      </c>
      <c r="E859">
        <f>IFERROR(VLOOKUP(Tabla1[[#This Row],[SISMED]],TblDisponibilidad[],9,FALSE), 0)</f>
        <v>0</v>
      </c>
      <c r="F859">
        <f>IFERROR(VLOOKUP(Tabla1[[#This Row],[SISMED]],TblDisponibilidad[],10,FALSE), 0)</f>
        <v>0</v>
      </c>
      <c r="G859">
        <f>IFERROR(VLOOKUP(Tabla1[[#This Row],[SISMED]],TblDisponibilidad[],11,FALSE), 0)</f>
        <v>0</v>
      </c>
      <c r="H859">
        <f>IFERROR(VLOOKUP(Tabla1[[#This Row],[SISMED]],TblDisponibilidad[],12,FALSE), 0)</f>
        <v>0</v>
      </c>
      <c r="I859">
        <f>IFERROR(VLOOKUP(Tabla1[[#This Row],[SISMED]],TblDisponibilidad[],13,FALSE), 0)</f>
        <v>0</v>
      </c>
      <c r="J859">
        <f>IFERROR(VLOOKUP(Tabla1[[#This Row],[SISMED]],TblDisponibilidad[],14,FALSE), 0)</f>
        <v>0</v>
      </c>
      <c r="K859">
        <f>IFERROR(VLOOKUP(Tabla1[[#This Row],[SISMED]],TblDisponibilidad[],15,FALSE), 0)</f>
        <v>0</v>
      </c>
      <c r="L859">
        <f>IFERROR(VLOOKUP(Tabla1[[#This Row],[SISMED]],TblDisponibilidad[],16,FALSE), 0)</f>
        <v>0</v>
      </c>
      <c r="M859">
        <f>IFERROR(VLOOKUP(Tabla1[[#This Row],[SISMED]],TblDisponibilidad[],17,FALSE), 0)</f>
        <v>0</v>
      </c>
      <c r="N859">
        <f>IFERROR(VLOOKUP(Tabla1[[#This Row],[SISMED]],TblDisponibilidad[],18,FALSE), 0)</f>
        <v>0</v>
      </c>
      <c r="O859">
        <f>IFERROR(VLOOKUP(Tabla1[[#This Row],[SISMED]],TblDisponibilidad[],19,FALSE), 0)</f>
        <v>0</v>
      </c>
      <c r="P859">
        <f>IFERROR(VLOOKUP(Tabla1[[#This Row],[SISMED]],TblDisponibilidad[],20,FALSE), 0)</f>
        <v>0</v>
      </c>
      <c r="Q859">
        <f>IFERROR(VLOOKUP(Tabla1[[#This Row],[SISMED]],TblDisponibilidad[],21,FALSE), 0)</f>
        <v>0</v>
      </c>
      <c r="R859">
        <f>IFERROR(VLOOKUP(Tabla1[[#This Row],[SISMED]],TblDisponibilidad[],22,FALSE), 0)</f>
        <v>0</v>
      </c>
      <c r="S859" s="15">
        <f>IFERROR(VLOOKUP(Tabla1[[#This Row],[SISMED]],TblDisponibilidad[],23,FALSE), 0)</f>
        <v>0</v>
      </c>
    </row>
    <row r="860" spans="1:19" x14ac:dyDescent="0.3">
      <c r="A860" s="15" t="s">
        <v>890</v>
      </c>
      <c r="B860" t="str">
        <f>IFERROR(VLOOKUP(Tabla1[[#This Row],[SISMED]],TblDisponibilidad[],2,FALSE), "")</f>
        <v/>
      </c>
      <c r="C860">
        <f>IFERROR(VLOOKUP(Tabla1[[#This Row],[SISMED]],TblDisponibilidad[],7,FALSE), 0)</f>
        <v>0</v>
      </c>
      <c r="D860">
        <f>IFERROR(VLOOKUP(Tabla1[[#This Row],[SISMED]],TblDisponibilidad[],8,FALSE), 0)</f>
        <v>0</v>
      </c>
      <c r="E860">
        <f>IFERROR(VLOOKUP(Tabla1[[#This Row],[SISMED]],TblDisponibilidad[],9,FALSE), 0)</f>
        <v>0</v>
      </c>
      <c r="F860">
        <f>IFERROR(VLOOKUP(Tabla1[[#This Row],[SISMED]],TblDisponibilidad[],10,FALSE), 0)</f>
        <v>0</v>
      </c>
      <c r="G860">
        <f>IFERROR(VLOOKUP(Tabla1[[#This Row],[SISMED]],TblDisponibilidad[],11,FALSE), 0)</f>
        <v>0</v>
      </c>
      <c r="H860">
        <f>IFERROR(VLOOKUP(Tabla1[[#This Row],[SISMED]],TblDisponibilidad[],12,FALSE), 0)</f>
        <v>0</v>
      </c>
      <c r="I860">
        <f>IFERROR(VLOOKUP(Tabla1[[#This Row],[SISMED]],TblDisponibilidad[],13,FALSE), 0)</f>
        <v>0</v>
      </c>
      <c r="J860">
        <f>IFERROR(VLOOKUP(Tabla1[[#This Row],[SISMED]],TblDisponibilidad[],14,FALSE), 0)</f>
        <v>0</v>
      </c>
      <c r="K860">
        <f>IFERROR(VLOOKUP(Tabla1[[#This Row],[SISMED]],TblDisponibilidad[],15,FALSE), 0)</f>
        <v>0</v>
      </c>
      <c r="L860">
        <f>IFERROR(VLOOKUP(Tabla1[[#This Row],[SISMED]],TblDisponibilidad[],16,FALSE), 0)</f>
        <v>0</v>
      </c>
      <c r="M860">
        <f>IFERROR(VLOOKUP(Tabla1[[#This Row],[SISMED]],TblDisponibilidad[],17,FALSE), 0)</f>
        <v>0</v>
      </c>
      <c r="N860">
        <f>IFERROR(VLOOKUP(Tabla1[[#This Row],[SISMED]],TblDisponibilidad[],18,FALSE), 0)</f>
        <v>0</v>
      </c>
      <c r="O860">
        <f>IFERROR(VLOOKUP(Tabla1[[#This Row],[SISMED]],TblDisponibilidad[],19,FALSE), 0)</f>
        <v>0</v>
      </c>
      <c r="P860">
        <f>IFERROR(VLOOKUP(Tabla1[[#This Row],[SISMED]],TblDisponibilidad[],20,FALSE), 0)</f>
        <v>0</v>
      </c>
      <c r="Q860">
        <f>IFERROR(VLOOKUP(Tabla1[[#This Row],[SISMED]],TblDisponibilidad[],21,FALSE), 0)</f>
        <v>0</v>
      </c>
      <c r="R860">
        <f>IFERROR(VLOOKUP(Tabla1[[#This Row],[SISMED]],TblDisponibilidad[],22,FALSE), 0)</f>
        <v>0</v>
      </c>
      <c r="S860" s="15">
        <f>IFERROR(VLOOKUP(Tabla1[[#This Row],[SISMED]],TblDisponibilidad[],23,FALSE), 0)</f>
        <v>0</v>
      </c>
    </row>
    <row r="861" spans="1:19" x14ac:dyDescent="0.3">
      <c r="A861" s="15" t="s">
        <v>891</v>
      </c>
      <c r="B861" t="str">
        <f>IFERROR(VLOOKUP(Tabla1[[#This Row],[SISMED]],TblDisponibilidad[],2,FALSE), "")</f>
        <v/>
      </c>
      <c r="C861">
        <f>IFERROR(VLOOKUP(Tabla1[[#This Row],[SISMED]],TblDisponibilidad[],7,FALSE), 0)</f>
        <v>0</v>
      </c>
      <c r="D861">
        <f>IFERROR(VLOOKUP(Tabla1[[#This Row],[SISMED]],TblDisponibilidad[],8,FALSE), 0)</f>
        <v>0</v>
      </c>
      <c r="E861">
        <f>IFERROR(VLOOKUP(Tabla1[[#This Row],[SISMED]],TblDisponibilidad[],9,FALSE), 0)</f>
        <v>0</v>
      </c>
      <c r="F861">
        <f>IFERROR(VLOOKUP(Tabla1[[#This Row],[SISMED]],TblDisponibilidad[],10,FALSE), 0)</f>
        <v>0</v>
      </c>
      <c r="G861">
        <f>IFERROR(VLOOKUP(Tabla1[[#This Row],[SISMED]],TblDisponibilidad[],11,FALSE), 0)</f>
        <v>0</v>
      </c>
      <c r="H861">
        <f>IFERROR(VLOOKUP(Tabla1[[#This Row],[SISMED]],TblDisponibilidad[],12,FALSE), 0)</f>
        <v>0</v>
      </c>
      <c r="I861">
        <f>IFERROR(VLOOKUP(Tabla1[[#This Row],[SISMED]],TblDisponibilidad[],13,FALSE), 0)</f>
        <v>0</v>
      </c>
      <c r="J861">
        <f>IFERROR(VLOOKUP(Tabla1[[#This Row],[SISMED]],TblDisponibilidad[],14,FALSE), 0)</f>
        <v>0</v>
      </c>
      <c r="K861">
        <f>IFERROR(VLOOKUP(Tabla1[[#This Row],[SISMED]],TblDisponibilidad[],15,FALSE), 0)</f>
        <v>0</v>
      </c>
      <c r="L861">
        <f>IFERROR(VLOOKUP(Tabla1[[#This Row],[SISMED]],TblDisponibilidad[],16,FALSE), 0)</f>
        <v>0</v>
      </c>
      <c r="M861">
        <f>IFERROR(VLOOKUP(Tabla1[[#This Row],[SISMED]],TblDisponibilidad[],17,FALSE), 0)</f>
        <v>0</v>
      </c>
      <c r="N861">
        <f>IFERROR(VLOOKUP(Tabla1[[#This Row],[SISMED]],TblDisponibilidad[],18,FALSE), 0)</f>
        <v>0</v>
      </c>
      <c r="O861">
        <f>IFERROR(VLOOKUP(Tabla1[[#This Row],[SISMED]],TblDisponibilidad[],19,FALSE), 0)</f>
        <v>0</v>
      </c>
      <c r="P861">
        <f>IFERROR(VLOOKUP(Tabla1[[#This Row],[SISMED]],TblDisponibilidad[],20,FALSE), 0)</f>
        <v>0</v>
      </c>
      <c r="Q861">
        <f>IFERROR(VLOOKUP(Tabla1[[#This Row],[SISMED]],TblDisponibilidad[],21,FALSE), 0)</f>
        <v>0</v>
      </c>
      <c r="R861">
        <f>IFERROR(VLOOKUP(Tabla1[[#This Row],[SISMED]],TblDisponibilidad[],22,FALSE), 0)</f>
        <v>0</v>
      </c>
      <c r="S861" s="15">
        <f>IFERROR(VLOOKUP(Tabla1[[#This Row],[SISMED]],TblDisponibilidad[],23,FALSE), 0)</f>
        <v>0</v>
      </c>
    </row>
    <row r="862" spans="1:19" x14ac:dyDescent="0.3">
      <c r="A862" s="15" t="s">
        <v>892</v>
      </c>
      <c r="B862" t="str">
        <f>IFERROR(VLOOKUP(Tabla1[[#This Row],[SISMED]],TblDisponibilidad[],2,FALSE), "")</f>
        <v/>
      </c>
      <c r="C862">
        <f>IFERROR(VLOOKUP(Tabla1[[#This Row],[SISMED]],TblDisponibilidad[],7,FALSE), 0)</f>
        <v>0</v>
      </c>
      <c r="D862">
        <f>IFERROR(VLOOKUP(Tabla1[[#This Row],[SISMED]],TblDisponibilidad[],8,FALSE), 0)</f>
        <v>0</v>
      </c>
      <c r="E862">
        <f>IFERROR(VLOOKUP(Tabla1[[#This Row],[SISMED]],TblDisponibilidad[],9,FALSE), 0)</f>
        <v>0</v>
      </c>
      <c r="F862">
        <f>IFERROR(VLOOKUP(Tabla1[[#This Row],[SISMED]],TblDisponibilidad[],10,FALSE), 0)</f>
        <v>0</v>
      </c>
      <c r="G862">
        <f>IFERROR(VLOOKUP(Tabla1[[#This Row],[SISMED]],TblDisponibilidad[],11,FALSE), 0)</f>
        <v>0</v>
      </c>
      <c r="H862">
        <f>IFERROR(VLOOKUP(Tabla1[[#This Row],[SISMED]],TblDisponibilidad[],12,FALSE), 0)</f>
        <v>0</v>
      </c>
      <c r="I862">
        <f>IFERROR(VLOOKUP(Tabla1[[#This Row],[SISMED]],TblDisponibilidad[],13,FALSE), 0)</f>
        <v>0</v>
      </c>
      <c r="J862">
        <f>IFERROR(VLOOKUP(Tabla1[[#This Row],[SISMED]],TblDisponibilidad[],14,FALSE), 0)</f>
        <v>0</v>
      </c>
      <c r="K862">
        <f>IFERROR(VLOOKUP(Tabla1[[#This Row],[SISMED]],TblDisponibilidad[],15,FALSE), 0)</f>
        <v>0</v>
      </c>
      <c r="L862">
        <f>IFERROR(VLOOKUP(Tabla1[[#This Row],[SISMED]],TblDisponibilidad[],16,FALSE), 0)</f>
        <v>0</v>
      </c>
      <c r="M862">
        <f>IFERROR(VLOOKUP(Tabla1[[#This Row],[SISMED]],TblDisponibilidad[],17,FALSE), 0)</f>
        <v>0</v>
      </c>
      <c r="N862">
        <f>IFERROR(VLOOKUP(Tabla1[[#This Row],[SISMED]],TblDisponibilidad[],18,FALSE), 0)</f>
        <v>0</v>
      </c>
      <c r="O862">
        <f>IFERROR(VLOOKUP(Tabla1[[#This Row],[SISMED]],TblDisponibilidad[],19,FALSE), 0)</f>
        <v>0</v>
      </c>
      <c r="P862">
        <f>IFERROR(VLOOKUP(Tabla1[[#This Row],[SISMED]],TblDisponibilidad[],20,FALSE), 0)</f>
        <v>0</v>
      </c>
      <c r="Q862">
        <f>IFERROR(VLOOKUP(Tabla1[[#This Row],[SISMED]],TblDisponibilidad[],21,FALSE), 0)</f>
        <v>0</v>
      </c>
      <c r="R862">
        <f>IFERROR(VLOOKUP(Tabla1[[#This Row],[SISMED]],TblDisponibilidad[],22,FALSE), 0)</f>
        <v>0</v>
      </c>
      <c r="S862" s="15">
        <f>IFERROR(VLOOKUP(Tabla1[[#This Row],[SISMED]],TblDisponibilidad[],23,FALSE), 0)</f>
        <v>0</v>
      </c>
    </row>
    <row r="863" spans="1:19" x14ac:dyDescent="0.3">
      <c r="A863" s="15" t="s">
        <v>893</v>
      </c>
      <c r="B863" t="str">
        <f>IFERROR(VLOOKUP(Tabla1[[#This Row],[SISMED]],TblDisponibilidad[],2,FALSE), "")</f>
        <v/>
      </c>
      <c r="C863">
        <f>IFERROR(VLOOKUP(Tabla1[[#This Row],[SISMED]],TblDisponibilidad[],7,FALSE), 0)</f>
        <v>0</v>
      </c>
      <c r="D863">
        <f>IFERROR(VLOOKUP(Tabla1[[#This Row],[SISMED]],TblDisponibilidad[],8,FALSE), 0)</f>
        <v>0</v>
      </c>
      <c r="E863">
        <f>IFERROR(VLOOKUP(Tabla1[[#This Row],[SISMED]],TblDisponibilidad[],9,FALSE), 0)</f>
        <v>0</v>
      </c>
      <c r="F863">
        <f>IFERROR(VLOOKUP(Tabla1[[#This Row],[SISMED]],TblDisponibilidad[],10,FALSE), 0)</f>
        <v>0</v>
      </c>
      <c r="G863">
        <f>IFERROR(VLOOKUP(Tabla1[[#This Row],[SISMED]],TblDisponibilidad[],11,FALSE), 0)</f>
        <v>0</v>
      </c>
      <c r="H863">
        <f>IFERROR(VLOOKUP(Tabla1[[#This Row],[SISMED]],TblDisponibilidad[],12,FALSE), 0)</f>
        <v>0</v>
      </c>
      <c r="I863">
        <f>IFERROR(VLOOKUP(Tabla1[[#This Row],[SISMED]],TblDisponibilidad[],13,FALSE), 0)</f>
        <v>0</v>
      </c>
      <c r="J863">
        <f>IFERROR(VLOOKUP(Tabla1[[#This Row],[SISMED]],TblDisponibilidad[],14,FALSE), 0)</f>
        <v>0</v>
      </c>
      <c r="K863">
        <f>IFERROR(VLOOKUP(Tabla1[[#This Row],[SISMED]],TblDisponibilidad[],15,FALSE), 0)</f>
        <v>0</v>
      </c>
      <c r="L863">
        <f>IFERROR(VLOOKUP(Tabla1[[#This Row],[SISMED]],TblDisponibilidad[],16,FALSE), 0)</f>
        <v>0</v>
      </c>
      <c r="M863">
        <f>IFERROR(VLOOKUP(Tabla1[[#This Row],[SISMED]],TblDisponibilidad[],17,FALSE), 0)</f>
        <v>0</v>
      </c>
      <c r="N863">
        <f>IFERROR(VLOOKUP(Tabla1[[#This Row],[SISMED]],TblDisponibilidad[],18,FALSE), 0)</f>
        <v>0</v>
      </c>
      <c r="O863">
        <f>IFERROR(VLOOKUP(Tabla1[[#This Row],[SISMED]],TblDisponibilidad[],19,FALSE), 0)</f>
        <v>0</v>
      </c>
      <c r="P863">
        <f>IFERROR(VLOOKUP(Tabla1[[#This Row],[SISMED]],TblDisponibilidad[],20,FALSE), 0)</f>
        <v>0</v>
      </c>
      <c r="Q863">
        <f>IFERROR(VLOOKUP(Tabla1[[#This Row],[SISMED]],TblDisponibilidad[],21,FALSE), 0)</f>
        <v>0</v>
      </c>
      <c r="R863">
        <f>IFERROR(VLOOKUP(Tabla1[[#This Row],[SISMED]],TblDisponibilidad[],22,FALSE), 0)</f>
        <v>0</v>
      </c>
      <c r="S863" s="15">
        <f>IFERROR(VLOOKUP(Tabla1[[#This Row],[SISMED]],TblDisponibilidad[],23,FALSE), 0)</f>
        <v>0</v>
      </c>
    </row>
    <row r="864" spans="1:19" x14ac:dyDescent="0.3">
      <c r="A864" s="15" t="s">
        <v>894</v>
      </c>
      <c r="B864" t="str">
        <f>IFERROR(VLOOKUP(Tabla1[[#This Row],[SISMED]],TblDisponibilidad[],2,FALSE), "")</f>
        <v/>
      </c>
      <c r="C864">
        <f>IFERROR(VLOOKUP(Tabla1[[#This Row],[SISMED]],TblDisponibilidad[],7,FALSE), 0)</f>
        <v>0</v>
      </c>
      <c r="D864">
        <f>IFERROR(VLOOKUP(Tabla1[[#This Row],[SISMED]],TblDisponibilidad[],8,FALSE), 0)</f>
        <v>0</v>
      </c>
      <c r="E864">
        <f>IFERROR(VLOOKUP(Tabla1[[#This Row],[SISMED]],TblDisponibilidad[],9,FALSE), 0)</f>
        <v>0</v>
      </c>
      <c r="F864">
        <f>IFERROR(VLOOKUP(Tabla1[[#This Row],[SISMED]],TblDisponibilidad[],10,FALSE), 0)</f>
        <v>0</v>
      </c>
      <c r="G864">
        <f>IFERROR(VLOOKUP(Tabla1[[#This Row],[SISMED]],TblDisponibilidad[],11,FALSE), 0)</f>
        <v>0</v>
      </c>
      <c r="H864">
        <f>IFERROR(VLOOKUP(Tabla1[[#This Row],[SISMED]],TblDisponibilidad[],12,FALSE), 0)</f>
        <v>0</v>
      </c>
      <c r="I864">
        <f>IFERROR(VLOOKUP(Tabla1[[#This Row],[SISMED]],TblDisponibilidad[],13,FALSE), 0)</f>
        <v>0</v>
      </c>
      <c r="J864">
        <f>IFERROR(VLOOKUP(Tabla1[[#This Row],[SISMED]],TblDisponibilidad[],14,FALSE), 0)</f>
        <v>0</v>
      </c>
      <c r="K864">
        <f>IFERROR(VLOOKUP(Tabla1[[#This Row],[SISMED]],TblDisponibilidad[],15,FALSE), 0)</f>
        <v>0</v>
      </c>
      <c r="L864">
        <f>IFERROR(VLOOKUP(Tabla1[[#This Row],[SISMED]],TblDisponibilidad[],16,FALSE), 0)</f>
        <v>0</v>
      </c>
      <c r="M864">
        <f>IFERROR(VLOOKUP(Tabla1[[#This Row],[SISMED]],TblDisponibilidad[],17,FALSE), 0)</f>
        <v>0</v>
      </c>
      <c r="N864">
        <f>IFERROR(VLOOKUP(Tabla1[[#This Row],[SISMED]],TblDisponibilidad[],18,FALSE), 0)</f>
        <v>0</v>
      </c>
      <c r="O864">
        <f>IFERROR(VLOOKUP(Tabla1[[#This Row],[SISMED]],TblDisponibilidad[],19,FALSE), 0)</f>
        <v>0</v>
      </c>
      <c r="P864">
        <f>IFERROR(VLOOKUP(Tabla1[[#This Row],[SISMED]],TblDisponibilidad[],20,FALSE), 0)</f>
        <v>0</v>
      </c>
      <c r="Q864">
        <f>IFERROR(VLOOKUP(Tabla1[[#This Row],[SISMED]],TblDisponibilidad[],21,FALSE), 0)</f>
        <v>0</v>
      </c>
      <c r="R864">
        <f>IFERROR(VLOOKUP(Tabla1[[#This Row],[SISMED]],TblDisponibilidad[],22,FALSE), 0)</f>
        <v>0</v>
      </c>
      <c r="S864" s="15">
        <f>IFERROR(VLOOKUP(Tabla1[[#This Row],[SISMED]],TblDisponibilidad[],23,FALSE), 0)</f>
        <v>0</v>
      </c>
    </row>
    <row r="865" spans="1:19" x14ac:dyDescent="0.3">
      <c r="A865" s="15" t="s">
        <v>895</v>
      </c>
      <c r="B865" t="str">
        <f>IFERROR(VLOOKUP(Tabla1[[#This Row],[SISMED]],TblDisponibilidad[],2,FALSE), "")</f>
        <v/>
      </c>
      <c r="C865">
        <f>IFERROR(VLOOKUP(Tabla1[[#This Row],[SISMED]],TblDisponibilidad[],7,FALSE), 0)</f>
        <v>0</v>
      </c>
      <c r="D865">
        <f>IFERROR(VLOOKUP(Tabla1[[#This Row],[SISMED]],TblDisponibilidad[],8,FALSE), 0)</f>
        <v>0</v>
      </c>
      <c r="E865">
        <f>IFERROR(VLOOKUP(Tabla1[[#This Row],[SISMED]],TblDisponibilidad[],9,FALSE), 0)</f>
        <v>0</v>
      </c>
      <c r="F865">
        <f>IFERROR(VLOOKUP(Tabla1[[#This Row],[SISMED]],TblDisponibilidad[],10,FALSE), 0)</f>
        <v>0</v>
      </c>
      <c r="G865">
        <f>IFERROR(VLOOKUP(Tabla1[[#This Row],[SISMED]],TblDisponibilidad[],11,FALSE), 0)</f>
        <v>0</v>
      </c>
      <c r="H865">
        <f>IFERROR(VLOOKUP(Tabla1[[#This Row],[SISMED]],TblDisponibilidad[],12,FALSE), 0)</f>
        <v>0</v>
      </c>
      <c r="I865">
        <f>IFERROR(VLOOKUP(Tabla1[[#This Row],[SISMED]],TblDisponibilidad[],13,FALSE), 0)</f>
        <v>0</v>
      </c>
      <c r="J865">
        <f>IFERROR(VLOOKUP(Tabla1[[#This Row],[SISMED]],TblDisponibilidad[],14,FALSE), 0)</f>
        <v>0</v>
      </c>
      <c r="K865">
        <f>IFERROR(VLOOKUP(Tabla1[[#This Row],[SISMED]],TblDisponibilidad[],15,FALSE), 0)</f>
        <v>0</v>
      </c>
      <c r="L865">
        <f>IFERROR(VLOOKUP(Tabla1[[#This Row],[SISMED]],TblDisponibilidad[],16,FALSE), 0)</f>
        <v>0</v>
      </c>
      <c r="M865">
        <f>IFERROR(VLOOKUP(Tabla1[[#This Row],[SISMED]],TblDisponibilidad[],17,FALSE), 0)</f>
        <v>0</v>
      </c>
      <c r="N865">
        <f>IFERROR(VLOOKUP(Tabla1[[#This Row],[SISMED]],TblDisponibilidad[],18,FALSE), 0)</f>
        <v>0</v>
      </c>
      <c r="O865">
        <f>IFERROR(VLOOKUP(Tabla1[[#This Row],[SISMED]],TblDisponibilidad[],19,FALSE), 0)</f>
        <v>0</v>
      </c>
      <c r="P865">
        <f>IFERROR(VLOOKUP(Tabla1[[#This Row],[SISMED]],TblDisponibilidad[],20,FALSE), 0)</f>
        <v>0</v>
      </c>
      <c r="Q865">
        <f>IFERROR(VLOOKUP(Tabla1[[#This Row],[SISMED]],TblDisponibilidad[],21,FALSE), 0)</f>
        <v>0</v>
      </c>
      <c r="R865">
        <f>IFERROR(VLOOKUP(Tabla1[[#This Row],[SISMED]],TblDisponibilidad[],22,FALSE), 0)</f>
        <v>0</v>
      </c>
      <c r="S865" s="15">
        <f>IFERROR(VLOOKUP(Tabla1[[#This Row],[SISMED]],TblDisponibilidad[],23,FALSE), 0)</f>
        <v>0</v>
      </c>
    </row>
    <row r="866" spans="1:19" x14ac:dyDescent="0.3">
      <c r="A866" s="15" t="s">
        <v>896</v>
      </c>
      <c r="B866" t="str">
        <f>IFERROR(VLOOKUP(Tabla1[[#This Row],[SISMED]],TblDisponibilidad[],2,FALSE), "")</f>
        <v/>
      </c>
      <c r="C866">
        <f>IFERROR(VLOOKUP(Tabla1[[#This Row],[SISMED]],TblDisponibilidad[],7,FALSE), 0)</f>
        <v>0</v>
      </c>
      <c r="D866">
        <f>IFERROR(VLOOKUP(Tabla1[[#This Row],[SISMED]],TblDisponibilidad[],8,FALSE), 0)</f>
        <v>0</v>
      </c>
      <c r="E866">
        <f>IFERROR(VLOOKUP(Tabla1[[#This Row],[SISMED]],TblDisponibilidad[],9,FALSE), 0)</f>
        <v>0</v>
      </c>
      <c r="F866">
        <f>IFERROR(VLOOKUP(Tabla1[[#This Row],[SISMED]],TblDisponibilidad[],10,FALSE), 0)</f>
        <v>0</v>
      </c>
      <c r="G866">
        <f>IFERROR(VLOOKUP(Tabla1[[#This Row],[SISMED]],TblDisponibilidad[],11,FALSE), 0)</f>
        <v>0</v>
      </c>
      <c r="H866">
        <f>IFERROR(VLOOKUP(Tabla1[[#This Row],[SISMED]],TblDisponibilidad[],12,FALSE), 0)</f>
        <v>0</v>
      </c>
      <c r="I866">
        <f>IFERROR(VLOOKUP(Tabla1[[#This Row],[SISMED]],TblDisponibilidad[],13,FALSE), 0)</f>
        <v>0</v>
      </c>
      <c r="J866">
        <f>IFERROR(VLOOKUP(Tabla1[[#This Row],[SISMED]],TblDisponibilidad[],14,FALSE), 0)</f>
        <v>0</v>
      </c>
      <c r="K866">
        <f>IFERROR(VLOOKUP(Tabla1[[#This Row],[SISMED]],TblDisponibilidad[],15,FALSE), 0)</f>
        <v>0</v>
      </c>
      <c r="L866">
        <f>IFERROR(VLOOKUP(Tabla1[[#This Row],[SISMED]],TblDisponibilidad[],16,FALSE), 0)</f>
        <v>0</v>
      </c>
      <c r="M866">
        <f>IFERROR(VLOOKUP(Tabla1[[#This Row],[SISMED]],TblDisponibilidad[],17,FALSE), 0)</f>
        <v>0</v>
      </c>
      <c r="N866">
        <f>IFERROR(VLOOKUP(Tabla1[[#This Row],[SISMED]],TblDisponibilidad[],18,FALSE), 0)</f>
        <v>0</v>
      </c>
      <c r="O866">
        <f>IFERROR(VLOOKUP(Tabla1[[#This Row],[SISMED]],TblDisponibilidad[],19,FALSE), 0)</f>
        <v>0</v>
      </c>
      <c r="P866">
        <f>IFERROR(VLOOKUP(Tabla1[[#This Row],[SISMED]],TblDisponibilidad[],20,FALSE), 0)</f>
        <v>0</v>
      </c>
      <c r="Q866">
        <f>IFERROR(VLOOKUP(Tabla1[[#This Row],[SISMED]],TblDisponibilidad[],21,FALSE), 0)</f>
        <v>0</v>
      </c>
      <c r="R866">
        <f>IFERROR(VLOOKUP(Tabla1[[#This Row],[SISMED]],TblDisponibilidad[],22,FALSE), 0)</f>
        <v>0</v>
      </c>
      <c r="S866" s="15">
        <f>IFERROR(VLOOKUP(Tabla1[[#This Row],[SISMED]],TblDisponibilidad[],23,FALSE), 0)</f>
        <v>0</v>
      </c>
    </row>
    <row r="867" spans="1:19" x14ac:dyDescent="0.3">
      <c r="A867" s="15" t="s">
        <v>897</v>
      </c>
      <c r="B867" t="str">
        <f>IFERROR(VLOOKUP(Tabla1[[#This Row],[SISMED]],TblDisponibilidad[],2,FALSE), "")</f>
        <v/>
      </c>
      <c r="C867">
        <f>IFERROR(VLOOKUP(Tabla1[[#This Row],[SISMED]],TblDisponibilidad[],7,FALSE), 0)</f>
        <v>0</v>
      </c>
      <c r="D867">
        <f>IFERROR(VLOOKUP(Tabla1[[#This Row],[SISMED]],TblDisponibilidad[],8,FALSE), 0)</f>
        <v>0</v>
      </c>
      <c r="E867">
        <f>IFERROR(VLOOKUP(Tabla1[[#This Row],[SISMED]],TblDisponibilidad[],9,FALSE), 0)</f>
        <v>0</v>
      </c>
      <c r="F867">
        <f>IFERROR(VLOOKUP(Tabla1[[#This Row],[SISMED]],TblDisponibilidad[],10,FALSE), 0)</f>
        <v>0</v>
      </c>
      <c r="G867">
        <f>IFERROR(VLOOKUP(Tabla1[[#This Row],[SISMED]],TblDisponibilidad[],11,FALSE), 0)</f>
        <v>0</v>
      </c>
      <c r="H867">
        <f>IFERROR(VLOOKUP(Tabla1[[#This Row],[SISMED]],TblDisponibilidad[],12,FALSE), 0)</f>
        <v>0</v>
      </c>
      <c r="I867">
        <f>IFERROR(VLOOKUP(Tabla1[[#This Row],[SISMED]],TblDisponibilidad[],13,FALSE), 0)</f>
        <v>0</v>
      </c>
      <c r="J867">
        <f>IFERROR(VLOOKUP(Tabla1[[#This Row],[SISMED]],TblDisponibilidad[],14,FALSE), 0)</f>
        <v>0</v>
      </c>
      <c r="K867">
        <f>IFERROR(VLOOKUP(Tabla1[[#This Row],[SISMED]],TblDisponibilidad[],15,FALSE), 0)</f>
        <v>0</v>
      </c>
      <c r="L867">
        <f>IFERROR(VLOOKUP(Tabla1[[#This Row],[SISMED]],TblDisponibilidad[],16,FALSE), 0)</f>
        <v>0</v>
      </c>
      <c r="M867">
        <f>IFERROR(VLOOKUP(Tabla1[[#This Row],[SISMED]],TblDisponibilidad[],17,FALSE), 0)</f>
        <v>0</v>
      </c>
      <c r="N867">
        <f>IFERROR(VLOOKUP(Tabla1[[#This Row],[SISMED]],TblDisponibilidad[],18,FALSE), 0)</f>
        <v>0</v>
      </c>
      <c r="O867">
        <f>IFERROR(VLOOKUP(Tabla1[[#This Row],[SISMED]],TblDisponibilidad[],19,FALSE), 0)</f>
        <v>0</v>
      </c>
      <c r="P867">
        <f>IFERROR(VLOOKUP(Tabla1[[#This Row],[SISMED]],TblDisponibilidad[],20,FALSE), 0)</f>
        <v>0</v>
      </c>
      <c r="Q867">
        <f>IFERROR(VLOOKUP(Tabla1[[#This Row],[SISMED]],TblDisponibilidad[],21,FALSE), 0)</f>
        <v>0</v>
      </c>
      <c r="R867">
        <f>IFERROR(VLOOKUP(Tabla1[[#This Row],[SISMED]],TblDisponibilidad[],22,FALSE), 0)</f>
        <v>0</v>
      </c>
      <c r="S867" s="15">
        <f>IFERROR(VLOOKUP(Tabla1[[#This Row],[SISMED]],TblDisponibilidad[],23,FALSE), 0)</f>
        <v>0</v>
      </c>
    </row>
    <row r="868" spans="1:19" x14ac:dyDescent="0.3">
      <c r="A868" s="15" t="s">
        <v>898</v>
      </c>
      <c r="B868" t="str">
        <f>IFERROR(VLOOKUP(Tabla1[[#This Row],[SISMED]],TblDisponibilidad[],2,FALSE), "")</f>
        <v/>
      </c>
      <c r="C868">
        <f>IFERROR(VLOOKUP(Tabla1[[#This Row],[SISMED]],TblDisponibilidad[],7,FALSE), 0)</f>
        <v>0</v>
      </c>
      <c r="D868">
        <f>IFERROR(VLOOKUP(Tabla1[[#This Row],[SISMED]],TblDisponibilidad[],8,FALSE), 0)</f>
        <v>0</v>
      </c>
      <c r="E868">
        <f>IFERROR(VLOOKUP(Tabla1[[#This Row],[SISMED]],TblDisponibilidad[],9,FALSE), 0)</f>
        <v>0</v>
      </c>
      <c r="F868">
        <f>IFERROR(VLOOKUP(Tabla1[[#This Row],[SISMED]],TblDisponibilidad[],10,FALSE), 0)</f>
        <v>0</v>
      </c>
      <c r="G868">
        <f>IFERROR(VLOOKUP(Tabla1[[#This Row],[SISMED]],TblDisponibilidad[],11,FALSE), 0)</f>
        <v>0</v>
      </c>
      <c r="H868">
        <f>IFERROR(VLOOKUP(Tabla1[[#This Row],[SISMED]],TblDisponibilidad[],12,FALSE), 0)</f>
        <v>0</v>
      </c>
      <c r="I868">
        <f>IFERROR(VLOOKUP(Tabla1[[#This Row],[SISMED]],TblDisponibilidad[],13,FALSE), 0)</f>
        <v>0</v>
      </c>
      <c r="J868">
        <f>IFERROR(VLOOKUP(Tabla1[[#This Row],[SISMED]],TblDisponibilidad[],14,FALSE), 0)</f>
        <v>0</v>
      </c>
      <c r="K868">
        <f>IFERROR(VLOOKUP(Tabla1[[#This Row],[SISMED]],TblDisponibilidad[],15,FALSE), 0)</f>
        <v>0</v>
      </c>
      <c r="L868">
        <f>IFERROR(VLOOKUP(Tabla1[[#This Row],[SISMED]],TblDisponibilidad[],16,FALSE), 0)</f>
        <v>0</v>
      </c>
      <c r="M868">
        <f>IFERROR(VLOOKUP(Tabla1[[#This Row],[SISMED]],TblDisponibilidad[],17,FALSE), 0)</f>
        <v>0</v>
      </c>
      <c r="N868">
        <f>IFERROR(VLOOKUP(Tabla1[[#This Row],[SISMED]],TblDisponibilidad[],18,FALSE), 0)</f>
        <v>0</v>
      </c>
      <c r="O868">
        <f>IFERROR(VLOOKUP(Tabla1[[#This Row],[SISMED]],TblDisponibilidad[],19,FALSE), 0)</f>
        <v>0</v>
      </c>
      <c r="P868">
        <f>IFERROR(VLOOKUP(Tabla1[[#This Row],[SISMED]],TblDisponibilidad[],20,FALSE), 0)</f>
        <v>0</v>
      </c>
      <c r="Q868">
        <f>IFERROR(VLOOKUP(Tabla1[[#This Row],[SISMED]],TblDisponibilidad[],21,FALSE), 0)</f>
        <v>0</v>
      </c>
      <c r="R868">
        <f>IFERROR(VLOOKUP(Tabla1[[#This Row],[SISMED]],TblDisponibilidad[],22,FALSE), 0)</f>
        <v>0</v>
      </c>
      <c r="S868" s="15">
        <f>IFERROR(VLOOKUP(Tabla1[[#This Row],[SISMED]],TblDisponibilidad[],23,FALSE), 0)</f>
        <v>0</v>
      </c>
    </row>
    <row r="869" spans="1:19" x14ac:dyDescent="0.3">
      <c r="A869" s="15" t="s">
        <v>899</v>
      </c>
      <c r="B869" t="str">
        <f>IFERROR(VLOOKUP(Tabla1[[#This Row],[SISMED]],TblDisponibilidad[],2,FALSE), "")</f>
        <v/>
      </c>
      <c r="C869">
        <f>IFERROR(VLOOKUP(Tabla1[[#This Row],[SISMED]],TblDisponibilidad[],7,FALSE), 0)</f>
        <v>0</v>
      </c>
      <c r="D869">
        <f>IFERROR(VLOOKUP(Tabla1[[#This Row],[SISMED]],TblDisponibilidad[],8,FALSE), 0)</f>
        <v>0</v>
      </c>
      <c r="E869">
        <f>IFERROR(VLOOKUP(Tabla1[[#This Row],[SISMED]],TblDisponibilidad[],9,FALSE), 0)</f>
        <v>0</v>
      </c>
      <c r="F869">
        <f>IFERROR(VLOOKUP(Tabla1[[#This Row],[SISMED]],TblDisponibilidad[],10,FALSE), 0)</f>
        <v>0</v>
      </c>
      <c r="G869">
        <f>IFERROR(VLOOKUP(Tabla1[[#This Row],[SISMED]],TblDisponibilidad[],11,FALSE), 0)</f>
        <v>0</v>
      </c>
      <c r="H869">
        <f>IFERROR(VLOOKUP(Tabla1[[#This Row],[SISMED]],TblDisponibilidad[],12,FALSE), 0)</f>
        <v>0</v>
      </c>
      <c r="I869">
        <f>IFERROR(VLOOKUP(Tabla1[[#This Row],[SISMED]],TblDisponibilidad[],13,FALSE), 0)</f>
        <v>0</v>
      </c>
      <c r="J869">
        <f>IFERROR(VLOOKUP(Tabla1[[#This Row],[SISMED]],TblDisponibilidad[],14,FALSE), 0)</f>
        <v>0</v>
      </c>
      <c r="K869">
        <f>IFERROR(VLOOKUP(Tabla1[[#This Row],[SISMED]],TblDisponibilidad[],15,FALSE), 0)</f>
        <v>0</v>
      </c>
      <c r="L869">
        <f>IFERROR(VLOOKUP(Tabla1[[#This Row],[SISMED]],TblDisponibilidad[],16,FALSE), 0)</f>
        <v>0</v>
      </c>
      <c r="M869">
        <f>IFERROR(VLOOKUP(Tabla1[[#This Row],[SISMED]],TblDisponibilidad[],17,FALSE), 0)</f>
        <v>0</v>
      </c>
      <c r="N869">
        <f>IFERROR(VLOOKUP(Tabla1[[#This Row],[SISMED]],TblDisponibilidad[],18,FALSE), 0)</f>
        <v>0</v>
      </c>
      <c r="O869">
        <f>IFERROR(VLOOKUP(Tabla1[[#This Row],[SISMED]],TblDisponibilidad[],19,FALSE), 0)</f>
        <v>0</v>
      </c>
      <c r="P869">
        <f>IFERROR(VLOOKUP(Tabla1[[#This Row],[SISMED]],TblDisponibilidad[],20,FALSE), 0)</f>
        <v>0</v>
      </c>
      <c r="Q869">
        <f>IFERROR(VLOOKUP(Tabla1[[#This Row],[SISMED]],TblDisponibilidad[],21,FALSE), 0)</f>
        <v>0</v>
      </c>
      <c r="R869">
        <f>IFERROR(VLOOKUP(Tabla1[[#This Row],[SISMED]],TblDisponibilidad[],22,FALSE), 0)</f>
        <v>0</v>
      </c>
      <c r="S869" s="15">
        <f>IFERROR(VLOOKUP(Tabla1[[#This Row],[SISMED]],TblDisponibilidad[],23,FALSE), 0)</f>
        <v>0</v>
      </c>
    </row>
    <row r="870" spans="1:19" x14ac:dyDescent="0.3">
      <c r="A870" s="15" t="s">
        <v>900</v>
      </c>
      <c r="B870" t="str">
        <f>IFERROR(VLOOKUP(Tabla1[[#This Row],[SISMED]],TblDisponibilidad[],2,FALSE), "")</f>
        <v/>
      </c>
      <c r="C870">
        <f>IFERROR(VLOOKUP(Tabla1[[#This Row],[SISMED]],TblDisponibilidad[],7,FALSE), 0)</f>
        <v>0</v>
      </c>
      <c r="D870">
        <f>IFERROR(VLOOKUP(Tabla1[[#This Row],[SISMED]],TblDisponibilidad[],8,FALSE), 0)</f>
        <v>0</v>
      </c>
      <c r="E870">
        <f>IFERROR(VLOOKUP(Tabla1[[#This Row],[SISMED]],TblDisponibilidad[],9,FALSE), 0)</f>
        <v>0</v>
      </c>
      <c r="F870">
        <f>IFERROR(VLOOKUP(Tabla1[[#This Row],[SISMED]],TblDisponibilidad[],10,FALSE), 0)</f>
        <v>0</v>
      </c>
      <c r="G870">
        <f>IFERROR(VLOOKUP(Tabla1[[#This Row],[SISMED]],TblDisponibilidad[],11,FALSE), 0)</f>
        <v>0</v>
      </c>
      <c r="H870">
        <f>IFERROR(VLOOKUP(Tabla1[[#This Row],[SISMED]],TblDisponibilidad[],12,FALSE), 0)</f>
        <v>0</v>
      </c>
      <c r="I870">
        <f>IFERROR(VLOOKUP(Tabla1[[#This Row],[SISMED]],TblDisponibilidad[],13,FALSE), 0)</f>
        <v>0</v>
      </c>
      <c r="J870">
        <f>IFERROR(VLOOKUP(Tabla1[[#This Row],[SISMED]],TblDisponibilidad[],14,FALSE), 0)</f>
        <v>0</v>
      </c>
      <c r="K870">
        <f>IFERROR(VLOOKUP(Tabla1[[#This Row],[SISMED]],TblDisponibilidad[],15,FALSE), 0)</f>
        <v>0</v>
      </c>
      <c r="L870">
        <f>IFERROR(VLOOKUP(Tabla1[[#This Row],[SISMED]],TblDisponibilidad[],16,FALSE), 0)</f>
        <v>0</v>
      </c>
      <c r="M870">
        <f>IFERROR(VLOOKUP(Tabla1[[#This Row],[SISMED]],TblDisponibilidad[],17,FALSE), 0)</f>
        <v>0</v>
      </c>
      <c r="N870">
        <f>IFERROR(VLOOKUP(Tabla1[[#This Row],[SISMED]],TblDisponibilidad[],18,FALSE), 0)</f>
        <v>0</v>
      </c>
      <c r="O870">
        <f>IFERROR(VLOOKUP(Tabla1[[#This Row],[SISMED]],TblDisponibilidad[],19,FALSE), 0)</f>
        <v>0</v>
      </c>
      <c r="P870">
        <f>IFERROR(VLOOKUP(Tabla1[[#This Row],[SISMED]],TblDisponibilidad[],20,FALSE), 0)</f>
        <v>0</v>
      </c>
      <c r="Q870">
        <f>IFERROR(VLOOKUP(Tabla1[[#This Row],[SISMED]],TblDisponibilidad[],21,FALSE), 0)</f>
        <v>0</v>
      </c>
      <c r="R870">
        <f>IFERROR(VLOOKUP(Tabla1[[#This Row],[SISMED]],TblDisponibilidad[],22,FALSE), 0)</f>
        <v>0</v>
      </c>
      <c r="S870" s="15">
        <f>IFERROR(VLOOKUP(Tabla1[[#This Row],[SISMED]],TblDisponibilidad[],23,FALSE), 0)</f>
        <v>0</v>
      </c>
    </row>
    <row r="871" spans="1:19" x14ac:dyDescent="0.3">
      <c r="A871" s="15" t="s">
        <v>901</v>
      </c>
      <c r="B871" t="str">
        <f>IFERROR(VLOOKUP(Tabla1[[#This Row],[SISMED]],TblDisponibilidad[],2,FALSE), "")</f>
        <v/>
      </c>
      <c r="C871">
        <f>IFERROR(VLOOKUP(Tabla1[[#This Row],[SISMED]],TblDisponibilidad[],7,FALSE), 0)</f>
        <v>0</v>
      </c>
      <c r="D871">
        <f>IFERROR(VLOOKUP(Tabla1[[#This Row],[SISMED]],TblDisponibilidad[],8,FALSE), 0)</f>
        <v>0</v>
      </c>
      <c r="E871">
        <f>IFERROR(VLOOKUP(Tabla1[[#This Row],[SISMED]],TblDisponibilidad[],9,FALSE), 0)</f>
        <v>0</v>
      </c>
      <c r="F871">
        <f>IFERROR(VLOOKUP(Tabla1[[#This Row],[SISMED]],TblDisponibilidad[],10,FALSE), 0)</f>
        <v>0</v>
      </c>
      <c r="G871">
        <f>IFERROR(VLOOKUP(Tabla1[[#This Row],[SISMED]],TblDisponibilidad[],11,FALSE), 0)</f>
        <v>0</v>
      </c>
      <c r="H871">
        <f>IFERROR(VLOOKUP(Tabla1[[#This Row],[SISMED]],TblDisponibilidad[],12,FALSE), 0)</f>
        <v>0</v>
      </c>
      <c r="I871">
        <f>IFERROR(VLOOKUP(Tabla1[[#This Row],[SISMED]],TblDisponibilidad[],13,FALSE), 0)</f>
        <v>0</v>
      </c>
      <c r="J871">
        <f>IFERROR(VLOOKUP(Tabla1[[#This Row],[SISMED]],TblDisponibilidad[],14,FALSE), 0)</f>
        <v>0</v>
      </c>
      <c r="K871">
        <f>IFERROR(VLOOKUP(Tabla1[[#This Row],[SISMED]],TblDisponibilidad[],15,FALSE), 0)</f>
        <v>0</v>
      </c>
      <c r="L871">
        <f>IFERROR(VLOOKUP(Tabla1[[#This Row],[SISMED]],TblDisponibilidad[],16,FALSE), 0)</f>
        <v>0</v>
      </c>
      <c r="M871">
        <f>IFERROR(VLOOKUP(Tabla1[[#This Row],[SISMED]],TblDisponibilidad[],17,FALSE), 0)</f>
        <v>0</v>
      </c>
      <c r="N871">
        <f>IFERROR(VLOOKUP(Tabla1[[#This Row],[SISMED]],TblDisponibilidad[],18,FALSE), 0)</f>
        <v>0</v>
      </c>
      <c r="O871">
        <f>IFERROR(VLOOKUP(Tabla1[[#This Row],[SISMED]],TblDisponibilidad[],19,FALSE), 0)</f>
        <v>0</v>
      </c>
      <c r="P871">
        <f>IFERROR(VLOOKUP(Tabla1[[#This Row],[SISMED]],TblDisponibilidad[],20,FALSE), 0)</f>
        <v>0</v>
      </c>
      <c r="Q871">
        <f>IFERROR(VLOOKUP(Tabla1[[#This Row],[SISMED]],TblDisponibilidad[],21,FALSE), 0)</f>
        <v>0</v>
      </c>
      <c r="R871">
        <f>IFERROR(VLOOKUP(Tabla1[[#This Row],[SISMED]],TblDisponibilidad[],22,FALSE), 0)</f>
        <v>0</v>
      </c>
      <c r="S871" s="15">
        <f>IFERROR(VLOOKUP(Tabla1[[#This Row],[SISMED]],TblDisponibilidad[],23,FALSE), 0)</f>
        <v>0</v>
      </c>
    </row>
    <row r="872" spans="1:19" x14ac:dyDescent="0.3">
      <c r="A872" s="15" t="s">
        <v>902</v>
      </c>
      <c r="B872" t="str">
        <f>IFERROR(VLOOKUP(Tabla1[[#This Row],[SISMED]],TblDisponibilidad[],2,FALSE), "")</f>
        <v/>
      </c>
      <c r="C872">
        <f>IFERROR(VLOOKUP(Tabla1[[#This Row],[SISMED]],TblDisponibilidad[],7,FALSE), 0)</f>
        <v>0</v>
      </c>
      <c r="D872">
        <f>IFERROR(VLOOKUP(Tabla1[[#This Row],[SISMED]],TblDisponibilidad[],8,FALSE), 0)</f>
        <v>0</v>
      </c>
      <c r="E872">
        <f>IFERROR(VLOOKUP(Tabla1[[#This Row],[SISMED]],TblDisponibilidad[],9,FALSE), 0)</f>
        <v>0</v>
      </c>
      <c r="F872">
        <f>IFERROR(VLOOKUP(Tabla1[[#This Row],[SISMED]],TblDisponibilidad[],10,FALSE), 0)</f>
        <v>0</v>
      </c>
      <c r="G872">
        <f>IFERROR(VLOOKUP(Tabla1[[#This Row],[SISMED]],TblDisponibilidad[],11,FALSE), 0)</f>
        <v>0</v>
      </c>
      <c r="H872">
        <f>IFERROR(VLOOKUP(Tabla1[[#This Row],[SISMED]],TblDisponibilidad[],12,FALSE), 0)</f>
        <v>0</v>
      </c>
      <c r="I872">
        <f>IFERROR(VLOOKUP(Tabla1[[#This Row],[SISMED]],TblDisponibilidad[],13,FALSE), 0)</f>
        <v>0</v>
      </c>
      <c r="J872">
        <f>IFERROR(VLOOKUP(Tabla1[[#This Row],[SISMED]],TblDisponibilidad[],14,FALSE), 0)</f>
        <v>0</v>
      </c>
      <c r="K872">
        <f>IFERROR(VLOOKUP(Tabla1[[#This Row],[SISMED]],TblDisponibilidad[],15,FALSE), 0)</f>
        <v>0</v>
      </c>
      <c r="L872">
        <f>IFERROR(VLOOKUP(Tabla1[[#This Row],[SISMED]],TblDisponibilidad[],16,FALSE), 0)</f>
        <v>0</v>
      </c>
      <c r="M872">
        <f>IFERROR(VLOOKUP(Tabla1[[#This Row],[SISMED]],TblDisponibilidad[],17,FALSE), 0)</f>
        <v>0</v>
      </c>
      <c r="N872">
        <f>IFERROR(VLOOKUP(Tabla1[[#This Row],[SISMED]],TblDisponibilidad[],18,FALSE), 0)</f>
        <v>0</v>
      </c>
      <c r="O872">
        <f>IFERROR(VLOOKUP(Tabla1[[#This Row],[SISMED]],TblDisponibilidad[],19,FALSE), 0)</f>
        <v>0</v>
      </c>
      <c r="P872">
        <f>IFERROR(VLOOKUP(Tabla1[[#This Row],[SISMED]],TblDisponibilidad[],20,FALSE), 0)</f>
        <v>0</v>
      </c>
      <c r="Q872">
        <f>IFERROR(VLOOKUP(Tabla1[[#This Row],[SISMED]],TblDisponibilidad[],21,FALSE), 0)</f>
        <v>0</v>
      </c>
      <c r="R872">
        <f>IFERROR(VLOOKUP(Tabla1[[#This Row],[SISMED]],TblDisponibilidad[],22,FALSE), 0)</f>
        <v>0</v>
      </c>
      <c r="S872" s="15">
        <f>IFERROR(VLOOKUP(Tabla1[[#This Row],[SISMED]],TblDisponibilidad[],23,FALSE), 0)</f>
        <v>0</v>
      </c>
    </row>
    <row r="873" spans="1:19" x14ac:dyDescent="0.3">
      <c r="A873" s="15" t="s">
        <v>903</v>
      </c>
      <c r="B873" t="str">
        <f>IFERROR(VLOOKUP(Tabla1[[#This Row],[SISMED]],TblDisponibilidad[],2,FALSE), "")</f>
        <v/>
      </c>
      <c r="C873">
        <f>IFERROR(VLOOKUP(Tabla1[[#This Row],[SISMED]],TblDisponibilidad[],7,FALSE), 0)</f>
        <v>0</v>
      </c>
      <c r="D873">
        <f>IFERROR(VLOOKUP(Tabla1[[#This Row],[SISMED]],TblDisponibilidad[],8,FALSE), 0)</f>
        <v>0</v>
      </c>
      <c r="E873">
        <f>IFERROR(VLOOKUP(Tabla1[[#This Row],[SISMED]],TblDisponibilidad[],9,FALSE), 0)</f>
        <v>0</v>
      </c>
      <c r="F873">
        <f>IFERROR(VLOOKUP(Tabla1[[#This Row],[SISMED]],TblDisponibilidad[],10,FALSE), 0)</f>
        <v>0</v>
      </c>
      <c r="G873">
        <f>IFERROR(VLOOKUP(Tabla1[[#This Row],[SISMED]],TblDisponibilidad[],11,FALSE), 0)</f>
        <v>0</v>
      </c>
      <c r="H873">
        <f>IFERROR(VLOOKUP(Tabla1[[#This Row],[SISMED]],TblDisponibilidad[],12,FALSE), 0)</f>
        <v>0</v>
      </c>
      <c r="I873">
        <f>IFERROR(VLOOKUP(Tabla1[[#This Row],[SISMED]],TblDisponibilidad[],13,FALSE), 0)</f>
        <v>0</v>
      </c>
      <c r="J873">
        <f>IFERROR(VLOOKUP(Tabla1[[#This Row],[SISMED]],TblDisponibilidad[],14,FALSE), 0)</f>
        <v>0</v>
      </c>
      <c r="K873">
        <f>IFERROR(VLOOKUP(Tabla1[[#This Row],[SISMED]],TblDisponibilidad[],15,FALSE), 0)</f>
        <v>0</v>
      </c>
      <c r="L873">
        <f>IFERROR(VLOOKUP(Tabla1[[#This Row],[SISMED]],TblDisponibilidad[],16,FALSE), 0)</f>
        <v>0</v>
      </c>
      <c r="M873">
        <f>IFERROR(VLOOKUP(Tabla1[[#This Row],[SISMED]],TblDisponibilidad[],17,FALSE), 0)</f>
        <v>0</v>
      </c>
      <c r="N873">
        <f>IFERROR(VLOOKUP(Tabla1[[#This Row],[SISMED]],TblDisponibilidad[],18,FALSE), 0)</f>
        <v>0</v>
      </c>
      <c r="O873">
        <f>IFERROR(VLOOKUP(Tabla1[[#This Row],[SISMED]],TblDisponibilidad[],19,FALSE), 0)</f>
        <v>0</v>
      </c>
      <c r="P873">
        <f>IFERROR(VLOOKUP(Tabla1[[#This Row],[SISMED]],TblDisponibilidad[],20,FALSE), 0)</f>
        <v>0</v>
      </c>
      <c r="Q873">
        <f>IFERROR(VLOOKUP(Tabla1[[#This Row],[SISMED]],TblDisponibilidad[],21,FALSE), 0)</f>
        <v>0</v>
      </c>
      <c r="R873">
        <f>IFERROR(VLOOKUP(Tabla1[[#This Row],[SISMED]],TblDisponibilidad[],22,FALSE), 0)</f>
        <v>0</v>
      </c>
      <c r="S873" s="15">
        <f>IFERROR(VLOOKUP(Tabla1[[#This Row],[SISMED]],TblDisponibilidad[],23,FALSE), 0)</f>
        <v>0</v>
      </c>
    </row>
    <row r="874" spans="1:19" x14ac:dyDescent="0.3">
      <c r="A874" s="15" t="s">
        <v>904</v>
      </c>
      <c r="B874" t="str">
        <f>IFERROR(VLOOKUP(Tabla1[[#This Row],[SISMED]],TblDisponibilidad[],2,FALSE), "")</f>
        <v/>
      </c>
      <c r="C874">
        <f>IFERROR(VLOOKUP(Tabla1[[#This Row],[SISMED]],TblDisponibilidad[],7,FALSE), 0)</f>
        <v>0</v>
      </c>
      <c r="D874">
        <f>IFERROR(VLOOKUP(Tabla1[[#This Row],[SISMED]],TblDisponibilidad[],8,FALSE), 0)</f>
        <v>0</v>
      </c>
      <c r="E874">
        <f>IFERROR(VLOOKUP(Tabla1[[#This Row],[SISMED]],TblDisponibilidad[],9,FALSE), 0)</f>
        <v>0</v>
      </c>
      <c r="F874">
        <f>IFERROR(VLOOKUP(Tabla1[[#This Row],[SISMED]],TblDisponibilidad[],10,FALSE), 0)</f>
        <v>0</v>
      </c>
      <c r="G874">
        <f>IFERROR(VLOOKUP(Tabla1[[#This Row],[SISMED]],TblDisponibilidad[],11,FALSE), 0)</f>
        <v>0</v>
      </c>
      <c r="H874">
        <f>IFERROR(VLOOKUP(Tabla1[[#This Row],[SISMED]],TblDisponibilidad[],12,FALSE), 0)</f>
        <v>0</v>
      </c>
      <c r="I874">
        <f>IFERROR(VLOOKUP(Tabla1[[#This Row],[SISMED]],TblDisponibilidad[],13,FALSE), 0)</f>
        <v>0</v>
      </c>
      <c r="J874">
        <f>IFERROR(VLOOKUP(Tabla1[[#This Row],[SISMED]],TblDisponibilidad[],14,FALSE), 0)</f>
        <v>0</v>
      </c>
      <c r="K874">
        <f>IFERROR(VLOOKUP(Tabla1[[#This Row],[SISMED]],TblDisponibilidad[],15,FALSE), 0)</f>
        <v>0</v>
      </c>
      <c r="L874">
        <f>IFERROR(VLOOKUP(Tabla1[[#This Row],[SISMED]],TblDisponibilidad[],16,FALSE), 0)</f>
        <v>0</v>
      </c>
      <c r="M874">
        <f>IFERROR(VLOOKUP(Tabla1[[#This Row],[SISMED]],TblDisponibilidad[],17,FALSE), 0)</f>
        <v>0</v>
      </c>
      <c r="N874">
        <f>IFERROR(VLOOKUP(Tabla1[[#This Row],[SISMED]],TblDisponibilidad[],18,FALSE), 0)</f>
        <v>0</v>
      </c>
      <c r="O874">
        <f>IFERROR(VLOOKUP(Tabla1[[#This Row],[SISMED]],TblDisponibilidad[],19,FALSE), 0)</f>
        <v>0</v>
      </c>
      <c r="P874">
        <f>IFERROR(VLOOKUP(Tabla1[[#This Row],[SISMED]],TblDisponibilidad[],20,FALSE), 0)</f>
        <v>0</v>
      </c>
      <c r="Q874">
        <f>IFERROR(VLOOKUP(Tabla1[[#This Row],[SISMED]],TblDisponibilidad[],21,FALSE), 0)</f>
        <v>0</v>
      </c>
      <c r="R874">
        <f>IFERROR(VLOOKUP(Tabla1[[#This Row],[SISMED]],TblDisponibilidad[],22,FALSE), 0)</f>
        <v>0</v>
      </c>
      <c r="S874" s="15">
        <f>IFERROR(VLOOKUP(Tabla1[[#This Row],[SISMED]],TblDisponibilidad[],23,FALSE), 0)</f>
        <v>0</v>
      </c>
    </row>
    <row r="875" spans="1:19" x14ac:dyDescent="0.3">
      <c r="A875" s="15" t="s">
        <v>905</v>
      </c>
      <c r="B875" t="str">
        <f>IFERROR(VLOOKUP(Tabla1[[#This Row],[SISMED]],TblDisponibilidad[],2,FALSE), "")</f>
        <v/>
      </c>
      <c r="C875">
        <f>IFERROR(VLOOKUP(Tabla1[[#This Row],[SISMED]],TblDisponibilidad[],7,FALSE), 0)</f>
        <v>0</v>
      </c>
      <c r="D875">
        <f>IFERROR(VLOOKUP(Tabla1[[#This Row],[SISMED]],TblDisponibilidad[],8,FALSE), 0)</f>
        <v>0</v>
      </c>
      <c r="E875">
        <f>IFERROR(VLOOKUP(Tabla1[[#This Row],[SISMED]],TblDisponibilidad[],9,FALSE), 0)</f>
        <v>0</v>
      </c>
      <c r="F875">
        <f>IFERROR(VLOOKUP(Tabla1[[#This Row],[SISMED]],TblDisponibilidad[],10,FALSE), 0)</f>
        <v>0</v>
      </c>
      <c r="G875">
        <f>IFERROR(VLOOKUP(Tabla1[[#This Row],[SISMED]],TblDisponibilidad[],11,FALSE), 0)</f>
        <v>0</v>
      </c>
      <c r="H875">
        <f>IFERROR(VLOOKUP(Tabla1[[#This Row],[SISMED]],TblDisponibilidad[],12,FALSE), 0)</f>
        <v>0</v>
      </c>
      <c r="I875">
        <f>IFERROR(VLOOKUP(Tabla1[[#This Row],[SISMED]],TblDisponibilidad[],13,FALSE), 0)</f>
        <v>0</v>
      </c>
      <c r="J875">
        <f>IFERROR(VLOOKUP(Tabla1[[#This Row],[SISMED]],TblDisponibilidad[],14,FALSE), 0)</f>
        <v>0</v>
      </c>
      <c r="K875">
        <f>IFERROR(VLOOKUP(Tabla1[[#This Row],[SISMED]],TblDisponibilidad[],15,FALSE), 0)</f>
        <v>0</v>
      </c>
      <c r="L875">
        <f>IFERROR(VLOOKUP(Tabla1[[#This Row],[SISMED]],TblDisponibilidad[],16,FALSE), 0)</f>
        <v>0</v>
      </c>
      <c r="M875">
        <f>IFERROR(VLOOKUP(Tabla1[[#This Row],[SISMED]],TblDisponibilidad[],17,FALSE), 0)</f>
        <v>0</v>
      </c>
      <c r="N875">
        <f>IFERROR(VLOOKUP(Tabla1[[#This Row],[SISMED]],TblDisponibilidad[],18,FALSE), 0)</f>
        <v>0</v>
      </c>
      <c r="O875">
        <f>IFERROR(VLOOKUP(Tabla1[[#This Row],[SISMED]],TblDisponibilidad[],19,FALSE), 0)</f>
        <v>0</v>
      </c>
      <c r="P875">
        <f>IFERROR(VLOOKUP(Tabla1[[#This Row],[SISMED]],TblDisponibilidad[],20,FALSE), 0)</f>
        <v>0</v>
      </c>
      <c r="Q875">
        <f>IFERROR(VLOOKUP(Tabla1[[#This Row],[SISMED]],TblDisponibilidad[],21,FALSE), 0)</f>
        <v>0</v>
      </c>
      <c r="R875">
        <f>IFERROR(VLOOKUP(Tabla1[[#This Row],[SISMED]],TblDisponibilidad[],22,FALSE), 0)</f>
        <v>0</v>
      </c>
      <c r="S875" s="15">
        <f>IFERROR(VLOOKUP(Tabla1[[#This Row],[SISMED]],TblDisponibilidad[],23,FALSE), 0)</f>
        <v>0</v>
      </c>
    </row>
    <row r="876" spans="1:19" x14ac:dyDescent="0.3">
      <c r="A876" s="15" t="s">
        <v>906</v>
      </c>
      <c r="B876" t="str">
        <f>IFERROR(VLOOKUP(Tabla1[[#This Row],[SISMED]],TblDisponibilidad[],2,FALSE), "")</f>
        <v/>
      </c>
      <c r="C876">
        <f>IFERROR(VLOOKUP(Tabla1[[#This Row],[SISMED]],TblDisponibilidad[],7,FALSE), 0)</f>
        <v>0</v>
      </c>
      <c r="D876">
        <f>IFERROR(VLOOKUP(Tabla1[[#This Row],[SISMED]],TblDisponibilidad[],8,FALSE), 0)</f>
        <v>0</v>
      </c>
      <c r="E876">
        <f>IFERROR(VLOOKUP(Tabla1[[#This Row],[SISMED]],TblDisponibilidad[],9,FALSE), 0)</f>
        <v>0</v>
      </c>
      <c r="F876">
        <f>IFERROR(VLOOKUP(Tabla1[[#This Row],[SISMED]],TblDisponibilidad[],10,FALSE), 0)</f>
        <v>0</v>
      </c>
      <c r="G876">
        <f>IFERROR(VLOOKUP(Tabla1[[#This Row],[SISMED]],TblDisponibilidad[],11,FALSE), 0)</f>
        <v>0</v>
      </c>
      <c r="H876">
        <f>IFERROR(VLOOKUP(Tabla1[[#This Row],[SISMED]],TblDisponibilidad[],12,FALSE), 0)</f>
        <v>0</v>
      </c>
      <c r="I876">
        <f>IFERROR(VLOOKUP(Tabla1[[#This Row],[SISMED]],TblDisponibilidad[],13,FALSE), 0)</f>
        <v>0</v>
      </c>
      <c r="J876">
        <f>IFERROR(VLOOKUP(Tabla1[[#This Row],[SISMED]],TblDisponibilidad[],14,FALSE), 0)</f>
        <v>0</v>
      </c>
      <c r="K876">
        <f>IFERROR(VLOOKUP(Tabla1[[#This Row],[SISMED]],TblDisponibilidad[],15,FALSE), 0)</f>
        <v>0</v>
      </c>
      <c r="L876">
        <f>IFERROR(VLOOKUP(Tabla1[[#This Row],[SISMED]],TblDisponibilidad[],16,FALSE), 0)</f>
        <v>0</v>
      </c>
      <c r="M876">
        <f>IFERROR(VLOOKUP(Tabla1[[#This Row],[SISMED]],TblDisponibilidad[],17,FALSE), 0)</f>
        <v>0</v>
      </c>
      <c r="N876">
        <f>IFERROR(VLOOKUP(Tabla1[[#This Row],[SISMED]],TblDisponibilidad[],18,FALSE), 0)</f>
        <v>0</v>
      </c>
      <c r="O876">
        <f>IFERROR(VLOOKUP(Tabla1[[#This Row],[SISMED]],TblDisponibilidad[],19,FALSE), 0)</f>
        <v>0</v>
      </c>
      <c r="P876">
        <f>IFERROR(VLOOKUP(Tabla1[[#This Row],[SISMED]],TblDisponibilidad[],20,FALSE), 0)</f>
        <v>0</v>
      </c>
      <c r="Q876">
        <f>IFERROR(VLOOKUP(Tabla1[[#This Row],[SISMED]],TblDisponibilidad[],21,FALSE), 0)</f>
        <v>0</v>
      </c>
      <c r="R876">
        <f>IFERROR(VLOOKUP(Tabla1[[#This Row],[SISMED]],TblDisponibilidad[],22,FALSE), 0)</f>
        <v>0</v>
      </c>
      <c r="S876" s="15">
        <f>IFERROR(VLOOKUP(Tabla1[[#This Row],[SISMED]],TblDisponibilidad[],23,FALSE), 0)</f>
        <v>0</v>
      </c>
    </row>
    <row r="877" spans="1:19" x14ac:dyDescent="0.3">
      <c r="A877" s="15" t="s">
        <v>907</v>
      </c>
      <c r="B877" t="str">
        <f>IFERROR(VLOOKUP(Tabla1[[#This Row],[SISMED]],TblDisponibilidad[],2,FALSE), "")</f>
        <v/>
      </c>
      <c r="C877">
        <f>IFERROR(VLOOKUP(Tabla1[[#This Row],[SISMED]],TblDisponibilidad[],7,FALSE), 0)</f>
        <v>0</v>
      </c>
      <c r="D877">
        <f>IFERROR(VLOOKUP(Tabla1[[#This Row],[SISMED]],TblDisponibilidad[],8,FALSE), 0)</f>
        <v>0</v>
      </c>
      <c r="E877">
        <f>IFERROR(VLOOKUP(Tabla1[[#This Row],[SISMED]],TblDisponibilidad[],9,FALSE), 0)</f>
        <v>0</v>
      </c>
      <c r="F877">
        <f>IFERROR(VLOOKUP(Tabla1[[#This Row],[SISMED]],TblDisponibilidad[],10,FALSE), 0)</f>
        <v>0</v>
      </c>
      <c r="G877">
        <f>IFERROR(VLOOKUP(Tabla1[[#This Row],[SISMED]],TblDisponibilidad[],11,FALSE), 0)</f>
        <v>0</v>
      </c>
      <c r="H877">
        <f>IFERROR(VLOOKUP(Tabla1[[#This Row],[SISMED]],TblDisponibilidad[],12,FALSE), 0)</f>
        <v>0</v>
      </c>
      <c r="I877">
        <f>IFERROR(VLOOKUP(Tabla1[[#This Row],[SISMED]],TblDisponibilidad[],13,FALSE), 0)</f>
        <v>0</v>
      </c>
      <c r="J877">
        <f>IFERROR(VLOOKUP(Tabla1[[#This Row],[SISMED]],TblDisponibilidad[],14,FALSE), 0)</f>
        <v>0</v>
      </c>
      <c r="K877">
        <f>IFERROR(VLOOKUP(Tabla1[[#This Row],[SISMED]],TblDisponibilidad[],15,FALSE), 0)</f>
        <v>0</v>
      </c>
      <c r="L877">
        <f>IFERROR(VLOOKUP(Tabla1[[#This Row],[SISMED]],TblDisponibilidad[],16,FALSE), 0)</f>
        <v>0</v>
      </c>
      <c r="M877">
        <f>IFERROR(VLOOKUP(Tabla1[[#This Row],[SISMED]],TblDisponibilidad[],17,FALSE), 0)</f>
        <v>0</v>
      </c>
      <c r="N877">
        <f>IFERROR(VLOOKUP(Tabla1[[#This Row],[SISMED]],TblDisponibilidad[],18,FALSE), 0)</f>
        <v>0</v>
      </c>
      <c r="O877">
        <f>IFERROR(VLOOKUP(Tabla1[[#This Row],[SISMED]],TblDisponibilidad[],19,FALSE), 0)</f>
        <v>0</v>
      </c>
      <c r="P877">
        <f>IFERROR(VLOOKUP(Tabla1[[#This Row],[SISMED]],TblDisponibilidad[],20,FALSE), 0)</f>
        <v>0</v>
      </c>
      <c r="Q877">
        <f>IFERROR(VLOOKUP(Tabla1[[#This Row],[SISMED]],TblDisponibilidad[],21,FALSE), 0)</f>
        <v>0</v>
      </c>
      <c r="R877">
        <f>IFERROR(VLOOKUP(Tabla1[[#This Row],[SISMED]],TblDisponibilidad[],22,FALSE), 0)</f>
        <v>0</v>
      </c>
      <c r="S877" s="15">
        <f>IFERROR(VLOOKUP(Tabla1[[#This Row],[SISMED]],TblDisponibilidad[],23,FALSE), 0)</f>
        <v>0</v>
      </c>
    </row>
    <row r="878" spans="1:19" x14ac:dyDescent="0.3">
      <c r="A878" s="15" t="s">
        <v>908</v>
      </c>
      <c r="B878" t="str">
        <f>IFERROR(VLOOKUP(Tabla1[[#This Row],[SISMED]],TblDisponibilidad[],2,FALSE), "")</f>
        <v/>
      </c>
      <c r="C878">
        <f>IFERROR(VLOOKUP(Tabla1[[#This Row],[SISMED]],TblDisponibilidad[],7,FALSE), 0)</f>
        <v>0</v>
      </c>
      <c r="D878">
        <f>IFERROR(VLOOKUP(Tabla1[[#This Row],[SISMED]],TblDisponibilidad[],8,FALSE), 0)</f>
        <v>0</v>
      </c>
      <c r="E878">
        <f>IFERROR(VLOOKUP(Tabla1[[#This Row],[SISMED]],TblDisponibilidad[],9,FALSE), 0)</f>
        <v>0</v>
      </c>
      <c r="F878">
        <f>IFERROR(VLOOKUP(Tabla1[[#This Row],[SISMED]],TblDisponibilidad[],10,FALSE), 0)</f>
        <v>0</v>
      </c>
      <c r="G878">
        <f>IFERROR(VLOOKUP(Tabla1[[#This Row],[SISMED]],TblDisponibilidad[],11,FALSE), 0)</f>
        <v>0</v>
      </c>
      <c r="H878">
        <f>IFERROR(VLOOKUP(Tabla1[[#This Row],[SISMED]],TblDisponibilidad[],12,FALSE), 0)</f>
        <v>0</v>
      </c>
      <c r="I878">
        <f>IFERROR(VLOOKUP(Tabla1[[#This Row],[SISMED]],TblDisponibilidad[],13,FALSE), 0)</f>
        <v>0</v>
      </c>
      <c r="J878">
        <f>IFERROR(VLOOKUP(Tabla1[[#This Row],[SISMED]],TblDisponibilidad[],14,FALSE), 0)</f>
        <v>0</v>
      </c>
      <c r="K878">
        <f>IFERROR(VLOOKUP(Tabla1[[#This Row],[SISMED]],TblDisponibilidad[],15,FALSE), 0)</f>
        <v>0</v>
      </c>
      <c r="L878">
        <f>IFERROR(VLOOKUP(Tabla1[[#This Row],[SISMED]],TblDisponibilidad[],16,FALSE), 0)</f>
        <v>0</v>
      </c>
      <c r="M878">
        <f>IFERROR(VLOOKUP(Tabla1[[#This Row],[SISMED]],TblDisponibilidad[],17,FALSE), 0)</f>
        <v>0</v>
      </c>
      <c r="N878">
        <f>IFERROR(VLOOKUP(Tabla1[[#This Row],[SISMED]],TblDisponibilidad[],18,FALSE), 0)</f>
        <v>0</v>
      </c>
      <c r="O878">
        <f>IFERROR(VLOOKUP(Tabla1[[#This Row],[SISMED]],TblDisponibilidad[],19,FALSE), 0)</f>
        <v>0</v>
      </c>
      <c r="P878">
        <f>IFERROR(VLOOKUP(Tabla1[[#This Row],[SISMED]],TblDisponibilidad[],20,FALSE), 0)</f>
        <v>0</v>
      </c>
      <c r="Q878">
        <f>IFERROR(VLOOKUP(Tabla1[[#This Row],[SISMED]],TblDisponibilidad[],21,FALSE), 0)</f>
        <v>0</v>
      </c>
      <c r="R878">
        <f>IFERROR(VLOOKUP(Tabla1[[#This Row],[SISMED]],TblDisponibilidad[],22,FALSE), 0)</f>
        <v>0</v>
      </c>
      <c r="S878" s="15">
        <f>IFERROR(VLOOKUP(Tabla1[[#This Row],[SISMED]],TblDisponibilidad[],23,FALSE), 0)</f>
        <v>0</v>
      </c>
    </row>
    <row r="879" spans="1:19" x14ac:dyDescent="0.3">
      <c r="A879" s="15" t="s">
        <v>909</v>
      </c>
      <c r="B879" t="str">
        <f>IFERROR(VLOOKUP(Tabla1[[#This Row],[SISMED]],TblDisponibilidad[],2,FALSE), "")</f>
        <v/>
      </c>
      <c r="C879">
        <f>IFERROR(VLOOKUP(Tabla1[[#This Row],[SISMED]],TblDisponibilidad[],7,FALSE), 0)</f>
        <v>0</v>
      </c>
      <c r="D879">
        <f>IFERROR(VLOOKUP(Tabla1[[#This Row],[SISMED]],TblDisponibilidad[],8,FALSE), 0)</f>
        <v>0</v>
      </c>
      <c r="E879">
        <f>IFERROR(VLOOKUP(Tabla1[[#This Row],[SISMED]],TblDisponibilidad[],9,FALSE), 0)</f>
        <v>0</v>
      </c>
      <c r="F879">
        <f>IFERROR(VLOOKUP(Tabla1[[#This Row],[SISMED]],TblDisponibilidad[],10,FALSE), 0)</f>
        <v>0</v>
      </c>
      <c r="G879">
        <f>IFERROR(VLOOKUP(Tabla1[[#This Row],[SISMED]],TblDisponibilidad[],11,FALSE), 0)</f>
        <v>0</v>
      </c>
      <c r="H879">
        <f>IFERROR(VLOOKUP(Tabla1[[#This Row],[SISMED]],TblDisponibilidad[],12,FALSE), 0)</f>
        <v>0</v>
      </c>
      <c r="I879">
        <f>IFERROR(VLOOKUP(Tabla1[[#This Row],[SISMED]],TblDisponibilidad[],13,FALSE), 0)</f>
        <v>0</v>
      </c>
      <c r="J879">
        <f>IFERROR(VLOOKUP(Tabla1[[#This Row],[SISMED]],TblDisponibilidad[],14,FALSE), 0)</f>
        <v>0</v>
      </c>
      <c r="K879">
        <f>IFERROR(VLOOKUP(Tabla1[[#This Row],[SISMED]],TblDisponibilidad[],15,FALSE), 0)</f>
        <v>0</v>
      </c>
      <c r="L879">
        <f>IFERROR(VLOOKUP(Tabla1[[#This Row],[SISMED]],TblDisponibilidad[],16,FALSE), 0)</f>
        <v>0</v>
      </c>
      <c r="M879">
        <f>IFERROR(VLOOKUP(Tabla1[[#This Row],[SISMED]],TblDisponibilidad[],17,FALSE), 0)</f>
        <v>0</v>
      </c>
      <c r="N879">
        <f>IFERROR(VLOOKUP(Tabla1[[#This Row],[SISMED]],TblDisponibilidad[],18,FALSE), 0)</f>
        <v>0</v>
      </c>
      <c r="O879">
        <f>IFERROR(VLOOKUP(Tabla1[[#This Row],[SISMED]],TblDisponibilidad[],19,FALSE), 0)</f>
        <v>0</v>
      </c>
      <c r="P879">
        <f>IFERROR(VLOOKUP(Tabla1[[#This Row],[SISMED]],TblDisponibilidad[],20,FALSE), 0)</f>
        <v>0</v>
      </c>
      <c r="Q879">
        <f>IFERROR(VLOOKUP(Tabla1[[#This Row],[SISMED]],TblDisponibilidad[],21,FALSE), 0)</f>
        <v>0</v>
      </c>
      <c r="R879">
        <f>IFERROR(VLOOKUP(Tabla1[[#This Row],[SISMED]],TblDisponibilidad[],22,FALSE), 0)</f>
        <v>0</v>
      </c>
      <c r="S879" s="15">
        <f>IFERROR(VLOOKUP(Tabla1[[#This Row],[SISMED]],TblDisponibilidad[],23,FALSE), 0)</f>
        <v>0</v>
      </c>
    </row>
    <row r="880" spans="1:19" x14ac:dyDescent="0.3">
      <c r="A880" s="15" t="s">
        <v>910</v>
      </c>
      <c r="B880" t="str">
        <f>IFERROR(VLOOKUP(Tabla1[[#This Row],[SISMED]],TblDisponibilidad[],2,FALSE), "")</f>
        <v/>
      </c>
      <c r="C880">
        <f>IFERROR(VLOOKUP(Tabla1[[#This Row],[SISMED]],TblDisponibilidad[],7,FALSE), 0)</f>
        <v>0</v>
      </c>
      <c r="D880">
        <f>IFERROR(VLOOKUP(Tabla1[[#This Row],[SISMED]],TblDisponibilidad[],8,FALSE), 0)</f>
        <v>0</v>
      </c>
      <c r="E880">
        <f>IFERROR(VLOOKUP(Tabla1[[#This Row],[SISMED]],TblDisponibilidad[],9,FALSE), 0)</f>
        <v>0</v>
      </c>
      <c r="F880">
        <f>IFERROR(VLOOKUP(Tabla1[[#This Row],[SISMED]],TblDisponibilidad[],10,FALSE), 0)</f>
        <v>0</v>
      </c>
      <c r="G880">
        <f>IFERROR(VLOOKUP(Tabla1[[#This Row],[SISMED]],TblDisponibilidad[],11,FALSE), 0)</f>
        <v>0</v>
      </c>
      <c r="H880">
        <f>IFERROR(VLOOKUP(Tabla1[[#This Row],[SISMED]],TblDisponibilidad[],12,FALSE), 0)</f>
        <v>0</v>
      </c>
      <c r="I880">
        <f>IFERROR(VLOOKUP(Tabla1[[#This Row],[SISMED]],TblDisponibilidad[],13,FALSE), 0)</f>
        <v>0</v>
      </c>
      <c r="J880">
        <f>IFERROR(VLOOKUP(Tabla1[[#This Row],[SISMED]],TblDisponibilidad[],14,FALSE), 0)</f>
        <v>0</v>
      </c>
      <c r="K880">
        <f>IFERROR(VLOOKUP(Tabla1[[#This Row],[SISMED]],TblDisponibilidad[],15,FALSE), 0)</f>
        <v>0</v>
      </c>
      <c r="L880">
        <f>IFERROR(VLOOKUP(Tabla1[[#This Row],[SISMED]],TblDisponibilidad[],16,FALSE), 0)</f>
        <v>0</v>
      </c>
      <c r="M880">
        <f>IFERROR(VLOOKUP(Tabla1[[#This Row],[SISMED]],TblDisponibilidad[],17,FALSE), 0)</f>
        <v>0</v>
      </c>
      <c r="N880">
        <f>IFERROR(VLOOKUP(Tabla1[[#This Row],[SISMED]],TblDisponibilidad[],18,FALSE), 0)</f>
        <v>0</v>
      </c>
      <c r="O880">
        <f>IFERROR(VLOOKUP(Tabla1[[#This Row],[SISMED]],TblDisponibilidad[],19,FALSE), 0)</f>
        <v>0</v>
      </c>
      <c r="P880">
        <f>IFERROR(VLOOKUP(Tabla1[[#This Row],[SISMED]],TblDisponibilidad[],20,FALSE), 0)</f>
        <v>0</v>
      </c>
      <c r="Q880">
        <f>IFERROR(VLOOKUP(Tabla1[[#This Row],[SISMED]],TblDisponibilidad[],21,FALSE), 0)</f>
        <v>0</v>
      </c>
      <c r="R880">
        <f>IFERROR(VLOOKUP(Tabla1[[#This Row],[SISMED]],TblDisponibilidad[],22,FALSE), 0)</f>
        <v>0</v>
      </c>
      <c r="S880" s="15">
        <f>IFERROR(VLOOKUP(Tabla1[[#This Row],[SISMED]],TblDisponibilidad[],23,FALSE), 0)</f>
        <v>0</v>
      </c>
    </row>
    <row r="881" spans="1:19" x14ac:dyDescent="0.3">
      <c r="A881" s="15" t="s">
        <v>911</v>
      </c>
      <c r="B881" t="str">
        <f>IFERROR(VLOOKUP(Tabla1[[#This Row],[SISMED]],TblDisponibilidad[],2,FALSE), "")</f>
        <v/>
      </c>
      <c r="C881">
        <f>IFERROR(VLOOKUP(Tabla1[[#This Row],[SISMED]],TblDisponibilidad[],7,FALSE), 0)</f>
        <v>0</v>
      </c>
      <c r="D881">
        <f>IFERROR(VLOOKUP(Tabla1[[#This Row],[SISMED]],TblDisponibilidad[],8,FALSE), 0)</f>
        <v>0</v>
      </c>
      <c r="E881">
        <f>IFERROR(VLOOKUP(Tabla1[[#This Row],[SISMED]],TblDisponibilidad[],9,FALSE), 0)</f>
        <v>0</v>
      </c>
      <c r="F881">
        <f>IFERROR(VLOOKUP(Tabla1[[#This Row],[SISMED]],TblDisponibilidad[],10,FALSE), 0)</f>
        <v>0</v>
      </c>
      <c r="G881">
        <f>IFERROR(VLOOKUP(Tabla1[[#This Row],[SISMED]],TblDisponibilidad[],11,FALSE), 0)</f>
        <v>0</v>
      </c>
      <c r="H881">
        <f>IFERROR(VLOOKUP(Tabla1[[#This Row],[SISMED]],TblDisponibilidad[],12,FALSE), 0)</f>
        <v>0</v>
      </c>
      <c r="I881">
        <f>IFERROR(VLOOKUP(Tabla1[[#This Row],[SISMED]],TblDisponibilidad[],13,FALSE), 0)</f>
        <v>0</v>
      </c>
      <c r="J881">
        <f>IFERROR(VLOOKUP(Tabla1[[#This Row],[SISMED]],TblDisponibilidad[],14,FALSE), 0)</f>
        <v>0</v>
      </c>
      <c r="K881">
        <f>IFERROR(VLOOKUP(Tabla1[[#This Row],[SISMED]],TblDisponibilidad[],15,FALSE), 0)</f>
        <v>0</v>
      </c>
      <c r="L881">
        <f>IFERROR(VLOOKUP(Tabla1[[#This Row],[SISMED]],TblDisponibilidad[],16,FALSE), 0)</f>
        <v>0</v>
      </c>
      <c r="M881">
        <f>IFERROR(VLOOKUP(Tabla1[[#This Row],[SISMED]],TblDisponibilidad[],17,FALSE), 0)</f>
        <v>0</v>
      </c>
      <c r="N881">
        <f>IFERROR(VLOOKUP(Tabla1[[#This Row],[SISMED]],TblDisponibilidad[],18,FALSE), 0)</f>
        <v>0</v>
      </c>
      <c r="O881">
        <f>IFERROR(VLOOKUP(Tabla1[[#This Row],[SISMED]],TblDisponibilidad[],19,FALSE), 0)</f>
        <v>0</v>
      </c>
      <c r="P881">
        <f>IFERROR(VLOOKUP(Tabla1[[#This Row],[SISMED]],TblDisponibilidad[],20,FALSE), 0)</f>
        <v>0</v>
      </c>
      <c r="Q881">
        <f>IFERROR(VLOOKUP(Tabla1[[#This Row],[SISMED]],TblDisponibilidad[],21,FALSE), 0)</f>
        <v>0</v>
      </c>
      <c r="R881">
        <f>IFERROR(VLOOKUP(Tabla1[[#This Row],[SISMED]],TblDisponibilidad[],22,FALSE), 0)</f>
        <v>0</v>
      </c>
      <c r="S881" s="15">
        <f>IFERROR(VLOOKUP(Tabla1[[#This Row],[SISMED]],TblDisponibilidad[],23,FALSE), 0)</f>
        <v>0</v>
      </c>
    </row>
    <row r="882" spans="1:19" x14ac:dyDescent="0.3">
      <c r="A882" s="15" t="s">
        <v>912</v>
      </c>
      <c r="B882" t="str">
        <f>IFERROR(VLOOKUP(Tabla1[[#This Row],[SISMED]],TblDisponibilidad[],2,FALSE), "")</f>
        <v/>
      </c>
      <c r="C882">
        <f>IFERROR(VLOOKUP(Tabla1[[#This Row],[SISMED]],TblDisponibilidad[],7,FALSE), 0)</f>
        <v>0</v>
      </c>
      <c r="D882">
        <f>IFERROR(VLOOKUP(Tabla1[[#This Row],[SISMED]],TblDisponibilidad[],8,FALSE), 0)</f>
        <v>0</v>
      </c>
      <c r="E882">
        <f>IFERROR(VLOOKUP(Tabla1[[#This Row],[SISMED]],TblDisponibilidad[],9,FALSE), 0)</f>
        <v>0</v>
      </c>
      <c r="F882">
        <f>IFERROR(VLOOKUP(Tabla1[[#This Row],[SISMED]],TblDisponibilidad[],10,FALSE), 0)</f>
        <v>0</v>
      </c>
      <c r="G882">
        <f>IFERROR(VLOOKUP(Tabla1[[#This Row],[SISMED]],TblDisponibilidad[],11,FALSE), 0)</f>
        <v>0</v>
      </c>
      <c r="H882">
        <f>IFERROR(VLOOKUP(Tabla1[[#This Row],[SISMED]],TblDisponibilidad[],12,FALSE), 0)</f>
        <v>0</v>
      </c>
      <c r="I882">
        <f>IFERROR(VLOOKUP(Tabla1[[#This Row],[SISMED]],TblDisponibilidad[],13,FALSE), 0)</f>
        <v>0</v>
      </c>
      <c r="J882">
        <f>IFERROR(VLOOKUP(Tabla1[[#This Row],[SISMED]],TblDisponibilidad[],14,FALSE), 0)</f>
        <v>0</v>
      </c>
      <c r="K882">
        <f>IFERROR(VLOOKUP(Tabla1[[#This Row],[SISMED]],TblDisponibilidad[],15,FALSE), 0)</f>
        <v>0</v>
      </c>
      <c r="L882">
        <f>IFERROR(VLOOKUP(Tabla1[[#This Row],[SISMED]],TblDisponibilidad[],16,FALSE), 0)</f>
        <v>0</v>
      </c>
      <c r="M882">
        <f>IFERROR(VLOOKUP(Tabla1[[#This Row],[SISMED]],TblDisponibilidad[],17,FALSE), 0)</f>
        <v>0</v>
      </c>
      <c r="N882">
        <f>IFERROR(VLOOKUP(Tabla1[[#This Row],[SISMED]],TblDisponibilidad[],18,FALSE), 0)</f>
        <v>0</v>
      </c>
      <c r="O882">
        <f>IFERROR(VLOOKUP(Tabla1[[#This Row],[SISMED]],TblDisponibilidad[],19,FALSE), 0)</f>
        <v>0</v>
      </c>
      <c r="P882">
        <f>IFERROR(VLOOKUP(Tabla1[[#This Row],[SISMED]],TblDisponibilidad[],20,FALSE), 0)</f>
        <v>0</v>
      </c>
      <c r="Q882">
        <f>IFERROR(VLOOKUP(Tabla1[[#This Row],[SISMED]],TblDisponibilidad[],21,FALSE), 0)</f>
        <v>0</v>
      </c>
      <c r="R882">
        <f>IFERROR(VLOOKUP(Tabla1[[#This Row],[SISMED]],TblDisponibilidad[],22,FALSE), 0)</f>
        <v>0</v>
      </c>
      <c r="S882" s="15">
        <f>IFERROR(VLOOKUP(Tabla1[[#This Row],[SISMED]],TblDisponibilidad[],23,FALSE), 0)</f>
        <v>0</v>
      </c>
    </row>
    <row r="883" spans="1:19" x14ac:dyDescent="0.3">
      <c r="A883" s="15" t="s">
        <v>913</v>
      </c>
      <c r="B883" t="str">
        <f>IFERROR(VLOOKUP(Tabla1[[#This Row],[SISMED]],TblDisponibilidad[],2,FALSE), "")</f>
        <v/>
      </c>
      <c r="C883">
        <f>IFERROR(VLOOKUP(Tabla1[[#This Row],[SISMED]],TblDisponibilidad[],7,FALSE), 0)</f>
        <v>0</v>
      </c>
      <c r="D883">
        <f>IFERROR(VLOOKUP(Tabla1[[#This Row],[SISMED]],TblDisponibilidad[],8,FALSE), 0)</f>
        <v>0</v>
      </c>
      <c r="E883">
        <f>IFERROR(VLOOKUP(Tabla1[[#This Row],[SISMED]],TblDisponibilidad[],9,FALSE), 0)</f>
        <v>0</v>
      </c>
      <c r="F883">
        <f>IFERROR(VLOOKUP(Tabla1[[#This Row],[SISMED]],TblDisponibilidad[],10,FALSE), 0)</f>
        <v>0</v>
      </c>
      <c r="G883">
        <f>IFERROR(VLOOKUP(Tabla1[[#This Row],[SISMED]],TblDisponibilidad[],11,FALSE), 0)</f>
        <v>0</v>
      </c>
      <c r="H883">
        <f>IFERROR(VLOOKUP(Tabla1[[#This Row],[SISMED]],TblDisponibilidad[],12,FALSE), 0)</f>
        <v>0</v>
      </c>
      <c r="I883">
        <f>IFERROR(VLOOKUP(Tabla1[[#This Row],[SISMED]],TblDisponibilidad[],13,FALSE), 0)</f>
        <v>0</v>
      </c>
      <c r="J883">
        <f>IFERROR(VLOOKUP(Tabla1[[#This Row],[SISMED]],TblDisponibilidad[],14,FALSE), 0)</f>
        <v>0</v>
      </c>
      <c r="K883">
        <f>IFERROR(VLOOKUP(Tabla1[[#This Row],[SISMED]],TblDisponibilidad[],15,FALSE), 0)</f>
        <v>0</v>
      </c>
      <c r="L883">
        <f>IFERROR(VLOOKUP(Tabla1[[#This Row],[SISMED]],TblDisponibilidad[],16,FALSE), 0)</f>
        <v>0</v>
      </c>
      <c r="M883">
        <f>IFERROR(VLOOKUP(Tabla1[[#This Row],[SISMED]],TblDisponibilidad[],17,FALSE), 0)</f>
        <v>0</v>
      </c>
      <c r="N883">
        <f>IFERROR(VLOOKUP(Tabla1[[#This Row],[SISMED]],TblDisponibilidad[],18,FALSE), 0)</f>
        <v>0</v>
      </c>
      <c r="O883">
        <f>IFERROR(VLOOKUP(Tabla1[[#This Row],[SISMED]],TblDisponibilidad[],19,FALSE), 0)</f>
        <v>0</v>
      </c>
      <c r="P883">
        <f>IFERROR(VLOOKUP(Tabla1[[#This Row],[SISMED]],TblDisponibilidad[],20,FALSE), 0)</f>
        <v>0</v>
      </c>
      <c r="Q883">
        <f>IFERROR(VLOOKUP(Tabla1[[#This Row],[SISMED]],TblDisponibilidad[],21,FALSE), 0)</f>
        <v>0</v>
      </c>
      <c r="R883">
        <f>IFERROR(VLOOKUP(Tabla1[[#This Row],[SISMED]],TblDisponibilidad[],22,FALSE), 0)</f>
        <v>0</v>
      </c>
      <c r="S883" s="15">
        <f>IFERROR(VLOOKUP(Tabla1[[#This Row],[SISMED]],TblDisponibilidad[],23,FALSE), 0)</f>
        <v>0</v>
      </c>
    </row>
    <row r="884" spans="1:19" x14ac:dyDescent="0.3">
      <c r="A884" s="15" t="s">
        <v>914</v>
      </c>
      <c r="B884" t="str">
        <f>IFERROR(VLOOKUP(Tabla1[[#This Row],[SISMED]],TblDisponibilidad[],2,FALSE), "")</f>
        <v/>
      </c>
      <c r="C884">
        <f>IFERROR(VLOOKUP(Tabla1[[#This Row],[SISMED]],TblDisponibilidad[],7,FALSE), 0)</f>
        <v>0</v>
      </c>
      <c r="D884">
        <f>IFERROR(VLOOKUP(Tabla1[[#This Row],[SISMED]],TblDisponibilidad[],8,FALSE), 0)</f>
        <v>0</v>
      </c>
      <c r="E884">
        <f>IFERROR(VLOOKUP(Tabla1[[#This Row],[SISMED]],TblDisponibilidad[],9,FALSE), 0)</f>
        <v>0</v>
      </c>
      <c r="F884">
        <f>IFERROR(VLOOKUP(Tabla1[[#This Row],[SISMED]],TblDisponibilidad[],10,FALSE), 0)</f>
        <v>0</v>
      </c>
      <c r="G884">
        <f>IFERROR(VLOOKUP(Tabla1[[#This Row],[SISMED]],TblDisponibilidad[],11,FALSE), 0)</f>
        <v>0</v>
      </c>
      <c r="H884">
        <f>IFERROR(VLOOKUP(Tabla1[[#This Row],[SISMED]],TblDisponibilidad[],12,FALSE), 0)</f>
        <v>0</v>
      </c>
      <c r="I884">
        <f>IFERROR(VLOOKUP(Tabla1[[#This Row],[SISMED]],TblDisponibilidad[],13,FALSE), 0)</f>
        <v>0</v>
      </c>
      <c r="J884">
        <f>IFERROR(VLOOKUP(Tabla1[[#This Row],[SISMED]],TblDisponibilidad[],14,FALSE), 0)</f>
        <v>0</v>
      </c>
      <c r="K884">
        <f>IFERROR(VLOOKUP(Tabla1[[#This Row],[SISMED]],TblDisponibilidad[],15,FALSE), 0)</f>
        <v>0</v>
      </c>
      <c r="L884">
        <f>IFERROR(VLOOKUP(Tabla1[[#This Row],[SISMED]],TblDisponibilidad[],16,FALSE), 0)</f>
        <v>0</v>
      </c>
      <c r="M884">
        <f>IFERROR(VLOOKUP(Tabla1[[#This Row],[SISMED]],TblDisponibilidad[],17,FALSE), 0)</f>
        <v>0</v>
      </c>
      <c r="N884">
        <f>IFERROR(VLOOKUP(Tabla1[[#This Row],[SISMED]],TblDisponibilidad[],18,FALSE), 0)</f>
        <v>0</v>
      </c>
      <c r="O884">
        <f>IFERROR(VLOOKUP(Tabla1[[#This Row],[SISMED]],TblDisponibilidad[],19,FALSE), 0)</f>
        <v>0</v>
      </c>
      <c r="P884">
        <f>IFERROR(VLOOKUP(Tabla1[[#This Row],[SISMED]],TblDisponibilidad[],20,FALSE), 0)</f>
        <v>0</v>
      </c>
      <c r="Q884">
        <f>IFERROR(VLOOKUP(Tabla1[[#This Row],[SISMED]],TblDisponibilidad[],21,FALSE), 0)</f>
        <v>0</v>
      </c>
      <c r="R884">
        <f>IFERROR(VLOOKUP(Tabla1[[#This Row],[SISMED]],TblDisponibilidad[],22,FALSE), 0)</f>
        <v>0</v>
      </c>
      <c r="S884" s="15">
        <f>IFERROR(VLOOKUP(Tabla1[[#This Row],[SISMED]],TblDisponibilidad[],23,FALSE), 0)</f>
        <v>0</v>
      </c>
    </row>
    <row r="885" spans="1:19" x14ac:dyDescent="0.3">
      <c r="A885" s="15" t="s">
        <v>915</v>
      </c>
      <c r="B885" t="str">
        <f>IFERROR(VLOOKUP(Tabla1[[#This Row],[SISMED]],TblDisponibilidad[],2,FALSE), "")</f>
        <v/>
      </c>
      <c r="C885">
        <f>IFERROR(VLOOKUP(Tabla1[[#This Row],[SISMED]],TblDisponibilidad[],7,FALSE), 0)</f>
        <v>0</v>
      </c>
      <c r="D885">
        <f>IFERROR(VLOOKUP(Tabla1[[#This Row],[SISMED]],TblDisponibilidad[],8,FALSE), 0)</f>
        <v>0</v>
      </c>
      <c r="E885">
        <f>IFERROR(VLOOKUP(Tabla1[[#This Row],[SISMED]],TblDisponibilidad[],9,FALSE), 0)</f>
        <v>0</v>
      </c>
      <c r="F885">
        <f>IFERROR(VLOOKUP(Tabla1[[#This Row],[SISMED]],TblDisponibilidad[],10,FALSE), 0)</f>
        <v>0</v>
      </c>
      <c r="G885">
        <f>IFERROR(VLOOKUP(Tabla1[[#This Row],[SISMED]],TblDisponibilidad[],11,FALSE), 0)</f>
        <v>0</v>
      </c>
      <c r="H885">
        <f>IFERROR(VLOOKUP(Tabla1[[#This Row],[SISMED]],TblDisponibilidad[],12,FALSE), 0)</f>
        <v>0</v>
      </c>
      <c r="I885">
        <f>IFERROR(VLOOKUP(Tabla1[[#This Row],[SISMED]],TblDisponibilidad[],13,FALSE), 0)</f>
        <v>0</v>
      </c>
      <c r="J885">
        <f>IFERROR(VLOOKUP(Tabla1[[#This Row],[SISMED]],TblDisponibilidad[],14,FALSE), 0)</f>
        <v>0</v>
      </c>
      <c r="K885">
        <f>IFERROR(VLOOKUP(Tabla1[[#This Row],[SISMED]],TblDisponibilidad[],15,FALSE), 0)</f>
        <v>0</v>
      </c>
      <c r="L885">
        <f>IFERROR(VLOOKUP(Tabla1[[#This Row],[SISMED]],TblDisponibilidad[],16,FALSE), 0)</f>
        <v>0</v>
      </c>
      <c r="M885">
        <f>IFERROR(VLOOKUP(Tabla1[[#This Row],[SISMED]],TblDisponibilidad[],17,FALSE), 0)</f>
        <v>0</v>
      </c>
      <c r="N885">
        <f>IFERROR(VLOOKUP(Tabla1[[#This Row],[SISMED]],TblDisponibilidad[],18,FALSE), 0)</f>
        <v>0</v>
      </c>
      <c r="O885">
        <f>IFERROR(VLOOKUP(Tabla1[[#This Row],[SISMED]],TblDisponibilidad[],19,FALSE), 0)</f>
        <v>0</v>
      </c>
      <c r="P885">
        <f>IFERROR(VLOOKUP(Tabla1[[#This Row],[SISMED]],TblDisponibilidad[],20,FALSE), 0)</f>
        <v>0</v>
      </c>
      <c r="Q885">
        <f>IFERROR(VLOOKUP(Tabla1[[#This Row],[SISMED]],TblDisponibilidad[],21,FALSE), 0)</f>
        <v>0</v>
      </c>
      <c r="R885">
        <f>IFERROR(VLOOKUP(Tabla1[[#This Row],[SISMED]],TblDisponibilidad[],22,FALSE), 0)</f>
        <v>0</v>
      </c>
      <c r="S885" s="15">
        <f>IFERROR(VLOOKUP(Tabla1[[#This Row],[SISMED]],TblDisponibilidad[],23,FALSE), 0)</f>
        <v>0</v>
      </c>
    </row>
    <row r="886" spans="1:19" x14ac:dyDescent="0.3">
      <c r="A886" s="15" t="s">
        <v>916</v>
      </c>
      <c r="B886" t="str">
        <f>IFERROR(VLOOKUP(Tabla1[[#This Row],[SISMED]],TblDisponibilidad[],2,FALSE), "")</f>
        <v/>
      </c>
      <c r="C886">
        <f>IFERROR(VLOOKUP(Tabla1[[#This Row],[SISMED]],TblDisponibilidad[],7,FALSE), 0)</f>
        <v>0</v>
      </c>
      <c r="D886">
        <f>IFERROR(VLOOKUP(Tabla1[[#This Row],[SISMED]],TblDisponibilidad[],8,FALSE), 0)</f>
        <v>0</v>
      </c>
      <c r="E886">
        <f>IFERROR(VLOOKUP(Tabla1[[#This Row],[SISMED]],TblDisponibilidad[],9,FALSE), 0)</f>
        <v>0</v>
      </c>
      <c r="F886">
        <f>IFERROR(VLOOKUP(Tabla1[[#This Row],[SISMED]],TblDisponibilidad[],10,FALSE), 0)</f>
        <v>0</v>
      </c>
      <c r="G886">
        <f>IFERROR(VLOOKUP(Tabla1[[#This Row],[SISMED]],TblDisponibilidad[],11,FALSE), 0)</f>
        <v>0</v>
      </c>
      <c r="H886">
        <f>IFERROR(VLOOKUP(Tabla1[[#This Row],[SISMED]],TblDisponibilidad[],12,FALSE), 0)</f>
        <v>0</v>
      </c>
      <c r="I886">
        <f>IFERROR(VLOOKUP(Tabla1[[#This Row],[SISMED]],TblDisponibilidad[],13,FALSE), 0)</f>
        <v>0</v>
      </c>
      <c r="J886">
        <f>IFERROR(VLOOKUP(Tabla1[[#This Row],[SISMED]],TblDisponibilidad[],14,FALSE), 0)</f>
        <v>0</v>
      </c>
      <c r="K886">
        <f>IFERROR(VLOOKUP(Tabla1[[#This Row],[SISMED]],TblDisponibilidad[],15,FALSE), 0)</f>
        <v>0</v>
      </c>
      <c r="L886">
        <f>IFERROR(VLOOKUP(Tabla1[[#This Row],[SISMED]],TblDisponibilidad[],16,FALSE), 0)</f>
        <v>0</v>
      </c>
      <c r="M886">
        <f>IFERROR(VLOOKUP(Tabla1[[#This Row],[SISMED]],TblDisponibilidad[],17,FALSE), 0)</f>
        <v>0</v>
      </c>
      <c r="N886">
        <f>IFERROR(VLOOKUP(Tabla1[[#This Row],[SISMED]],TblDisponibilidad[],18,FALSE), 0)</f>
        <v>0</v>
      </c>
      <c r="O886">
        <f>IFERROR(VLOOKUP(Tabla1[[#This Row],[SISMED]],TblDisponibilidad[],19,FALSE), 0)</f>
        <v>0</v>
      </c>
      <c r="P886">
        <f>IFERROR(VLOOKUP(Tabla1[[#This Row],[SISMED]],TblDisponibilidad[],20,FALSE), 0)</f>
        <v>0</v>
      </c>
      <c r="Q886">
        <f>IFERROR(VLOOKUP(Tabla1[[#This Row],[SISMED]],TblDisponibilidad[],21,FALSE), 0)</f>
        <v>0</v>
      </c>
      <c r="R886">
        <f>IFERROR(VLOOKUP(Tabla1[[#This Row],[SISMED]],TblDisponibilidad[],22,FALSE), 0)</f>
        <v>0</v>
      </c>
      <c r="S886" s="15">
        <f>IFERROR(VLOOKUP(Tabla1[[#This Row],[SISMED]],TblDisponibilidad[],23,FALSE), 0)</f>
        <v>0</v>
      </c>
    </row>
    <row r="887" spans="1:19" x14ac:dyDescent="0.3">
      <c r="A887" s="15" t="s">
        <v>917</v>
      </c>
      <c r="B887" t="str">
        <f>IFERROR(VLOOKUP(Tabla1[[#This Row],[SISMED]],TblDisponibilidad[],2,FALSE), "")</f>
        <v/>
      </c>
      <c r="C887">
        <f>IFERROR(VLOOKUP(Tabla1[[#This Row],[SISMED]],TblDisponibilidad[],7,FALSE), 0)</f>
        <v>0</v>
      </c>
      <c r="D887">
        <f>IFERROR(VLOOKUP(Tabla1[[#This Row],[SISMED]],TblDisponibilidad[],8,FALSE), 0)</f>
        <v>0</v>
      </c>
      <c r="E887">
        <f>IFERROR(VLOOKUP(Tabla1[[#This Row],[SISMED]],TblDisponibilidad[],9,FALSE), 0)</f>
        <v>0</v>
      </c>
      <c r="F887">
        <f>IFERROR(VLOOKUP(Tabla1[[#This Row],[SISMED]],TblDisponibilidad[],10,FALSE), 0)</f>
        <v>0</v>
      </c>
      <c r="G887">
        <f>IFERROR(VLOOKUP(Tabla1[[#This Row],[SISMED]],TblDisponibilidad[],11,FALSE), 0)</f>
        <v>0</v>
      </c>
      <c r="H887">
        <f>IFERROR(VLOOKUP(Tabla1[[#This Row],[SISMED]],TblDisponibilidad[],12,FALSE), 0)</f>
        <v>0</v>
      </c>
      <c r="I887">
        <f>IFERROR(VLOOKUP(Tabla1[[#This Row],[SISMED]],TblDisponibilidad[],13,FALSE), 0)</f>
        <v>0</v>
      </c>
      <c r="J887">
        <f>IFERROR(VLOOKUP(Tabla1[[#This Row],[SISMED]],TblDisponibilidad[],14,FALSE), 0)</f>
        <v>0</v>
      </c>
      <c r="K887">
        <f>IFERROR(VLOOKUP(Tabla1[[#This Row],[SISMED]],TblDisponibilidad[],15,FALSE), 0)</f>
        <v>0</v>
      </c>
      <c r="L887">
        <f>IFERROR(VLOOKUP(Tabla1[[#This Row],[SISMED]],TblDisponibilidad[],16,FALSE), 0)</f>
        <v>0</v>
      </c>
      <c r="M887">
        <f>IFERROR(VLOOKUP(Tabla1[[#This Row],[SISMED]],TblDisponibilidad[],17,FALSE), 0)</f>
        <v>0</v>
      </c>
      <c r="N887">
        <f>IFERROR(VLOOKUP(Tabla1[[#This Row],[SISMED]],TblDisponibilidad[],18,FALSE), 0)</f>
        <v>0</v>
      </c>
      <c r="O887">
        <f>IFERROR(VLOOKUP(Tabla1[[#This Row],[SISMED]],TblDisponibilidad[],19,FALSE), 0)</f>
        <v>0</v>
      </c>
      <c r="P887">
        <f>IFERROR(VLOOKUP(Tabla1[[#This Row],[SISMED]],TblDisponibilidad[],20,FALSE), 0)</f>
        <v>0</v>
      </c>
      <c r="Q887">
        <f>IFERROR(VLOOKUP(Tabla1[[#This Row],[SISMED]],TblDisponibilidad[],21,FALSE), 0)</f>
        <v>0</v>
      </c>
      <c r="R887">
        <f>IFERROR(VLOOKUP(Tabla1[[#This Row],[SISMED]],TblDisponibilidad[],22,FALSE), 0)</f>
        <v>0</v>
      </c>
      <c r="S887" s="15">
        <f>IFERROR(VLOOKUP(Tabla1[[#This Row],[SISMED]],TblDisponibilidad[],23,FALSE), 0)</f>
        <v>0</v>
      </c>
    </row>
    <row r="888" spans="1:19" x14ac:dyDescent="0.3">
      <c r="A888" s="15" t="s">
        <v>918</v>
      </c>
      <c r="B888" t="str">
        <f>IFERROR(VLOOKUP(Tabla1[[#This Row],[SISMED]],TblDisponibilidad[],2,FALSE), "")</f>
        <v/>
      </c>
      <c r="C888">
        <f>IFERROR(VLOOKUP(Tabla1[[#This Row],[SISMED]],TblDisponibilidad[],7,FALSE), 0)</f>
        <v>0</v>
      </c>
      <c r="D888">
        <f>IFERROR(VLOOKUP(Tabla1[[#This Row],[SISMED]],TblDisponibilidad[],8,FALSE), 0)</f>
        <v>0</v>
      </c>
      <c r="E888">
        <f>IFERROR(VLOOKUP(Tabla1[[#This Row],[SISMED]],TblDisponibilidad[],9,FALSE), 0)</f>
        <v>0</v>
      </c>
      <c r="F888">
        <f>IFERROR(VLOOKUP(Tabla1[[#This Row],[SISMED]],TblDisponibilidad[],10,FALSE), 0)</f>
        <v>0</v>
      </c>
      <c r="G888">
        <f>IFERROR(VLOOKUP(Tabla1[[#This Row],[SISMED]],TblDisponibilidad[],11,FALSE), 0)</f>
        <v>0</v>
      </c>
      <c r="H888">
        <f>IFERROR(VLOOKUP(Tabla1[[#This Row],[SISMED]],TblDisponibilidad[],12,FALSE), 0)</f>
        <v>0</v>
      </c>
      <c r="I888">
        <f>IFERROR(VLOOKUP(Tabla1[[#This Row],[SISMED]],TblDisponibilidad[],13,FALSE), 0)</f>
        <v>0</v>
      </c>
      <c r="J888">
        <f>IFERROR(VLOOKUP(Tabla1[[#This Row],[SISMED]],TblDisponibilidad[],14,FALSE), 0)</f>
        <v>0</v>
      </c>
      <c r="K888">
        <f>IFERROR(VLOOKUP(Tabla1[[#This Row],[SISMED]],TblDisponibilidad[],15,FALSE), 0)</f>
        <v>0</v>
      </c>
      <c r="L888">
        <f>IFERROR(VLOOKUP(Tabla1[[#This Row],[SISMED]],TblDisponibilidad[],16,FALSE), 0)</f>
        <v>0</v>
      </c>
      <c r="M888">
        <f>IFERROR(VLOOKUP(Tabla1[[#This Row],[SISMED]],TblDisponibilidad[],17,FALSE), 0)</f>
        <v>0</v>
      </c>
      <c r="N888">
        <f>IFERROR(VLOOKUP(Tabla1[[#This Row],[SISMED]],TblDisponibilidad[],18,FALSE), 0)</f>
        <v>0</v>
      </c>
      <c r="O888">
        <f>IFERROR(VLOOKUP(Tabla1[[#This Row],[SISMED]],TblDisponibilidad[],19,FALSE), 0)</f>
        <v>0</v>
      </c>
      <c r="P888">
        <f>IFERROR(VLOOKUP(Tabla1[[#This Row],[SISMED]],TblDisponibilidad[],20,FALSE), 0)</f>
        <v>0</v>
      </c>
      <c r="Q888">
        <f>IFERROR(VLOOKUP(Tabla1[[#This Row],[SISMED]],TblDisponibilidad[],21,FALSE), 0)</f>
        <v>0</v>
      </c>
      <c r="R888">
        <f>IFERROR(VLOOKUP(Tabla1[[#This Row],[SISMED]],TblDisponibilidad[],22,FALSE), 0)</f>
        <v>0</v>
      </c>
      <c r="S888" s="15">
        <f>IFERROR(VLOOKUP(Tabla1[[#This Row],[SISMED]],TblDisponibilidad[],23,FALSE), 0)</f>
        <v>0</v>
      </c>
    </row>
    <row r="889" spans="1:19" x14ac:dyDescent="0.3">
      <c r="A889" s="15" t="s">
        <v>919</v>
      </c>
      <c r="B889" t="str">
        <f>IFERROR(VLOOKUP(Tabla1[[#This Row],[SISMED]],TblDisponibilidad[],2,FALSE), "")</f>
        <v/>
      </c>
      <c r="C889">
        <f>IFERROR(VLOOKUP(Tabla1[[#This Row],[SISMED]],TblDisponibilidad[],7,FALSE), 0)</f>
        <v>0</v>
      </c>
      <c r="D889">
        <f>IFERROR(VLOOKUP(Tabla1[[#This Row],[SISMED]],TblDisponibilidad[],8,FALSE), 0)</f>
        <v>0</v>
      </c>
      <c r="E889">
        <f>IFERROR(VLOOKUP(Tabla1[[#This Row],[SISMED]],TblDisponibilidad[],9,FALSE), 0)</f>
        <v>0</v>
      </c>
      <c r="F889">
        <f>IFERROR(VLOOKUP(Tabla1[[#This Row],[SISMED]],TblDisponibilidad[],10,FALSE), 0)</f>
        <v>0</v>
      </c>
      <c r="G889">
        <f>IFERROR(VLOOKUP(Tabla1[[#This Row],[SISMED]],TblDisponibilidad[],11,FALSE), 0)</f>
        <v>0</v>
      </c>
      <c r="H889">
        <f>IFERROR(VLOOKUP(Tabla1[[#This Row],[SISMED]],TblDisponibilidad[],12,FALSE), 0)</f>
        <v>0</v>
      </c>
      <c r="I889">
        <f>IFERROR(VLOOKUP(Tabla1[[#This Row],[SISMED]],TblDisponibilidad[],13,FALSE), 0)</f>
        <v>0</v>
      </c>
      <c r="J889">
        <f>IFERROR(VLOOKUP(Tabla1[[#This Row],[SISMED]],TblDisponibilidad[],14,FALSE), 0)</f>
        <v>0</v>
      </c>
      <c r="K889">
        <f>IFERROR(VLOOKUP(Tabla1[[#This Row],[SISMED]],TblDisponibilidad[],15,FALSE), 0)</f>
        <v>0</v>
      </c>
      <c r="L889">
        <f>IFERROR(VLOOKUP(Tabla1[[#This Row],[SISMED]],TblDisponibilidad[],16,FALSE), 0)</f>
        <v>0</v>
      </c>
      <c r="M889">
        <f>IFERROR(VLOOKUP(Tabla1[[#This Row],[SISMED]],TblDisponibilidad[],17,FALSE), 0)</f>
        <v>0</v>
      </c>
      <c r="N889">
        <f>IFERROR(VLOOKUP(Tabla1[[#This Row],[SISMED]],TblDisponibilidad[],18,FALSE), 0)</f>
        <v>0</v>
      </c>
      <c r="O889">
        <f>IFERROR(VLOOKUP(Tabla1[[#This Row],[SISMED]],TblDisponibilidad[],19,FALSE), 0)</f>
        <v>0</v>
      </c>
      <c r="P889">
        <f>IFERROR(VLOOKUP(Tabla1[[#This Row],[SISMED]],TblDisponibilidad[],20,FALSE), 0)</f>
        <v>0</v>
      </c>
      <c r="Q889">
        <f>IFERROR(VLOOKUP(Tabla1[[#This Row],[SISMED]],TblDisponibilidad[],21,FALSE), 0)</f>
        <v>0</v>
      </c>
      <c r="R889">
        <f>IFERROR(VLOOKUP(Tabla1[[#This Row],[SISMED]],TblDisponibilidad[],22,FALSE), 0)</f>
        <v>0</v>
      </c>
      <c r="S889" s="15">
        <f>IFERROR(VLOOKUP(Tabla1[[#This Row],[SISMED]],TblDisponibilidad[],23,FALSE), 0)</f>
        <v>0</v>
      </c>
    </row>
    <row r="890" spans="1:19" x14ac:dyDescent="0.3">
      <c r="A890" s="15" t="s">
        <v>920</v>
      </c>
      <c r="B890" t="str">
        <f>IFERROR(VLOOKUP(Tabla1[[#This Row],[SISMED]],TblDisponibilidad[],2,FALSE), "")</f>
        <v/>
      </c>
      <c r="C890">
        <f>IFERROR(VLOOKUP(Tabla1[[#This Row],[SISMED]],TblDisponibilidad[],7,FALSE), 0)</f>
        <v>0</v>
      </c>
      <c r="D890">
        <f>IFERROR(VLOOKUP(Tabla1[[#This Row],[SISMED]],TblDisponibilidad[],8,FALSE), 0)</f>
        <v>0</v>
      </c>
      <c r="E890">
        <f>IFERROR(VLOOKUP(Tabla1[[#This Row],[SISMED]],TblDisponibilidad[],9,FALSE), 0)</f>
        <v>0</v>
      </c>
      <c r="F890">
        <f>IFERROR(VLOOKUP(Tabla1[[#This Row],[SISMED]],TblDisponibilidad[],10,FALSE), 0)</f>
        <v>0</v>
      </c>
      <c r="G890">
        <f>IFERROR(VLOOKUP(Tabla1[[#This Row],[SISMED]],TblDisponibilidad[],11,FALSE), 0)</f>
        <v>0</v>
      </c>
      <c r="H890">
        <f>IFERROR(VLOOKUP(Tabla1[[#This Row],[SISMED]],TblDisponibilidad[],12,FALSE), 0)</f>
        <v>0</v>
      </c>
      <c r="I890">
        <f>IFERROR(VLOOKUP(Tabla1[[#This Row],[SISMED]],TblDisponibilidad[],13,FALSE), 0)</f>
        <v>0</v>
      </c>
      <c r="J890">
        <f>IFERROR(VLOOKUP(Tabla1[[#This Row],[SISMED]],TblDisponibilidad[],14,FALSE), 0)</f>
        <v>0</v>
      </c>
      <c r="K890">
        <f>IFERROR(VLOOKUP(Tabla1[[#This Row],[SISMED]],TblDisponibilidad[],15,FALSE), 0)</f>
        <v>0</v>
      </c>
      <c r="L890">
        <f>IFERROR(VLOOKUP(Tabla1[[#This Row],[SISMED]],TblDisponibilidad[],16,FALSE), 0)</f>
        <v>0</v>
      </c>
      <c r="M890">
        <f>IFERROR(VLOOKUP(Tabla1[[#This Row],[SISMED]],TblDisponibilidad[],17,FALSE), 0)</f>
        <v>0</v>
      </c>
      <c r="N890">
        <f>IFERROR(VLOOKUP(Tabla1[[#This Row],[SISMED]],TblDisponibilidad[],18,FALSE), 0)</f>
        <v>0</v>
      </c>
      <c r="O890">
        <f>IFERROR(VLOOKUP(Tabla1[[#This Row],[SISMED]],TblDisponibilidad[],19,FALSE), 0)</f>
        <v>0</v>
      </c>
      <c r="P890">
        <f>IFERROR(VLOOKUP(Tabla1[[#This Row],[SISMED]],TblDisponibilidad[],20,FALSE), 0)</f>
        <v>0</v>
      </c>
      <c r="Q890">
        <f>IFERROR(VLOOKUP(Tabla1[[#This Row],[SISMED]],TblDisponibilidad[],21,FALSE), 0)</f>
        <v>0</v>
      </c>
      <c r="R890">
        <f>IFERROR(VLOOKUP(Tabla1[[#This Row],[SISMED]],TblDisponibilidad[],22,FALSE), 0)</f>
        <v>0</v>
      </c>
      <c r="S890" s="15">
        <f>IFERROR(VLOOKUP(Tabla1[[#This Row],[SISMED]],TblDisponibilidad[],23,FALSE), 0)</f>
        <v>0</v>
      </c>
    </row>
    <row r="891" spans="1:19" x14ac:dyDescent="0.3">
      <c r="A891" s="15" t="s">
        <v>921</v>
      </c>
      <c r="B891" t="str">
        <f>IFERROR(VLOOKUP(Tabla1[[#This Row],[SISMED]],TblDisponibilidad[],2,FALSE), "")</f>
        <v/>
      </c>
      <c r="C891">
        <f>IFERROR(VLOOKUP(Tabla1[[#This Row],[SISMED]],TblDisponibilidad[],7,FALSE), 0)</f>
        <v>0</v>
      </c>
      <c r="D891">
        <f>IFERROR(VLOOKUP(Tabla1[[#This Row],[SISMED]],TblDisponibilidad[],8,FALSE), 0)</f>
        <v>0</v>
      </c>
      <c r="E891">
        <f>IFERROR(VLOOKUP(Tabla1[[#This Row],[SISMED]],TblDisponibilidad[],9,FALSE), 0)</f>
        <v>0</v>
      </c>
      <c r="F891">
        <f>IFERROR(VLOOKUP(Tabla1[[#This Row],[SISMED]],TblDisponibilidad[],10,FALSE), 0)</f>
        <v>0</v>
      </c>
      <c r="G891">
        <f>IFERROR(VLOOKUP(Tabla1[[#This Row],[SISMED]],TblDisponibilidad[],11,FALSE), 0)</f>
        <v>0</v>
      </c>
      <c r="H891">
        <f>IFERROR(VLOOKUP(Tabla1[[#This Row],[SISMED]],TblDisponibilidad[],12,FALSE), 0)</f>
        <v>0</v>
      </c>
      <c r="I891">
        <f>IFERROR(VLOOKUP(Tabla1[[#This Row],[SISMED]],TblDisponibilidad[],13,FALSE), 0)</f>
        <v>0</v>
      </c>
      <c r="J891">
        <f>IFERROR(VLOOKUP(Tabla1[[#This Row],[SISMED]],TblDisponibilidad[],14,FALSE), 0)</f>
        <v>0</v>
      </c>
      <c r="K891">
        <f>IFERROR(VLOOKUP(Tabla1[[#This Row],[SISMED]],TblDisponibilidad[],15,FALSE), 0)</f>
        <v>0</v>
      </c>
      <c r="L891">
        <f>IFERROR(VLOOKUP(Tabla1[[#This Row],[SISMED]],TblDisponibilidad[],16,FALSE), 0)</f>
        <v>0</v>
      </c>
      <c r="M891">
        <f>IFERROR(VLOOKUP(Tabla1[[#This Row],[SISMED]],TblDisponibilidad[],17,FALSE), 0)</f>
        <v>0</v>
      </c>
      <c r="N891">
        <f>IFERROR(VLOOKUP(Tabla1[[#This Row],[SISMED]],TblDisponibilidad[],18,FALSE), 0)</f>
        <v>0</v>
      </c>
      <c r="O891">
        <f>IFERROR(VLOOKUP(Tabla1[[#This Row],[SISMED]],TblDisponibilidad[],19,FALSE), 0)</f>
        <v>0</v>
      </c>
      <c r="P891">
        <f>IFERROR(VLOOKUP(Tabla1[[#This Row],[SISMED]],TblDisponibilidad[],20,FALSE), 0)</f>
        <v>0</v>
      </c>
      <c r="Q891">
        <f>IFERROR(VLOOKUP(Tabla1[[#This Row],[SISMED]],TblDisponibilidad[],21,FALSE), 0)</f>
        <v>0</v>
      </c>
      <c r="R891">
        <f>IFERROR(VLOOKUP(Tabla1[[#This Row],[SISMED]],TblDisponibilidad[],22,FALSE), 0)</f>
        <v>0</v>
      </c>
      <c r="S891" s="15">
        <f>IFERROR(VLOOKUP(Tabla1[[#This Row],[SISMED]],TblDisponibilidad[],23,FALSE), 0)</f>
        <v>0</v>
      </c>
    </row>
    <row r="892" spans="1:19" x14ac:dyDescent="0.3">
      <c r="A892" s="15" t="s">
        <v>922</v>
      </c>
      <c r="B892" t="str">
        <f>IFERROR(VLOOKUP(Tabla1[[#This Row],[SISMED]],TblDisponibilidad[],2,FALSE), "")</f>
        <v/>
      </c>
      <c r="C892">
        <f>IFERROR(VLOOKUP(Tabla1[[#This Row],[SISMED]],TblDisponibilidad[],7,FALSE), 0)</f>
        <v>0</v>
      </c>
      <c r="D892">
        <f>IFERROR(VLOOKUP(Tabla1[[#This Row],[SISMED]],TblDisponibilidad[],8,FALSE), 0)</f>
        <v>0</v>
      </c>
      <c r="E892">
        <f>IFERROR(VLOOKUP(Tabla1[[#This Row],[SISMED]],TblDisponibilidad[],9,FALSE), 0)</f>
        <v>0</v>
      </c>
      <c r="F892">
        <f>IFERROR(VLOOKUP(Tabla1[[#This Row],[SISMED]],TblDisponibilidad[],10,FALSE), 0)</f>
        <v>0</v>
      </c>
      <c r="G892">
        <f>IFERROR(VLOOKUP(Tabla1[[#This Row],[SISMED]],TblDisponibilidad[],11,FALSE), 0)</f>
        <v>0</v>
      </c>
      <c r="H892">
        <f>IFERROR(VLOOKUP(Tabla1[[#This Row],[SISMED]],TblDisponibilidad[],12,FALSE), 0)</f>
        <v>0</v>
      </c>
      <c r="I892">
        <f>IFERROR(VLOOKUP(Tabla1[[#This Row],[SISMED]],TblDisponibilidad[],13,FALSE), 0)</f>
        <v>0</v>
      </c>
      <c r="J892">
        <f>IFERROR(VLOOKUP(Tabla1[[#This Row],[SISMED]],TblDisponibilidad[],14,FALSE), 0)</f>
        <v>0</v>
      </c>
      <c r="K892">
        <f>IFERROR(VLOOKUP(Tabla1[[#This Row],[SISMED]],TblDisponibilidad[],15,FALSE), 0)</f>
        <v>0</v>
      </c>
      <c r="L892">
        <f>IFERROR(VLOOKUP(Tabla1[[#This Row],[SISMED]],TblDisponibilidad[],16,FALSE), 0)</f>
        <v>0</v>
      </c>
      <c r="M892">
        <f>IFERROR(VLOOKUP(Tabla1[[#This Row],[SISMED]],TblDisponibilidad[],17,FALSE), 0)</f>
        <v>0</v>
      </c>
      <c r="N892">
        <f>IFERROR(VLOOKUP(Tabla1[[#This Row],[SISMED]],TblDisponibilidad[],18,FALSE), 0)</f>
        <v>0</v>
      </c>
      <c r="O892">
        <f>IFERROR(VLOOKUP(Tabla1[[#This Row],[SISMED]],TblDisponibilidad[],19,FALSE), 0)</f>
        <v>0</v>
      </c>
      <c r="P892">
        <f>IFERROR(VLOOKUP(Tabla1[[#This Row],[SISMED]],TblDisponibilidad[],20,FALSE), 0)</f>
        <v>0</v>
      </c>
      <c r="Q892">
        <f>IFERROR(VLOOKUP(Tabla1[[#This Row],[SISMED]],TblDisponibilidad[],21,FALSE), 0)</f>
        <v>0</v>
      </c>
      <c r="R892">
        <f>IFERROR(VLOOKUP(Tabla1[[#This Row],[SISMED]],TblDisponibilidad[],22,FALSE), 0)</f>
        <v>0</v>
      </c>
      <c r="S892" s="15">
        <f>IFERROR(VLOOKUP(Tabla1[[#This Row],[SISMED]],TblDisponibilidad[],23,FALSE), 0)</f>
        <v>0</v>
      </c>
    </row>
    <row r="893" spans="1:19" x14ac:dyDescent="0.3">
      <c r="A893" s="15" t="s">
        <v>923</v>
      </c>
      <c r="B893" t="str">
        <f>IFERROR(VLOOKUP(Tabla1[[#This Row],[SISMED]],TblDisponibilidad[],2,FALSE), "")</f>
        <v/>
      </c>
      <c r="C893">
        <f>IFERROR(VLOOKUP(Tabla1[[#This Row],[SISMED]],TblDisponibilidad[],7,FALSE), 0)</f>
        <v>0</v>
      </c>
      <c r="D893">
        <f>IFERROR(VLOOKUP(Tabla1[[#This Row],[SISMED]],TblDisponibilidad[],8,FALSE), 0)</f>
        <v>0</v>
      </c>
      <c r="E893">
        <f>IFERROR(VLOOKUP(Tabla1[[#This Row],[SISMED]],TblDisponibilidad[],9,FALSE), 0)</f>
        <v>0</v>
      </c>
      <c r="F893">
        <f>IFERROR(VLOOKUP(Tabla1[[#This Row],[SISMED]],TblDisponibilidad[],10,FALSE), 0)</f>
        <v>0</v>
      </c>
      <c r="G893">
        <f>IFERROR(VLOOKUP(Tabla1[[#This Row],[SISMED]],TblDisponibilidad[],11,FALSE), 0)</f>
        <v>0</v>
      </c>
      <c r="H893">
        <f>IFERROR(VLOOKUP(Tabla1[[#This Row],[SISMED]],TblDisponibilidad[],12,FALSE), 0)</f>
        <v>0</v>
      </c>
      <c r="I893">
        <f>IFERROR(VLOOKUP(Tabla1[[#This Row],[SISMED]],TblDisponibilidad[],13,FALSE), 0)</f>
        <v>0</v>
      </c>
      <c r="J893">
        <f>IFERROR(VLOOKUP(Tabla1[[#This Row],[SISMED]],TblDisponibilidad[],14,FALSE), 0)</f>
        <v>0</v>
      </c>
      <c r="K893">
        <f>IFERROR(VLOOKUP(Tabla1[[#This Row],[SISMED]],TblDisponibilidad[],15,FALSE), 0)</f>
        <v>0</v>
      </c>
      <c r="L893">
        <f>IFERROR(VLOOKUP(Tabla1[[#This Row],[SISMED]],TblDisponibilidad[],16,FALSE), 0)</f>
        <v>0</v>
      </c>
      <c r="M893">
        <f>IFERROR(VLOOKUP(Tabla1[[#This Row],[SISMED]],TblDisponibilidad[],17,FALSE), 0)</f>
        <v>0</v>
      </c>
      <c r="N893">
        <f>IFERROR(VLOOKUP(Tabla1[[#This Row],[SISMED]],TblDisponibilidad[],18,FALSE), 0)</f>
        <v>0</v>
      </c>
      <c r="O893">
        <f>IFERROR(VLOOKUP(Tabla1[[#This Row],[SISMED]],TblDisponibilidad[],19,FALSE), 0)</f>
        <v>0</v>
      </c>
      <c r="P893">
        <f>IFERROR(VLOOKUP(Tabla1[[#This Row],[SISMED]],TblDisponibilidad[],20,FALSE), 0)</f>
        <v>0</v>
      </c>
      <c r="Q893">
        <f>IFERROR(VLOOKUP(Tabla1[[#This Row],[SISMED]],TblDisponibilidad[],21,FALSE), 0)</f>
        <v>0</v>
      </c>
      <c r="R893">
        <f>IFERROR(VLOOKUP(Tabla1[[#This Row],[SISMED]],TblDisponibilidad[],22,FALSE), 0)</f>
        <v>0</v>
      </c>
      <c r="S893" s="15">
        <f>IFERROR(VLOOKUP(Tabla1[[#This Row],[SISMED]],TblDisponibilidad[],23,FALSE), 0)</f>
        <v>0</v>
      </c>
    </row>
    <row r="894" spans="1:19" x14ac:dyDescent="0.3">
      <c r="A894" s="15" t="s">
        <v>924</v>
      </c>
      <c r="B894" t="str">
        <f>IFERROR(VLOOKUP(Tabla1[[#This Row],[SISMED]],TblDisponibilidad[],2,FALSE), "")</f>
        <v/>
      </c>
      <c r="C894">
        <f>IFERROR(VLOOKUP(Tabla1[[#This Row],[SISMED]],TblDisponibilidad[],7,FALSE), 0)</f>
        <v>0</v>
      </c>
      <c r="D894">
        <f>IFERROR(VLOOKUP(Tabla1[[#This Row],[SISMED]],TblDisponibilidad[],8,FALSE), 0)</f>
        <v>0</v>
      </c>
      <c r="E894">
        <f>IFERROR(VLOOKUP(Tabla1[[#This Row],[SISMED]],TblDisponibilidad[],9,FALSE), 0)</f>
        <v>0</v>
      </c>
      <c r="F894">
        <f>IFERROR(VLOOKUP(Tabla1[[#This Row],[SISMED]],TblDisponibilidad[],10,FALSE), 0)</f>
        <v>0</v>
      </c>
      <c r="G894">
        <f>IFERROR(VLOOKUP(Tabla1[[#This Row],[SISMED]],TblDisponibilidad[],11,FALSE), 0)</f>
        <v>0</v>
      </c>
      <c r="H894">
        <f>IFERROR(VLOOKUP(Tabla1[[#This Row],[SISMED]],TblDisponibilidad[],12,FALSE), 0)</f>
        <v>0</v>
      </c>
      <c r="I894">
        <f>IFERROR(VLOOKUP(Tabla1[[#This Row],[SISMED]],TblDisponibilidad[],13,FALSE), 0)</f>
        <v>0</v>
      </c>
      <c r="J894">
        <f>IFERROR(VLOOKUP(Tabla1[[#This Row],[SISMED]],TblDisponibilidad[],14,FALSE), 0)</f>
        <v>0</v>
      </c>
      <c r="K894">
        <f>IFERROR(VLOOKUP(Tabla1[[#This Row],[SISMED]],TblDisponibilidad[],15,FALSE), 0)</f>
        <v>0</v>
      </c>
      <c r="L894">
        <f>IFERROR(VLOOKUP(Tabla1[[#This Row],[SISMED]],TblDisponibilidad[],16,FALSE), 0)</f>
        <v>0</v>
      </c>
      <c r="M894">
        <f>IFERROR(VLOOKUP(Tabla1[[#This Row],[SISMED]],TblDisponibilidad[],17,FALSE), 0)</f>
        <v>0</v>
      </c>
      <c r="N894">
        <f>IFERROR(VLOOKUP(Tabla1[[#This Row],[SISMED]],TblDisponibilidad[],18,FALSE), 0)</f>
        <v>0</v>
      </c>
      <c r="O894">
        <f>IFERROR(VLOOKUP(Tabla1[[#This Row],[SISMED]],TblDisponibilidad[],19,FALSE), 0)</f>
        <v>0</v>
      </c>
      <c r="P894">
        <f>IFERROR(VLOOKUP(Tabla1[[#This Row],[SISMED]],TblDisponibilidad[],20,FALSE), 0)</f>
        <v>0</v>
      </c>
      <c r="Q894">
        <f>IFERROR(VLOOKUP(Tabla1[[#This Row],[SISMED]],TblDisponibilidad[],21,FALSE), 0)</f>
        <v>0</v>
      </c>
      <c r="R894">
        <f>IFERROR(VLOOKUP(Tabla1[[#This Row],[SISMED]],TblDisponibilidad[],22,FALSE), 0)</f>
        <v>0</v>
      </c>
      <c r="S894" s="15">
        <f>IFERROR(VLOOKUP(Tabla1[[#This Row],[SISMED]],TblDisponibilidad[],23,FALSE), 0)</f>
        <v>0</v>
      </c>
    </row>
    <row r="895" spans="1:19" x14ac:dyDescent="0.3">
      <c r="A895" s="15" t="s">
        <v>925</v>
      </c>
      <c r="B895" t="str">
        <f>IFERROR(VLOOKUP(Tabla1[[#This Row],[SISMED]],TblDisponibilidad[],2,FALSE), "")</f>
        <v/>
      </c>
      <c r="C895">
        <f>IFERROR(VLOOKUP(Tabla1[[#This Row],[SISMED]],TblDisponibilidad[],7,FALSE), 0)</f>
        <v>0</v>
      </c>
      <c r="D895">
        <f>IFERROR(VLOOKUP(Tabla1[[#This Row],[SISMED]],TblDisponibilidad[],8,FALSE), 0)</f>
        <v>0</v>
      </c>
      <c r="E895">
        <f>IFERROR(VLOOKUP(Tabla1[[#This Row],[SISMED]],TblDisponibilidad[],9,FALSE), 0)</f>
        <v>0</v>
      </c>
      <c r="F895">
        <f>IFERROR(VLOOKUP(Tabla1[[#This Row],[SISMED]],TblDisponibilidad[],10,FALSE), 0)</f>
        <v>0</v>
      </c>
      <c r="G895">
        <f>IFERROR(VLOOKUP(Tabla1[[#This Row],[SISMED]],TblDisponibilidad[],11,FALSE), 0)</f>
        <v>0</v>
      </c>
      <c r="H895">
        <f>IFERROR(VLOOKUP(Tabla1[[#This Row],[SISMED]],TblDisponibilidad[],12,FALSE), 0)</f>
        <v>0</v>
      </c>
      <c r="I895">
        <f>IFERROR(VLOOKUP(Tabla1[[#This Row],[SISMED]],TblDisponibilidad[],13,FALSE), 0)</f>
        <v>0</v>
      </c>
      <c r="J895">
        <f>IFERROR(VLOOKUP(Tabla1[[#This Row],[SISMED]],TblDisponibilidad[],14,FALSE), 0)</f>
        <v>0</v>
      </c>
      <c r="K895">
        <f>IFERROR(VLOOKUP(Tabla1[[#This Row],[SISMED]],TblDisponibilidad[],15,FALSE), 0)</f>
        <v>0</v>
      </c>
      <c r="L895">
        <f>IFERROR(VLOOKUP(Tabla1[[#This Row],[SISMED]],TblDisponibilidad[],16,FALSE), 0)</f>
        <v>0</v>
      </c>
      <c r="M895">
        <f>IFERROR(VLOOKUP(Tabla1[[#This Row],[SISMED]],TblDisponibilidad[],17,FALSE), 0)</f>
        <v>0</v>
      </c>
      <c r="N895">
        <f>IFERROR(VLOOKUP(Tabla1[[#This Row],[SISMED]],TblDisponibilidad[],18,FALSE), 0)</f>
        <v>0</v>
      </c>
      <c r="O895">
        <f>IFERROR(VLOOKUP(Tabla1[[#This Row],[SISMED]],TblDisponibilidad[],19,FALSE), 0)</f>
        <v>0</v>
      </c>
      <c r="P895">
        <f>IFERROR(VLOOKUP(Tabla1[[#This Row],[SISMED]],TblDisponibilidad[],20,FALSE), 0)</f>
        <v>0</v>
      </c>
      <c r="Q895">
        <f>IFERROR(VLOOKUP(Tabla1[[#This Row],[SISMED]],TblDisponibilidad[],21,FALSE), 0)</f>
        <v>0</v>
      </c>
      <c r="R895">
        <f>IFERROR(VLOOKUP(Tabla1[[#This Row],[SISMED]],TblDisponibilidad[],22,FALSE), 0)</f>
        <v>0</v>
      </c>
      <c r="S895" s="15">
        <f>IFERROR(VLOOKUP(Tabla1[[#This Row],[SISMED]],TblDisponibilidad[],23,FALSE), 0)</f>
        <v>0</v>
      </c>
    </row>
  </sheetData>
  <conditionalFormatting sqref="S3:S895">
    <cfRule type="cellIs" dxfId="27" priority="1" operator="equal">
      <formula>"SOBRE STOCK"</formula>
    </cfRule>
    <cfRule type="cellIs" dxfId="26" priority="2" operator="equal">
      <formula>"DESABASTECIDO"</formula>
    </cfRule>
    <cfRule type="cellIs" dxfId="25" priority="3" operator="equal">
      <formula>"SUB STOCK"</formula>
    </cfRule>
    <cfRule type="cellIs" dxfId="24" priority="4" operator="equal">
      <formula>"NORMO STOCK"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E30DE-2018-47EF-A14C-06BDD8374538}">
  <dimension ref="A1:S895"/>
  <sheetViews>
    <sheetView tabSelected="1" workbookViewId="0">
      <selection activeCell="B10" sqref="B10"/>
    </sheetView>
  </sheetViews>
  <sheetFormatPr baseColWidth="10" defaultRowHeight="14.4" x14ac:dyDescent="0.3"/>
  <cols>
    <col min="1" max="1" width="11.5546875" style="15"/>
    <col min="2" max="2" width="38.88671875" customWidth="1"/>
    <col min="16" max="16" width="14.33203125" customWidth="1"/>
    <col min="18" max="18" width="16.5546875" customWidth="1"/>
    <col min="19" max="19" width="15.44140625" style="15" bestFit="1" customWidth="1"/>
  </cols>
  <sheetData>
    <row r="1" spans="1:19" ht="21" x14ac:dyDescent="0.3">
      <c r="R1" s="16" t="s">
        <v>1920</v>
      </c>
      <c r="S1" s="17">
        <f>(COUNTIF(Tabla13[Estado],"no rota")+COUNTIF(Tabla13[Estado],"NORMO STOCK")+COUNTIF(Tabla13[Estado],"SOBRE STOCK"))/(COUNTIF(Tabla13[Estado],"&lt;&gt;solid")-COUNTBLANK(Tabla13[Estado])-COUNTIF(Tabla13[Estado],"no incluido"))</f>
        <v>0</v>
      </c>
    </row>
    <row r="2" spans="1:19" x14ac:dyDescent="0.3">
      <c r="A2" s="11" t="s">
        <v>28</v>
      </c>
      <c r="B2" s="11" t="s">
        <v>29</v>
      </c>
      <c r="C2" s="12" t="s">
        <v>13</v>
      </c>
      <c r="D2" s="12" t="s">
        <v>14</v>
      </c>
      <c r="E2" s="12" t="s">
        <v>15</v>
      </c>
      <c r="F2" s="12" t="s">
        <v>16</v>
      </c>
      <c r="G2" s="12" t="s">
        <v>17</v>
      </c>
      <c r="H2" s="12" t="s">
        <v>18</v>
      </c>
      <c r="I2" s="12" t="s">
        <v>19</v>
      </c>
      <c r="J2" s="12" t="s">
        <v>20</v>
      </c>
      <c r="K2" s="12" t="s">
        <v>21</v>
      </c>
      <c r="L2" s="12" t="s">
        <v>22</v>
      </c>
      <c r="M2" s="12" t="s">
        <v>23</v>
      </c>
      <c r="N2" s="12" t="s">
        <v>24</v>
      </c>
      <c r="O2" s="13" t="s">
        <v>30</v>
      </c>
      <c r="P2" s="13" t="s">
        <v>31</v>
      </c>
      <c r="Q2" s="13" t="s">
        <v>926</v>
      </c>
      <c r="R2" s="13" t="s">
        <v>32</v>
      </c>
      <c r="S2" s="13" t="s">
        <v>8</v>
      </c>
    </row>
    <row r="3" spans="1:19" x14ac:dyDescent="0.3">
      <c r="A3" s="15" t="s">
        <v>33</v>
      </c>
      <c r="B3" t="str">
        <f>IFERROR(VLOOKUP(Tabla13[[#This Row],[SISMED]],TblDisponibilidad[],2,FALSE), "")</f>
        <v/>
      </c>
      <c r="C3">
        <f>IFERROR(VLOOKUP(Tabla13[[#This Row],[SISMED]],TblDisponibilidad[],7,FALSE), 0)</f>
        <v>0</v>
      </c>
      <c r="D3">
        <f>IFERROR(VLOOKUP(Tabla13[[#This Row],[SISMED]],TblDisponibilidad[],8,FALSE), 0)</f>
        <v>0</v>
      </c>
      <c r="E3">
        <f>IFERROR(VLOOKUP(Tabla13[[#This Row],[SISMED]],TblDisponibilidad[],9,FALSE), 0)</f>
        <v>0</v>
      </c>
      <c r="F3">
        <f>IFERROR(VLOOKUP(Tabla13[[#This Row],[SISMED]],TblDisponibilidad[],10,FALSE), 0)</f>
        <v>0</v>
      </c>
      <c r="G3">
        <f>IFERROR(VLOOKUP(Tabla13[[#This Row],[SISMED]],TblDisponibilidad[],11,FALSE), 0)</f>
        <v>0</v>
      </c>
      <c r="H3">
        <f>IFERROR(VLOOKUP(Tabla13[[#This Row],[SISMED]],TblDisponibilidad[],12,FALSE), 0)</f>
        <v>0</v>
      </c>
      <c r="I3">
        <f>IFERROR(VLOOKUP(Tabla13[[#This Row],[SISMED]],TblDisponibilidad[],13,FALSE), 0)</f>
        <v>0</v>
      </c>
      <c r="J3">
        <f>IFERROR(VLOOKUP(Tabla13[[#This Row],[SISMED]],TblDisponibilidad[],14,FALSE), 0)</f>
        <v>0</v>
      </c>
      <c r="K3">
        <f>IFERROR(VLOOKUP(Tabla13[[#This Row],[SISMED]],TblDisponibilidad[],15,FALSE), 0)</f>
        <v>0</v>
      </c>
      <c r="L3">
        <f>IFERROR(VLOOKUP(Tabla13[[#This Row],[SISMED]],TblDisponibilidad[],16,FALSE), 0)</f>
        <v>0</v>
      </c>
      <c r="M3">
        <f>IFERROR(VLOOKUP(Tabla13[[#This Row],[SISMED]],TblDisponibilidad[],17,FALSE), 0)</f>
        <v>0</v>
      </c>
      <c r="N3">
        <f>IFERROR(VLOOKUP(Tabla13[[#This Row],[SISMED]],TblDisponibilidad[],18,FALSE), 0)</f>
        <v>0</v>
      </c>
      <c r="O3">
        <f>IFERROR(VLOOKUP(Tabla13[[#This Row],[SISMED]],TblDisponibilidad[],19,FALSE), 0)</f>
        <v>0</v>
      </c>
      <c r="P3">
        <f>IFERROR(VLOOKUP(Tabla13[[#This Row],[SISMED]],TblDisponibilidad[],20,FALSE), 0)</f>
        <v>0</v>
      </c>
      <c r="Q3">
        <f>IFERROR(VLOOKUP(Tabla13[[#This Row],[SISMED]],TblDisponibilidad[],21,FALSE), 0)</f>
        <v>0</v>
      </c>
      <c r="R3">
        <f>IFERROR(VLOOKUP(Tabla13[[#This Row],[SISMED]],TblDisponibilidad[],22,FALSE), 0)</f>
        <v>0</v>
      </c>
      <c r="S3" s="15">
        <f>IFERROR(VLOOKUP(Tabla13[[#This Row],[SISMED]],TblDisponibilidad[],23,FALSE), 0)</f>
        <v>0</v>
      </c>
    </row>
    <row r="4" spans="1:19" x14ac:dyDescent="0.3">
      <c r="A4" s="15" t="s">
        <v>34</v>
      </c>
      <c r="B4" t="str">
        <f>IFERROR(VLOOKUP(Tabla13[[#This Row],[SISMED]],TblDisponibilidad[],2,FALSE), "")</f>
        <v/>
      </c>
      <c r="C4">
        <f>IFERROR(VLOOKUP(Tabla13[[#This Row],[SISMED]],TblDisponibilidad[],7,FALSE), 0)</f>
        <v>0</v>
      </c>
      <c r="D4">
        <f>IFERROR(VLOOKUP(Tabla13[[#This Row],[SISMED]],TblDisponibilidad[],8,FALSE), 0)</f>
        <v>0</v>
      </c>
      <c r="E4">
        <f>IFERROR(VLOOKUP(Tabla13[[#This Row],[SISMED]],TblDisponibilidad[],9,FALSE), 0)</f>
        <v>0</v>
      </c>
      <c r="F4">
        <f>IFERROR(VLOOKUP(Tabla13[[#This Row],[SISMED]],TblDisponibilidad[],10,FALSE), 0)</f>
        <v>0</v>
      </c>
      <c r="G4">
        <f>IFERROR(VLOOKUP(Tabla13[[#This Row],[SISMED]],TblDisponibilidad[],11,FALSE), 0)</f>
        <v>0</v>
      </c>
      <c r="H4">
        <f>IFERROR(VLOOKUP(Tabla13[[#This Row],[SISMED]],TblDisponibilidad[],12,FALSE), 0)</f>
        <v>0</v>
      </c>
      <c r="I4">
        <f>IFERROR(VLOOKUP(Tabla13[[#This Row],[SISMED]],TblDisponibilidad[],13,FALSE), 0)</f>
        <v>0</v>
      </c>
      <c r="J4">
        <f>IFERROR(VLOOKUP(Tabla13[[#This Row],[SISMED]],TblDisponibilidad[],14,FALSE), 0)</f>
        <v>0</v>
      </c>
      <c r="K4">
        <f>IFERROR(VLOOKUP(Tabla13[[#This Row],[SISMED]],TblDisponibilidad[],15,FALSE), 0)</f>
        <v>0</v>
      </c>
      <c r="L4">
        <f>IFERROR(VLOOKUP(Tabla13[[#This Row],[SISMED]],TblDisponibilidad[],16,FALSE), 0)</f>
        <v>0</v>
      </c>
      <c r="M4">
        <f>IFERROR(VLOOKUP(Tabla13[[#This Row],[SISMED]],TblDisponibilidad[],17,FALSE), 0)</f>
        <v>0</v>
      </c>
      <c r="N4">
        <f>IFERROR(VLOOKUP(Tabla13[[#This Row],[SISMED]],TblDisponibilidad[],18,FALSE), 0)</f>
        <v>0</v>
      </c>
      <c r="O4">
        <f>IFERROR(VLOOKUP(Tabla13[[#This Row],[SISMED]],TblDisponibilidad[],19,FALSE), 0)</f>
        <v>0</v>
      </c>
      <c r="P4">
        <f>IFERROR(VLOOKUP(Tabla13[[#This Row],[SISMED]],TblDisponibilidad[],20,FALSE), 0)</f>
        <v>0</v>
      </c>
      <c r="Q4">
        <f>IFERROR(VLOOKUP(Tabla13[[#This Row],[SISMED]],TblDisponibilidad[],21,FALSE), 0)</f>
        <v>0</v>
      </c>
      <c r="R4">
        <f>IFERROR(VLOOKUP(Tabla13[[#This Row],[SISMED]],TblDisponibilidad[],22,FALSE), 0)</f>
        <v>0</v>
      </c>
      <c r="S4" s="15">
        <f>IFERROR(VLOOKUP(Tabla13[[#This Row],[SISMED]],TblDisponibilidad[],23,FALSE), 0)</f>
        <v>0</v>
      </c>
    </row>
    <row r="5" spans="1:19" x14ac:dyDescent="0.3">
      <c r="A5" s="15" t="s">
        <v>35</v>
      </c>
      <c r="B5" t="str">
        <f>IFERROR(VLOOKUP(Tabla13[[#This Row],[SISMED]],TblDisponibilidad[],2,FALSE), "")</f>
        <v/>
      </c>
      <c r="C5">
        <f>IFERROR(VLOOKUP(Tabla13[[#This Row],[SISMED]],TblDisponibilidad[],7,FALSE), 0)</f>
        <v>0</v>
      </c>
      <c r="D5">
        <f>IFERROR(VLOOKUP(Tabla13[[#This Row],[SISMED]],TblDisponibilidad[],8,FALSE), 0)</f>
        <v>0</v>
      </c>
      <c r="E5">
        <f>IFERROR(VLOOKUP(Tabla13[[#This Row],[SISMED]],TblDisponibilidad[],9,FALSE), 0)</f>
        <v>0</v>
      </c>
      <c r="F5">
        <f>IFERROR(VLOOKUP(Tabla13[[#This Row],[SISMED]],TblDisponibilidad[],10,FALSE), 0)</f>
        <v>0</v>
      </c>
      <c r="G5">
        <f>IFERROR(VLOOKUP(Tabla13[[#This Row],[SISMED]],TblDisponibilidad[],11,FALSE), 0)</f>
        <v>0</v>
      </c>
      <c r="H5">
        <f>IFERROR(VLOOKUP(Tabla13[[#This Row],[SISMED]],TblDisponibilidad[],12,FALSE), 0)</f>
        <v>0</v>
      </c>
      <c r="I5">
        <f>IFERROR(VLOOKUP(Tabla13[[#This Row],[SISMED]],TblDisponibilidad[],13,FALSE), 0)</f>
        <v>0</v>
      </c>
      <c r="J5">
        <f>IFERROR(VLOOKUP(Tabla13[[#This Row],[SISMED]],TblDisponibilidad[],14,FALSE), 0)</f>
        <v>0</v>
      </c>
      <c r="K5">
        <f>IFERROR(VLOOKUP(Tabla13[[#This Row],[SISMED]],TblDisponibilidad[],15,FALSE), 0)</f>
        <v>0</v>
      </c>
      <c r="L5">
        <f>IFERROR(VLOOKUP(Tabla13[[#This Row],[SISMED]],TblDisponibilidad[],16,FALSE), 0)</f>
        <v>0</v>
      </c>
      <c r="M5">
        <f>IFERROR(VLOOKUP(Tabla13[[#This Row],[SISMED]],TblDisponibilidad[],17,FALSE), 0)</f>
        <v>0</v>
      </c>
      <c r="N5">
        <f>IFERROR(VLOOKUP(Tabla13[[#This Row],[SISMED]],TblDisponibilidad[],18,FALSE), 0)</f>
        <v>0</v>
      </c>
      <c r="O5">
        <f>IFERROR(VLOOKUP(Tabla13[[#This Row],[SISMED]],TblDisponibilidad[],19,FALSE), 0)</f>
        <v>0</v>
      </c>
      <c r="P5">
        <f>IFERROR(VLOOKUP(Tabla13[[#This Row],[SISMED]],TblDisponibilidad[],20,FALSE), 0)</f>
        <v>0</v>
      </c>
      <c r="Q5">
        <f>IFERROR(VLOOKUP(Tabla13[[#This Row],[SISMED]],TblDisponibilidad[],21,FALSE), 0)</f>
        <v>0</v>
      </c>
      <c r="R5">
        <f>IFERROR(VLOOKUP(Tabla13[[#This Row],[SISMED]],TblDisponibilidad[],22,FALSE), 0)</f>
        <v>0</v>
      </c>
      <c r="S5" s="15">
        <f>IFERROR(VLOOKUP(Tabla13[[#This Row],[SISMED]],TblDisponibilidad[],23,FALSE), 0)</f>
        <v>0</v>
      </c>
    </row>
    <row r="6" spans="1:19" x14ac:dyDescent="0.3">
      <c r="A6" s="15" t="s">
        <v>36</v>
      </c>
      <c r="B6" t="str">
        <f>IFERROR(VLOOKUP(Tabla13[[#This Row],[SISMED]],TblDisponibilidad[],2,FALSE), "")</f>
        <v/>
      </c>
      <c r="C6">
        <f>IFERROR(VLOOKUP(Tabla13[[#This Row],[SISMED]],TblDisponibilidad[],7,FALSE), 0)</f>
        <v>0</v>
      </c>
      <c r="D6">
        <f>IFERROR(VLOOKUP(Tabla13[[#This Row],[SISMED]],TblDisponibilidad[],8,FALSE), 0)</f>
        <v>0</v>
      </c>
      <c r="E6">
        <f>IFERROR(VLOOKUP(Tabla13[[#This Row],[SISMED]],TblDisponibilidad[],9,FALSE), 0)</f>
        <v>0</v>
      </c>
      <c r="F6">
        <f>IFERROR(VLOOKUP(Tabla13[[#This Row],[SISMED]],TblDisponibilidad[],10,FALSE), 0)</f>
        <v>0</v>
      </c>
      <c r="G6">
        <f>IFERROR(VLOOKUP(Tabla13[[#This Row],[SISMED]],TblDisponibilidad[],11,FALSE), 0)</f>
        <v>0</v>
      </c>
      <c r="H6">
        <f>IFERROR(VLOOKUP(Tabla13[[#This Row],[SISMED]],TblDisponibilidad[],12,FALSE), 0)</f>
        <v>0</v>
      </c>
      <c r="I6">
        <f>IFERROR(VLOOKUP(Tabla13[[#This Row],[SISMED]],TblDisponibilidad[],13,FALSE), 0)</f>
        <v>0</v>
      </c>
      <c r="J6">
        <f>IFERROR(VLOOKUP(Tabla13[[#This Row],[SISMED]],TblDisponibilidad[],14,FALSE), 0)</f>
        <v>0</v>
      </c>
      <c r="K6">
        <f>IFERROR(VLOOKUP(Tabla13[[#This Row],[SISMED]],TblDisponibilidad[],15,FALSE), 0)</f>
        <v>0</v>
      </c>
      <c r="L6">
        <f>IFERROR(VLOOKUP(Tabla13[[#This Row],[SISMED]],TblDisponibilidad[],16,FALSE), 0)</f>
        <v>0</v>
      </c>
      <c r="M6">
        <f>IFERROR(VLOOKUP(Tabla13[[#This Row],[SISMED]],TblDisponibilidad[],17,FALSE), 0)</f>
        <v>0</v>
      </c>
      <c r="N6">
        <f>IFERROR(VLOOKUP(Tabla13[[#This Row],[SISMED]],TblDisponibilidad[],18,FALSE), 0)</f>
        <v>0</v>
      </c>
      <c r="O6">
        <f>IFERROR(VLOOKUP(Tabla13[[#This Row],[SISMED]],TblDisponibilidad[],19,FALSE), 0)</f>
        <v>0</v>
      </c>
      <c r="P6">
        <f>IFERROR(VLOOKUP(Tabla13[[#This Row],[SISMED]],TblDisponibilidad[],20,FALSE), 0)</f>
        <v>0</v>
      </c>
      <c r="Q6">
        <f>IFERROR(VLOOKUP(Tabla13[[#This Row],[SISMED]],TblDisponibilidad[],21,FALSE), 0)</f>
        <v>0</v>
      </c>
      <c r="R6">
        <f>IFERROR(VLOOKUP(Tabla13[[#This Row],[SISMED]],TblDisponibilidad[],22,FALSE), 0)</f>
        <v>0</v>
      </c>
      <c r="S6" s="15">
        <f>IFERROR(VLOOKUP(Tabla13[[#This Row],[SISMED]],TblDisponibilidad[],23,FALSE), 0)</f>
        <v>0</v>
      </c>
    </row>
    <row r="7" spans="1:19" x14ac:dyDescent="0.3">
      <c r="A7" s="15" t="s">
        <v>37</v>
      </c>
      <c r="B7" t="str">
        <f>IFERROR(VLOOKUP(Tabla13[[#This Row],[SISMED]],TblDisponibilidad[],2,FALSE), "")</f>
        <v/>
      </c>
      <c r="C7">
        <f>IFERROR(VLOOKUP(Tabla13[[#This Row],[SISMED]],TblDisponibilidad[],7,FALSE), 0)</f>
        <v>0</v>
      </c>
      <c r="D7">
        <f>IFERROR(VLOOKUP(Tabla13[[#This Row],[SISMED]],TblDisponibilidad[],8,FALSE), 0)</f>
        <v>0</v>
      </c>
      <c r="E7">
        <f>IFERROR(VLOOKUP(Tabla13[[#This Row],[SISMED]],TblDisponibilidad[],9,FALSE), 0)</f>
        <v>0</v>
      </c>
      <c r="F7">
        <f>IFERROR(VLOOKUP(Tabla13[[#This Row],[SISMED]],TblDisponibilidad[],10,FALSE), 0)</f>
        <v>0</v>
      </c>
      <c r="G7">
        <f>IFERROR(VLOOKUP(Tabla13[[#This Row],[SISMED]],TblDisponibilidad[],11,FALSE), 0)</f>
        <v>0</v>
      </c>
      <c r="H7">
        <f>IFERROR(VLOOKUP(Tabla13[[#This Row],[SISMED]],TblDisponibilidad[],12,FALSE), 0)</f>
        <v>0</v>
      </c>
      <c r="I7">
        <f>IFERROR(VLOOKUP(Tabla13[[#This Row],[SISMED]],TblDisponibilidad[],13,FALSE), 0)</f>
        <v>0</v>
      </c>
      <c r="J7">
        <f>IFERROR(VLOOKUP(Tabla13[[#This Row],[SISMED]],TblDisponibilidad[],14,FALSE), 0)</f>
        <v>0</v>
      </c>
      <c r="K7">
        <f>IFERROR(VLOOKUP(Tabla13[[#This Row],[SISMED]],TblDisponibilidad[],15,FALSE), 0)</f>
        <v>0</v>
      </c>
      <c r="L7">
        <f>IFERROR(VLOOKUP(Tabla13[[#This Row],[SISMED]],TblDisponibilidad[],16,FALSE), 0)</f>
        <v>0</v>
      </c>
      <c r="M7">
        <f>IFERROR(VLOOKUP(Tabla13[[#This Row],[SISMED]],TblDisponibilidad[],17,FALSE), 0)</f>
        <v>0</v>
      </c>
      <c r="N7">
        <f>IFERROR(VLOOKUP(Tabla13[[#This Row],[SISMED]],TblDisponibilidad[],18,FALSE), 0)</f>
        <v>0</v>
      </c>
      <c r="O7">
        <f>IFERROR(VLOOKUP(Tabla13[[#This Row],[SISMED]],TblDisponibilidad[],19,FALSE), 0)</f>
        <v>0</v>
      </c>
      <c r="P7">
        <f>IFERROR(VLOOKUP(Tabla13[[#This Row],[SISMED]],TblDisponibilidad[],20,FALSE), 0)</f>
        <v>0</v>
      </c>
      <c r="Q7">
        <f>IFERROR(VLOOKUP(Tabla13[[#This Row],[SISMED]],TblDisponibilidad[],21,FALSE), 0)</f>
        <v>0</v>
      </c>
      <c r="R7">
        <f>IFERROR(VLOOKUP(Tabla13[[#This Row],[SISMED]],TblDisponibilidad[],22,FALSE), 0)</f>
        <v>0</v>
      </c>
      <c r="S7" s="15">
        <f>IFERROR(VLOOKUP(Tabla13[[#This Row],[SISMED]],TblDisponibilidad[],23,FALSE), 0)</f>
        <v>0</v>
      </c>
    </row>
    <row r="8" spans="1:19" x14ac:dyDescent="0.3">
      <c r="A8" s="15" t="s">
        <v>38</v>
      </c>
      <c r="B8" t="str">
        <f>IFERROR(VLOOKUP(Tabla13[[#This Row],[SISMED]],TblDisponibilidad[],2,FALSE), "")</f>
        <v/>
      </c>
      <c r="C8">
        <f>IFERROR(VLOOKUP(Tabla13[[#This Row],[SISMED]],TblDisponibilidad[],7,FALSE), 0)</f>
        <v>0</v>
      </c>
      <c r="D8">
        <f>IFERROR(VLOOKUP(Tabla13[[#This Row],[SISMED]],TblDisponibilidad[],8,FALSE), 0)</f>
        <v>0</v>
      </c>
      <c r="E8">
        <f>IFERROR(VLOOKUP(Tabla13[[#This Row],[SISMED]],TblDisponibilidad[],9,FALSE), 0)</f>
        <v>0</v>
      </c>
      <c r="F8">
        <f>IFERROR(VLOOKUP(Tabla13[[#This Row],[SISMED]],TblDisponibilidad[],10,FALSE), 0)</f>
        <v>0</v>
      </c>
      <c r="G8">
        <f>IFERROR(VLOOKUP(Tabla13[[#This Row],[SISMED]],TblDisponibilidad[],11,FALSE), 0)</f>
        <v>0</v>
      </c>
      <c r="H8">
        <f>IFERROR(VLOOKUP(Tabla13[[#This Row],[SISMED]],TblDisponibilidad[],12,FALSE), 0)</f>
        <v>0</v>
      </c>
      <c r="I8">
        <f>IFERROR(VLOOKUP(Tabla13[[#This Row],[SISMED]],TblDisponibilidad[],13,FALSE), 0)</f>
        <v>0</v>
      </c>
      <c r="J8">
        <f>IFERROR(VLOOKUP(Tabla13[[#This Row],[SISMED]],TblDisponibilidad[],14,FALSE), 0)</f>
        <v>0</v>
      </c>
      <c r="K8">
        <f>IFERROR(VLOOKUP(Tabla13[[#This Row],[SISMED]],TblDisponibilidad[],15,FALSE), 0)</f>
        <v>0</v>
      </c>
      <c r="L8">
        <f>IFERROR(VLOOKUP(Tabla13[[#This Row],[SISMED]],TblDisponibilidad[],16,FALSE), 0)</f>
        <v>0</v>
      </c>
      <c r="M8">
        <f>IFERROR(VLOOKUP(Tabla13[[#This Row],[SISMED]],TblDisponibilidad[],17,FALSE), 0)</f>
        <v>0</v>
      </c>
      <c r="N8">
        <f>IFERROR(VLOOKUP(Tabla13[[#This Row],[SISMED]],TblDisponibilidad[],18,FALSE), 0)</f>
        <v>0</v>
      </c>
      <c r="O8">
        <f>IFERROR(VLOOKUP(Tabla13[[#This Row],[SISMED]],TblDisponibilidad[],19,FALSE), 0)</f>
        <v>0</v>
      </c>
      <c r="P8">
        <f>IFERROR(VLOOKUP(Tabla13[[#This Row],[SISMED]],TblDisponibilidad[],20,FALSE), 0)</f>
        <v>0</v>
      </c>
      <c r="Q8">
        <f>IFERROR(VLOOKUP(Tabla13[[#This Row],[SISMED]],TblDisponibilidad[],21,FALSE), 0)</f>
        <v>0</v>
      </c>
      <c r="R8">
        <f>IFERROR(VLOOKUP(Tabla13[[#This Row],[SISMED]],TblDisponibilidad[],22,FALSE), 0)</f>
        <v>0</v>
      </c>
      <c r="S8" s="15">
        <f>IFERROR(VLOOKUP(Tabla13[[#This Row],[SISMED]],TblDisponibilidad[],23,FALSE), 0)</f>
        <v>0</v>
      </c>
    </row>
    <row r="9" spans="1:19" x14ac:dyDescent="0.3">
      <c r="A9" s="15" t="s">
        <v>39</v>
      </c>
      <c r="B9" t="str">
        <f>IFERROR(VLOOKUP(Tabla13[[#This Row],[SISMED]],TblDisponibilidad[],2,FALSE), "")</f>
        <v/>
      </c>
      <c r="C9">
        <f>IFERROR(VLOOKUP(Tabla13[[#This Row],[SISMED]],TblDisponibilidad[],7,FALSE), 0)</f>
        <v>0</v>
      </c>
      <c r="D9">
        <f>IFERROR(VLOOKUP(Tabla13[[#This Row],[SISMED]],TblDisponibilidad[],8,FALSE), 0)</f>
        <v>0</v>
      </c>
      <c r="E9">
        <f>IFERROR(VLOOKUP(Tabla13[[#This Row],[SISMED]],TblDisponibilidad[],9,FALSE), 0)</f>
        <v>0</v>
      </c>
      <c r="F9">
        <f>IFERROR(VLOOKUP(Tabla13[[#This Row],[SISMED]],TblDisponibilidad[],10,FALSE), 0)</f>
        <v>0</v>
      </c>
      <c r="G9">
        <f>IFERROR(VLOOKUP(Tabla13[[#This Row],[SISMED]],TblDisponibilidad[],11,FALSE), 0)</f>
        <v>0</v>
      </c>
      <c r="H9">
        <f>IFERROR(VLOOKUP(Tabla13[[#This Row],[SISMED]],TblDisponibilidad[],12,FALSE), 0)</f>
        <v>0</v>
      </c>
      <c r="I9">
        <f>IFERROR(VLOOKUP(Tabla13[[#This Row],[SISMED]],TblDisponibilidad[],13,FALSE), 0)</f>
        <v>0</v>
      </c>
      <c r="J9">
        <f>IFERROR(VLOOKUP(Tabla13[[#This Row],[SISMED]],TblDisponibilidad[],14,FALSE), 0)</f>
        <v>0</v>
      </c>
      <c r="K9">
        <f>IFERROR(VLOOKUP(Tabla13[[#This Row],[SISMED]],TblDisponibilidad[],15,FALSE), 0)</f>
        <v>0</v>
      </c>
      <c r="L9">
        <f>IFERROR(VLOOKUP(Tabla13[[#This Row],[SISMED]],TblDisponibilidad[],16,FALSE), 0)</f>
        <v>0</v>
      </c>
      <c r="M9">
        <f>IFERROR(VLOOKUP(Tabla13[[#This Row],[SISMED]],TblDisponibilidad[],17,FALSE), 0)</f>
        <v>0</v>
      </c>
      <c r="N9">
        <f>IFERROR(VLOOKUP(Tabla13[[#This Row],[SISMED]],TblDisponibilidad[],18,FALSE), 0)</f>
        <v>0</v>
      </c>
      <c r="O9">
        <f>IFERROR(VLOOKUP(Tabla13[[#This Row],[SISMED]],TblDisponibilidad[],19,FALSE), 0)</f>
        <v>0</v>
      </c>
      <c r="P9">
        <f>IFERROR(VLOOKUP(Tabla13[[#This Row],[SISMED]],TblDisponibilidad[],20,FALSE), 0)</f>
        <v>0</v>
      </c>
      <c r="Q9">
        <f>IFERROR(VLOOKUP(Tabla13[[#This Row],[SISMED]],TblDisponibilidad[],21,FALSE), 0)</f>
        <v>0</v>
      </c>
      <c r="R9">
        <f>IFERROR(VLOOKUP(Tabla13[[#This Row],[SISMED]],TblDisponibilidad[],22,FALSE), 0)</f>
        <v>0</v>
      </c>
      <c r="S9" s="15">
        <f>IFERROR(VLOOKUP(Tabla13[[#This Row],[SISMED]],TblDisponibilidad[],23,FALSE), 0)</f>
        <v>0</v>
      </c>
    </row>
    <row r="10" spans="1:19" x14ac:dyDescent="0.3">
      <c r="A10" s="15" t="s">
        <v>40</v>
      </c>
      <c r="B10" t="str">
        <f>IFERROR(VLOOKUP(Tabla13[[#This Row],[SISMED]],TblDisponibilidad[],2,FALSE), "")</f>
        <v/>
      </c>
      <c r="C10">
        <f>IFERROR(VLOOKUP(Tabla13[[#This Row],[SISMED]],TblDisponibilidad[],7,FALSE), 0)</f>
        <v>0</v>
      </c>
      <c r="D10">
        <f>IFERROR(VLOOKUP(Tabla13[[#This Row],[SISMED]],TblDisponibilidad[],8,FALSE), 0)</f>
        <v>0</v>
      </c>
      <c r="E10">
        <f>IFERROR(VLOOKUP(Tabla13[[#This Row],[SISMED]],TblDisponibilidad[],9,FALSE), 0)</f>
        <v>0</v>
      </c>
      <c r="F10">
        <f>IFERROR(VLOOKUP(Tabla13[[#This Row],[SISMED]],TblDisponibilidad[],10,FALSE), 0)</f>
        <v>0</v>
      </c>
      <c r="G10">
        <f>IFERROR(VLOOKUP(Tabla13[[#This Row],[SISMED]],TblDisponibilidad[],11,FALSE), 0)</f>
        <v>0</v>
      </c>
      <c r="H10">
        <f>IFERROR(VLOOKUP(Tabla13[[#This Row],[SISMED]],TblDisponibilidad[],12,FALSE), 0)</f>
        <v>0</v>
      </c>
      <c r="I10">
        <f>IFERROR(VLOOKUP(Tabla13[[#This Row],[SISMED]],TblDisponibilidad[],13,FALSE), 0)</f>
        <v>0</v>
      </c>
      <c r="J10">
        <f>IFERROR(VLOOKUP(Tabla13[[#This Row],[SISMED]],TblDisponibilidad[],14,FALSE), 0)</f>
        <v>0</v>
      </c>
      <c r="K10">
        <f>IFERROR(VLOOKUP(Tabla13[[#This Row],[SISMED]],TblDisponibilidad[],15,FALSE), 0)</f>
        <v>0</v>
      </c>
      <c r="L10">
        <f>IFERROR(VLOOKUP(Tabla13[[#This Row],[SISMED]],TblDisponibilidad[],16,FALSE), 0)</f>
        <v>0</v>
      </c>
      <c r="M10">
        <f>IFERROR(VLOOKUP(Tabla13[[#This Row],[SISMED]],TblDisponibilidad[],17,FALSE), 0)</f>
        <v>0</v>
      </c>
      <c r="N10">
        <f>IFERROR(VLOOKUP(Tabla13[[#This Row],[SISMED]],TblDisponibilidad[],18,FALSE), 0)</f>
        <v>0</v>
      </c>
      <c r="O10">
        <f>IFERROR(VLOOKUP(Tabla13[[#This Row],[SISMED]],TblDisponibilidad[],19,FALSE), 0)</f>
        <v>0</v>
      </c>
      <c r="P10">
        <f>IFERROR(VLOOKUP(Tabla13[[#This Row],[SISMED]],TblDisponibilidad[],20,FALSE), 0)</f>
        <v>0</v>
      </c>
      <c r="Q10">
        <f>IFERROR(VLOOKUP(Tabla13[[#This Row],[SISMED]],TblDisponibilidad[],21,FALSE), 0)</f>
        <v>0</v>
      </c>
      <c r="R10">
        <f>IFERROR(VLOOKUP(Tabla13[[#This Row],[SISMED]],TblDisponibilidad[],22,FALSE), 0)</f>
        <v>0</v>
      </c>
      <c r="S10" s="15">
        <f>IFERROR(VLOOKUP(Tabla13[[#This Row],[SISMED]],TblDisponibilidad[],23,FALSE), 0)</f>
        <v>0</v>
      </c>
    </row>
    <row r="11" spans="1:19" x14ac:dyDescent="0.3">
      <c r="A11" s="15" t="s">
        <v>41</v>
      </c>
      <c r="B11" t="str">
        <f>IFERROR(VLOOKUP(Tabla13[[#This Row],[SISMED]],TblDisponibilidad[],2,FALSE), "")</f>
        <v/>
      </c>
      <c r="C11">
        <f>IFERROR(VLOOKUP(Tabla13[[#This Row],[SISMED]],TblDisponibilidad[],7,FALSE), 0)</f>
        <v>0</v>
      </c>
      <c r="D11">
        <f>IFERROR(VLOOKUP(Tabla13[[#This Row],[SISMED]],TblDisponibilidad[],8,FALSE), 0)</f>
        <v>0</v>
      </c>
      <c r="E11">
        <f>IFERROR(VLOOKUP(Tabla13[[#This Row],[SISMED]],TblDisponibilidad[],9,FALSE), 0)</f>
        <v>0</v>
      </c>
      <c r="F11">
        <f>IFERROR(VLOOKUP(Tabla13[[#This Row],[SISMED]],TblDisponibilidad[],10,FALSE), 0)</f>
        <v>0</v>
      </c>
      <c r="G11">
        <f>IFERROR(VLOOKUP(Tabla13[[#This Row],[SISMED]],TblDisponibilidad[],11,FALSE), 0)</f>
        <v>0</v>
      </c>
      <c r="H11">
        <f>IFERROR(VLOOKUP(Tabla13[[#This Row],[SISMED]],TblDisponibilidad[],12,FALSE), 0)</f>
        <v>0</v>
      </c>
      <c r="I11">
        <f>IFERROR(VLOOKUP(Tabla13[[#This Row],[SISMED]],TblDisponibilidad[],13,FALSE), 0)</f>
        <v>0</v>
      </c>
      <c r="J11">
        <f>IFERROR(VLOOKUP(Tabla13[[#This Row],[SISMED]],TblDisponibilidad[],14,FALSE), 0)</f>
        <v>0</v>
      </c>
      <c r="K11">
        <f>IFERROR(VLOOKUP(Tabla13[[#This Row],[SISMED]],TblDisponibilidad[],15,FALSE), 0)</f>
        <v>0</v>
      </c>
      <c r="L11">
        <f>IFERROR(VLOOKUP(Tabla13[[#This Row],[SISMED]],TblDisponibilidad[],16,FALSE), 0)</f>
        <v>0</v>
      </c>
      <c r="M11">
        <f>IFERROR(VLOOKUP(Tabla13[[#This Row],[SISMED]],TblDisponibilidad[],17,FALSE), 0)</f>
        <v>0</v>
      </c>
      <c r="N11">
        <f>IFERROR(VLOOKUP(Tabla13[[#This Row],[SISMED]],TblDisponibilidad[],18,FALSE), 0)</f>
        <v>0</v>
      </c>
      <c r="O11">
        <f>IFERROR(VLOOKUP(Tabla13[[#This Row],[SISMED]],TblDisponibilidad[],19,FALSE), 0)</f>
        <v>0</v>
      </c>
      <c r="P11">
        <f>IFERROR(VLOOKUP(Tabla13[[#This Row],[SISMED]],TblDisponibilidad[],20,FALSE), 0)</f>
        <v>0</v>
      </c>
      <c r="Q11">
        <f>IFERROR(VLOOKUP(Tabla13[[#This Row],[SISMED]],TblDisponibilidad[],21,FALSE), 0)</f>
        <v>0</v>
      </c>
      <c r="R11">
        <f>IFERROR(VLOOKUP(Tabla13[[#This Row],[SISMED]],TblDisponibilidad[],22,FALSE), 0)</f>
        <v>0</v>
      </c>
      <c r="S11" s="15">
        <f>IFERROR(VLOOKUP(Tabla13[[#This Row],[SISMED]],TblDisponibilidad[],23,FALSE), 0)</f>
        <v>0</v>
      </c>
    </row>
    <row r="12" spans="1:19" x14ac:dyDescent="0.3">
      <c r="A12" s="15" t="s">
        <v>42</v>
      </c>
      <c r="B12" t="str">
        <f>IFERROR(VLOOKUP(Tabla13[[#This Row],[SISMED]],TblDisponibilidad[],2,FALSE), "")</f>
        <v/>
      </c>
      <c r="C12">
        <f>IFERROR(VLOOKUP(Tabla13[[#This Row],[SISMED]],TblDisponibilidad[],7,FALSE), 0)</f>
        <v>0</v>
      </c>
      <c r="D12">
        <f>IFERROR(VLOOKUP(Tabla13[[#This Row],[SISMED]],TblDisponibilidad[],8,FALSE), 0)</f>
        <v>0</v>
      </c>
      <c r="E12">
        <f>IFERROR(VLOOKUP(Tabla13[[#This Row],[SISMED]],TblDisponibilidad[],9,FALSE), 0)</f>
        <v>0</v>
      </c>
      <c r="F12">
        <f>IFERROR(VLOOKUP(Tabla13[[#This Row],[SISMED]],TblDisponibilidad[],10,FALSE), 0)</f>
        <v>0</v>
      </c>
      <c r="G12">
        <f>IFERROR(VLOOKUP(Tabla13[[#This Row],[SISMED]],TblDisponibilidad[],11,FALSE), 0)</f>
        <v>0</v>
      </c>
      <c r="H12">
        <f>IFERROR(VLOOKUP(Tabla13[[#This Row],[SISMED]],TblDisponibilidad[],12,FALSE), 0)</f>
        <v>0</v>
      </c>
      <c r="I12">
        <f>IFERROR(VLOOKUP(Tabla13[[#This Row],[SISMED]],TblDisponibilidad[],13,FALSE), 0)</f>
        <v>0</v>
      </c>
      <c r="J12">
        <f>IFERROR(VLOOKUP(Tabla13[[#This Row],[SISMED]],TblDisponibilidad[],14,FALSE), 0)</f>
        <v>0</v>
      </c>
      <c r="K12">
        <f>IFERROR(VLOOKUP(Tabla13[[#This Row],[SISMED]],TblDisponibilidad[],15,FALSE), 0)</f>
        <v>0</v>
      </c>
      <c r="L12">
        <f>IFERROR(VLOOKUP(Tabla13[[#This Row],[SISMED]],TblDisponibilidad[],16,FALSE), 0)</f>
        <v>0</v>
      </c>
      <c r="M12">
        <f>IFERROR(VLOOKUP(Tabla13[[#This Row],[SISMED]],TblDisponibilidad[],17,FALSE), 0)</f>
        <v>0</v>
      </c>
      <c r="N12">
        <f>IFERROR(VLOOKUP(Tabla13[[#This Row],[SISMED]],TblDisponibilidad[],18,FALSE), 0)</f>
        <v>0</v>
      </c>
      <c r="O12">
        <f>IFERROR(VLOOKUP(Tabla13[[#This Row],[SISMED]],TblDisponibilidad[],19,FALSE), 0)</f>
        <v>0</v>
      </c>
      <c r="P12">
        <f>IFERROR(VLOOKUP(Tabla13[[#This Row],[SISMED]],TblDisponibilidad[],20,FALSE), 0)</f>
        <v>0</v>
      </c>
      <c r="Q12">
        <f>IFERROR(VLOOKUP(Tabla13[[#This Row],[SISMED]],TblDisponibilidad[],21,FALSE), 0)</f>
        <v>0</v>
      </c>
      <c r="R12">
        <f>IFERROR(VLOOKUP(Tabla13[[#This Row],[SISMED]],TblDisponibilidad[],22,FALSE), 0)</f>
        <v>0</v>
      </c>
      <c r="S12" s="15">
        <f>IFERROR(VLOOKUP(Tabla13[[#This Row],[SISMED]],TblDisponibilidad[],23,FALSE), 0)</f>
        <v>0</v>
      </c>
    </row>
    <row r="13" spans="1:19" x14ac:dyDescent="0.3">
      <c r="A13" s="15" t="s">
        <v>43</v>
      </c>
      <c r="B13" t="str">
        <f>IFERROR(VLOOKUP(Tabla13[[#This Row],[SISMED]],TblDisponibilidad[],2,FALSE), "")</f>
        <v/>
      </c>
      <c r="C13">
        <f>IFERROR(VLOOKUP(Tabla13[[#This Row],[SISMED]],TblDisponibilidad[],7,FALSE), 0)</f>
        <v>0</v>
      </c>
      <c r="D13">
        <f>IFERROR(VLOOKUP(Tabla13[[#This Row],[SISMED]],TblDisponibilidad[],8,FALSE), 0)</f>
        <v>0</v>
      </c>
      <c r="E13">
        <f>IFERROR(VLOOKUP(Tabla13[[#This Row],[SISMED]],TblDisponibilidad[],9,FALSE), 0)</f>
        <v>0</v>
      </c>
      <c r="F13">
        <f>IFERROR(VLOOKUP(Tabla13[[#This Row],[SISMED]],TblDisponibilidad[],10,FALSE), 0)</f>
        <v>0</v>
      </c>
      <c r="G13">
        <f>IFERROR(VLOOKUP(Tabla13[[#This Row],[SISMED]],TblDisponibilidad[],11,FALSE), 0)</f>
        <v>0</v>
      </c>
      <c r="H13">
        <f>IFERROR(VLOOKUP(Tabla13[[#This Row],[SISMED]],TblDisponibilidad[],12,FALSE), 0)</f>
        <v>0</v>
      </c>
      <c r="I13">
        <f>IFERROR(VLOOKUP(Tabla13[[#This Row],[SISMED]],TblDisponibilidad[],13,FALSE), 0)</f>
        <v>0</v>
      </c>
      <c r="J13">
        <f>IFERROR(VLOOKUP(Tabla13[[#This Row],[SISMED]],TblDisponibilidad[],14,FALSE), 0)</f>
        <v>0</v>
      </c>
      <c r="K13">
        <f>IFERROR(VLOOKUP(Tabla13[[#This Row],[SISMED]],TblDisponibilidad[],15,FALSE), 0)</f>
        <v>0</v>
      </c>
      <c r="L13">
        <f>IFERROR(VLOOKUP(Tabla13[[#This Row],[SISMED]],TblDisponibilidad[],16,FALSE), 0)</f>
        <v>0</v>
      </c>
      <c r="M13">
        <f>IFERROR(VLOOKUP(Tabla13[[#This Row],[SISMED]],TblDisponibilidad[],17,FALSE), 0)</f>
        <v>0</v>
      </c>
      <c r="N13">
        <f>IFERROR(VLOOKUP(Tabla13[[#This Row],[SISMED]],TblDisponibilidad[],18,FALSE), 0)</f>
        <v>0</v>
      </c>
      <c r="O13">
        <f>IFERROR(VLOOKUP(Tabla13[[#This Row],[SISMED]],TblDisponibilidad[],19,FALSE), 0)</f>
        <v>0</v>
      </c>
      <c r="P13">
        <f>IFERROR(VLOOKUP(Tabla13[[#This Row],[SISMED]],TblDisponibilidad[],20,FALSE), 0)</f>
        <v>0</v>
      </c>
      <c r="Q13">
        <f>IFERROR(VLOOKUP(Tabla13[[#This Row],[SISMED]],TblDisponibilidad[],21,FALSE), 0)</f>
        <v>0</v>
      </c>
      <c r="R13">
        <f>IFERROR(VLOOKUP(Tabla13[[#This Row],[SISMED]],TblDisponibilidad[],22,FALSE), 0)</f>
        <v>0</v>
      </c>
      <c r="S13" s="15">
        <f>IFERROR(VLOOKUP(Tabla13[[#This Row],[SISMED]],TblDisponibilidad[],23,FALSE), 0)</f>
        <v>0</v>
      </c>
    </row>
    <row r="14" spans="1:19" x14ac:dyDescent="0.3">
      <c r="A14" s="15" t="s">
        <v>44</v>
      </c>
      <c r="B14" t="str">
        <f>IFERROR(VLOOKUP(Tabla13[[#This Row],[SISMED]],TblDisponibilidad[],2,FALSE), "")</f>
        <v/>
      </c>
      <c r="C14">
        <f>IFERROR(VLOOKUP(Tabla13[[#This Row],[SISMED]],TblDisponibilidad[],7,FALSE), 0)</f>
        <v>0</v>
      </c>
      <c r="D14">
        <f>IFERROR(VLOOKUP(Tabla13[[#This Row],[SISMED]],TblDisponibilidad[],8,FALSE), 0)</f>
        <v>0</v>
      </c>
      <c r="E14">
        <f>IFERROR(VLOOKUP(Tabla13[[#This Row],[SISMED]],TblDisponibilidad[],9,FALSE), 0)</f>
        <v>0</v>
      </c>
      <c r="F14">
        <f>IFERROR(VLOOKUP(Tabla13[[#This Row],[SISMED]],TblDisponibilidad[],10,FALSE), 0)</f>
        <v>0</v>
      </c>
      <c r="G14">
        <f>IFERROR(VLOOKUP(Tabla13[[#This Row],[SISMED]],TblDisponibilidad[],11,FALSE), 0)</f>
        <v>0</v>
      </c>
      <c r="H14">
        <f>IFERROR(VLOOKUP(Tabla13[[#This Row],[SISMED]],TblDisponibilidad[],12,FALSE), 0)</f>
        <v>0</v>
      </c>
      <c r="I14">
        <f>IFERROR(VLOOKUP(Tabla13[[#This Row],[SISMED]],TblDisponibilidad[],13,FALSE), 0)</f>
        <v>0</v>
      </c>
      <c r="J14">
        <f>IFERROR(VLOOKUP(Tabla13[[#This Row],[SISMED]],TblDisponibilidad[],14,FALSE), 0)</f>
        <v>0</v>
      </c>
      <c r="K14">
        <f>IFERROR(VLOOKUP(Tabla13[[#This Row],[SISMED]],TblDisponibilidad[],15,FALSE), 0)</f>
        <v>0</v>
      </c>
      <c r="L14">
        <f>IFERROR(VLOOKUP(Tabla13[[#This Row],[SISMED]],TblDisponibilidad[],16,FALSE), 0)</f>
        <v>0</v>
      </c>
      <c r="M14">
        <f>IFERROR(VLOOKUP(Tabla13[[#This Row],[SISMED]],TblDisponibilidad[],17,FALSE), 0)</f>
        <v>0</v>
      </c>
      <c r="N14">
        <f>IFERROR(VLOOKUP(Tabla13[[#This Row],[SISMED]],TblDisponibilidad[],18,FALSE), 0)</f>
        <v>0</v>
      </c>
      <c r="O14">
        <f>IFERROR(VLOOKUP(Tabla13[[#This Row],[SISMED]],TblDisponibilidad[],19,FALSE), 0)</f>
        <v>0</v>
      </c>
      <c r="P14">
        <f>IFERROR(VLOOKUP(Tabla13[[#This Row],[SISMED]],TblDisponibilidad[],20,FALSE), 0)</f>
        <v>0</v>
      </c>
      <c r="Q14">
        <f>IFERROR(VLOOKUP(Tabla13[[#This Row],[SISMED]],TblDisponibilidad[],21,FALSE), 0)</f>
        <v>0</v>
      </c>
      <c r="R14">
        <f>IFERROR(VLOOKUP(Tabla13[[#This Row],[SISMED]],TblDisponibilidad[],22,FALSE), 0)</f>
        <v>0</v>
      </c>
      <c r="S14" s="15">
        <f>IFERROR(VLOOKUP(Tabla13[[#This Row],[SISMED]],TblDisponibilidad[],23,FALSE), 0)</f>
        <v>0</v>
      </c>
    </row>
    <row r="15" spans="1:19" x14ac:dyDescent="0.3">
      <c r="A15" s="15" t="s">
        <v>45</v>
      </c>
      <c r="B15" t="str">
        <f>IFERROR(VLOOKUP(Tabla13[[#This Row],[SISMED]],TblDisponibilidad[],2,FALSE), "")</f>
        <v/>
      </c>
      <c r="C15">
        <f>IFERROR(VLOOKUP(Tabla13[[#This Row],[SISMED]],TblDisponibilidad[],7,FALSE), 0)</f>
        <v>0</v>
      </c>
      <c r="D15">
        <f>IFERROR(VLOOKUP(Tabla13[[#This Row],[SISMED]],TblDisponibilidad[],8,FALSE), 0)</f>
        <v>0</v>
      </c>
      <c r="E15">
        <f>IFERROR(VLOOKUP(Tabla13[[#This Row],[SISMED]],TblDisponibilidad[],9,FALSE), 0)</f>
        <v>0</v>
      </c>
      <c r="F15">
        <f>IFERROR(VLOOKUP(Tabla13[[#This Row],[SISMED]],TblDisponibilidad[],10,FALSE), 0)</f>
        <v>0</v>
      </c>
      <c r="G15">
        <f>IFERROR(VLOOKUP(Tabla13[[#This Row],[SISMED]],TblDisponibilidad[],11,FALSE), 0)</f>
        <v>0</v>
      </c>
      <c r="H15">
        <f>IFERROR(VLOOKUP(Tabla13[[#This Row],[SISMED]],TblDisponibilidad[],12,FALSE), 0)</f>
        <v>0</v>
      </c>
      <c r="I15">
        <f>IFERROR(VLOOKUP(Tabla13[[#This Row],[SISMED]],TblDisponibilidad[],13,FALSE), 0)</f>
        <v>0</v>
      </c>
      <c r="J15">
        <f>IFERROR(VLOOKUP(Tabla13[[#This Row],[SISMED]],TblDisponibilidad[],14,FALSE), 0)</f>
        <v>0</v>
      </c>
      <c r="K15">
        <f>IFERROR(VLOOKUP(Tabla13[[#This Row],[SISMED]],TblDisponibilidad[],15,FALSE), 0)</f>
        <v>0</v>
      </c>
      <c r="L15">
        <f>IFERROR(VLOOKUP(Tabla13[[#This Row],[SISMED]],TblDisponibilidad[],16,FALSE), 0)</f>
        <v>0</v>
      </c>
      <c r="M15">
        <f>IFERROR(VLOOKUP(Tabla13[[#This Row],[SISMED]],TblDisponibilidad[],17,FALSE), 0)</f>
        <v>0</v>
      </c>
      <c r="N15">
        <f>IFERROR(VLOOKUP(Tabla13[[#This Row],[SISMED]],TblDisponibilidad[],18,FALSE), 0)</f>
        <v>0</v>
      </c>
      <c r="O15">
        <f>IFERROR(VLOOKUP(Tabla13[[#This Row],[SISMED]],TblDisponibilidad[],19,FALSE), 0)</f>
        <v>0</v>
      </c>
      <c r="P15">
        <f>IFERROR(VLOOKUP(Tabla13[[#This Row],[SISMED]],TblDisponibilidad[],20,FALSE), 0)</f>
        <v>0</v>
      </c>
      <c r="Q15">
        <f>IFERROR(VLOOKUP(Tabla13[[#This Row],[SISMED]],TblDisponibilidad[],21,FALSE), 0)</f>
        <v>0</v>
      </c>
      <c r="R15">
        <f>IFERROR(VLOOKUP(Tabla13[[#This Row],[SISMED]],TblDisponibilidad[],22,FALSE), 0)</f>
        <v>0</v>
      </c>
      <c r="S15" s="15">
        <f>IFERROR(VLOOKUP(Tabla13[[#This Row],[SISMED]],TblDisponibilidad[],23,FALSE), 0)</f>
        <v>0</v>
      </c>
    </row>
    <row r="16" spans="1:19" x14ac:dyDescent="0.3">
      <c r="A16" s="15" t="s">
        <v>46</v>
      </c>
      <c r="B16" t="str">
        <f>IFERROR(VLOOKUP(Tabla13[[#This Row],[SISMED]],TblDisponibilidad[],2,FALSE), "")</f>
        <v/>
      </c>
      <c r="C16">
        <f>IFERROR(VLOOKUP(Tabla13[[#This Row],[SISMED]],TblDisponibilidad[],7,FALSE), 0)</f>
        <v>0</v>
      </c>
      <c r="D16">
        <f>IFERROR(VLOOKUP(Tabla13[[#This Row],[SISMED]],TblDisponibilidad[],8,FALSE), 0)</f>
        <v>0</v>
      </c>
      <c r="E16">
        <f>IFERROR(VLOOKUP(Tabla13[[#This Row],[SISMED]],TblDisponibilidad[],9,FALSE), 0)</f>
        <v>0</v>
      </c>
      <c r="F16">
        <f>IFERROR(VLOOKUP(Tabla13[[#This Row],[SISMED]],TblDisponibilidad[],10,FALSE), 0)</f>
        <v>0</v>
      </c>
      <c r="G16">
        <f>IFERROR(VLOOKUP(Tabla13[[#This Row],[SISMED]],TblDisponibilidad[],11,FALSE), 0)</f>
        <v>0</v>
      </c>
      <c r="H16">
        <f>IFERROR(VLOOKUP(Tabla13[[#This Row],[SISMED]],TblDisponibilidad[],12,FALSE), 0)</f>
        <v>0</v>
      </c>
      <c r="I16">
        <f>IFERROR(VLOOKUP(Tabla13[[#This Row],[SISMED]],TblDisponibilidad[],13,FALSE), 0)</f>
        <v>0</v>
      </c>
      <c r="J16">
        <f>IFERROR(VLOOKUP(Tabla13[[#This Row],[SISMED]],TblDisponibilidad[],14,FALSE), 0)</f>
        <v>0</v>
      </c>
      <c r="K16">
        <f>IFERROR(VLOOKUP(Tabla13[[#This Row],[SISMED]],TblDisponibilidad[],15,FALSE), 0)</f>
        <v>0</v>
      </c>
      <c r="L16">
        <f>IFERROR(VLOOKUP(Tabla13[[#This Row],[SISMED]],TblDisponibilidad[],16,FALSE), 0)</f>
        <v>0</v>
      </c>
      <c r="M16">
        <f>IFERROR(VLOOKUP(Tabla13[[#This Row],[SISMED]],TblDisponibilidad[],17,FALSE), 0)</f>
        <v>0</v>
      </c>
      <c r="N16">
        <f>IFERROR(VLOOKUP(Tabla13[[#This Row],[SISMED]],TblDisponibilidad[],18,FALSE), 0)</f>
        <v>0</v>
      </c>
      <c r="O16">
        <f>IFERROR(VLOOKUP(Tabla13[[#This Row],[SISMED]],TblDisponibilidad[],19,FALSE), 0)</f>
        <v>0</v>
      </c>
      <c r="P16">
        <f>IFERROR(VLOOKUP(Tabla13[[#This Row],[SISMED]],TblDisponibilidad[],20,FALSE), 0)</f>
        <v>0</v>
      </c>
      <c r="Q16">
        <f>IFERROR(VLOOKUP(Tabla13[[#This Row],[SISMED]],TblDisponibilidad[],21,FALSE), 0)</f>
        <v>0</v>
      </c>
      <c r="R16">
        <f>IFERROR(VLOOKUP(Tabla13[[#This Row],[SISMED]],TblDisponibilidad[],22,FALSE), 0)</f>
        <v>0</v>
      </c>
      <c r="S16" s="15">
        <f>IFERROR(VLOOKUP(Tabla13[[#This Row],[SISMED]],TblDisponibilidad[],23,FALSE), 0)</f>
        <v>0</v>
      </c>
    </row>
    <row r="17" spans="1:19" x14ac:dyDescent="0.3">
      <c r="A17" s="15" t="s">
        <v>47</v>
      </c>
      <c r="B17" t="str">
        <f>IFERROR(VLOOKUP(Tabla13[[#This Row],[SISMED]],TblDisponibilidad[],2,FALSE), "")</f>
        <v/>
      </c>
      <c r="C17">
        <f>IFERROR(VLOOKUP(Tabla13[[#This Row],[SISMED]],TblDisponibilidad[],7,FALSE), 0)</f>
        <v>0</v>
      </c>
      <c r="D17">
        <f>IFERROR(VLOOKUP(Tabla13[[#This Row],[SISMED]],TblDisponibilidad[],8,FALSE), 0)</f>
        <v>0</v>
      </c>
      <c r="E17">
        <f>IFERROR(VLOOKUP(Tabla13[[#This Row],[SISMED]],TblDisponibilidad[],9,FALSE), 0)</f>
        <v>0</v>
      </c>
      <c r="F17">
        <f>IFERROR(VLOOKUP(Tabla13[[#This Row],[SISMED]],TblDisponibilidad[],10,FALSE), 0)</f>
        <v>0</v>
      </c>
      <c r="G17">
        <f>IFERROR(VLOOKUP(Tabla13[[#This Row],[SISMED]],TblDisponibilidad[],11,FALSE), 0)</f>
        <v>0</v>
      </c>
      <c r="H17">
        <f>IFERROR(VLOOKUP(Tabla13[[#This Row],[SISMED]],TblDisponibilidad[],12,FALSE), 0)</f>
        <v>0</v>
      </c>
      <c r="I17">
        <f>IFERROR(VLOOKUP(Tabla13[[#This Row],[SISMED]],TblDisponibilidad[],13,FALSE), 0)</f>
        <v>0</v>
      </c>
      <c r="J17">
        <f>IFERROR(VLOOKUP(Tabla13[[#This Row],[SISMED]],TblDisponibilidad[],14,FALSE), 0)</f>
        <v>0</v>
      </c>
      <c r="K17">
        <f>IFERROR(VLOOKUP(Tabla13[[#This Row],[SISMED]],TblDisponibilidad[],15,FALSE), 0)</f>
        <v>0</v>
      </c>
      <c r="L17">
        <f>IFERROR(VLOOKUP(Tabla13[[#This Row],[SISMED]],TblDisponibilidad[],16,FALSE), 0)</f>
        <v>0</v>
      </c>
      <c r="M17">
        <f>IFERROR(VLOOKUP(Tabla13[[#This Row],[SISMED]],TblDisponibilidad[],17,FALSE), 0)</f>
        <v>0</v>
      </c>
      <c r="N17">
        <f>IFERROR(VLOOKUP(Tabla13[[#This Row],[SISMED]],TblDisponibilidad[],18,FALSE), 0)</f>
        <v>0</v>
      </c>
      <c r="O17">
        <f>IFERROR(VLOOKUP(Tabla13[[#This Row],[SISMED]],TblDisponibilidad[],19,FALSE), 0)</f>
        <v>0</v>
      </c>
      <c r="P17">
        <f>IFERROR(VLOOKUP(Tabla13[[#This Row],[SISMED]],TblDisponibilidad[],20,FALSE), 0)</f>
        <v>0</v>
      </c>
      <c r="Q17">
        <f>IFERROR(VLOOKUP(Tabla13[[#This Row],[SISMED]],TblDisponibilidad[],21,FALSE), 0)</f>
        <v>0</v>
      </c>
      <c r="R17">
        <f>IFERROR(VLOOKUP(Tabla13[[#This Row],[SISMED]],TblDisponibilidad[],22,FALSE), 0)</f>
        <v>0</v>
      </c>
      <c r="S17" s="15">
        <f>IFERROR(VLOOKUP(Tabla13[[#This Row],[SISMED]],TblDisponibilidad[],23,FALSE), 0)</f>
        <v>0</v>
      </c>
    </row>
    <row r="18" spans="1:19" x14ac:dyDescent="0.3">
      <c r="A18" s="15" t="s">
        <v>48</v>
      </c>
      <c r="B18" t="str">
        <f>IFERROR(VLOOKUP(Tabla13[[#This Row],[SISMED]],TblDisponibilidad[],2,FALSE), "")</f>
        <v/>
      </c>
      <c r="C18">
        <f>IFERROR(VLOOKUP(Tabla13[[#This Row],[SISMED]],TblDisponibilidad[],7,FALSE), 0)</f>
        <v>0</v>
      </c>
      <c r="D18">
        <f>IFERROR(VLOOKUP(Tabla13[[#This Row],[SISMED]],TblDisponibilidad[],8,FALSE), 0)</f>
        <v>0</v>
      </c>
      <c r="E18">
        <f>IFERROR(VLOOKUP(Tabla13[[#This Row],[SISMED]],TblDisponibilidad[],9,FALSE), 0)</f>
        <v>0</v>
      </c>
      <c r="F18">
        <f>IFERROR(VLOOKUP(Tabla13[[#This Row],[SISMED]],TblDisponibilidad[],10,FALSE), 0)</f>
        <v>0</v>
      </c>
      <c r="G18">
        <f>IFERROR(VLOOKUP(Tabla13[[#This Row],[SISMED]],TblDisponibilidad[],11,FALSE), 0)</f>
        <v>0</v>
      </c>
      <c r="H18">
        <f>IFERROR(VLOOKUP(Tabla13[[#This Row],[SISMED]],TblDisponibilidad[],12,FALSE), 0)</f>
        <v>0</v>
      </c>
      <c r="I18">
        <f>IFERROR(VLOOKUP(Tabla13[[#This Row],[SISMED]],TblDisponibilidad[],13,FALSE), 0)</f>
        <v>0</v>
      </c>
      <c r="J18">
        <f>IFERROR(VLOOKUP(Tabla13[[#This Row],[SISMED]],TblDisponibilidad[],14,FALSE), 0)</f>
        <v>0</v>
      </c>
      <c r="K18">
        <f>IFERROR(VLOOKUP(Tabla13[[#This Row],[SISMED]],TblDisponibilidad[],15,FALSE), 0)</f>
        <v>0</v>
      </c>
      <c r="L18">
        <f>IFERROR(VLOOKUP(Tabla13[[#This Row],[SISMED]],TblDisponibilidad[],16,FALSE), 0)</f>
        <v>0</v>
      </c>
      <c r="M18">
        <f>IFERROR(VLOOKUP(Tabla13[[#This Row],[SISMED]],TblDisponibilidad[],17,FALSE), 0)</f>
        <v>0</v>
      </c>
      <c r="N18">
        <f>IFERROR(VLOOKUP(Tabla13[[#This Row],[SISMED]],TblDisponibilidad[],18,FALSE), 0)</f>
        <v>0</v>
      </c>
      <c r="O18">
        <f>IFERROR(VLOOKUP(Tabla13[[#This Row],[SISMED]],TblDisponibilidad[],19,FALSE), 0)</f>
        <v>0</v>
      </c>
      <c r="P18">
        <f>IFERROR(VLOOKUP(Tabla13[[#This Row],[SISMED]],TblDisponibilidad[],20,FALSE), 0)</f>
        <v>0</v>
      </c>
      <c r="Q18">
        <f>IFERROR(VLOOKUP(Tabla13[[#This Row],[SISMED]],TblDisponibilidad[],21,FALSE), 0)</f>
        <v>0</v>
      </c>
      <c r="R18">
        <f>IFERROR(VLOOKUP(Tabla13[[#This Row],[SISMED]],TblDisponibilidad[],22,FALSE), 0)</f>
        <v>0</v>
      </c>
      <c r="S18" s="15">
        <f>IFERROR(VLOOKUP(Tabla13[[#This Row],[SISMED]],TblDisponibilidad[],23,FALSE), 0)</f>
        <v>0</v>
      </c>
    </row>
    <row r="19" spans="1:19" x14ac:dyDescent="0.3">
      <c r="A19" s="15" t="s">
        <v>49</v>
      </c>
      <c r="B19" t="str">
        <f>IFERROR(VLOOKUP(Tabla13[[#This Row],[SISMED]],TblDisponibilidad[],2,FALSE), "")</f>
        <v/>
      </c>
      <c r="C19">
        <f>IFERROR(VLOOKUP(Tabla13[[#This Row],[SISMED]],TblDisponibilidad[],7,FALSE), 0)</f>
        <v>0</v>
      </c>
      <c r="D19">
        <f>IFERROR(VLOOKUP(Tabla13[[#This Row],[SISMED]],TblDisponibilidad[],8,FALSE), 0)</f>
        <v>0</v>
      </c>
      <c r="E19">
        <f>IFERROR(VLOOKUP(Tabla13[[#This Row],[SISMED]],TblDisponibilidad[],9,FALSE), 0)</f>
        <v>0</v>
      </c>
      <c r="F19">
        <f>IFERROR(VLOOKUP(Tabla13[[#This Row],[SISMED]],TblDisponibilidad[],10,FALSE), 0)</f>
        <v>0</v>
      </c>
      <c r="G19">
        <f>IFERROR(VLOOKUP(Tabla13[[#This Row],[SISMED]],TblDisponibilidad[],11,FALSE), 0)</f>
        <v>0</v>
      </c>
      <c r="H19">
        <f>IFERROR(VLOOKUP(Tabla13[[#This Row],[SISMED]],TblDisponibilidad[],12,FALSE), 0)</f>
        <v>0</v>
      </c>
      <c r="I19">
        <f>IFERROR(VLOOKUP(Tabla13[[#This Row],[SISMED]],TblDisponibilidad[],13,FALSE), 0)</f>
        <v>0</v>
      </c>
      <c r="J19">
        <f>IFERROR(VLOOKUP(Tabla13[[#This Row],[SISMED]],TblDisponibilidad[],14,FALSE), 0)</f>
        <v>0</v>
      </c>
      <c r="K19">
        <f>IFERROR(VLOOKUP(Tabla13[[#This Row],[SISMED]],TblDisponibilidad[],15,FALSE), 0)</f>
        <v>0</v>
      </c>
      <c r="L19">
        <f>IFERROR(VLOOKUP(Tabla13[[#This Row],[SISMED]],TblDisponibilidad[],16,FALSE), 0)</f>
        <v>0</v>
      </c>
      <c r="M19">
        <f>IFERROR(VLOOKUP(Tabla13[[#This Row],[SISMED]],TblDisponibilidad[],17,FALSE), 0)</f>
        <v>0</v>
      </c>
      <c r="N19">
        <f>IFERROR(VLOOKUP(Tabla13[[#This Row],[SISMED]],TblDisponibilidad[],18,FALSE), 0)</f>
        <v>0</v>
      </c>
      <c r="O19">
        <f>IFERROR(VLOOKUP(Tabla13[[#This Row],[SISMED]],TblDisponibilidad[],19,FALSE), 0)</f>
        <v>0</v>
      </c>
      <c r="P19">
        <f>IFERROR(VLOOKUP(Tabla13[[#This Row],[SISMED]],TblDisponibilidad[],20,FALSE), 0)</f>
        <v>0</v>
      </c>
      <c r="Q19">
        <f>IFERROR(VLOOKUP(Tabla13[[#This Row],[SISMED]],TblDisponibilidad[],21,FALSE), 0)</f>
        <v>0</v>
      </c>
      <c r="R19">
        <f>IFERROR(VLOOKUP(Tabla13[[#This Row],[SISMED]],TblDisponibilidad[],22,FALSE), 0)</f>
        <v>0</v>
      </c>
      <c r="S19" s="15">
        <f>IFERROR(VLOOKUP(Tabla13[[#This Row],[SISMED]],TblDisponibilidad[],23,FALSE), 0)</f>
        <v>0</v>
      </c>
    </row>
    <row r="20" spans="1:19" x14ac:dyDescent="0.3">
      <c r="A20" s="15" t="s">
        <v>50</v>
      </c>
      <c r="B20" t="str">
        <f>IFERROR(VLOOKUP(Tabla13[[#This Row],[SISMED]],TblDisponibilidad[],2,FALSE), "")</f>
        <v/>
      </c>
      <c r="C20">
        <f>IFERROR(VLOOKUP(Tabla13[[#This Row],[SISMED]],TblDisponibilidad[],7,FALSE), 0)</f>
        <v>0</v>
      </c>
      <c r="D20">
        <f>IFERROR(VLOOKUP(Tabla13[[#This Row],[SISMED]],TblDisponibilidad[],8,FALSE), 0)</f>
        <v>0</v>
      </c>
      <c r="E20">
        <f>IFERROR(VLOOKUP(Tabla13[[#This Row],[SISMED]],TblDisponibilidad[],9,FALSE), 0)</f>
        <v>0</v>
      </c>
      <c r="F20">
        <f>IFERROR(VLOOKUP(Tabla13[[#This Row],[SISMED]],TblDisponibilidad[],10,FALSE), 0)</f>
        <v>0</v>
      </c>
      <c r="G20">
        <f>IFERROR(VLOOKUP(Tabla13[[#This Row],[SISMED]],TblDisponibilidad[],11,FALSE), 0)</f>
        <v>0</v>
      </c>
      <c r="H20">
        <f>IFERROR(VLOOKUP(Tabla13[[#This Row],[SISMED]],TblDisponibilidad[],12,FALSE), 0)</f>
        <v>0</v>
      </c>
      <c r="I20">
        <f>IFERROR(VLOOKUP(Tabla13[[#This Row],[SISMED]],TblDisponibilidad[],13,FALSE), 0)</f>
        <v>0</v>
      </c>
      <c r="J20">
        <f>IFERROR(VLOOKUP(Tabla13[[#This Row],[SISMED]],TblDisponibilidad[],14,FALSE), 0)</f>
        <v>0</v>
      </c>
      <c r="K20">
        <f>IFERROR(VLOOKUP(Tabla13[[#This Row],[SISMED]],TblDisponibilidad[],15,FALSE), 0)</f>
        <v>0</v>
      </c>
      <c r="L20">
        <f>IFERROR(VLOOKUP(Tabla13[[#This Row],[SISMED]],TblDisponibilidad[],16,FALSE), 0)</f>
        <v>0</v>
      </c>
      <c r="M20">
        <f>IFERROR(VLOOKUP(Tabla13[[#This Row],[SISMED]],TblDisponibilidad[],17,FALSE), 0)</f>
        <v>0</v>
      </c>
      <c r="N20">
        <f>IFERROR(VLOOKUP(Tabla13[[#This Row],[SISMED]],TblDisponibilidad[],18,FALSE), 0)</f>
        <v>0</v>
      </c>
      <c r="O20">
        <f>IFERROR(VLOOKUP(Tabla13[[#This Row],[SISMED]],TblDisponibilidad[],19,FALSE), 0)</f>
        <v>0</v>
      </c>
      <c r="P20">
        <f>IFERROR(VLOOKUP(Tabla13[[#This Row],[SISMED]],TblDisponibilidad[],20,FALSE), 0)</f>
        <v>0</v>
      </c>
      <c r="Q20">
        <f>IFERROR(VLOOKUP(Tabla13[[#This Row],[SISMED]],TblDisponibilidad[],21,FALSE), 0)</f>
        <v>0</v>
      </c>
      <c r="R20">
        <f>IFERROR(VLOOKUP(Tabla13[[#This Row],[SISMED]],TblDisponibilidad[],22,FALSE), 0)</f>
        <v>0</v>
      </c>
      <c r="S20" s="15">
        <f>IFERROR(VLOOKUP(Tabla13[[#This Row],[SISMED]],TblDisponibilidad[],23,FALSE), 0)</f>
        <v>0</v>
      </c>
    </row>
    <row r="21" spans="1:19" x14ac:dyDescent="0.3">
      <c r="A21" s="15" t="s">
        <v>51</v>
      </c>
      <c r="B21" t="str">
        <f>IFERROR(VLOOKUP(Tabla13[[#This Row],[SISMED]],TblDisponibilidad[],2,FALSE), "")</f>
        <v/>
      </c>
      <c r="C21">
        <f>IFERROR(VLOOKUP(Tabla13[[#This Row],[SISMED]],TblDisponibilidad[],7,FALSE), 0)</f>
        <v>0</v>
      </c>
      <c r="D21">
        <f>IFERROR(VLOOKUP(Tabla13[[#This Row],[SISMED]],TblDisponibilidad[],8,FALSE), 0)</f>
        <v>0</v>
      </c>
      <c r="E21">
        <f>IFERROR(VLOOKUP(Tabla13[[#This Row],[SISMED]],TblDisponibilidad[],9,FALSE), 0)</f>
        <v>0</v>
      </c>
      <c r="F21">
        <f>IFERROR(VLOOKUP(Tabla13[[#This Row],[SISMED]],TblDisponibilidad[],10,FALSE), 0)</f>
        <v>0</v>
      </c>
      <c r="G21">
        <f>IFERROR(VLOOKUP(Tabla13[[#This Row],[SISMED]],TblDisponibilidad[],11,FALSE), 0)</f>
        <v>0</v>
      </c>
      <c r="H21">
        <f>IFERROR(VLOOKUP(Tabla13[[#This Row],[SISMED]],TblDisponibilidad[],12,FALSE), 0)</f>
        <v>0</v>
      </c>
      <c r="I21">
        <f>IFERROR(VLOOKUP(Tabla13[[#This Row],[SISMED]],TblDisponibilidad[],13,FALSE), 0)</f>
        <v>0</v>
      </c>
      <c r="J21">
        <f>IFERROR(VLOOKUP(Tabla13[[#This Row],[SISMED]],TblDisponibilidad[],14,FALSE), 0)</f>
        <v>0</v>
      </c>
      <c r="K21">
        <f>IFERROR(VLOOKUP(Tabla13[[#This Row],[SISMED]],TblDisponibilidad[],15,FALSE), 0)</f>
        <v>0</v>
      </c>
      <c r="L21">
        <f>IFERROR(VLOOKUP(Tabla13[[#This Row],[SISMED]],TblDisponibilidad[],16,FALSE), 0)</f>
        <v>0</v>
      </c>
      <c r="M21">
        <f>IFERROR(VLOOKUP(Tabla13[[#This Row],[SISMED]],TblDisponibilidad[],17,FALSE), 0)</f>
        <v>0</v>
      </c>
      <c r="N21">
        <f>IFERROR(VLOOKUP(Tabla13[[#This Row],[SISMED]],TblDisponibilidad[],18,FALSE), 0)</f>
        <v>0</v>
      </c>
      <c r="O21">
        <f>IFERROR(VLOOKUP(Tabla13[[#This Row],[SISMED]],TblDisponibilidad[],19,FALSE), 0)</f>
        <v>0</v>
      </c>
      <c r="P21">
        <f>IFERROR(VLOOKUP(Tabla13[[#This Row],[SISMED]],TblDisponibilidad[],20,FALSE), 0)</f>
        <v>0</v>
      </c>
      <c r="Q21">
        <f>IFERROR(VLOOKUP(Tabla13[[#This Row],[SISMED]],TblDisponibilidad[],21,FALSE), 0)</f>
        <v>0</v>
      </c>
      <c r="R21">
        <f>IFERROR(VLOOKUP(Tabla13[[#This Row],[SISMED]],TblDisponibilidad[],22,FALSE), 0)</f>
        <v>0</v>
      </c>
      <c r="S21" s="15">
        <f>IFERROR(VLOOKUP(Tabla13[[#This Row],[SISMED]],TblDisponibilidad[],23,FALSE), 0)</f>
        <v>0</v>
      </c>
    </row>
    <row r="22" spans="1:19" x14ac:dyDescent="0.3">
      <c r="A22" s="15" t="s">
        <v>52</v>
      </c>
      <c r="B22" t="str">
        <f>IFERROR(VLOOKUP(Tabla13[[#This Row],[SISMED]],TblDisponibilidad[],2,FALSE), "")</f>
        <v/>
      </c>
      <c r="C22">
        <f>IFERROR(VLOOKUP(Tabla13[[#This Row],[SISMED]],TblDisponibilidad[],7,FALSE), 0)</f>
        <v>0</v>
      </c>
      <c r="D22">
        <f>IFERROR(VLOOKUP(Tabla13[[#This Row],[SISMED]],TblDisponibilidad[],8,FALSE), 0)</f>
        <v>0</v>
      </c>
      <c r="E22">
        <f>IFERROR(VLOOKUP(Tabla13[[#This Row],[SISMED]],TblDisponibilidad[],9,FALSE), 0)</f>
        <v>0</v>
      </c>
      <c r="F22">
        <f>IFERROR(VLOOKUP(Tabla13[[#This Row],[SISMED]],TblDisponibilidad[],10,FALSE), 0)</f>
        <v>0</v>
      </c>
      <c r="G22">
        <f>IFERROR(VLOOKUP(Tabla13[[#This Row],[SISMED]],TblDisponibilidad[],11,FALSE), 0)</f>
        <v>0</v>
      </c>
      <c r="H22">
        <f>IFERROR(VLOOKUP(Tabla13[[#This Row],[SISMED]],TblDisponibilidad[],12,FALSE), 0)</f>
        <v>0</v>
      </c>
      <c r="I22">
        <f>IFERROR(VLOOKUP(Tabla13[[#This Row],[SISMED]],TblDisponibilidad[],13,FALSE), 0)</f>
        <v>0</v>
      </c>
      <c r="J22">
        <f>IFERROR(VLOOKUP(Tabla13[[#This Row],[SISMED]],TblDisponibilidad[],14,FALSE), 0)</f>
        <v>0</v>
      </c>
      <c r="K22">
        <f>IFERROR(VLOOKUP(Tabla13[[#This Row],[SISMED]],TblDisponibilidad[],15,FALSE), 0)</f>
        <v>0</v>
      </c>
      <c r="L22">
        <f>IFERROR(VLOOKUP(Tabla13[[#This Row],[SISMED]],TblDisponibilidad[],16,FALSE), 0)</f>
        <v>0</v>
      </c>
      <c r="M22">
        <f>IFERROR(VLOOKUP(Tabla13[[#This Row],[SISMED]],TblDisponibilidad[],17,FALSE), 0)</f>
        <v>0</v>
      </c>
      <c r="N22">
        <f>IFERROR(VLOOKUP(Tabla13[[#This Row],[SISMED]],TblDisponibilidad[],18,FALSE), 0)</f>
        <v>0</v>
      </c>
      <c r="O22">
        <f>IFERROR(VLOOKUP(Tabla13[[#This Row],[SISMED]],TblDisponibilidad[],19,FALSE), 0)</f>
        <v>0</v>
      </c>
      <c r="P22">
        <f>IFERROR(VLOOKUP(Tabla13[[#This Row],[SISMED]],TblDisponibilidad[],20,FALSE), 0)</f>
        <v>0</v>
      </c>
      <c r="Q22">
        <f>IFERROR(VLOOKUP(Tabla13[[#This Row],[SISMED]],TblDisponibilidad[],21,FALSE), 0)</f>
        <v>0</v>
      </c>
      <c r="R22">
        <f>IFERROR(VLOOKUP(Tabla13[[#This Row],[SISMED]],TblDisponibilidad[],22,FALSE), 0)</f>
        <v>0</v>
      </c>
      <c r="S22" s="15">
        <f>IFERROR(VLOOKUP(Tabla13[[#This Row],[SISMED]],TblDisponibilidad[],23,FALSE), 0)</f>
        <v>0</v>
      </c>
    </row>
    <row r="23" spans="1:19" x14ac:dyDescent="0.3">
      <c r="A23" s="15" t="s">
        <v>53</v>
      </c>
      <c r="B23" t="str">
        <f>IFERROR(VLOOKUP(Tabla13[[#This Row],[SISMED]],TblDisponibilidad[],2,FALSE), "")</f>
        <v/>
      </c>
      <c r="C23">
        <f>IFERROR(VLOOKUP(Tabla13[[#This Row],[SISMED]],TblDisponibilidad[],7,FALSE), 0)</f>
        <v>0</v>
      </c>
      <c r="D23">
        <f>IFERROR(VLOOKUP(Tabla13[[#This Row],[SISMED]],TblDisponibilidad[],8,FALSE), 0)</f>
        <v>0</v>
      </c>
      <c r="E23">
        <f>IFERROR(VLOOKUP(Tabla13[[#This Row],[SISMED]],TblDisponibilidad[],9,FALSE), 0)</f>
        <v>0</v>
      </c>
      <c r="F23">
        <f>IFERROR(VLOOKUP(Tabla13[[#This Row],[SISMED]],TblDisponibilidad[],10,FALSE), 0)</f>
        <v>0</v>
      </c>
      <c r="G23">
        <f>IFERROR(VLOOKUP(Tabla13[[#This Row],[SISMED]],TblDisponibilidad[],11,FALSE), 0)</f>
        <v>0</v>
      </c>
      <c r="H23">
        <f>IFERROR(VLOOKUP(Tabla13[[#This Row],[SISMED]],TblDisponibilidad[],12,FALSE), 0)</f>
        <v>0</v>
      </c>
      <c r="I23">
        <f>IFERROR(VLOOKUP(Tabla13[[#This Row],[SISMED]],TblDisponibilidad[],13,FALSE), 0)</f>
        <v>0</v>
      </c>
      <c r="J23">
        <f>IFERROR(VLOOKUP(Tabla13[[#This Row],[SISMED]],TblDisponibilidad[],14,FALSE), 0)</f>
        <v>0</v>
      </c>
      <c r="K23">
        <f>IFERROR(VLOOKUP(Tabla13[[#This Row],[SISMED]],TblDisponibilidad[],15,FALSE), 0)</f>
        <v>0</v>
      </c>
      <c r="L23">
        <f>IFERROR(VLOOKUP(Tabla13[[#This Row],[SISMED]],TblDisponibilidad[],16,FALSE), 0)</f>
        <v>0</v>
      </c>
      <c r="M23">
        <f>IFERROR(VLOOKUP(Tabla13[[#This Row],[SISMED]],TblDisponibilidad[],17,FALSE), 0)</f>
        <v>0</v>
      </c>
      <c r="N23">
        <f>IFERROR(VLOOKUP(Tabla13[[#This Row],[SISMED]],TblDisponibilidad[],18,FALSE), 0)</f>
        <v>0</v>
      </c>
      <c r="O23">
        <f>IFERROR(VLOOKUP(Tabla13[[#This Row],[SISMED]],TblDisponibilidad[],19,FALSE), 0)</f>
        <v>0</v>
      </c>
      <c r="P23">
        <f>IFERROR(VLOOKUP(Tabla13[[#This Row],[SISMED]],TblDisponibilidad[],20,FALSE), 0)</f>
        <v>0</v>
      </c>
      <c r="Q23">
        <f>IFERROR(VLOOKUP(Tabla13[[#This Row],[SISMED]],TblDisponibilidad[],21,FALSE), 0)</f>
        <v>0</v>
      </c>
      <c r="R23">
        <f>IFERROR(VLOOKUP(Tabla13[[#This Row],[SISMED]],TblDisponibilidad[],22,FALSE), 0)</f>
        <v>0</v>
      </c>
      <c r="S23" s="15">
        <f>IFERROR(VLOOKUP(Tabla13[[#This Row],[SISMED]],TblDisponibilidad[],23,FALSE), 0)</f>
        <v>0</v>
      </c>
    </row>
    <row r="24" spans="1:19" x14ac:dyDescent="0.3">
      <c r="A24" s="15" t="s">
        <v>54</v>
      </c>
      <c r="B24" t="str">
        <f>IFERROR(VLOOKUP(Tabla13[[#This Row],[SISMED]],TblDisponibilidad[],2,FALSE), "")</f>
        <v/>
      </c>
      <c r="C24">
        <f>IFERROR(VLOOKUP(Tabla13[[#This Row],[SISMED]],TblDisponibilidad[],7,FALSE), 0)</f>
        <v>0</v>
      </c>
      <c r="D24">
        <f>IFERROR(VLOOKUP(Tabla13[[#This Row],[SISMED]],TblDisponibilidad[],8,FALSE), 0)</f>
        <v>0</v>
      </c>
      <c r="E24">
        <f>IFERROR(VLOOKUP(Tabla13[[#This Row],[SISMED]],TblDisponibilidad[],9,FALSE), 0)</f>
        <v>0</v>
      </c>
      <c r="F24">
        <f>IFERROR(VLOOKUP(Tabla13[[#This Row],[SISMED]],TblDisponibilidad[],10,FALSE), 0)</f>
        <v>0</v>
      </c>
      <c r="G24">
        <f>IFERROR(VLOOKUP(Tabla13[[#This Row],[SISMED]],TblDisponibilidad[],11,FALSE), 0)</f>
        <v>0</v>
      </c>
      <c r="H24">
        <f>IFERROR(VLOOKUP(Tabla13[[#This Row],[SISMED]],TblDisponibilidad[],12,FALSE), 0)</f>
        <v>0</v>
      </c>
      <c r="I24">
        <f>IFERROR(VLOOKUP(Tabla13[[#This Row],[SISMED]],TblDisponibilidad[],13,FALSE), 0)</f>
        <v>0</v>
      </c>
      <c r="J24">
        <f>IFERROR(VLOOKUP(Tabla13[[#This Row],[SISMED]],TblDisponibilidad[],14,FALSE), 0)</f>
        <v>0</v>
      </c>
      <c r="K24">
        <f>IFERROR(VLOOKUP(Tabla13[[#This Row],[SISMED]],TblDisponibilidad[],15,FALSE), 0)</f>
        <v>0</v>
      </c>
      <c r="L24">
        <f>IFERROR(VLOOKUP(Tabla13[[#This Row],[SISMED]],TblDisponibilidad[],16,FALSE), 0)</f>
        <v>0</v>
      </c>
      <c r="M24">
        <f>IFERROR(VLOOKUP(Tabla13[[#This Row],[SISMED]],TblDisponibilidad[],17,FALSE), 0)</f>
        <v>0</v>
      </c>
      <c r="N24">
        <f>IFERROR(VLOOKUP(Tabla13[[#This Row],[SISMED]],TblDisponibilidad[],18,FALSE), 0)</f>
        <v>0</v>
      </c>
      <c r="O24">
        <f>IFERROR(VLOOKUP(Tabla13[[#This Row],[SISMED]],TblDisponibilidad[],19,FALSE), 0)</f>
        <v>0</v>
      </c>
      <c r="P24">
        <f>IFERROR(VLOOKUP(Tabla13[[#This Row],[SISMED]],TblDisponibilidad[],20,FALSE), 0)</f>
        <v>0</v>
      </c>
      <c r="Q24">
        <f>IFERROR(VLOOKUP(Tabla13[[#This Row],[SISMED]],TblDisponibilidad[],21,FALSE), 0)</f>
        <v>0</v>
      </c>
      <c r="R24">
        <f>IFERROR(VLOOKUP(Tabla13[[#This Row],[SISMED]],TblDisponibilidad[],22,FALSE), 0)</f>
        <v>0</v>
      </c>
      <c r="S24" s="15">
        <f>IFERROR(VLOOKUP(Tabla13[[#This Row],[SISMED]],TblDisponibilidad[],23,FALSE), 0)</f>
        <v>0</v>
      </c>
    </row>
    <row r="25" spans="1:19" x14ac:dyDescent="0.3">
      <c r="A25" s="15" t="s">
        <v>55</v>
      </c>
      <c r="B25" t="str">
        <f>IFERROR(VLOOKUP(Tabla13[[#This Row],[SISMED]],TblDisponibilidad[],2,FALSE), "")</f>
        <v/>
      </c>
      <c r="C25">
        <f>IFERROR(VLOOKUP(Tabla13[[#This Row],[SISMED]],TblDisponibilidad[],7,FALSE), 0)</f>
        <v>0</v>
      </c>
      <c r="D25">
        <f>IFERROR(VLOOKUP(Tabla13[[#This Row],[SISMED]],TblDisponibilidad[],8,FALSE), 0)</f>
        <v>0</v>
      </c>
      <c r="E25">
        <f>IFERROR(VLOOKUP(Tabla13[[#This Row],[SISMED]],TblDisponibilidad[],9,FALSE), 0)</f>
        <v>0</v>
      </c>
      <c r="F25">
        <f>IFERROR(VLOOKUP(Tabla13[[#This Row],[SISMED]],TblDisponibilidad[],10,FALSE), 0)</f>
        <v>0</v>
      </c>
      <c r="G25">
        <f>IFERROR(VLOOKUP(Tabla13[[#This Row],[SISMED]],TblDisponibilidad[],11,FALSE), 0)</f>
        <v>0</v>
      </c>
      <c r="H25">
        <f>IFERROR(VLOOKUP(Tabla13[[#This Row],[SISMED]],TblDisponibilidad[],12,FALSE), 0)</f>
        <v>0</v>
      </c>
      <c r="I25">
        <f>IFERROR(VLOOKUP(Tabla13[[#This Row],[SISMED]],TblDisponibilidad[],13,FALSE), 0)</f>
        <v>0</v>
      </c>
      <c r="J25">
        <f>IFERROR(VLOOKUP(Tabla13[[#This Row],[SISMED]],TblDisponibilidad[],14,FALSE), 0)</f>
        <v>0</v>
      </c>
      <c r="K25">
        <f>IFERROR(VLOOKUP(Tabla13[[#This Row],[SISMED]],TblDisponibilidad[],15,FALSE), 0)</f>
        <v>0</v>
      </c>
      <c r="L25">
        <f>IFERROR(VLOOKUP(Tabla13[[#This Row],[SISMED]],TblDisponibilidad[],16,FALSE), 0)</f>
        <v>0</v>
      </c>
      <c r="M25">
        <f>IFERROR(VLOOKUP(Tabla13[[#This Row],[SISMED]],TblDisponibilidad[],17,FALSE), 0)</f>
        <v>0</v>
      </c>
      <c r="N25">
        <f>IFERROR(VLOOKUP(Tabla13[[#This Row],[SISMED]],TblDisponibilidad[],18,FALSE), 0)</f>
        <v>0</v>
      </c>
      <c r="O25">
        <f>IFERROR(VLOOKUP(Tabla13[[#This Row],[SISMED]],TblDisponibilidad[],19,FALSE), 0)</f>
        <v>0</v>
      </c>
      <c r="P25">
        <f>IFERROR(VLOOKUP(Tabla13[[#This Row],[SISMED]],TblDisponibilidad[],20,FALSE), 0)</f>
        <v>0</v>
      </c>
      <c r="Q25">
        <f>IFERROR(VLOOKUP(Tabla13[[#This Row],[SISMED]],TblDisponibilidad[],21,FALSE), 0)</f>
        <v>0</v>
      </c>
      <c r="R25">
        <f>IFERROR(VLOOKUP(Tabla13[[#This Row],[SISMED]],TblDisponibilidad[],22,FALSE), 0)</f>
        <v>0</v>
      </c>
      <c r="S25" s="15">
        <f>IFERROR(VLOOKUP(Tabla13[[#This Row],[SISMED]],TblDisponibilidad[],23,FALSE), 0)</f>
        <v>0</v>
      </c>
    </row>
    <row r="26" spans="1:19" x14ac:dyDescent="0.3">
      <c r="A26" s="15" t="s">
        <v>56</v>
      </c>
      <c r="B26" t="str">
        <f>IFERROR(VLOOKUP(Tabla13[[#This Row],[SISMED]],TblDisponibilidad[],2,FALSE), "")</f>
        <v/>
      </c>
      <c r="C26">
        <f>IFERROR(VLOOKUP(Tabla13[[#This Row],[SISMED]],TblDisponibilidad[],7,FALSE), 0)</f>
        <v>0</v>
      </c>
      <c r="D26">
        <f>IFERROR(VLOOKUP(Tabla13[[#This Row],[SISMED]],TblDisponibilidad[],8,FALSE), 0)</f>
        <v>0</v>
      </c>
      <c r="E26">
        <f>IFERROR(VLOOKUP(Tabla13[[#This Row],[SISMED]],TblDisponibilidad[],9,FALSE), 0)</f>
        <v>0</v>
      </c>
      <c r="F26">
        <f>IFERROR(VLOOKUP(Tabla13[[#This Row],[SISMED]],TblDisponibilidad[],10,FALSE), 0)</f>
        <v>0</v>
      </c>
      <c r="G26">
        <f>IFERROR(VLOOKUP(Tabla13[[#This Row],[SISMED]],TblDisponibilidad[],11,FALSE), 0)</f>
        <v>0</v>
      </c>
      <c r="H26">
        <f>IFERROR(VLOOKUP(Tabla13[[#This Row],[SISMED]],TblDisponibilidad[],12,FALSE), 0)</f>
        <v>0</v>
      </c>
      <c r="I26">
        <f>IFERROR(VLOOKUP(Tabla13[[#This Row],[SISMED]],TblDisponibilidad[],13,FALSE), 0)</f>
        <v>0</v>
      </c>
      <c r="J26">
        <f>IFERROR(VLOOKUP(Tabla13[[#This Row],[SISMED]],TblDisponibilidad[],14,FALSE), 0)</f>
        <v>0</v>
      </c>
      <c r="K26">
        <f>IFERROR(VLOOKUP(Tabla13[[#This Row],[SISMED]],TblDisponibilidad[],15,FALSE), 0)</f>
        <v>0</v>
      </c>
      <c r="L26">
        <f>IFERROR(VLOOKUP(Tabla13[[#This Row],[SISMED]],TblDisponibilidad[],16,FALSE), 0)</f>
        <v>0</v>
      </c>
      <c r="M26">
        <f>IFERROR(VLOOKUP(Tabla13[[#This Row],[SISMED]],TblDisponibilidad[],17,FALSE), 0)</f>
        <v>0</v>
      </c>
      <c r="N26">
        <f>IFERROR(VLOOKUP(Tabla13[[#This Row],[SISMED]],TblDisponibilidad[],18,FALSE), 0)</f>
        <v>0</v>
      </c>
      <c r="O26">
        <f>IFERROR(VLOOKUP(Tabla13[[#This Row],[SISMED]],TblDisponibilidad[],19,FALSE), 0)</f>
        <v>0</v>
      </c>
      <c r="P26">
        <f>IFERROR(VLOOKUP(Tabla13[[#This Row],[SISMED]],TblDisponibilidad[],20,FALSE), 0)</f>
        <v>0</v>
      </c>
      <c r="Q26">
        <f>IFERROR(VLOOKUP(Tabla13[[#This Row],[SISMED]],TblDisponibilidad[],21,FALSE), 0)</f>
        <v>0</v>
      </c>
      <c r="R26">
        <f>IFERROR(VLOOKUP(Tabla13[[#This Row],[SISMED]],TblDisponibilidad[],22,FALSE), 0)</f>
        <v>0</v>
      </c>
      <c r="S26" s="15">
        <f>IFERROR(VLOOKUP(Tabla13[[#This Row],[SISMED]],TblDisponibilidad[],23,FALSE), 0)</f>
        <v>0</v>
      </c>
    </row>
    <row r="27" spans="1:19" x14ac:dyDescent="0.3">
      <c r="A27" s="15" t="s">
        <v>57</v>
      </c>
      <c r="B27" t="str">
        <f>IFERROR(VLOOKUP(Tabla13[[#This Row],[SISMED]],TblDisponibilidad[],2,FALSE), "")</f>
        <v/>
      </c>
      <c r="C27">
        <f>IFERROR(VLOOKUP(Tabla13[[#This Row],[SISMED]],TblDisponibilidad[],7,FALSE), 0)</f>
        <v>0</v>
      </c>
      <c r="D27">
        <f>IFERROR(VLOOKUP(Tabla13[[#This Row],[SISMED]],TblDisponibilidad[],8,FALSE), 0)</f>
        <v>0</v>
      </c>
      <c r="E27">
        <f>IFERROR(VLOOKUP(Tabla13[[#This Row],[SISMED]],TblDisponibilidad[],9,FALSE), 0)</f>
        <v>0</v>
      </c>
      <c r="F27">
        <f>IFERROR(VLOOKUP(Tabla13[[#This Row],[SISMED]],TblDisponibilidad[],10,FALSE), 0)</f>
        <v>0</v>
      </c>
      <c r="G27">
        <f>IFERROR(VLOOKUP(Tabla13[[#This Row],[SISMED]],TblDisponibilidad[],11,FALSE), 0)</f>
        <v>0</v>
      </c>
      <c r="H27">
        <f>IFERROR(VLOOKUP(Tabla13[[#This Row],[SISMED]],TblDisponibilidad[],12,FALSE), 0)</f>
        <v>0</v>
      </c>
      <c r="I27">
        <f>IFERROR(VLOOKUP(Tabla13[[#This Row],[SISMED]],TblDisponibilidad[],13,FALSE), 0)</f>
        <v>0</v>
      </c>
      <c r="J27">
        <f>IFERROR(VLOOKUP(Tabla13[[#This Row],[SISMED]],TblDisponibilidad[],14,FALSE), 0)</f>
        <v>0</v>
      </c>
      <c r="K27">
        <f>IFERROR(VLOOKUP(Tabla13[[#This Row],[SISMED]],TblDisponibilidad[],15,FALSE), 0)</f>
        <v>0</v>
      </c>
      <c r="L27">
        <f>IFERROR(VLOOKUP(Tabla13[[#This Row],[SISMED]],TblDisponibilidad[],16,FALSE), 0)</f>
        <v>0</v>
      </c>
      <c r="M27">
        <f>IFERROR(VLOOKUP(Tabla13[[#This Row],[SISMED]],TblDisponibilidad[],17,FALSE), 0)</f>
        <v>0</v>
      </c>
      <c r="N27">
        <f>IFERROR(VLOOKUP(Tabla13[[#This Row],[SISMED]],TblDisponibilidad[],18,FALSE), 0)</f>
        <v>0</v>
      </c>
      <c r="O27">
        <f>IFERROR(VLOOKUP(Tabla13[[#This Row],[SISMED]],TblDisponibilidad[],19,FALSE), 0)</f>
        <v>0</v>
      </c>
      <c r="P27">
        <f>IFERROR(VLOOKUP(Tabla13[[#This Row],[SISMED]],TblDisponibilidad[],20,FALSE), 0)</f>
        <v>0</v>
      </c>
      <c r="Q27">
        <f>IFERROR(VLOOKUP(Tabla13[[#This Row],[SISMED]],TblDisponibilidad[],21,FALSE), 0)</f>
        <v>0</v>
      </c>
      <c r="R27">
        <f>IFERROR(VLOOKUP(Tabla13[[#This Row],[SISMED]],TblDisponibilidad[],22,FALSE), 0)</f>
        <v>0</v>
      </c>
      <c r="S27" s="15">
        <f>IFERROR(VLOOKUP(Tabla13[[#This Row],[SISMED]],TblDisponibilidad[],23,FALSE), 0)</f>
        <v>0</v>
      </c>
    </row>
    <row r="28" spans="1:19" x14ac:dyDescent="0.3">
      <c r="A28" s="15" t="s">
        <v>58</v>
      </c>
      <c r="B28" t="str">
        <f>IFERROR(VLOOKUP(Tabla13[[#This Row],[SISMED]],TblDisponibilidad[],2,FALSE), "")</f>
        <v/>
      </c>
      <c r="C28">
        <f>IFERROR(VLOOKUP(Tabla13[[#This Row],[SISMED]],TblDisponibilidad[],7,FALSE), 0)</f>
        <v>0</v>
      </c>
      <c r="D28">
        <f>IFERROR(VLOOKUP(Tabla13[[#This Row],[SISMED]],TblDisponibilidad[],8,FALSE), 0)</f>
        <v>0</v>
      </c>
      <c r="E28">
        <f>IFERROR(VLOOKUP(Tabla13[[#This Row],[SISMED]],TblDisponibilidad[],9,FALSE), 0)</f>
        <v>0</v>
      </c>
      <c r="F28">
        <f>IFERROR(VLOOKUP(Tabla13[[#This Row],[SISMED]],TblDisponibilidad[],10,FALSE), 0)</f>
        <v>0</v>
      </c>
      <c r="G28">
        <f>IFERROR(VLOOKUP(Tabla13[[#This Row],[SISMED]],TblDisponibilidad[],11,FALSE), 0)</f>
        <v>0</v>
      </c>
      <c r="H28">
        <f>IFERROR(VLOOKUP(Tabla13[[#This Row],[SISMED]],TblDisponibilidad[],12,FALSE), 0)</f>
        <v>0</v>
      </c>
      <c r="I28">
        <f>IFERROR(VLOOKUP(Tabla13[[#This Row],[SISMED]],TblDisponibilidad[],13,FALSE), 0)</f>
        <v>0</v>
      </c>
      <c r="J28">
        <f>IFERROR(VLOOKUP(Tabla13[[#This Row],[SISMED]],TblDisponibilidad[],14,FALSE), 0)</f>
        <v>0</v>
      </c>
      <c r="K28">
        <f>IFERROR(VLOOKUP(Tabla13[[#This Row],[SISMED]],TblDisponibilidad[],15,FALSE), 0)</f>
        <v>0</v>
      </c>
      <c r="L28">
        <f>IFERROR(VLOOKUP(Tabla13[[#This Row],[SISMED]],TblDisponibilidad[],16,FALSE), 0)</f>
        <v>0</v>
      </c>
      <c r="M28">
        <f>IFERROR(VLOOKUP(Tabla13[[#This Row],[SISMED]],TblDisponibilidad[],17,FALSE), 0)</f>
        <v>0</v>
      </c>
      <c r="N28">
        <f>IFERROR(VLOOKUP(Tabla13[[#This Row],[SISMED]],TblDisponibilidad[],18,FALSE), 0)</f>
        <v>0</v>
      </c>
      <c r="O28">
        <f>IFERROR(VLOOKUP(Tabla13[[#This Row],[SISMED]],TblDisponibilidad[],19,FALSE), 0)</f>
        <v>0</v>
      </c>
      <c r="P28">
        <f>IFERROR(VLOOKUP(Tabla13[[#This Row],[SISMED]],TblDisponibilidad[],20,FALSE), 0)</f>
        <v>0</v>
      </c>
      <c r="Q28">
        <f>IFERROR(VLOOKUP(Tabla13[[#This Row],[SISMED]],TblDisponibilidad[],21,FALSE), 0)</f>
        <v>0</v>
      </c>
      <c r="R28">
        <f>IFERROR(VLOOKUP(Tabla13[[#This Row],[SISMED]],TblDisponibilidad[],22,FALSE), 0)</f>
        <v>0</v>
      </c>
      <c r="S28" s="15">
        <f>IFERROR(VLOOKUP(Tabla13[[#This Row],[SISMED]],TblDisponibilidad[],23,FALSE), 0)</f>
        <v>0</v>
      </c>
    </row>
    <row r="29" spans="1:19" x14ac:dyDescent="0.3">
      <c r="A29" s="15" t="s">
        <v>59</v>
      </c>
      <c r="B29" t="str">
        <f>IFERROR(VLOOKUP(Tabla13[[#This Row],[SISMED]],TblDisponibilidad[],2,FALSE), "")</f>
        <v/>
      </c>
      <c r="C29">
        <f>IFERROR(VLOOKUP(Tabla13[[#This Row],[SISMED]],TblDisponibilidad[],7,FALSE), 0)</f>
        <v>0</v>
      </c>
      <c r="D29">
        <f>IFERROR(VLOOKUP(Tabla13[[#This Row],[SISMED]],TblDisponibilidad[],8,FALSE), 0)</f>
        <v>0</v>
      </c>
      <c r="E29">
        <f>IFERROR(VLOOKUP(Tabla13[[#This Row],[SISMED]],TblDisponibilidad[],9,FALSE), 0)</f>
        <v>0</v>
      </c>
      <c r="F29">
        <f>IFERROR(VLOOKUP(Tabla13[[#This Row],[SISMED]],TblDisponibilidad[],10,FALSE), 0)</f>
        <v>0</v>
      </c>
      <c r="G29">
        <f>IFERROR(VLOOKUP(Tabla13[[#This Row],[SISMED]],TblDisponibilidad[],11,FALSE), 0)</f>
        <v>0</v>
      </c>
      <c r="H29">
        <f>IFERROR(VLOOKUP(Tabla13[[#This Row],[SISMED]],TblDisponibilidad[],12,FALSE), 0)</f>
        <v>0</v>
      </c>
      <c r="I29">
        <f>IFERROR(VLOOKUP(Tabla13[[#This Row],[SISMED]],TblDisponibilidad[],13,FALSE), 0)</f>
        <v>0</v>
      </c>
      <c r="J29">
        <f>IFERROR(VLOOKUP(Tabla13[[#This Row],[SISMED]],TblDisponibilidad[],14,FALSE), 0)</f>
        <v>0</v>
      </c>
      <c r="K29">
        <f>IFERROR(VLOOKUP(Tabla13[[#This Row],[SISMED]],TblDisponibilidad[],15,FALSE), 0)</f>
        <v>0</v>
      </c>
      <c r="L29">
        <f>IFERROR(VLOOKUP(Tabla13[[#This Row],[SISMED]],TblDisponibilidad[],16,FALSE), 0)</f>
        <v>0</v>
      </c>
      <c r="M29">
        <f>IFERROR(VLOOKUP(Tabla13[[#This Row],[SISMED]],TblDisponibilidad[],17,FALSE), 0)</f>
        <v>0</v>
      </c>
      <c r="N29">
        <f>IFERROR(VLOOKUP(Tabla13[[#This Row],[SISMED]],TblDisponibilidad[],18,FALSE), 0)</f>
        <v>0</v>
      </c>
      <c r="O29">
        <f>IFERROR(VLOOKUP(Tabla13[[#This Row],[SISMED]],TblDisponibilidad[],19,FALSE), 0)</f>
        <v>0</v>
      </c>
      <c r="P29">
        <f>IFERROR(VLOOKUP(Tabla13[[#This Row],[SISMED]],TblDisponibilidad[],20,FALSE), 0)</f>
        <v>0</v>
      </c>
      <c r="Q29">
        <f>IFERROR(VLOOKUP(Tabla13[[#This Row],[SISMED]],TblDisponibilidad[],21,FALSE), 0)</f>
        <v>0</v>
      </c>
      <c r="R29">
        <f>IFERROR(VLOOKUP(Tabla13[[#This Row],[SISMED]],TblDisponibilidad[],22,FALSE), 0)</f>
        <v>0</v>
      </c>
      <c r="S29" s="15">
        <f>IFERROR(VLOOKUP(Tabla13[[#This Row],[SISMED]],TblDisponibilidad[],23,FALSE), 0)</f>
        <v>0</v>
      </c>
    </row>
    <row r="30" spans="1:19" x14ac:dyDescent="0.3">
      <c r="A30" s="15" t="s">
        <v>60</v>
      </c>
      <c r="B30" t="str">
        <f>IFERROR(VLOOKUP(Tabla13[[#This Row],[SISMED]],TblDisponibilidad[],2,FALSE), "")</f>
        <v/>
      </c>
      <c r="C30">
        <f>IFERROR(VLOOKUP(Tabla13[[#This Row],[SISMED]],TblDisponibilidad[],7,FALSE), 0)</f>
        <v>0</v>
      </c>
      <c r="D30">
        <f>IFERROR(VLOOKUP(Tabla13[[#This Row],[SISMED]],TblDisponibilidad[],8,FALSE), 0)</f>
        <v>0</v>
      </c>
      <c r="E30">
        <f>IFERROR(VLOOKUP(Tabla13[[#This Row],[SISMED]],TblDisponibilidad[],9,FALSE), 0)</f>
        <v>0</v>
      </c>
      <c r="F30">
        <f>IFERROR(VLOOKUP(Tabla13[[#This Row],[SISMED]],TblDisponibilidad[],10,FALSE), 0)</f>
        <v>0</v>
      </c>
      <c r="G30">
        <f>IFERROR(VLOOKUP(Tabla13[[#This Row],[SISMED]],TblDisponibilidad[],11,FALSE), 0)</f>
        <v>0</v>
      </c>
      <c r="H30">
        <f>IFERROR(VLOOKUP(Tabla13[[#This Row],[SISMED]],TblDisponibilidad[],12,FALSE), 0)</f>
        <v>0</v>
      </c>
      <c r="I30">
        <f>IFERROR(VLOOKUP(Tabla13[[#This Row],[SISMED]],TblDisponibilidad[],13,FALSE), 0)</f>
        <v>0</v>
      </c>
      <c r="J30">
        <f>IFERROR(VLOOKUP(Tabla13[[#This Row],[SISMED]],TblDisponibilidad[],14,FALSE), 0)</f>
        <v>0</v>
      </c>
      <c r="K30">
        <f>IFERROR(VLOOKUP(Tabla13[[#This Row],[SISMED]],TblDisponibilidad[],15,FALSE), 0)</f>
        <v>0</v>
      </c>
      <c r="L30">
        <f>IFERROR(VLOOKUP(Tabla13[[#This Row],[SISMED]],TblDisponibilidad[],16,FALSE), 0)</f>
        <v>0</v>
      </c>
      <c r="M30">
        <f>IFERROR(VLOOKUP(Tabla13[[#This Row],[SISMED]],TblDisponibilidad[],17,FALSE), 0)</f>
        <v>0</v>
      </c>
      <c r="N30">
        <f>IFERROR(VLOOKUP(Tabla13[[#This Row],[SISMED]],TblDisponibilidad[],18,FALSE), 0)</f>
        <v>0</v>
      </c>
      <c r="O30">
        <f>IFERROR(VLOOKUP(Tabla13[[#This Row],[SISMED]],TblDisponibilidad[],19,FALSE), 0)</f>
        <v>0</v>
      </c>
      <c r="P30">
        <f>IFERROR(VLOOKUP(Tabla13[[#This Row],[SISMED]],TblDisponibilidad[],20,FALSE), 0)</f>
        <v>0</v>
      </c>
      <c r="Q30">
        <f>IFERROR(VLOOKUP(Tabla13[[#This Row],[SISMED]],TblDisponibilidad[],21,FALSE), 0)</f>
        <v>0</v>
      </c>
      <c r="R30">
        <f>IFERROR(VLOOKUP(Tabla13[[#This Row],[SISMED]],TblDisponibilidad[],22,FALSE), 0)</f>
        <v>0</v>
      </c>
      <c r="S30" s="15">
        <f>IFERROR(VLOOKUP(Tabla13[[#This Row],[SISMED]],TblDisponibilidad[],23,FALSE), 0)</f>
        <v>0</v>
      </c>
    </row>
    <row r="31" spans="1:19" x14ac:dyDescent="0.3">
      <c r="A31" s="15" t="s">
        <v>61</v>
      </c>
      <c r="B31" t="str">
        <f>IFERROR(VLOOKUP(Tabla13[[#This Row],[SISMED]],TblDisponibilidad[],2,FALSE), "")</f>
        <v/>
      </c>
      <c r="C31">
        <f>IFERROR(VLOOKUP(Tabla13[[#This Row],[SISMED]],TblDisponibilidad[],7,FALSE), 0)</f>
        <v>0</v>
      </c>
      <c r="D31">
        <f>IFERROR(VLOOKUP(Tabla13[[#This Row],[SISMED]],TblDisponibilidad[],8,FALSE), 0)</f>
        <v>0</v>
      </c>
      <c r="E31">
        <f>IFERROR(VLOOKUP(Tabla13[[#This Row],[SISMED]],TblDisponibilidad[],9,FALSE), 0)</f>
        <v>0</v>
      </c>
      <c r="F31">
        <f>IFERROR(VLOOKUP(Tabla13[[#This Row],[SISMED]],TblDisponibilidad[],10,FALSE), 0)</f>
        <v>0</v>
      </c>
      <c r="G31">
        <f>IFERROR(VLOOKUP(Tabla13[[#This Row],[SISMED]],TblDisponibilidad[],11,FALSE), 0)</f>
        <v>0</v>
      </c>
      <c r="H31">
        <f>IFERROR(VLOOKUP(Tabla13[[#This Row],[SISMED]],TblDisponibilidad[],12,FALSE), 0)</f>
        <v>0</v>
      </c>
      <c r="I31">
        <f>IFERROR(VLOOKUP(Tabla13[[#This Row],[SISMED]],TblDisponibilidad[],13,FALSE), 0)</f>
        <v>0</v>
      </c>
      <c r="J31">
        <f>IFERROR(VLOOKUP(Tabla13[[#This Row],[SISMED]],TblDisponibilidad[],14,FALSE), 0)</f>
        <v>0</v>
      </c>
      <c r="K31">
        <f>IFERROR(VLOOKUP(Tabla13[[#This Row],[SISMED]],TblDisponibilidad[],15,FALSE), 0)</f>
        <v>0</v>
      </c>
      <c r="L31">
        <f>IFERROR(VLOOKUP(Tabla13[[#This Row],[SISMED]],TblDisponibilidad[],16,FALSE), 0)</f>
        <v>0</v>
      </c>
      <c r="M31">
        <f>IFERROR(VLOOKUP(Tabla13[[#This Row],[SISMED]],TblDisponibilidad[],17,FALSE), 0)</f>
        <v>0</v>
      </c>
      <c r="N31">
        <f>IFERROR(VLOOKUP(Tabla13[[#This Row],[SISMED]],TblDisponibilidad[],18,FALSE), 0)</f>
        <v>0</v>
      </c>
      <c r="O31">
        <f>IFERROR(VLOOKUP(Tabla13[[#This Row],[SISMED]],TblDisponibilidad[],19,FALSE), 0)</f>
        <v>0</v>
      </c>
      <c r="P31">
        <f>IFERROR(VLOOKUP(Tabla13[[#This Row],[SISMED]],TblDisponibilidad[],20,FALSE), 0)</f>
        <v>0</v>
      </c>
      <c r="Q31">
        <f>IFERROR(VLOOKUP(Tabla13[[#This Row],[SISMED]],TblDisponibilidad[],21,FALSE), 0)</f>
        <v>0</v>
      </c>
      <c r="R31">
        <f>IFERROR(VLOOKUP(Tabla13[[#This Row],[SISMED]],TblDisponibilidad[],22,FALSE), 0)</f>
        <v>0</v>
      </c>
      <c r="S31" s="15">
        <f>IFERROR(VLOOKUP(Tabla13[[#This Row],[SISMED]],TblDisponibilidad[],23,FALSE), 0)</f>
        <v>0</v>
      </c>
    </row>
    <row r="32" spans="1:19" x14ac:dyDescent="0.3">
      <c r="A32" s="15" t="s">
        <v>62</v>
      </c>
      <c r="B32" t="str">
        <f>IFERROR(VLOOKUP(Tabla13[[#This Row],[SISMED]],TblDisponibilidad[],2,FALSE), "")</f>
        <v/>
      </c>
      <c r="C32">
        <f>IFERROR(VLOOKUP(Tabla13[[#This Row],[SISMED]],TblDisponibilidad[],7,FALSE), 0)</f>
        <v>0</v>
      </c>
      <c r="D32">
        <f>IFERROR(VLOOKUP(Tabla13[[#This Row],[SISMED]],TblDisponibilidad[],8,FALSE), 0)</f>
        <v>0</v>
      </c>
      <c r="E32">
        <f>IFERROR(VLOOKUP(Tabla13[[#This Row],[SISMED]],TblDisponibilidad[],9,FALSE), 0)</f>
        <v>0</v>
      </c>
      <c r="F32">
        <f>IFERROR(VLOOKUP(Tabla13[[#This Row],[SISMED]],TblDisponibilidad[],10,FALSE), 0)</f>
        <v>0</v>
      </c>
      <c r="G32">
        <f>IFERROR(VLOOKUP(Tabla13[[#This Row],[SISMED]],TblDisponibilidad[],11,FALSE), 0)</f>
        <v>0</v>
      </c>
      <c r="H32">
        <f>IFERROR(VLOOKUP(Tabla13[[#This Row],[SISMED]],TblDisponibilidad[],12,FALSE), 0)</f>
        <v>0</v>
      </c>
      <c r="I32">
        <f>IFERROR(VLOOKUP(Tabla13[[#This Row],[SISMED]],TblDisponibilidad[],13,FALSE), 0)</f>
        <v>0</v>
      </c>
      <c r="J32">
        <f>IFERROR(VLOOKUP(Tabla13[[#This Row],[SISMED]],TblDisponibilidad[],14,FALSE), 0)</f>
        <v>0</v>
      </c>
      <c r="K32">
        <f>IFERROR(VLOOKUP(Tabla13[[#This Row],[SISMED]],TblDisponibilidad[],15,FALSE), 0)</f>
        <v>0</v>
      </c>
      <c r="L32">
        <f>IFERROR(VLOOKUP(Tabla13[[#This Row],[SISMED]],TblDisponibilidad[],16,FALSE), 0)</f>
        <v>0</v>
      </c>
      <c r="M32">
        <f>IFERROR(VLOOKUP(Tabla13[[#This Row],[SISMED]],TblDisponibilidad[],17,FALSE), 0)</f>
        <v>0</v>
      </c>
      <c r="N32">
        <f>IFERROR(VLOOKUP(Tabla13[[#This Row],[SISMED]],TblDisponibilidad[],18,FALSE), 0)</f>
        <v>0</v>
      </c>
      <c r="O32">
        <f>IFERROR(VLOOKUP(Tabla13[[#This Row],[SISMED]],TblDisponibilidad[],19,FALSE), 0)</f>
        <v>0</v>
      </c>
      <c r="P32">
        <f>IFERROR(VLOOKUP(Tabla13[[#This Row],[SISMED]],TblDisponibilidad[],20,FALSE), 0)</f>
        <v>0</v>
      </c>
      <c r="Q32">
        <f>IFERROR(VLOOKUP(Tabla13[[#This Row],[SISMED]],TblDisponibilidad[],21,FALSE), 0)</f>
        <v>0</v>
      </c>
      <c r="R32">
        <f>IFERROR(VLOOKUP(Tabla13[[#This Row],[SISMED]],TblDisponibilidad[],22,FALSE), 0)</f>
        <v>0</v>
      </c>
      <c r="S32" s="15">
        <f>IFERROR(VLOOKUP(Tabla13[[#This Row],[SISMED]],TblDisponibilidad[],23,FALSE), 0)</f>
        <v>0</v>
      </c>
    </row>
    <row r="33" spans="1:19" x14ac:dyDescent="0.3">
      <c r="A33" s="15" t="s">
        <v>63</v>
      </c>
      <c r="B33" t="str">
        <f>IFERROR(VLOOKUP(Tabla13[[#This Row],[SISMED]],TblDisponibilidad[],2,FALSE), "")</f>
        <v/>
      </c>
      <c r="C33">
        <f>IFERROR(VLOOKUP(Tabla13[[#This Row],[SISMED]],TblDisponibilidad[],7,FALSE), 0)</f>
        <v>0</v>
      </c>
      <c r="D33">
        <f>IFERROR(VLOOKUP(Tabla13[[#This Row],[SISMED]],TblDisponibilidad[],8,FALSE), 0)</f>
        <v>0</v>
      </c>
      <c r="E33">
        <f>IFERROR(VLOOKUP(Tabla13[[#This Row],[SISMED]],TblDisponibilidad[],9,FALSE), 0)</f>
        <v>0</v>
      </c>
      <c r="F33">
        <f>IFERROR(VLOOKUP(Tabla13[[#This Row],[SISMED]],TblDisponibilidad[],10,FALSE), 0)</f>
        <v>0</v>
      </c>
      <c r="G33">
        <f>IFERROR(VLOOKUP(Tabla13[[#This Row],[SISMED]],TblDisponibilidad[],11,FALSE), 0)</f>
        <v>0</v>
      </c>
      <c r="H33">
        <f>IFERROR(VLOOKUP(Tabla13[[#This Row],[SISMED]],TblDisponibilidad[],12,FALSE), 0)</f>
        <v>0</v>
      </c>
      <c r="I33">
        <f>IFERROR(VLOOKUP(Tabla13[[#This Row],[SISMED]],TblDisponibilidad[],13,FALSE), 0)</f>
        <v>0</v>
      </c>
      <c r="J33">
        <f>IFERROR(VLOOKUP(Tabla13[[#This Row],[SISMED]],TblDisponibilidad[],14,FALSE), 0)</f>
        <v>0</v>
      </c>
      <c r="K33">
        <f>IFERROR(VLOOKUP(Tabla13[[#This Row],[SISMED]],TblDisponibilidad[],15,FALSE), 0)</f>
        <v>0</v>
      </c>
      <c r="L33">
        <f>IFERROR(VLOOKUP(Tabla13[[#This Row],[SISMED]],TblDisponibilidad[],16,FALSE), 0)</f>
        <v>0</v>
      </c>
      <c r="M33">
        <f>IFERROR(VLOOKUP(Tabla13[[#This Row],[SISMED]],TblDisponibilidad[],17,FALSE), 0)</f>
        <v>0</v>
      </c>
      <c r="N33">
        <f>IFERROR(VLOOKUP(Tabla13[[#This Row],[SISMED]],TblDisponibilidad[],18,FALSE), 0)</f>
        <v>0</v>
      </c>
      <c r="O33">
        <f>IFERROR(VLOOKUP(Tabla13[[#This Row],[SISMED]],TblDisponibilidad[],19,FALSE), 0)</f>
        <v>0</v>
      </c>
      <c r="P33">
        <f>IFERROR(VLOOKUP(Tabla13[[#This Row],[SISMED]],TblDisponibilidad[],20,FALSE), 0)</f>
        <v>0</v>
      </c>
      <c r="Q33">
        <f>IFERROR(VLOOKUP(Tabla13[[#This Row],[SISMED]],TblDisponibilidad[],21,FALSE), 0)</f>
        <v>0</v>
      </c>
      <c r="R33">
        <f>IFERROR(VLOOKUP(Tabla13[[#This Row],[SISMED]],TblDisponibilidad[],22,FALSE), 0)</f>
        <v>0</v>
      </c>
      <c r="S33" s="15">
        <f>IFERROR(VLOOKUP(Tabla13[[#This Row],[SISMED]],TblDisponibilidad[],23,FALSE), 0)</f>
        <v>0</v>
      </c>
    </row>
    <row r="34" spans="1:19" x14ac:dyDescent="0.3">
      <c r="A34" s="15" t="s">
        <v>64</v>
      </c>
      <c r="B34" t="str">
        <f>IFERROR(VLOOKUP(Tabla13[[#This Row],[SISMED]],TblDisponibilidad[],2,FALSE), "")</f>
        <v/>
      </c>
      <c r="C34">
        <f>IFERROR(VLOOKUP(Tabla13[[#This Row],[SISMED]],TblDisponibilidad[],7,FALSE), 0)</f>
        <v>0</v>
      </c>
      <c r="D34">
        <f>IFERROR(VLOOKUP(Tabla13[[#This Row],[SISMED]],TblDisponibilidad[],8,FALSE), 0)</f>
        <v>0</v>
      </c>
      <c r="E34">
        <f>IFERROR(VLOOKUP(Tabla13[[#This Row],[SISMED]],TblDisponibilidad[],9,FALSE), 0)</f>
        <v>0</v>
      </c>
      <c r="F34">
        <f>IFERROR(VLOOKUP(Tabla13[[#This Row],[SISMED]],TblDisponibilidad[],10,FALSE), 0)</f>
        <v>0</v>
      </c>
      <c r="G34">
        <f>IFERROR(VLOOKUP(Tabla13[[#This Row],[SISMED]],TblDisponibilidad[],11,FALSE), 0)</f>
        <v>0</v>
      </c>
      <c r="H34">
        <f>IFERROR(VLOOKUP(Tabla13[[#This Row],[SISMED]],TblDisponibilidad[],12,FALSE), 0)</f>
        <v>0</v>
      </c>
      <c r="I34">
        <f>IFERROR(VLOOKUP(Tabla13[[#This Row],[SISMED]],TblDisponibilidad[],13,FALSE), 0)</f>
        <v>0</v>
      </c>
      <c r="J34">
        <f>IFERROR(VLOOKUP(Tabla13[[#This Row],[SISMED]],TblDisponibilidad[],14,FALSE), 0)</f>
        <v>0</v>
      </c>
      <c r="K34">
        <f>IFERROR(VLOOKUP(Tabla13[[#This Row],[SISMED]],TblDisponibilidad[],15,FALSE), 0)</f>
        <v>0</v>
      </c>
      <c r="L34">
        <f>IFERROR(VLOOKUP(Tabla13[[#This Row],[SISMED]],TblDisponibilidad[],16,FALSE), 0)</f>
        <v>0</v>
      </c>
      <c r="M34">
        <f>IFERROR(VLOOKUP(Tabla13[[#This Row],[SISMED]],TblDisponibilidad[],17,FALSE), 0)</f>
        <v>0</v>
      </c>
      <c r="N34">
        <f>IFERROR(VLOOKUP(Tabla13[[#This Row],[SISMED]],TblDisponibilidad[],18,FALSE), 0)</f>
        <v>0</v>
      </c>
      <c r="O34">
        <f>IFERROR(VLOOKUP(Tabla13[[#This Row],[SISMED]],TblDisponibilidad[],19,FALSE), 0)</f>
        <v>0</v>
      </c>
      <c r="P34">
        <f>IFERROR(VLOOKUP(Tabla13[[#This Row],[SISMED]],TblDisponibilidad[],20,FALSE), 0)</f>
        <v>0</v>
      </c>
      <c r="Q34">
        <f>IFERROR(VLOOKUP(Tabla13[[#This Row],[SISMED]],TblDisponibilidad[],21,FALSE), 0)</f>
        <v>0</v>
      </c>
      <c r="R34">
        <f>IFERROR(VLOOKUP(Tabla13[[#This Row],[SISMED]],TblDisponibilidad[],22,FALSE), 0)</f>
        <v>0</v>
      </c>
      <c r="S34" s="15">
        <f>IFERROR(VLOOKUP(Tabla13[[#This Row],[SISMED]],TblDisponibilidad[],23,FALSE), 0)</f>
        <v>0</v>
      </c>
    </row>
    <row r="35" spans="1:19" x14ac:dyDescent="0.3">
      <c r="A35" s="15" t="s">
        <v>65</v>
      </c>
      <c r="B35" t="str">
        <f>IFERROR(VLOOKUP(Tabla13[[#This Row],[SISMED]],TblDisponibilidad[],2,FALSE), "")</f>
        <v/>
      </c>
      <c r="C35">
        <f>IFERROR(VLOOKUP(Tabla13[[#This Row],[SISMED]],TblDisponibilidad[],7,FALSE), 0)</f>
        <v>0</v>
      </c>
      <c r="D35">
        <f>IFERROR(VLOOKUP(Tabla13[[#This Row],[SISMED]],TblDisponibilidad[],8,FALSE), 0)</f>
        <v>0</v>
      </c>
      <c r="E35">
        <f>IFERROR(VLOOKUP(Tabla13[[#This Row],[SISMED]],TblDisponibilidad[],9,FALSE), 0)</f>
        <v>0</v>
      </c>
      <c r="F35">
        <f>IFERROR(VLOOKUP(Tabla13[[#This Row],[SISMED]],TblDisponibilidad[],10,FALSE), 0)</f>
        <v>0</v>
      </c>
      <c r="G35">
        <f>IFERROR(VLOOKUP(Tabla13[[#This Row],[SISMED]],TblDisponibilidad[],11,FALSE), 0)</f>
        <v>0</v>
      </c>
      <c r="H35">
        <f>IFERROR(VLOOKUP(Tabla13[[#This Row],[SISMED]],TblDisponibilidad[],12,FALSE), 0)</f>
        <v>0</v>
      </c>
      <c r="I35">
        <f>IFERROR(VLOOKUP(Tabla13[[#This Row],[SISMED]],TblDisponibilidad[],13,FALSE), 0)</f>
        <v>0</v>
      </c>
      <c r="J35">
        <f>IFERROR(VLOOKUP(Tabla13[[#This Row],[SISMED]],TblDisponibilidad[],14,FALSE), 0)</f>
        <v>0</v>
      </c>
      <c r="K35">
        <f>IFERROR(VLOOKUP(Tabla13[[#This Row],[SISMED]],TblDisponibilidad[],15,FALSE), 0)</f>
        <v>0</v>
      </c>
      <c r="L35">
        <f>IFERROR(VLOOKUP(Tabla13[[#This Row],[SISMED]],TblDisponibilidad[],16,FALSE), 0)</f>
        <v>0</v>
      </c>
      <c r="M35">
        <f>IFERROR(VLOOKUP(Tabla13[[#This Row],[SISMED]],TblDisponibilidad[],17,FALSE), 0)</f>
        <v>0</v>
      </c>
      <c r="N35">
        <f>IFERROR(VLOOKUP(Tabla13[[#This Row],[SISMED]],TblDisponibilidad[],18,FALSE), 0)</f>
        <v>0</v>
      </c>
      <c r="O35">
        <f>IFERROR(VLOOKUP(Tabla13[[#This Row],[SISMED]],TblDisponibilidad[],19,FALSE), 0)</f>
        <v>0</v>
      </c>
      <c r="P35">
        <f>IFERROR(VLOOKUP(Tabla13[[#This Row],[SISMED]],TblDisponibilidad[],20,FALSE), 0)</f>
        <v>0</v>
      </c>
      <c r="Q35">
        <f>IFERROR(VLOOKUP(Tabla13[[#This Row],[SISMED]],TblDisponibilidad[],21,FALSE), 0)</f>
        <v>0</v>
      </c>
      <c r="R35">
        <f>IFERROR(VLOOKUP(Tabla13[[#This Row],[SISMED]],TblDisponibilidad[],22,FALSE), 0)</f>
        <v>0</v>
      </c>
      <c r="S35" s="15">
        <f>IFERROR(VLOOKUP(Tabla13[[#This Row],[SISMED]],TblDisponibilidad[],23,FALSE), 0)</f>
        <v>0</v>
      </c>
    </row>
    <row r="36" spans="1:19" x14ac:dyDescent="0.3">
      <c r="A36" s="15" t="s">
        <v>66</v>
      </c>
      <c r="B36" t="str">
        <f>IFERROR(VLOOKUP(Tabla13[[#This Row],[SISMED]],TblDisponibilidad[],2,FALSE), "")</f>
        <v/>
      </c>
      <c r="C36">
        <f>IFERROR(VLOOKUP(Tabla13[[#This Row],[SISMED]],TblDisponibilidad[],7,FALSE), 0)</f>
        <v>0</v>
      </c>
      <c r="D36">
        <f>IFERROR(VLOOKUP(Tabla13[[#This Row],[SISMED]],TblDisponibilidad[],8,FALSE), 0)</f>
        <v>0</v>
      </c>
      <c r="E36">
        <f>IFERROR(VLOOKUP(Tabla13[[#This Row],[SISMED]],TblDisponibilidad[],9,FALSE), 0)</f>
        <v>0</v>
      </c>
      <c r="F36">
        <f>IFERROR(VLOOKUP(Tabla13[[#This Row],[SISMED]],TblDisponibilidad[],10,FALSE), 0)</f>
        <v>0</v>
      </c>
      <c r="G36">
        <f>IFERROR(VLOOKUP(Tabla13[[#This Row],[SISMED]],TblDisponibilidad[],11,FALSE), 0)</f>
        <v>0</v>
      </c>
      <c r="H36">
        <f>IFERROR(VLOOKUP(Tabla13[[#This Row],[SISMED]],TblDisponibilidad[],12,FALSE), 0)</f>
        <v>0</v>
      </c>
      <c r="I36">
        <f>IFERROR(VLOOKUP(Tabla13[[#This Row],[SISMED]],TblDisponibilidad[],13,FALSE), 0)</f>
        <v>0</v>
      </c>
      <c r="J36">
        <f>IFERROR(VLOOKUP(Tabla13[[#This Row],[SISMED]],TblDisponibilidad[],14,FALSE), 0)</f>
        <v>0</v>
      </c>
      <c r="K36">
        <f>IFERROR(VLOOKUP(Tabla13[[#This Row],[SISMED]],TblDisponibilidad[],15,FALSE), 0)</f>
        <v>0</v>
      </c>
      <c r="L36">
        <f>IFERROR(VLOOKUP(Tabla13[[#This Row],[SISMED]],TblDisponibilidad[],16,FALSE), 0)</f>
        <v>0</v>
      </c>
      <c r="M36">
        <f>IFERROR(VLOOKUP(Tabla13[[#This Row],[SISMED]],TblDisponibilidad[],17,FALSE), 0)</f>
        <v>0</v>
      </c>
      <c r="N36">
        <f>IFERROR(VLOOKUP(Tabla13[[#This Row],[SISMED]],TblDisponibilidad[],18,FALSE), 0)</f>
        <v>0</v>
      </c>
      <c r="O36">
        <f>IFERROR(VLOOKUP(Tabla13[[#This Row],[SISMED]],TblDisponibilidad[],19,FALSE), 0)</f>
        <v>0</v>
      </c>
      <c r="P36">
        <f>IFERROR(VLOOKUP(Tabla13[[#This Row],[SISMED]],TblDisponibilidad[],20,FALSE), 0)</f>
        <v>0</v>
      </c>
      <c r="Q36">
        <f>IFERROR(VLOOKUP(Tabla13[[#This Row],[SISMED]],TblDisponibilidad[],21,FALSE), 0)</f>
        <v>0</v>
      </c>
      <c r="R36">
        <f>IFERROR(VLOOKUP(Tabla13[[#This Row],[SISMED]],TblDisponibilidad[],22,FALSE), 0)</f>
        <v>0</v>
      </c>
      <c r="S36" s="15">
        <f>IFERROR(VLOOKUP(Tabla13[[#This Row],[SISMED]],TblDisponibilidad[],23,FALSE), 0)</f>
        <v>0</v>
      </c>
    </row>
    <row r="37" spans="1:19" x14ac:dyDescent="0.3">
      <c r="A37" s="15" t="s">
        <v>67</v>
      </c>
      <c r="B37" t="str">
        <f>IFERROR(VLOOKUP(Tabla13[[#This Row],[SISMED]],TblDisponibilidad[],2,FALSE), "")</f>
        <v/>
      </c>
      <c r="C37">
        <f>IFERROR(VLOOKUP(Tabla13[[#This Row],[SISMED]],TblDisponibilidad[],7,FALSE), 0)</f>
        <v>0</v>
      </c>
      <c r="D37">
        <f>IFERROR(VLOOKUP(Tabla13[[#This Row],[SISMED]],TblDisponibilidad[],8,FALSE), 0)</f>
        <v>0</v>
      </c>
      <c r="E37">
        <f>IFERROR(VLOOKUP(Tabla13[[#This Row],[SISMED]],TblDisponibilidad[],9,FALSE), 0)</f>
        <v>0</v>
      </c>
      <c r="F37">
        <f>IFERROR(VLOOKUP(Tabla13[[#This Row],[SISMED]],TblDisponibilidad[],10,FALSE), 0)</f>
        <v>0</v>
      </c>
      <c r="G37">
        <f>IFERROR(VLOOKUP(Tabla13[[#This Row],[SISMED]],TblDisponibilidad[],11,FALSE), 0)</f>
        <v>0</v>
      </c>
      <c r="H37">
        <f>IFERROR(VLOOKUP(Tabla13[[#This Row],[SISMED]],TblDisponibilidad[],12,FALSE), 0)</f>
        <v>0</v>
      </c>
      <c r="I37">
        <f>IFERROR(VLOOKUP(Tabla13[[#This Row],[SISMED]],TblDisponibilidad[],13,FALSE), 0)</f>
        <v>0</v>
      </c>
      <c r="J37">
        <f>IFERROR(VLOOKUP(Tabla13[[#This Row],[SISMED]],TblDisponibilidad[],14,FALSE), 0)</f>
        <v>0</v>
      </c>
      <c r="K37">
        <f>IFERROR(VLOOKUP(Tabla13[[#This Row],[SISMED]],TblDisponibilidad[],15,FALSE), 0)</f>
        <v>0</v>
      </c>
      <c r="L37">
        <f>IFERROR(VLOOKUP(Tabla13[[#This Row],[SISMED]],TblDisponibilidad[],16,FALSE), 0)</f>
        <v>0</v>
      </c>
      <c r="M37">
        <f>IFERROR(VLOOKUP(Tabla13[[#This Row],[SISMED]],TblDisponibilidad[],17,FALSE), 0)</f>
        <v>0</v>
      </c>
      <c r="N37">
        <f>IFERROR(VLOOKUP(Tabla13[[#This Row],[SISMED]],TblDisponibilidad[],18,FALSE), 0)</f>
        <v>0</v>
      </c>
      <c r="O37">
        <f>IFERROR(VLOOKUP(Tabla13[[#This Row],[SISMED]],TblDisponibilidad[],19,FALSE), 0)</f>
        <v>0</v>
      </c>
      <c r="P37">
        <f>IFERROR(VLOOKUP(Tabla13[[#This Row],[SISMED]],TblDisponibilidad[],20,FALSE), 0)</f>
        <v>0</v>
      </c>
      <c r="Q37">
        <f>IFERROR(VLOOKUP(Tabla13[[#This Row],[SISMED]],TblDisponibilidad[],21,FALSE), 0)</f>
        <v>0</v>
      </c>
      <c r="R37">
        <f>IFERROR(VLOOKUP(Tabla13[[#This Row],[SISMED]],TblDisponibilidad[],22,FALSE), 0)</f>
        <v>0</v>
      </c>
      <c r="S37" s="15">
        <f>IFERROR(VLOOKUP(Tabla13[[#This Row],[SISMED]],TblDisponibilidad[],23,FALSE), 0)</f>
        <v>0</v>
      </c>
    </row>
    <row r="38" spans="1:19" x14ac:dyDescent="0.3">
      <c r="A38" s="15" t="s">
        <v>68</v>
      </c>
      <c r="B38" t="str">
        <f>IFERROR(VLOOKUP(Tabla13[[#This Row],[SISMED]],TblDisponibilidad[],2,FALSE), "")</f>
        <v/>
      </c>
      <c r="C38">
        <f>IFERROR(VLOOKUP(Tabla13[[#This Row],[SISMED]],TblDisponibilidad[],7,FALSE), 0)</f>
        <v>0</v>
      </c>
      <c r="D38">
        <f>IFERROR(VLOOKUP(Tabla13[[#This Row],[SISMED]],TblDisponibilidad[],8,FALSE), 0)</f>
        <v>0</v>
      </c>
      <c r="E38">
        <f>IFERROR(VLOOKUP(Tabla13[[#This Row],[SISMED]],TblDisponibilidad[],9,FALSE), 0)</f>
        <v>0</v>
      </c>
      <c r="F38">
        <f>IFERROR(VLOOKUP(Tabla13[[#This Row],[SISMED]],TblDisponibilidad[],10,FALSE), 0)</f>
        <v>0</v>
      </c>
      <c r="G38">
        <f>IFERROR(VLOOKUP(Tabla13[[#This Row],[SISMED]],TblDisponibilidad[],11,FALSE), 0)</f>
        <v>0</v>
      </c>
      <c r="H38">
        <f>IFERROR(VLOOKUP(Tabla13[[#This Row],[SISMED]],TblDisponibilidad[],12,FALSE), 0)</f>
        <v>0</v>
      </c>
      <c r="I38">
        <f>IFERROR(VLOOKUP(Tabla13[[#This Row],[SISMED]],TblDisponibilidad[],13,FALSE), 0)</f>
        <v>0</v>
      </c>
      <c r="J38">
        <f>IFERROR(VLOOKUP(Tabla13[[#This Row],[SISMED]],TblDisponibilidad[],14,FALSE), 0)</f>
        <v>0</v>
      </c>
      <c r="K38">
        <f>IFERROR(VLOOKUP(Tabla13[[#This Row],[SISMED]],TblDisponibilidad[],15,FALSE), 0)</f>
        <v>0</v>
      </c>
      <c r="L38">
        <f>IFERROR(VLOOKUP(Tabla13[[#This Row],[SISMED]],TblDisponibilidad[],16,FALSE), 0)</f>
        <v>0</v>
      </c>
      <c r="M38">
        <f>IFERROR(VLOOKUP(Tabla13[[#This Row],[SISMED]],TblDisponibilidad[],17,FALSE), 0)</f>
        <v>0</v>
      </c>
      <c r="N38">
        <f>IFERROR(VLOOKUP(Tabla13[[#This Row],[SISMED]],TblDisponibilidad[],18,FALSE), 0)</f>
        <v>0</v>
      </c>
      <c r="O38">
        <f>IFERROR(VLOOKUP(Tabla13[[#This Row],[SISMED]],TblDisponibilidad[],19,FALSE), 0)</f>
        <v>0</v>
      </c>
      <c r="P38">
        <f>IFERROR(VLOOKUP(Tabla13[[#This Row],[SISMED]],TblDisponibilidad[],20,FALSE), 0)</f>
        <v>0</v>
      </c>
      <c r="Q38">
        <f>IFERROR(VLOOKUP(Tabla13[[#This Row],[SISMED]],TblDisponibilidad[],21,FALSE), 0)</f>
        <v>0</v>
      </c>
      <c r="R38">
        <f>IFERROR(VLOOKUP(Tabla13[[#This Row],[SISMED]],TblDisponibilidad[],22,FALSE), 0)</f>
        <v>0</v>
      </c>
      <c r="S38" s="15">
        <f>IFERROR(VLOOKUP(Tabla13[[#This Row],[SISMED]],TblDisponibilidad[],23,FALSE), 0)</f>
        <v>0</v>
      </c>
    </row>
    <row r="39" spans="1:19" x14ac:dyDescent="0.3">
      <c r="A39" s="15" t="s">
        <v>69</v>
      </c>
      <c r="B39" t="str">
        <f>IFERROR(VLOOKUP(Tabla13[[#This Row],[SISMED]],TblDisponibilidad[],2,FALSE), "")</f>
        <v/>
      </c>
      <c r="C39">
        <f>IFERROR(VLOOKUP(Tabla13[[#This Row],[SISMED]],TblDisponibilidad[],7,FALSE), 0)</f>
        <v>0</v>
      </c>
      <c r="D39">
        <f>IFERROR(VLOOKUP(Tabla13[[#This Row],[SISMED]],TblDisponibilidad[],8,FALSE), 0)</f>
        <v>0</v>
      </c>
      <c r="E39">
        <f>IFERROR(VLOOKUP(Tabla13[[#This Row],[SISMED]],TblDisponibilidad[],9,FALSE), 0)</f>
        <v>0</v>
      </c>
      <c r="F39">
        <f>IFERROR(VLOOKUP(Tabla13[[#This Row],[SISMED]],TblDisponibilidad[],10,FALSE), 0)</f>
        <v>0</v>
      </c>
      <c r="G39">
        <f>IFERROR(VLOOKUP(Tabla13[[#This Row],[SISMED]],TblDisponibilidad[],11,FALSE), 0)</f>
        <v>0</v>
      </c>
      <c r="H39">
        <f>IFERROR(VLOOKUP(Tabla13[[#This Row],[SISMED]],TblDisponibilidad[],12,FALSE), 0)</f>
        <v>0</v>
      </c>
      <c r="I39">
        <f>IFERROR(VLOOKUP(Tabla13[[#This Row],[SISMED]],TblDisponibilidad[],13,FALSE), 0)</f>
        <v>0</v>
      </c>
      <c r="J39">
        <f>IFERROR(VLOOKUP(Tabla13[[#This Row],[SISMED]],TblDisponibilidad[],14,FALSE), 0)</f>
        <v>0</v>
      </c>
      <c r="K39">
        <f>IFERROR(VLOOKUP(Tabla13[[#This Row],[SISMED]],TblDisponibilidad[],15,FALSE), 0)</f>
        <v>0</v>
      </c>
      <c r="L39">
        <f>IFERROR(VLOOKUP(Tabla13[[#This Row],[SISMED]],TblDisponibilidad[],16,FALSE), 0)</f>
        <v>0</v>
      </c>
      <c r="M39">
        <f>IFERROR(VLOOKUP(Tabla13[[#This Row],[SISMED]],TblDisponibilidad[],17,FALSE), 0)</f>
        <v>0</v>
      </c>
      <c r="N39">
        <f>IFERROR(VLOOKUP(Tabla13[[#This Row],[SISMED]],TblDisponibilidad[],18,FALSE), 0)</f>
        <v>0</v>
      </c>
      <c r="O39">
        <f>IFERROR(VLOOKUP(Tabla13[[#This Row],[SISMED]],TblDisponibilidad[],19,FALSE), 0)</f>
        <v>0</v>
      </c>
      <c r="P39">
        <f>IFERROR(VLOOKUP(Tabla13[[#This Row],[SISMED]],TblDisponibilidad[],20,FALSE), 0)</f>
        <v>0</v>
      </c>
      <c r="Q39">
        <f>IFERROR(VLOOKUP(Tabla13[[#This Row],[SISMED]],TblDisponibilidad[],21,FALSE), 0)</f>
        <v>0</v>
      </c>
      <c r="R39">
        <f>IFERROR(VLOOKUP(Tabla13[[#This Row],[SISMED]],TblDisponibilidad[],22,FALSE), 0)</f>
        <v>0</v>
      </c>
      <c r="S39" s="15">
        <f>IFERROR(VLOOKUP(Tabla13[[#This Row],[SISMED]],TblDisponibilidad[],23,FALSE), 0)</f>
        <v>0</v>
      </c>
    </row>
    <row r="40" spans="1:19" x14ac:dyDescent="0.3">
      <c r="A40" s="15" t="s">
        <v>70</v>
      </c>
      <c r="B40" t="str">
        <f>IFERROR(VLOOKUP(Tabla13[[#This Row],[SISMED]],TblDisponibilidad[],2,FALSE), "")</f>
        <v/>
      </c>
      <c r="C40">
        <f>IFERROR(VLOOKUP(Tabla13[[#This Row],[SISMED]],TblDisponibilidad[],7,FALSE), 0)</f>
        <v>0</v>
      </c>
      <c r="D40">
        <f>IFERROR(VLOOKUP(Tabla13[[#This Row],[SISMED]],TblDisponibilidad[],8,FALSE), 0)</f>
        <v>0</v>
      </c>
      <c r="E40">
        <f>IFERROR(VLOOKUP(Tabla13[[#This Row],[SISMED]],TblDisponibilidad[],9,FALSE), 0)</f>
        <v>0</v>
      </c>
      <c r="F40">
        <f>IFERROR(VLOOKUP(Tabla13[[#This Row],[SISMED]],TblDisponibilidad[],10,FALSE), 0)</f>
        <v>0</v>
      </c>
      <c r="G40">
        <f>IFERROR(VLOOKUP(Tabla13[[#This Row],[SISMED]],TblDisponibilidad[],11,FALSE), 0)</f>
        <v>0</v>
      </c>
      <c r="H40">
        <f>IFERROR(VLOOKUP(Tabla13[[#This Row],[SISMED]],TblDisponibilidad[],12,FALSE), 0)</f>
        <v>0</v>
      </c>
      <c r="I40">
        <f>IFERROR(VLOOKUP(Tabla13[[#This Row],[SISMED]],TblDisponibilidad[],13,FALSE), 0)</f>
        <v>0</v>
      </c>
      <c r="J40">
        <f>IFERROR(VLOOKUP(Tabla13[[#This Row],[SISMED]],TblDisponibilidad[],14,FALSE), 0)</f>
        <v>0</v>
      </c>
      <c r="K40">
        <f>IFERROR(VLOOKUP(Tabla13[[#This Row],[SISMED]],TblDisponibilidad[],15,FALSE), 0)</f>
        <v>0</v>
      </c>
      <c r="L40">
        <f>IFERROR(VLOOKUP(Tabla13[[#This Row],[SISMED]],TblDisponibilidad[],16,FALSE), 0)</f>
        <v>0</v>
      </c>
      <c r="M40">
        <f>IFERROR(VLOOKUP(Tabla13[[#This Row],[SISMED]],TblDisponibilidad[],17,FALSE), 0)</f>
        <v>0</v>
      </c>
      <c r="N40">
        <f>IFERROR(VLOOKUP(Tabla13[[#This Row],[SISMED]],TblDisponibilidad[],18,FALSE), 0)</f>
        <v>0</v>
      </c>
      <c r="O40">
        <f>IFERROR(VLOOKUP(Tabla13[[#This Row],[SISMED]],TblDisponibilidad[],19,FALSE), 0)</f>
        <v>0</v>
      </c>
      <c r="P40">
        <f>IFERROR(VLOOKUP(Tabla13[[#This Row],[SISMED]],TblDisponibilidad[],20,FALSE), 0)</f>
        <v>0</v>
      </c>
      <c r="Q40">
        <f>IFERROR(VLOOKUP(Tabla13[[#This Row],[SISMED]],TblDisponibilidad[],21,FALSE), 0)</f>
        <v>0</v>
      </c>
      <c r="R40">
        <f>IFERROR(VLOOKUP(Tabla13[[#This Row],[SISMED]],TblDisponibilidad[],22,FALSE), 0)</f>
        <v>0</v>
      </c>
      <c r="S40" s="15">
        <f>IFERROR(VLOOKUP(Tabla13[[#This Row],[SISMED]],TblDisponibilidad[],23,FALSE), 0)</f>
        <v>0</v>
      </c>
    </row>
    <row r="41" spans="1:19" x14ac:dyDescent="0.3">
      <c r="A41" s="15" t="s">
        <v>71</v>
      </c>
      <c r="B41" t="str">
        <f>IFERROR(VLOOKUP(Tabla13[[#This Row],[SISMED]],TblDisponibilidad[],2,FALSE), "")</f>
        <v/>
      </c>
      <c r="C41">
        <f>IFERROR(VLOOKUP(Tabla13[[#This Row],[SISMED]],TblDisponibilidad[],7,FALSE), 0)</f>
        <v>0</v>
      </c>
      <c r="D41">
        <f>IFERROR(VLOOKUP(Tabla13[[#This Row],[SISMED]],TblDisponibilidad[],8,FALSE), 0)</f>
        <v>0</v>
      </c>
      <c r="E41">
        <f>IFERROR(VLOOKUP(Tabla13[[#This Row],[SISMED]],TblDisponibilidad[],9,FALSE), 0)</f>
        <v>0</v>
      </c>
      <c r="F41">
        <f>IFERROR(VLOOKUP(Tabla13[[#This Row],[SISMED]],TblDisponibilidad[],10,FALSE), 0)</f>
        <v>0</v>
      </c>
      <c r="G41">
        <f>IFERROR(VLOOKUP(Tabla13[[#This Row],[SISMED]],TblDisponibilidad[],11,FALSE), 0)</f>
        <v>0</v>
      </c>
      <c r="H41">
        <f>IFERROR(VLOOKUP(Tabla13[[#This Row],[SISMED]],TblDisponibilidad[],12,FALSE), 0)</f>
        <v>0</v>
      </c>
      <c r="I41">
        <f>IFERROR(VLOOKUP(Tabla13[[#This Row],[SISMED]],TblDisponibilidad[],13,FALSE), 0)</f>
        <v>0</v>
      </c>
      <c r="J41">
        <f>IFERROR(VLOOKUP(Tabla13[[#This Row],[SISMED]],TblDisponibilidad[],14,FALSE), 0)</f>
        <v>0</v>
      </c>
      <c r="K41">
        <f>IFERROR(VLOOKUP(Tabla13[[#This Row],[SISMED]],TblDisponibilidad[],15,FALSE), 0)</f>
        <v>0</v>
      </c>
      <c r="L41">
        <f>IFERROR(VLOOKUP(Tabla13[[#This Row],[SISMED]],TblDisponibilidad[],16,FALSE), 0)</f>
        <v>0</v>
      </c>
      <c r="M41">
        <f>IFERROR(VLOOKUP(Tabla13[[#This Row],[SISMED]],TblDisponibilidad[],17,FALSE), 0)</f>
        <v>0</v>
      </c>
      <c r="N41">
        <f>IFERROR(VLOOKUP(Tabla13[[#This Row],[SISMED]],TblDisponibilidad[],18,FALSE), 0)</f>
        <v>0</v>
      </c>
      <c r="O41">
        <f>IFERROR(VLOOKUP(Tabla13[[#This Row],[SISMED]],TblDisponibilidad[],19,FALSE), 0)</f>
        <v>0</v>
      </c>
      <c r="P41">
        <f>IFERROR(VLOOKUP(Tabla13[[#This Row],[SISMED]],TblDisponibilidad[],20,FALSE), 0)</f>
        <v>0</v>
      </c>
      <c r="Q41">
        <f>IFERROR(VLOOKUP(Tabla13[[#This Row],[SISMED]],TblDisponibilidad[],21,FALSE), 0)</f>
        <v>0</v>
      </c>
      <c r="R41">
        <f>IFERROR(VLOOKUP(Tabla13[[#This Row],[SISMED]],TblDisponibilidad[],22,FALSE), 0)</f>
        <v>0</v>
      </c>
      <c r="S41" s="15">
        <f>IFERROR(VLOOKUP(Tabla13[[#This Row],[SISMED]],TblDisponibilidad[],23,FALSE), 0)</f>
        <v>0</v>
      </c>
    </row>
    <row r="42" spans="1:19" x14ac:dyDescent="0.3">
      <c r="A42" s="15" t="s">
        <v>72</v>
      </c>
      <c r="B42" t="str">
        <f>IFERROR(VLOOKUP(Tabla13[[#This Row],[SISMED]],TblDisponibilidad[],2,FALSE), "")</f>
        <v/>
      </c>
      <c r="C42">
        <f>IFERROR(VLOOKUP(Tabla13[[#This Row],[SISMED]],TblDisponibilidad[],7,FALSE), 0)</f>
        <v>0</v>
      </c>
      <c r="D42">
        <f>IFERROR(VLOOKUP(Tabla13[[#This Row],[SISMED]],TblDisponibilidad[],8,FALSE), 0)</f>
        <v>0</v>
      </c>
      <c r="E42">
        <f>IFERROR(VLOOKUP(Tabla13[[#This Row],[SISMED]],TblDisponibilidad[],9,FALSE), 0)</f>
        <v>0</v>
      </c>
      <c r="F42">
        <f>IFERROR(VLOOKUP(Tabla13[[#This Row],[SISMED]],TblDisponibilidad[],10,FALSE), 0)</f>
        <v>0</v>
      </c>
      <c r="G42">
        <f>IFERROR(VLOOKUP(Tabla13[[#This Row],[SISMED]],TblDisponibilidad[],11,FALSE), 0)</f>
        <v>0</v>
      </c>
      <c r="H42">
        <f>IFERROR(VLOOKUP(Tabla13[[#This Row],[SISMED]],TblDisponibilidad[],12,FALSE), 0)</f>
        <v>0</v>
      </c>
      <c r="I42">
        <f>IFERROR(VLOOKUP(Tabla13[[#This Row],[SISMED]],TblDisponibilidad[],13,FALSE), 0)</f>
        <v>0</v>
      </c>
      <c r="J42">
        <f>IFERROR(VLOOKUP(Tabla13[[#This Row],[SISMED]],TblDisponibilidad[],14,FALSE), 0)</f>
        <v>0</v>
      </c>
      <c r="K42">
        <f>IFERROR(VLOOKUP(Tabla13[[#This Row],[SISMED]],TblDisponibilidad[],15,FALSE), 0)</f>
        <v>0</v>
      </c>
      <c r="L42">
        <f>IFERROR(VLOOKUP(Tabla13[[#This Row],[SISMED]],TblDisponibilidad[],16,FALSE), 0)</f>
        <v>0</v>
      </c>
      <c r="M42">
        <f>IFERROR(VLOOKUP(Tabla13[[#This Row],[SISMED]],TblDisponibilidad[],17,FALSE), 0)</f>
        <v>0</v>
      </c>
      <c r="N42">
        <f>IFERROR(VLOOKUP(Tabla13[[#This Row],[SISMED]],TblDisponibilidad[],18,FALSE), 0)</f>
        <v>0</v>
      </c>
      <c r="O42">
        <f>IFERROR(VLOOKUP(Tabla13[[#This Row],[SISMED]],TblDisponibilidad[],19,FALSE), 0)</f>
        <v>0</v>
      </c>
      <c r="P42">
        <f>IFERROR(VLOOKUP(Tabla13[[#This Row],[SISMED]],TblDisponibilidad[],20,FALSE), 0)</f>
        <v>0</v>
      </c>
      <c r="Q42">
        <f>IFERROR(VLOOKUP(Tabla13[[#This Row],[SISMED]],TblDisponibilidad[],21,FALSE), 0)</f>
        <v>0</v>
      </c>
      <c r="R42">
        <f>IFERROR(VLOOKUP(Tabla13[[#This Row],[SISMED]],TblDisponibilidad[],22,FALSE), 0)</f>
        <v>0</v>
      </c>
      <c r="S42" s="15">
        <f>IFERROR(VLOOKUP(Tabla13[[#This Row],[SISMED]],TblDisponibilidad[],23,FALSE), 0)</f>
        <v>0</v>
      </c>
    </row>
    <row r="43" spans="1:19" x14ac:dyDescent="0.3">
      <c r="A43" s="15" t="s">
        <v>73</v>
      </c>
      <c r="B43" t="str">
        <f>IFERROR(VLOOKUP(Tabla13[[#This Row],[SISMED]],TblDisponibilidad[],2,FALSE), "")</f>
        <v/>
      </c>
      <c r="C43">
        <f>IFERROR(VLOOKUP(Tabla13[[#This Row],[SISMED]],TblDisponibilidad[],7,FALSE), 0)</f>
        <v>0</v>
      </c>
      <c r="D43">
        <f>IFERROR(VLOOKUP(Tabla13[[#This Row],[SISMED]],TblDisponibilidad[],8,FALSE), 0)</f>
        <v>0</v>
      </c>
      <c r="E43">
        <f>IFERROR(VLOOKUP(Tabla13[[#This Row],[SISMED]],TblDisponibilidad[],9,FALSE), 0)</f>
        <v>0</v>
      </c>
      <c r="F43">
        <f>IFERROR(VLOOKUP(Tabla13[[#This Row],[SISMED]],TblDisponibilidad[],10,FALSE), 0)</f>
        <v>0</v>
      </c>
      <c r="G43">
        <f>IFERROR(VLOOKUP(Tabla13[[#This Row],[SISMED]],TblDisponibilidad[],11,FALSE), 0)</f>
        <v>0</v>
      </c>
      <c r="H43">
        <f>IFERROR(VLOOKUP(Tabla13[[#This Row],[SISMED]],TblDisponibilidad[],12,FALSE), 0)</f>
        <v>0</v>
      </c>
      <c r="I43">
        <f>IFERROR(VLOOKUP(Tabla13[[#This Row],[SISMED]],TblDisponibilidad[],13,FALSE), 0)</f>
        <v>0</v>
      </c>
      <c r="J43">
        <f>IFERROR(VLOOKUP(Tabla13[[#This Row],[SISMED]],TblDisponibilidad[],14,FALSE), 0)</f>
        <v>0</v>
      </c>
      <c r="K43">
        <f>IFERROR(VLOOKUP(Tabla13[[#This Row],[SISMED]],TblDisponibilidad[],15,FALSE), 0)</f>
        <v>0</v>
      </c>
      <c r="L43">
        <f>IFERROR(VLOOKUP(Tabla13[[#This Row],[SISMED]],TblDisponibilidad[],16,FALSE), 0)</f>
        <v>0</v>
      </c>
      <c r="M43">
        <f>IFERROR(VLOOKUP(Tabla13[[#This Row],[SISMED]],TblDisponibilidad[],17,FALSE), 0)</f>
        <v>0</v>
      </c>
      <c r="N43">
        <f>IFERROR(VLOOKUP(Tabla13[[#This Row],[SISMED]],TblDisponibilidad[],18,FALSE), 0)</f>
        <v>0</v>
      </c>
      <c r="O43">
        <f>IFERROR(VLOOKUP(Tabla13[[#This Row],[SISMED]],TblDisponibilidad[],19,FALSE), 0)</f>
        <v>0</v>
      </c>
      <c r="P43">
        <f>IFERROR(VLOOKUP(Tabla13[[#This Row],[SISMED]],TblDisponibilidad[],20,FALSE), 0)</f>
        <v>0</v>
      </c>
      <c r="Q43">
        <f>IFERROR(VLOOKUP(Tabla13[[#This Row],[SISMED]],TblDisponibilidad[],21,FALSE), 0)</f>
        <v>0</v>
      </c>
      <c r="R43">
        <f>IFERROR(VLOOKUP(Tabla13[[#This Row],[SISMED]],TblDisponibilidad[],22,FALSE), 0)</f>
        <v>0</v>
      </c>
      <c r="S43" s="15">
        <f>IFERROR(VLOOKUP(Tabla13[[#This Row],[SISMED]],TblDisponibilidad[],23,FALSE), 0)</f>
        <v>0</v>
      </c>
    </row>
    <row r="44" spans="1:19" x14ac:dyDescent="0.3">
      <c r="A44" s="15" t="s">
        <v>74</v>
      </c>
      <c r="B44" t="str">
        <f>IFERROR(VLOOKUP(Tabla13[[#This Row],[SISMED]],TblDisponibilidad[],2,FALSE), "")</f>
        <v/>
      </c>
      <c r="C44">
        <f>IFERROR(VLOOKUP(Tabla13[[#This Row],[SISMED]],TblDisponibilidad[],7,FALSE), 0)</f>
        <v>0</v>
      </c>
      <c r="D44">
        <f>IFERROR(VLOOKUP(Tabla13[[#This Row],[SISMED]],TblDisponibilidad[],8,FALSE), 0)</f>
        <v>0</v>
      </c>
      <c r="E44">
        <f>IFERROR(VLOOKUP(Tabla13[[#This Row],[SISMED]],TblDisponibilidad[],9,FALSE), 0)</f>
        <v>0</v>
      </c>
      <c r="F44">
        <f>IFERROR(VLOOKUP(Tabla13[[#This Row],[SISMED]],TblDisponibilidad[],10,FALSE), 0)</f>
        <v>0</v>
      </c>
      <c r="G44">
        <f>IFERROR(VLOOKUP(Tabla13[[#This Row],[SISMED]],TblDisponibilidad[],11,FALSE), 0)</f>
        <v>0</v>
      </c>
      <c r="H44">
        <f>IFERROR(VLOOKUP(Tabla13[[#This Row],[SISMED]],TblDisponibilidad[],12,FALSE), 0)</f>
        <v>0</v>
      </c>
      <c r="I44">
        <f>IFERROR(VLOOKUP(Tabla13[[#This Row],[SISMED]],TblDisponibilidad[],13,FALSE), 0)</f>
        <v>0</v>
      </c>
      <c r="J44">
        <f>IFERROR(VLOOKUP(Tabla13[[#This Row],[SISMED]],TblDisponibilidad[],14,FALSE), 0)</f>
        <v>0</v>
      </c>
      <c r="K44">
        <f>IFERROR(VLOOKUP(Tabla13[[#This Row],[SISMED]],TblDisponibilidad[],15,FALSE), 0)</f>
        <v>0</v>
      </c>
      <c r="L44">
        <f>IFERROR(VLOOKUP(Tabla13[[#This Row],[SISMED]],TblDisponibilidad[],16,FALSE), 0)</f>
        <v>0</v>
      </c>
      <c r="M44">
        <f>IFERROR(VLOOKUP(Tabla13[[#This Row],[SISMED]],TblDisponibilidad[],17,FALSE), 0)</f>
        <v>0</v>
      </c>
      <c r="N44">
        <f>IFERROR(VLOOKUP(Tabla13[[#This Row],[SISMED]],TblDisponibilidad[],18,FALSE), 0)</f>
        <v>0</v>
      </c>
      <c r="O44">
        <f>IFERROR(VLOOKUP(Tabla13[[#This Row],[SISMED]],TblDisponibilidad[],19,FALSE), 0)</f>
        <v>0</v>
      </c>
      <c r="P44">
        <f>IFERROR(VLOOKUP(Tabla13[[#This Row],[SISMED]],TblDisponibilidad[],20,FALSE), 0)</f>
        <v>0</v>
      </c>
      <c r="Q44">
        <f>IFERROR(VLOOKUP(Tabla13[[#This Row],[SISMED]],TblDisponibilidad[],21,FALSE), 0)</f>
        <v>0</v>
      </c>
      <c r="R44">
        <f>IFERROR(VLOOKUP(Tabla13[[#This Row],[SISMED]],TblDisponibilidad[],22,FALSE), 0)</f>
        <v>0</v>
      </c>
      <c r="S44" s="15">
        <f>IFERROR(VLOOKUP(Tabla13[[#This Row],[SISMED]],TblDisponibilidad[],23,FALSE), 0)</f>
        <v>0</v>
      </c>
    </row>
    <row r="45" spans="1:19" x14ac:dyDescent="0.3">
      <c r="A45" s="15" t="s">
        <v>75</v>
      </c>
      <c r="B45" t="str">
        <f>IFERROR(VLOOKUP(Tabla13[[#This Row],[SISMED]],TblDisponibilidad[],2,FALSE), "")</f>
        <v/>
      </c>
      <c r="C45">
        <f>IFERROR(VLOOKUP(Tabla13[[#This Row],[SISMED]],TblDisponibilidad[],7,FALSE), 0)</f>
        <v>0</v>
      </c>
      <c r="D45">
        <f>IFERROR(VLOOKUP(Tabla13[[#This Row],[SISMED]],TblDisponibilidad[],8,FALSE), 0)</f>
        <v>0</v>
      </c>
      <c r="E45">
        <f>IFERROR(VLOOKUP(Tabla13[[#This Row],[SISMED]],TblDisponibilidad[],9,FALSE), 0)</f>
        <v>0</v>
      </c>
      <c r="F45">
        <f>IFERROR(VLOOKUP(Tabla13[[#This Row],[SISMED]],TblDisponibilidad[],10,FALSE), 0)</f>
        <v>0</v>
      </c>
      <c r="G45">
        <f>IFERROR(VLOOKUP(Tabla13[[#This Row],[SISMED]],TblDisponibilidad[],11,FALSE), 0)</f>
        <v>0</v>
      </c>
      <c r="H45">
        <f>IFERROR(VLOOKUP(Tabla13[[#This Row],[SISMED]],TblDisponibilidad[],12,FALSE), 0)</f>
        <v>0</v>
      </c>
      <c r="I45">
        <f>IFERROR(VLOOKUP(Tabla13[[#This Row],[SISMED]],TblDisponibilidad[],13,FALSE), 0)</f>
        <v>0</v>
      </c>
      <c r="J45">
        <f>IFERROR(VLOOKUP(Tabla13[[#This Row],[SISMED]],TblDisponibilidad[],14,FALSE), 0)</f>
        <v>0</v>
      </c>
      <c r="K45">
        <f>IFERROR(VLOOKUP(Tabla13[[#This Row],[SISMED]],TblDisponibilidad[],15,FALSE), 0)</f>
        <v>0</v>
      </c>
      <c r="L45">
        <f>IFERROR(VLOOKUP(Tabla13[[#This Row],[SISMED]],TblDisponibilidad[],16,FALSE), 0)</f>
        <v>0</v>
      </c>
      <c r="M45">
        <f>IFERROR(VLOOKUP(Tabla13[[#This Row],[SISMED]],TblDisponibilidad[],17,FALSE), 0)</f>
        <v>0</v>
      </c>
      <c r="N45">
        <f>IFERROR(VLOOKUP(Tabla13[[#This Row],[SISMED]],TblDisponibilidad[],18,FALSE), 0)</f>
        <v>0</v>
      </c>
      <c r="O45">
        <f>IFERROR(VLOOKUP(Tabla13[[#This Row],[SISMED]],TblDisponibilidad[],19,FALSE), 0)</f>
        <v>0</v>
      </c>
      <c r="P45">
        <f>IFERROR(VLOOKUP(Tabla13[[#This Row],[SISMED]],TblDisponibilidad[],20,FALSE), 0)</f>
        <v>0</v>
      </c>
      <c r="Q45">
        <f>IFERROR(VLOOKUP(Tabla13[[#This Row],[SISMED]],TblDisponibilidad[],21,FALSE), 0)</f>
        <v>0</v>
      </c>
      <c r="R45">
        <f>IFERROR(VLOOKUP(Tabla13[[#This Row],[SISMED]],TblDisponibilidad[],22,FALSE), 0)</f>
        <v>0</v>
      </c>
      <c r="S45" s="15">
        <f>IFERROR(VLOOKUP(Tabla13[[#This Row],[SISMED]],TblDisponibilidad[],23,FALSE), 0)</f>
        <v>0</v>
      </c>
    </row>
    <row r="46" spans="1:19" x14ac:dyDescent="0.3">
      <c r="A46" s="15" t="s">
        <v>76</v>
      </c>
      <c r="B46" t="str">
        <f>IFERROR(VLOOKUP(Tabla13[[#This Row],[SISMED]],TblDisponibilidad[],2,FALSE), "")</f>
        <v/>
      </c>
      <c r="C46">
        <f>IFERROR(VLOOKUP(Tabla13[[#This Row],[SISMED]],TblDisponibilidad[],7,FALSE), 0)</f>
        <v>0</v>
      </c>
      <c r="D46">
        <f>IFERROR(VLOOKUP(Tabla13[[#This Row],[SISMED]],TblDisponibilidad[],8,FALSE), 0)</f>
        <v>0</v>
      </c>
      <c r="E46">
        <f>IFERROR(VLOOKUP(Tabla13[[#This Row],[SISMED]],TblDisponibilidad[],9,FALSE), 0)</f>
        <v>0</v>
      </c>
      <c r="F46">
        <f>IFERROR(VLOOKUP(Tabla13[[#This Row],[SISMED]],TblDisponibilidad[],10,FALSE), 0)</f>
        <v>0</v>
      </c>
      <c r="G46">
        <f>IFERROR(VLOOKUP(Tabla13[[#This Row],[SISMED]],TblDisponibilidad[],11,FALSE), 0)</f>
        <v>0</v>
      </c>
      <c r="H46">
        <f>IFERROR(VLOOKUP(Tabla13[[#This Row],[SISMED]],TblDisponibilidad[],12,FALSE), 0)</f>
        <v>0</v>
      </c>
      <c r="I46">
        <f>IFERROR(VLOOKUP(Tabla13[[#This Row],[SISMED]],TblDisponibilidad[],13,FALSE), 0)</f>
        <v>0</v>
      </c>
      <c r="J46">
        <f>IFERROR(VLOOKUP(Tabla13[[#This Row],[SISMED]],TblDisponibilidad[],14,FALSE), 0)</f>
        <v>0</v>
      </c>
      <c r="K46">
        <f>IFERROR(VLOOKUP(Tabla13[[#This Row],[SISMED]],TblDisponibilidad[],15,FALSE), 0)</f>
        <v>0</v>
      </c>
      <c r="L46">
        <f>IFERROR(VLOOKUP(Tabla13[[#This Row],[SISMED]],TblDisponibilidad[],16,FALSE), 0)</f>
        <v>0</v>
      </c>
      <c r="M46">
        <f>IFERROR(VLOOKUP(Tabla13[[#This Row],[SISMED]],TblDisponibilidad[],17,FALSE), 0)</f>
        <v>0</v>
      </c>
      <c r="N46">
        <f>IFERROR(VLOOKUP(Tabla13[[#This Row],[SISMED]],TblDisponibilidad[],18,FALSE), 0)</f>
        <v>0</v>
      </c>
      <c r="O46">
        <f>IFERROR(VLOOKUP(Tabla13[[#This Row],[SISMED]],TblDisponibilidad[],19,FALSE), 0)</f>
        <v>0</v>
      </c>
      <c r="P46">
        <f>IFERROR(VLOOKUP(Tabla13[[#This Row],[SISMED]],TblDisponibilidad[],20,FALSE), 0)</f>
        <v>0</v>
      </c>
      <c r="Q46">
        <f>IFERROR(VLOOKUP(Tabla13[[#This Row],[SISMED]],TblDisponibilidad[],21,FALSE), 0)</f>
        <v>0</v>
      </c>
      <c r="R46">
        <f>IFERROR(VLOOKUP(Tabla13[[#This Row],[SISMED]],TblDisponibilidad[],22,FALSE), 0)</f>
        <v>0</v>
      </c>
      <c r="S46" s="15">
        <f>IFERROR(VLOOKUP(Tabla13[[#This Row],[SISMED]],TblDisponibilidad[],23,FALSE), 0)</f>
        <v>0</v>
      </c>
    </row>
    <row r="47" spans="1:19" x14ac:dyDescent="0.3">
      <c r="A47" s="15" t="s">
        <v>77</v>
      </c>
      <c r="B47" t="str">
        <f>IFERROR(VLOOKUP(Tabla13[[#This Row],[SISMED]],TblDisponibilidad[],2,FALSE), "")</f>
        <v/>
      </c>
      <c r="C47">
        <f>IFERROR(VLOOKUP(Tabla13[[#This Row],[SISMED]],TblDisponibilidad[],7,FALSE), 0)</f>
        <v>0</v>
      </c>
      <c r="D47">
        <f>IFERROR(VLOOKUP(Tabla13[[#This Row],[SISMED]],TblDisponibilidad[],8,FALSE), 0)</f>
        <v>0</v>
      </c>
      <c r="E47">
        <f>IFERROR(VLOOKUP(Tabla13[[#This Row],[SISMED]],TblDisponibilidad[],9,FALSE), 0)</f>
        <v>0</v>
      </c>
      <c r="F47">
        <f>IFERROR(VLOOKUP(Tabla13[[#This Row],[SISMED]],TblDisponibilidad[],10,FALSE), 0)</f>
        <v>0</v>
      </c>
      <c r="G47">
        <f>IFERROR(VLOOKUP(Tabla13[[#This Row],[SISMED]],TblDisponibilidad[],11,FALSE), 0)</f>
        <v>0</v>
      </c>
      <c r="H47">
        <f>IFERROR(VLOOKUP(Tabla13[[#This Row],[SISMED]],TblDisponibilidad[],12,FALSE), 0)</f>
        <v>0</v>
      </c>
      <c r="I47">
        <f>IFERROR(VLOOKUP(Tabla13[[#This Row],[SISMED]],TblDisponibilidad[],13,FALSE), 0)</f>
        <v>0</v>
      </c>
      <c r="J47">
        <f>IFERROR(VLOOKUP(Tabla13[[#This Row],[SISMED]],TblDisponibilidad[],14,FALSE), 0)</f>
        <v>0</v>
      </c>
      <c r="K47">
        <f>IFERROR(VLOOKUP(Tabla13[[#This Row],[SISMED]],TblDisponibilidad[],15,FALSE), 0)</f>
        <v>0</v>
      </c>
      <c r="L47">
        <f>IFERROR(VLOOKUP(Tabla13[[#This Row],[SISMED]],TblDisponibilidad[],16,FALSE), 0)</f>
        <v>0</v>
      </c>
      <c r="M47">
        <f>IFERROR(VLOOKUP(Tabla13[[#This Row],[SISMED]],TblDisponibilidad[],17,FALSE), 0)</f>
        <v>0</v>
      </c>
      <c r="N47">
        <f>IFERROR(VLOOKUP(Tabla13[[#This Row],[SISMED]],TblDisponibilidad[],18,FALSE), 0)</f>
        <v>0</v>
      </c>
      <c r="O47">
        <f>IFERROR(VLOOKUP(Tabla13[[#This Row],[SISMED]],TblDisponibilidad[],19,FALSE), 0)</f>
        <v>0</v>
      </c>
      <c r="P47">
        <f>IFERROR(VLOOKUP(Tabla13[[#This Row],[SISMED]],TblDisponibilidad[],20,FALSE), 0)</f>
        <v>0</v>
      </c>
      <c r="Q47">
        <f>IFERROR(VLOOKUP(Tabla13[[#This Row],[SISMED]],TblDisponibilidad[],21,FALSE), 0)</f>
        <v>0</v>
      </c>
      <c r="R47">
        <f>IFERROR(VLOOKUP(Tabla13[[#This Row],[SISMED]],TblDisponibilidad[],22,FALSE), 0)</f>
        <v>0</v>
      </c>
      <c r="S47" s="15">
        <f>IFERROR(VLOOKUP(Tabla13[[#This Row],[SISMED]],TblDisponibilidad[],23,FALSE), 0)</f>
        <v>0</v>
      </c>
    </row>
    <row r="48" spans="1:19" x14ac:dyDescent="0.3">
      <c r="A48" s="15" t="s">
        <v>78</v>
      </c>
      <c r="B48" t="str">
        <f>IFERROR(VLOOKUP(Tabla13[[#This Row],[SISMED]],TblDisponibilidad[],2,FALSE), "")</f>
        <v/>
      </c>
      <c r="C48">
        <f>IFERROR(VLOOKUP(Tabla13[[#This Row],[SISMED]],TblDisponibilidad[],7,FALSE), 0)</f>
        <v>0</v>
      </c>
      <c r="D48">
        <f>IFERROR(VLOOKUP(Tabla13[[#This Row],[SISMED]],TblDisponibilidad[],8,FALSE), 0)</f>
        <v>0</v>
      </c>
      <c r="E48">
        <f>IFERROR(VLOOKUP(Tabla13[[#This Row],[SISMED]],TblDisponibilidad[],9,FALSE), 0)</f>
        <v>0</v>
      </c>
      <c r="F48">
        <f>IFERROR(VLOOKUP(Tabla13[[#This Row],[SISMED]],TblDisponibilidad[],10,FALSE), 0)</f>
        <v>0</v>
      </c>
      <c r="G48">
        <f>IFERROR(VLOOKUP(Tabla13[[#This Row],[SISMED]],TblDisponibilidad[],11,FALSE), 0)</f>
        <v>0</v>
      </c>
      <c r="H48">
        <f>IFERROR(VLOOKUP(Tabla13[[#This Row],[SISMED]],TblDisponibilidad[],12,FALSE), 0)</f>
        <v>0</v>
      </c>
      <c r="I48">
        <f>IFERROR(VLOOKUP(Tabla13[[#This Row],[SISMED]],TblDisponibilidad[],13,FALSE), 0)</f>
        <v>0</v>
      </c>
      <c r="J48">
        <f>IFERROR(VLOOKUP(Tabla13[[#This Row],[SISMED]],TblDisponibilidad[],14,FALSE), 0)</f>
        <v>0</v>
      </c>
      <c r="K48">
        <f>IFERROR(VLOOKUP(Tabla13[[#This Row],[SISMED]],TblDisponibilidad[],15,FALSE), 0)</f>
        <v>0</v>
      </c>
      <c r="L48">
        <f>IFERROR(VLOOKUP(Tabla13[[#This Row],[SISMED]],TblDisponibilidad[],16,FALSE), 0)</f>
        <v>0</v>
      </c>
      <c r="M48">
        <f>IFERROR(VLOOKUP(Tabla13[[#This Row],[SISMED]],TblDisponibilidad[],17,FALSE), 0)</f>
        <v>0</v>
      </c>
      <c r="N48">
        <f>IFERROR(VLOOKUP(Tabla13[[#This Row],[SISMED]],TblDisponibilidad[],18,FALSE), 0)</f>
        <v>0</v>
      </c>
      <c r="O48">
        <f>IFERROR(VLOOKUP(Tabla13[[#This Row],[SISMED]],TblDisponibilidad[],19,FALSE), 0)</f>
        <v>0</v>
      </c>
      <c r="P48">
        <f>IFERROR(VLOOKUP(Tabla13[[#This Row],[SISMED]],TblDisponibilidad[],20,FALSE), 0)</f>
        <v>0</v>
      </c>
      <c r="Q48">
        <f>IFERROR(VLOOKUP(Tabla13[[#This Row],[SISMED]],TblDisponibilidad[],21,FALSE), 0)</f>
        <v>0</v>
      </c>
      <c r="R48">
        <f>IFERROR(VLOOKUP(Tabla13[[#This Row],[SISMED]],TblDisponibilidad[],22,FALSE), 0)</f>
        <v>0</v>
      </c>
      <c r="S48" s="15">
        <f>IFERROR(VLOOKUP(Tabla13[[#This Row],[SISMED]],TblDisponibilidad[],23,FALSE), 0)</f>
        <v>0</v>
      </c>
    </row>
    <row r="49" spans="1:19" x14ac:dyDescent="0.3">
      <c r="A49" s="15" t="s">
        <v>79</v>
      </c>
      <c r="B49" t="str">
        <f>IFERROR(VLOOKUP(Tabla13[[#This Row],[SISMED]],TblDisponibilidad[],2,FALSE), "")</f>
        <v/>
      </c>
      <c r="C49">
        <f>IFERROR(VLOOKUP(Tabla13[[#This Row],[SISMED]],TblDisponibilidad[],7,FALSE), 0)</f>
        <v>0</v>
      </c>
      <c r="D49">
        <f>IFERROR(VLOOKUP(Tabla13[[#This Row],[SISMED]],TblDisponibilidad[],8,FALSE), 0)</f>
        <v>0</v>
      </c>
      <c r="E49">
        <f>IFERROR(VLOOKUP(Tabla13[[#This Row],[SISMED]],TblDisponibilidad[],9,FALSE), 0)</f>
        <v>0</v>
      </c>
      <c r="F49">
        <f>IFERROR(VLOOKUP(Tabla13[[#This Row],[SISMED]],TblDisponibilidad[],10,FALSE), 0)</f>
        <v>0</v>
      </c>
      <c r="G49">
        <f>IFERROR(VLOOKUP(Tabla13[[#This Row],[SISMED]],TblDisponibilidad[],11,FALSE), 0)</f>
        <v>0</v>
      </c>
      <c r="H49">
        <f>IFERROR(VLOOKUP(Tabla13[[#This Row],[SISMED]],TblDisponibilidad[],12,FALSE), 0)</f>
        <v>0</v>
      </c>
      <c r="I49">
        <f>IFERROR(VLOOKUP(Tabla13[[#This Row],[SISMED]],TblDisponibilidad[],13,FALSE), 0)</f>
        <v>0</v>
      </c>
      <c r="J49">
        <f>IFERROR(VLOOKUP(Tabla13[[#This Row],[SISMED]],TblDisponibilidad[],14,FALSE), 0)</f>
        <v>0</v>
      </c>
      <c r="K49">
        <f>IFERROR(VLOOKUP(Tabla13[[#This Row],[SISMED]],TblDisponibilidad[],15,FALSE), 0)</f>
        <v>0</v>
      </c>
      <c r="L49">
        <f>IFERROR(VLOOKUP(Tabla13[[#This Row],[SISMED]],TblDisponibilidad[],16,FALSE), 0)</f>
        <v>0</v>
      </c>
      <c r="M49">
        <f>IFERROR(VLOOKUP(Tabla13[[#This Row],[SISMED]],TblDisponibilidad[],17,FALSE), 0)</f>
        <v>0</v>
      </c>
      <c r="N49">
        <f>IFERROR(VLOOKUP(Tabla13[[#This Row],[SISMED]],TblDisponibilidad[],18,FALSE), 0)</f>
        <v>0</v>
      </c>
      <c r="O49">
        <f>IFERROR(VLOOKUP(Tabla13[[#This Row],[SISMED]],TblDisponibilidad[],19,FALSE), 0)</f>
        <v>0</v>
      </c>
      <c r="P49">
        <f>IFERROR(VLOOKUP(Tabla13[[#This Row],[SISMED]],TblDisponibilidad[],20,FALSE), 0)</f>
        <v>0</v>
      </c>
      <c r="Q49">
        <f>IFERROR(VLOOKUP(Tabla13[[#This Row],[SISMED]],TblDisponibilidad[],21,FALSE), 0)</f>
        <v>0</v>
      </c>
      <c r="R49">
        <f>IFERROR(VLOOKUP(Tabla13[[#This Row],[SISMED]],TblDisponibilidad[],22,FALSE), 0)</f>
        <v>0</v>
      </c>
      <c r="S49" s="15">
        <f>IFERROR(VLOOKUP(Tabla13[[#This Row],[SISMED]],TblDisponibilidad[],23,FALSE), 0)</f>
        <v>0</v>
      </c>
    </row>
    <row r="50" spans="1:19" x14ac:dyDescent="0.3">
      <c r="A50" s="15" t="s">
        <v>80</v>
      </c>
      <c r="B50" t="str">
        <f>IFERROR(VLOOKUP(Tabla13[[#This Row],[SISMED]],TblDisponibilidad[],2,FALSE), "")</f>
        <v/>
      </c>
      <c r="C50">
        <f>IFERROR(VLOOKUP(Tabla13[[#This Row],[SISMED]],TblDisponibilidad[],7,FALSE), 0)</f>
        <v>0</v>
      </c>
      <c r="D50">
        <f>IFERROR(VLOOKUP(Tabla13[[#This Row],[SISMED]],TblDisponibilidad[],8,FALSE), 0)</f>
        <v>0</v>
      </c>
      <c r="E50">
        <f>IFERROR(VLOOKUP(Tabla13[[#This Row],[SISMED]],TblDisponibilidad[],9,FALSE), 0)</f>
        <v>0</v>
      </c>
      <c r="F50">
        <f>IFERROR(VLOOKUP(Tabla13[[#This Row],[SISMED]],TblDisponibilidad[],10,FALSE), 0)</f>
        <v>0</v>
      </c>
      <c r="G50">
        <f>IFERROR(VLOOKUP(Tabla13[[#This Row],[SISMED]],TblDisponibilidad[],11,FALSE), 0)</f>
        <v>0</v>
      </c>
      <c r="H50">
        <f>IFERROR(VLOOKUP(Tabla13[[#This Row],[SISMED]],TblDisponibilidad[],12,FALSE), 0)</f>
        <v>0</v>
      </c>
      <c r="I50">
        <f>IFERROR(VLOOKUP(Tabla13[[#This Row],[SISMED]],TblDisponibilidad[],13,FALSE), 0)</f>
        <v>0</v>
      </c>
      <c r="J50">
        <f>IFERROR(VLOOKUP(Tabla13[[#This Row],[SISMED]],TblDisponibilidad[],14,FALSE), 0)</f>
        <v>0</v>
      </c>
      <c r="K50">
        <f>IFERROR(VLOOKUP(Tabla13[[#This Row],[SISMED]],TblDisponibilidad[],15,FALSE), 0)</f>
        <v>0</v>
      </c>
      <c r="L50">
        <f>IFERROR(VLOOKUP(Tabla13[[#This Row],[SISMED]],TblDisponibilidad[],16,FALSE), 0)</f>
        <v>0</v>
      </c>
      <c r="M50">
        <f>IFERROR(VLOOKUP(Tabla13[[#This Row],[SISMED]],TblDisponibilidad[],17,FALSE), 0)</f>
        <v>0</v>
      </c>
      <c r="N50">
        <f>IFERROR(VLOOKUP(Tabla13[[#This Row],[SISMED]],TblDisponibilidad[],18,FALSE), 0)</f>
        <v>0</v>
      </c>
      <c r="O50">
        <f>IFERROR(VLOOKUP(Tabla13[[#This Row],[SISMED]],TblDisponibilidad[],19,FALSE), 0)</f>
        <v>0</v>
      </c>
      <c r="P50">
        <f>IFERROR(VLOOKUP(Tabla13[[#This Row],[SISMED]],TblDisponibilidad[],20,FALSE), 0)</f>
        <v>0</v>
      </c>
      <c r="Q50">
        <f>IFERROR(VLOOKUP(Tabla13[[#This Row],[SISMED]],TblDisponibilidad[],21,FALSE), 0)</f>
        <v>0</v>
      </c>
      <c r="R50">
        <f>IFERROR(VLOOKUP(Tabla13[[#This Row],[SISMED]],TblDisponibilidad[],22,FALSE), 0)</f>
        <v>0</v>
      </c>
      <c r="S50" s="15">
        <f>IFERROR(VLOOKUP(Tabla13[[#This Row],[SISMED]],TblDisponibilidad[],23,FALSE), 0)</f>
        <v>0</v>
      </c>
    </row>
    <row r="51" spans="1:19" x14ac:dyDescent="0.3">
      <c r="A51" s="15" t="s">
        <v>81</v>
      </c>
      <c r="B51" t="str">
        <f>IFERROR(VLOOKUP(Tabla13[[#This Row],[SISMED]],TblDisponibilidad[],2,FALSE), "")</f>
        <v/>
      </c>
      <c r="C51">
        <f>IFERROR(VLOOKUP(Tabla13[[#This Row],[SISMED]],TblDisponibilidad[],7,FALSE), 0)</f>
        <v>0</v>
      </c>
      <c r="D51">
        <f>IFERROR(VLOOKUP(Tabla13[[#This Row],[SISMED]],TblDisponibilidad[],8,FALSE), 0)</f>
        <v>0</v>
      </c>
      <c r="E51">
        <f>IFERROR(VLOOKUP(Tabla13[[#This Row],[SISMED]],TblDisponibilidad[],9,FALSE), 0)</f>
        <v>0</v>
      </c>
      <c r="F51">
        <f>IFERROR(VLOOKUP(Tabla13[[#This Row],[SISMED]],TblDisponibilidad[],10,FALSE), 0)</f>
        <v>0</v>
      </c>
      <c r="G51">
        <f>IFERROR(VLOOKUP(Tabla13[[#This Row],[SISMED]],TblDisponibilidad[],11,FALSE), 0)</f>
        <v>0</v>
      </c>
      <c r="H51">
        <f>IFERROR(VLOOKUP(Tabla13[[#This Row],[SISMED]],TblDisponibilidad[],12,FALSE), 0)</f>
        <v>0</v>
      </c>
      <c r="I51">
        <f>IFERROR(VLOOKUP(Tabla13[[#This Row],[SISMED]],TblDisponibilidad[],13,FALSE), 0)</f>
        <v>0</v>
      </c>
      <c r="J51">
        <f>IFERROR(VLOOKUP(Tabla13[[#This Row],[SISMED]],TblDisponibilidad[],14,FALSE), 0)</f>
        <v>0</v>
      </c>
      <c r="K51">
        <f>IFERROR(VLOOKUP(Tabla13[[#This Row],[SISMED]],TblDisponibilidad[],15,FALSE), 0)</f>
        <v>0</v>
      </c>
      <c r="L51">
        <f>IFERROR(VLOOKUP(Tabla13[[#This Row],[SISMED]],TblDisponibilidad[],16,FALSE), 0)</f>
        <v>0</v>
      </c>
      <c r="M51">
        <f>IFERROR(VLOOKUP(Tabla13[[#This Row],[SISMED]],TblDisponibilidad[],17,FALSE), 0)</f>
        <v>0</v>
      </c>
      <c r="N51">
        <f>IFERROR(VLOOKUP(Tabla13[[#This Row],[SISMED]],TblDisponibilidad[],18,FALSE), 0)</f>
        <v>0</v>
      </c>
      <c r="O51">
        <f>IFERROR(VLOOKUP(Tabla13[[#This Row],[SISMED]],TblDisponibilidad[],19,FALSE), 0)</f>
        <v>0</v>
      </c>
      <c r="P51">
        <f>IFERROR(VLOOKUP(Tabla13[[#This Row],[SISMED]],TblDisponibilidad[],20,FALSE), 0)</f>
        <v>0</v>
      </c>
      <c r="Q51">
        <f>IFERROR(VLOOKUP(Tabla13[[#This Row],[SISMED]],TblDisponibilidad[],21,FALSE), 0)</f>
        <v>0</v>
      </c>
      <c r="R51">
        <f>IFERROR(VLOOKUP(Tabla13[[#This Row],[SISMED]],TblDisponibilidad[],22,FALSE), 0)</f>
        <v>0</v>
      </c>
      <c r="S51" s="15">
        <f>IFERROR(VLOOKUP(Tabla13[[#This Row],[SISMED]],TblDisponibilidad[],23,FALSE), 0)</f>
        <v>0</v>
      </c>
    </row>
    <row r="52" spans="1:19" x14ac:dyDescent="0.3">
      <c r="A52" s="15" t="s">
        <v>82</v>
      </c>
      <c r="B52" t="str">
        <f>IFERROR(VLOOKUP(Tabla13[[#This Row],[SISMED]],TblDisponibilidad[],2,FALSE), "")</f>
        <v/>
      </c>
      <c r="C52">
        <f>IFERROR(VLOOKUP(Tabla13[[#This Row],[SISMED]],TblDisponibilidad[],7,FALSE), 0)</f>
        <v>0</v>
      </c>
      <c r="D52">
        <f>IFERROR(VLOOKUP(Tabla13[[#This Row],[SISMED]],TblDisponibilidad[],8,FALSE), 0)</f>
        <v>0</v>
      </c>
      <c r="E52">
        <f>IFERROR(VLOOKUP(Tabla13[[#This Row],[SISMED]],TblDisponibilidad[],9,FALSE), 0)</f>
        <v>0</v>
      </c>
      <c r="F52">
        <f>IFERROR(VLOOKUP(Tabla13[[#This Row],[SISMED]],TblDisponibilidad[],10,FALSE), 0)</f>
        <v>0</v>
      </c>
      <c r="G52">
        <f>IFERROR(VLOOKUP(Tabla13[[#This Row],[SISMED]],TblDisponibilidad[],11,FALSE), 0)</f>
        <v>0</v>
      </c>
      <c r="H52">
        <f>IFERROR(VLOOKUP(Tabla13[[#This Row],[SISMED]],TblDisponibilidad[],12,FALSE), 0)</f>
        <v>0</v>
      </c>
      <c r="I52">
        <f>IFERROR(VLOOKUP(Tabla13[[#This Row],[SISMED]],TblDisponibilidad[],13,FALSE), 0)</f>
        <v>0</v>
      </c>
      <c r="J52">
        <f>IFERROR(VLOOKUP(Tabla13[[#This Row],[SISMED]],TblDisponibilidad[],14,FALSE), 0)</f>
        <v>0</v>
      </c>
      <c r="K52">
        <f>IFERROR(VLOOKUP(Tabla13[[#This Row],[SISMED]],TblDisponibilidad[],15,FALSE), 0)</f>
        <v>0</v>
      </c>
      <c r="L52">
        <f>IFERROR(VLOOKUP(Tabla13[[#This Row],[SISMED]],TblDisponibilidad[],16,FALSE), 0)</f>
        <v>0</v>
      </c>
      <c r="M52">
        <f>IFERROR(VLOOKUP(Tabla13[[#This Row],[SISMED]],TblDisponibilidad[],17,FALSE), 0)</f>
        <v>0</v>
      </c>
      <c r="N52">
        <f>IFERROR(VLOOKUP(Tabla13[[#This Row],[SISMED]],TblDisponibilidad[],18,FALSE), 0)</f>
        <v>0</v>
      </c>
      <c r="O52">
        <f>IFERROR(VLOOKUP(Tabla13[[#This Row],[SISMED]],TblDisponibilidad[],19,FALSE), 0)</f>
        <v>0</v>
      </c>
      <c r="P52">
        <f>IFERROR(VLOOKUP(Tabla13[[#This Row],[SISMED]],TblDisponibilidad[],20,FALSE), 0)</f>
        <v>0</v>
      </c>
      <c r="Q52">
        <f>IFERROR(VLOOKUP(Tabla13[[#This Row],[SISMED]],TblDisponibilidad[],21,FALSE), 0)</f>
        <v>0</v>
      </c>
      <c r="R52">
        <f>IFERROR(VLOOKUP(Tabla13[[#This Row],[SISMED]],TblDisponibilidad[],22,FALSE), 0)</f>
        <v>0</v>
      </c>
      <c r="S52" s="15">
        <f>IFERROR(VLOOKUP(Tabla13[[#This Row],[SISMED]],TblDisponibilidad[],23,FALSE), 0)</f>
        <v>0</v>
      </c>
    </row>
    <row r="53" spans="1:19" x14ac:dyDescent="0.3">
      <c r="A53" s="15" t="s">
        <v>83</v>
      </c>
      <c r="B53" t="str">
        <f>IFERROR(VLOOKUP(Tabla13[[#This Row],[SISMED]],TblDisponibilidad[],2,FALSE), "")</f>
        <v/>
      </c>
      <c r="C53">
        <f>IFERROR(VLOOKUP(Tabla13[[#This Row],[SISMED]],TblDisponibilidad[],7,FALSE), 0)</f>
        <v>0</v>
      </c>
      <c r="D53">
        <f>IFERROR(VLOOKUP(Tabla13[[#This Row],[SISMED]],TblDisponibilidad[],8,FALSE), 0)</f>
        <v>0</v>
      </c>
      <c r="E53">
        <f>IFERROR(VLOOKUP(Tabla13[[#This Row],[SISMED]],TblDisponibilidad[],9,FALSE), 0)</f>
        <v>0</v>
      </c>
      <c r="F53">
        <f>IFERROR(VLOOKUP(Tabla13[[#This Row],[SISMED]],TblDisponibilidad[],10,FALSE), 0)</f>
        <v>0</v>
      </c>
      <c r="G53">
        <f>IFERROR(VLOOKUP(Tabla13[[#This Row],[SISMED]],TblDisponibilidad[],11,FALSE), 0)</f>
        <v>0</v>
      </c>
      <c r="H53">
        <f>IFERROR(VLOOKUP(Tabla13[[#This Row],[SISMED]],TblDisponibilidad[],12,FALSE), 0)</f>
        <v>0</v>
      </c>
      <c r="I53">
        <f>IFERROR(VLOOKUP(Tabla13[[#This Row],[SISMED]],TblDisponibilidad[],13,FALSE), 0)</f>
        <v>0</v>
      </c>
      <c r="J53">
        <f>IFERROR(VLOOKUP(Tabla13[[#This Row],[SISMED]],TblDisponibilidad[],14,FALSE), 0)</f>
        <v>0</v>
      </c>
      <c r="K53">
        <f>IFERROR(VLOOKUP(Tabla13[[#This Row],[SISMED]],TblDisponibilidad[],15,FALSE), 0)</f>
        <v>0</v>
      </c>
      <c r="L53">
        <f>IFERROR(VLOOKUP(Tabla13[[#This Row],[SISMED]],TblDisponibilidad[],16,FALSE), 0)</f>
        <v>0</v>
      </c>
      <c r="M53">
        <f>IFERROR(VLOOKUP(Tabla13[[#This Row],[SISMED]],TblDisponibilidad[],17,FALSE), 0)</f>
        <v>0</v>
      </c>
      <c r="N53">
        <f>IFERROR(VLOOKUP(Tabla13[[#This Row],[SISMED]],TblDisponibilidad[],18,FALSE), 0)</f>
        <v>0</v>
      </c>
      <c r="O53">
        <f>IFERROR(VLOOKUP(Tabla13[[#This Row],[SISMED]],TblDisponibilidad[],19,FALSE), 0)</f>
        <v>0</v>
      </c>
      <c r="P53">
        <f>IFERROR(VLOOKUP(Tabla13[[#This Row],[SISMED]],TblDisponibilidad[],20,FALSE), 0)</f>
        <v>0</v>
      </c>
      <c r="Q53">
        <f>IFERROR(VLOOKUP(Tabla13[[#This Row],[SISMED]],TblDisponibilidad[],21,FALSE), 0)</f>
        <v>0</v>
      </c>
      <c r="R53">
        <f>IFERROR(VLOOKUP(Tabla13[[#This Row],[SISMED]],TblDisponibilidad[],22,FALSE), 0)</f>
        <v>0</v>
      </c>
      <c r="S53" s="15">
        <f>IFERROR(VLOOKUP(Tabla13[[#This Row],[SISMED]],TblDisponibilidad[],23,FALSE), 0)</f>
        <v>0</v>
      </c>
    </row>
    <row r="54" spans="1:19" x14ac:dyDescent="0.3">
      <c r="A54" s="15" t="s">
        <v>84</v>
      </c>
      <c r="B54" t="str">
        <f>IFERROR(VLOOKUP(Tabla13[[#This Row],[SISMED]],TblDisponibilidad[],2,FALSE), "")</f>
        <v/>
      </c>
      <c r="C54">
        <f>IFERROR(VLOOKUP(Tabla13[[#This Row],[SISMED]],TblDisponibilidad[],7,FALSE), 0)</f>
        <v>0</v>
      </c>
      <c r="D54">
        <f>IFERROR(VLOOKUP(Tabla13[[#This Row],[SISMED]],TblDisponibilidad[],8,FALSE), 0)</f>
        <v>0</v>
      </c>
      <c r="E54">
        <f>IFERROR(VLOOKUP(Tabla13[[#This Row],[SISMED]],TblDisponibilidad[],9,FALSE), 0)</f>
        <v>0</v>
      </c>
      <c r="F54">
        <f>IFERROR(VLOOKUP(Tabla13[[#This Row],[SISMED]],TblDisponibilidad[],10,FALSE), 0)</f>
        <v>0</v>
      </c>
      <c r="G54">
        <f>IFERROR(VLOOKUP(Tabla13[[#This Row],[SISMED]],TblDisponibilidad[],11,FALSE), 0)</f>
        <v>0</v>
      </c>
      <c r="H54">
        <f>IFERROR(VLOOKUP(Tabla13[[#This Row],[SISMED]],TblDisponibilidad[],12,FALSE), 0)</f>
        <v>0</v>
      </c>
      <c r="I54">
        <f>IFERROR(VLOOKUP(Tabla13[[#This Row],[SISMED]],TblDisponibilidad[],13,FALSE), 0)</f>
        <v>0</v>
      </c>
      <c r="J54">
        <f>IFERROR(VLOOKUP(Tabla13[[#This Row],[SISMED]],TblDisponibilidad[],14,FALSE), 0)</f>
        <v>0</v>
      </c>
      <c r="K54">
        <f>IFERROR(VLOOKUP(Tabla13[[#This Row],[SISMED]],TblDisponibilidad[],15,FALSE), 0)</f>
        <v>0</v>
      </c>
      <c r="L54">
        <f>IFERROR(VLOOKUP(Tabla13[[#This Row],[SISMED]],TblDisponibilidad[],16,FALSE), 0)</f>
        <v>0</v>
      </c>
      <c r="M54">
        <f>IFERROR(VLOOKUP(Tabla13[[#This Row],[SISMED]],TblDisponibilidad[],17,FALSE), 0)</f>
        <v>0</v>
      </c>
      <c r="N54">
        <f>IFERROR(VLOOKUP(Tabla13[[#This Row],[SISMED]],TblDisponibilidad[],18,FALSE), 0)</f>
        <v>0</v>
      </c>
      <c r="O54">
        <f>IFERROR(VLOOKUP(Tabla13[[#This Row],[SISMED]],TblDisponibilidad[],19,FALSE), 0)</f>
        <v>0</v>
      </c>
      <c r="P54">
        <f>IFERROR(VLOOKUP(Tabla13[[#This Row],[SISMED]],TblDisponibilidad[],20,FALSE), 0)</f>
        <v>0</v>
      </c>
      <c r="Q54">
        <f>IFERROR(VLOOKUP(Tabla13[[#This Row],[SISMED]],TblDisponibilidad[],21,FALSE), 0)</f>
        <v>0</v>
      </c>
      <c r="R54">
        <f>IFERROR(VLOOKUP(Tabla13[[#This Row],[SISMED]],TblDisponibilidad[],22,FALSE), 0)</f>
        <v>0</v>
      </c>
      <c r="S54" s="15">
        <f>IFERROR(VLOOKUP(Tabla13[[#This Row],[SISMED]],TblDisponibilidad[],23,FALSE), 0)</f>
        <v>0</v>
      </c>
    </row>
    <row r="55" spans="1:19" x14ac:dyDescent="0.3">
      <c r="A55" s="15" t="s">
        <v>85</v>
      </c>
      <c r="B55" t="str">
        <f>IFERROR(VLOOKUP(Tabla13[[#This Row],[SISMED]],TblDisponibilidad[],2,FALSE), "")</f>
        <v/>
      </c>
      <c r="C55">
        <f>IFERROR(VLOOKUP(Tabla13[[#This Row],[SISMED]],TblDisponibilidad[],7,FALSE), 0)</f>
        <v>0</v>
      </c>
      <c r="D55">
        <f>IFERROR(VLOOKUP(Tabla13[[#This Row],[SISMED]],TblDisponibilidad[],8,FALSE), 0)</f>
        <v>0</v>
      </c>
      <c r="E55">
        <f>IFERROR(VLOOKUP(Tabla13[[#This Row],[SISMED]],TblDisponibilidad[],9,FALSE), 0)</f>
        <v>0</v>
      </c>
      <c r="F55">
        <f>IFERROR(VLOOKUP(Tabla13[[#This Row],[SISMED]],TblDisponibilidad[],10,FALSE), 0)</f>
        <v>0</v>
      </c>
      <c r="G55">
        <f>IFERROR(VLOOKUP(Tabla13[[#This Row],[SISMED]],TblDisponibilidad[],11,FALSE), 0)</f>
        <v>0</v>
      </c>
      <c r="H55">
        <f>IFERROR(VLOOKUP(Tabla13[[#This Row],[SISMED]],TblDisponibilidad[],12,FALSE), 0)</f>
        <v>0</v>
      </c>
      <c r="I55">
        <f>IFERROR(VLOOKUP(Tabla13[[#This Row],[SISMED]],TblDisponibilidad[],13,FALSE), 0)</f>
        <v>0</v>
      </c>
      <c r="J55">
        <f>IFERROR(VLOOKUP(Tabla13[[#This Row],[SISMED]],TblDisponibilidad[],14,FALSE), 0)</f>
        <v>0</v>
      </c>
      <c r="K55">
        <f>IFERROR(VLOOKUP(Tabla13[[#This Row],[SISMED]],TblDisponibilidad[],15,FALSE), 0)</f>
        <v>0</v>
      </c>
      <c r="L55">
        <f>IFERROR(VLOOKUP(Tabla13[[#This Row],[SISMED]],TblDisponibilidad[],16,FALSE), 0)</f>
        <v>0</v>
      </c>
      <c r="M55">
        <f>IFERROR(VLOOKUP(Tabla13[[#This Row],[SISMED]],TblDisponibilidad[],17,FALSE), 0)</f>
        <v>0</v>
      </c>
      <c r="N55">
        <f>IFERROR(VLOOKUP(Tabla13[[#This Row],[SISMED]],TblDisponibilidad[],18,FALSE), 0)</f>
        <v>0</v>
      </c>
      <c r="O55">
        <f>IFERROR(VLOOKUP(Tabla13[[#This Row],[SISMED]],TblDisponibilidad[],19,FALSE), 0)</f>
        <v>0</v>
      </c>
      <c r="P55">
        <f>IFERROR(VLOOKUP(Tabla13[[#This Row],[SISMED]],TblDisponibilidad[],20,FALSE), 0)</f>
        <v>0</v>
      </c>
      <c r="Q55">
        <f>IFERROR(VLOOKUP(Tabla13[[#This Row],[SISMED]],TblDisponibilidad[],21,FALSE), 0)</f>
        <v>0</v>
      </c>
      <c r="R55">
        <f>IFERROR(VLOOKUP(Tabla13[[#This Row],[SISMED]],TblDisponibilidad[],22,FALSE), 0)</f>
        <v>0</v>
      </c>
      <c r="S55" s="15">
        <f>IFERROR(VLOOKUP(Tabla13[[#This Row],[SISMED]],TblDisponibilidad[],23,FALSE), 0)</f>
        <v>0</v>
      </c>
    </row>
    <row r="56" spans="1:19" x14ac:dyDescent="0.3">
      <c r="A56" s="15" t="s">
        <v>86</v>
      </c>
      <c r="B56" t="str">
        <f>IFERROR(VLOOKUP(Tabla13[[#This Row],[SISMED]],TblDisponibilidad[],2,FALSE), "")</f>
        <v/>
      </c>
      <c r="C56">
        <f>IFERROR(VLOOKUP(Tabla13[[#This Row],[SISMED]],TblDisponibilidad[],7,FALSE), 0)</f>
        <v>0</v>
      </c>
      <c r="D56">
        <f>IFERROR(VLOOKUP(Tabla13[[#This Row],[SISMED]],TblDisponibilidad[],8,FALSE), 0)</f>
        <v>0</v>
      </c>
      <c r="E56">
        <f>IFERROR(VLOOKUP(Tabla13[[#This Row],[SISMED]],TblDisponibilidad[],9,FALSE), 0)</f>
        <v>0</v>
      </c>
      <c r="F56">
        <f>IFERROR(VLOOKUP(Tabla13[[#This Row],[SISMED]],TblDisponibilidad[],10,FALSE), 0)</f>
        <v>0</v>
      </c>
      <c r="G56">
        <f>IFERROR(VLOOKUP(Tabla13[[#This Row],[SISMED]],TblDisponibilidad[],11,FALSE), 0)</f>
        <v>0</v>
      </c>
      <c r="H56">
        <f>IFERROR(VLOOKUP(Tabla13[[#This Row],[SISMED]],TblDisponibilidad[],12,FALSE), 0)</f>
        <v>0</v>
      </c>
      <c r="I56">
        <f>IFERROR(VLOOKUP(Tabla13[[#This Row],[SISMED]],TblDisponibilidad[],13,FALSE), 0)</f>
        <v>0</v>
      </c>
      <c r="J56">
        <f>IFERROR(VLOOKUP(Tabla13[[#This Row],[SISMED]],TblDisponibilidad[],14,FALSE), 0)</f>
        <v>0</v>
      </c>
      <c r="K56">
        <f>IFERROR(VLOOKUP(Tabla13[[#This Row],[SISMED]],TblDisponibilidad[],15,FALSE), 0)</f>
        <v>0</v>
      </c>
      <c r="L56">
        <f>IFERROR(VLOOKUP(Tabla13[[#This Row],[SISMED]],TblDisponibilidad[],16,FALSE), 0)</f>
        <v>0</v>
      </c>
      <c r="M56">
        <f>IFERROR(VLOOKUP(Tabla13[[#This Row],[SISMED]],TblDisponibilidad[],17,FALSE), 0)</f>
        <v>0</v>
      </c>
      <c r="N56">
        <f>IFERROR(VLOOKUP(Tabla13[[#This Row],[SISMED]],TblDisponibilidad[],18,FALSE), 0)</f>
        <v>0</v>
      </c>
      <c r="O56">
        <f>IFERROR(VLOOKUP(Tabla13[[#This Row],[SISMED]],TblDisponibilidad[],19,FALSE), 0)</f>
        <v>0</v>
      </c>
      <c r="P56">
        <f>IFERROR(VLOOKUP(Tabla13[[#This Row],[SISMED]],TblDisponibilidad[],20,FALSE), 0)</f>
        <v>0</v>
      </c>
      <c r="Q56">
        <f>IFERROR(VLOOKUP(Tabla13[[#This Row],[SISMED]],TblDisponibilidad[],21,FALSE), 0)</f>
        <v>0</v>
      </c>
      <c r="R56">
        <f>IFERROR(VLOOKUP(Tabla13[[#This Row],[SISMED]],TblDisponibilidad[],22,FALSE), 0)</f>
        <v>0</v>
      </c>
      <c r="S56" s="15">
        <f>IFERROR(VLOOKUP(Tabla13[[#This Row],[SISMED]],TblDisponibilidad[],23,FALSE), 0)</f>
        <v>0</v>
      </c>
    </row>
    <row r="57" spans="1:19" x14ac:dyDescent="0.3">
      <c r="A57" s="15" t="s">
        <v>87</v>
      </c>
      <c r="B57" t="str">
        <f>IFERROR(VLOOKUP(Tabla13[[#This Row],[SISMED]],TblDisponibilidad[],2,FALSE), "")</f>
        <v/>
      </c>
      <c r="C57">
        <f>IFERROR(VLOOKUP(Tabla13[[#This Row],[SISMED]],TblDisponibilidad[],7,FALSE), 0)</f>
        <v>0</v>
      </c>
      <c r="D57">
        <f>IFERROR(VLOOKUP(Tabla13[[#This Row],[SISMED]],TblDisponibilidad[],8,FALSE), 0)</f>
        <v>0</v>
      </c>
      <c r="E57">
        <f>IFERROR(VLOOKUP(Tabla13[[#This Row],[SISMED]],TblDisponibilidad[],9,FALSE), 0)</f>
        <v>0</v>
      </c>
      <c r="F57">
        <f>IFERROR(VLOOKUP(Tabla13[[#This Row],[SISMED]],TblDisponibilidad[],10,FALSE), 0)</f>
        <v>0</v>
      </c>
      <c r="G57">
        <f>IFERROR(VLOOKUP(Tabla13[[#This Row],[SISMED]],TblDisponibilidad[],11,FALSE), 0)</f>
        <v>0</v>
      </c>
      <c r="H57">
        <f>IFERROR(VLOOKUP(Tabla13[[#This Row],[SISMED]],TblDisponibilidad[],12,FALSE), 0)</f>
        <v>0</v>
      </c>
      <c r="I57">
        <f>IFERROR(VLOOKUP(Tabla13[[#This Row],[SISMED]],TblDisponibilidad[],13,FALSE), 0)</f>
        <v>0</v>
      </c>
      <c r="J57">
        <f>IFERROR(VLOOKUP(Tabla13[[#This Row],[SISMED]],TblDisponibilidad[],14,FALSE), 0)</f>
        <v>0</v>
      </c>
      <c r="K57">
        <f>IFERROR(VLOOKUP(Tabla13[[#This Row],[SISMED]],TblDisponibilidad[],15,FALSE), 0)</f>
        <v>0</v>
      </c>
      <c r="L57">
        <f>IFERROR(VLOOKUP(Tabla13[[#This Row],[SISMED]],TblDisponibilidad[],16,FALSE), 0)</f>
        <v>0</v>
      </c>
      <c r="M57">
        <f>IFERROR(VLOOKUP(Tabla13[[#This Row],[SISMED]],TblDisponibilidad[],17,FALSE), 0)</f>
        <v>0</v>
      </c>
      <c r="N57">
        <f>IFERROR(VLOOKUP(Tabla13[[#This Row],[SISMED]],TblDisponibilidad[],18,FALSE), 0)</f>
        <v>0</v>
      </c>
      <c r="O57">
        <f>IFERROR(VLOOKUP(Tabla13[[#This Row],[SISMED]],TblDisponibilidad[],19,FALSE), 0)</f>
        <v>0</v>
      </c>
      <c r="P57">
        <f>IFERROR(VLOOKUP(Tabla13[[#This Row],[SISMED]],TblDisponibilidad[],20,FALSE), 0)</f>
        <v>0</v>
      </c>
      <c r="Q57">
        <f>IFERROR(VLOOKUP(Tabla13[[#This Row],[SISMED]],TblDisponibilidad[],21,FALSE), 0)</f>
        <v>0</v>
      </c>
      <c r="R57">
        <f>IFERROR(VLOOKUP(Tabla13[[#This Row],[SISMED]],TblDisponibilidad[],22,FALSE), 0)</f>
        <v>0</v>
      </c>
      <c r="S57" s="15">
        <f>IFERROR(VLOOKUP(Tabla13[[#This Row],[SISMED]],TblDisponibilidad[],23,FALSE), 0)</f>
        <v>0</v>
      </c>
    </row>
    <row r="58" spans="1:19" x14ac:dyDescent="0.3">
      <c r="A58" s="15" t="s">
        <v>88</v>
      </c>
      <c r="B58" t="str">
        <f>IFERROR(VLOOKUP(Tabla13[[#This Row],[SISMED]],TblDisponibilidad[],2,FALSE), "")</f>
        <v/>
      </c>
      <c r="C58">
        <f>IFERROR(VLOOKUP(Tabla13[[#This Row],[SISMED]],TblDisponibilidad[],7,FALSE), 0)</f>
        <v>0</v>
      </c>
      <c r="D58">
        <f>IFERROR(VLOOKUP(Tabla13[[#This Row],[SISMED]],TblDisponibilidad[],8,FALSE), 0)</f>
        <v>0</v>
      </c>
      <c r="E58">
        <f>IFERROR(VLOOKUP(Tabla13[[#This Row],[SISMED]],TblDisponibilidad[],9,FALSE), 0)</f>
        <v>0</v>
      </c>
      <c r="F58">
        <f>IFERROR(VLOOKUP(Tabla13[[#This Row],[SISMED]],TblDisponibilidad[],10,FALSE), 0)</f>
        <v>0</v>
      </c>
      <c r="G58">
        <f>IFERROR(VLOOKUP(Tabla13[[#This Row],[SISMED]],TblDisponibilidad[],11,FALSE), 0)</f>
        <v>0</v>
      </c>
      <c r="H58">
        <f>IFERROR(VLOOKUP(Tabla13[[#This Row],[SISMED]],TblDisponibilidad[],12,FALSE), 0)</f>
        <v>0</v>
      </c>
      <c r="I58">
        <f>IFERROR(VLOOKUP(Tabla13[[#This Row],[SISMED]],TblDisponibilidad[],13,FALSE), 0)</f>
        <v>0</v>
      </c>
      <c r="J58">
        <f>IFERROR(VLOOKUP(Tabla13[[#This Row],[SISMED]],TblDisponibilidad[],14,FALSE), 0)</f>
        <v>0</v>
      </c>
      <c r="K58">
        <f>IFERROR(VLOOKUP(Tabla13[[#This Row],[SISMED]],TblDisponibilidad[],15,FALSE), 0)</f>
        <v>0</v>
      </c>
      <c r="L58">
        <f>IFERROR(VLOOKUP(Tabla13[[#This Row],[SISMED]],TblDisponibilidad[],16,FALSE), 0)</f>
        <v>0</v>
      </c>
      <c r="M58">
        <f>IFERROR(VLOOKUP(Tabla13[[#This Row],[SISMED]],TblDisponibilidad[],17,FALSE), 0)</f>
        <v>0</v>
      </c>
      <c r="N58">
        <f>IFERROR(VLOOKUP(Tabla13[[#This Row],[SISMED]],TblDisponibilidad[],18,FALSE), 0)</f>
        <v>0</v>
      </c>
      <c r="O58">
        <f>IFERROR(VLOOKUP(Tabla13[[#This Row],[SISMED]],TblDisponibilidad[],19,FALSE), 0)</f>
        <v>0</v>
      </c>
      <c r="P58">
        <f>IFERROR(VLOOKUP(Tabla13[[#This Row],[SISMED]],TblDisponibilidad[],20,FALSE), 0)</f>
        <v>0</v>
      </c>
      <c r="Q58">
        <f>IFERROR(VLOOKUP(Tabla13[[#This Row],[SISMED]],TblDisponibilidad[],21,FALSE), 0)</f>
        <v>0</v>
      </c>
      <c r="R58">
        <f>IFERROR(VLOOKUP(Tabla13[[#This Row],[SISMED]],TblDisponibilidad[],22,FALSE), 0)</f>
        <v>0</v>
      </c>
      <c r="S58" s="15">
        <f>IFERROR(VLOOKUP(Tabla13[[#This Row],[SISMED]],TblDisponibilidad[],23,FALSE), 0)</f>
        <v>0</v>
      </c>
    </row>
    <row r="59" spans="1:19" x14ac:dyDescent="0.3">
      <c r="A59" s="15" t="s">
        <v>89</v>
      </c>
      <c r="B59" t="str">
        <f>IFERROR(VLOOKUP(Tabla13[[#This Row],[SISMED]],TblDisponibilidad[],2,FALSE), "")</f>
        <v/>
      </c>
      <c r="C59">
        <f>IFERROR(VLOOKUP(Tabla13[[#This Row],[SISMED]],TblDisponibilidad[],7,FALSE), 0)</f>
        <v>0</v>
      </c>
      <c r="D59">
        <f>IFERROR(VLOOKUP(Tabla13[[#This Row],[SISMED]],TblDisponibilidad[],8,FALSE), 0)</f>
        <v>0</v>
      </c>
      <c r="E59">
        <f>IFERROR(VLOOKUP(Tabla13[[#This Row],[SISMED]],TblDisponibilidad[],9,FALSE), 0)</f>
        <v>0</v>
      </c>
      <c r="F59">
        <f>IFERROR(VLOOKUP(Tabla13[[#This Row],[SISMED]],TblDisponibilidad[],10,FALSE), 0)</f>
        <v>0</v>
      </c>
      <c r="G59">
        <f>IFERROR(VLOOKUP(Tabla13[[#This Row],[SISMED]],TblDisponibilidad[],11,FALSE), 0)</f>
        <v>0</v>
      </c>
      <c r="H59">
        <f>IFERROR(VLOOKUP(Tabla13[[#This Row],[SISMED]],TblDisponibilidad[],12,FALSE), 0)</f>
        <v>0</v>
      </c>
      <c r="I59">
        <f>IFERROR(VLOOKUP(Tabla13[[#This Row],[SISMED]],TblDisponibilidad[],13,FALSE), 0)</f>
        <v>0</v>
      </c>
      <c r="J59">
        <f>IFERROR(VLOOKUP(Tabla13[[#This Row],[SISMED]],TblDisponibilidad[],14,FALSE), 0)</f>
        <v>0</v>
      </c>
      <c r="K59">
        <f>IFERROR(VLOOKUP(Tabla13[[#This Row],[SISMED]],TblDisponibilidad[],15,FALSE), 0)</f>
        <v>0</v>
      </c>
      <c r="L59">
        <f>IFERROR(VLOOKUP(Tabla13[[#This Row],[SISMED]],TblDisponibilidad[],16,FALSE), 0)</f>
        <v>0</v>
      </c>
      <c r="M59">
        <f>IFERROR(VLOOKUP(Tabla13[[#This Row],[SISMED]],TblDisponibilidad[],17,FALSE), 0)</f>
        <v>0</v>
      </c>
      <c r="N59">
        <f>IFERROR(VLOOKUP(Tabla13[[#This Row],[SISMED]],TblDisponibilidad[],18,FALSE), 0)</f>
        <v>0</v>
      </c>
      <c r="O59">
        <f>IFERROR(VLOOKUP(Tabla13[[#This Row],[SISMED]],TblDisponibilidad[],19,FALSE), 0)</f>
        <v>0</v>
      </c>
      <c r="P59">
        <f>IFERROR(VLOOKUP(Tabla13[[#This Row],[SISMED]],TblDisponibilidad[],20,FALSE), 0)</f>
        <v>0</v>
      </c>
      <c r="Q59">
        <f>IFERROR(VLOOKUP(Tabla13[[#This Row],[SISMED]],TblDisponibilidad[],21,FALSE), 0)</f>
        <v>0</v>
      </c>
      <c r="R59">
        <f>IFERROR(VLOOKUP(Tabla13[[#This Row],[SISMED]],TblDisponibilidad[],22,FALSE), 0)</f>
        <v>0</v>
      </c>
      <c r="S59" s="15">
        <f>IFERROR(VLOOKUP(Tabla13[[#This Row],[SISMED]],TblDisponibilidad[],23,FALSE), 0)</f>
        <v>0</v>
      </c>
    </row>
    <row r="60" spans="1:19" x14ac:dyDescent="0.3">
      <c r="A60" s="15" t="s">
        <v>90</v>
      </c>
      <c r="B60" t="str">
        <f>IFERROR(VLOOKUP(Tabla13[[#This Row],[SISMED]],TblDisponibilidad[],2,FALSE), "")</f>
        <v/>
      </c>
      <c r="C60">
        <f>IFERROR(VLOOKUP(Tabla13[[#This Row],[SISMED]],TblDisponibilidad[],7,FALSE), 0)</f>
        <v>0</v>
      </c>
      <c r="D60">
        <f>IFERROR(VLOOKUP(Tabla13[[#This Row],[SISMED]],TblDisponibilidad[],8,FALSE), 0)</f>
        <v>0</v>
      </c>
      <c r="E60">
        <f>IFERROR(VLOOKUP(Tabla13[[#This Row],[SISMED]],TblDisponibilidad[],9,FALSE), 0)</f>
        <v>0</v>
      </c>
      <c r="F60">
        <f>IFERROR(VLOOKUP(Tabla13[[#This Row],[SISMED]],TblDisponibilidad[],10,FALSE), 0)</f>
        <v>0</v>
      </c>
      <c r="G60">
        <f>IFERROR(VLOOKUP(Tabla13[[#This Row],[SISMED]],TblDisponibilidad[],11,FALSE), 0)</f>
        <v>0</v>
      </c>
      <c r="H60">
        <f>IFERROR(VLOOKUP(Tabla13[[#This Row],[SISMED]],TblDisponibilidad[],12,FALSE), 0)</f>
        <v>0</v>
      </c>
      <c r="I60">
        <f>IFERROR(VLOOKUP(Tabla13[[#This Row],[SISMED]],TblDisponibilidad[],13,FALSE), 0)</f>
        <v>0</v>
      </c>
      <c r="J60">
        <f>IFERROR(VLOOKUP(Tabla13[[#This Row],[SISMED]],TblDisponibilidad[],14,FALSE), 0)</f>
        <v>0</v>
      </c>
      <c r="K60">
        <f>IFERROR(VLOOKUP(Tabla13[[#This Row],[SISMED]],TblDisponibilidad[],15,FALSE), 0)</f>
        <v>0</v>
      </c>
      <c r="L60">
        <f>IFERROR(VLOOKUP(Tabla13[[#This Row],[SISMED]],TblDisponibilidad[],16,FALSE), 0)</f>
        <v>0</v>
      </c>
      <c r="M60">
        <f>IFERROR(VLOOKUP(Tabla13[[#This Row],[SISMED]],TblDisponibilidad[],17,FALSE), 0)</f>
        <v>0</v>
      </c>
      <c r="N60">
        <f>IFERROR(VLOOKUP(Tabla13[[#This Row],[SISMED]],TblDisponibilidad[],18,FALSE), 0)</f>
        <v>0</v>
      </c>
      <c r="O60">
        <f>IFERROR(VLOOKUP(Tabla13[[#This Row],[SISMED]],TblDisponibilidad[],19,FALSE), 0)</f>
        <v>0</v>
      </c>
      <c r="P60">
        <f>IFERROR(VLOOKUP(Tabla13[[#This Row],[SISMED]],TblDisponibilidad[],20,FALSE), 0)</f>
        <v>0</v>
      </c>
      <c r="Q60">
        <f>IFERROR(VLOOKUP(Tabla13[[#This Row],[SISMED]],TblDisponibilidad[],21,FALSE), 0)</f>
        <v>0</v>
      </c>
      <c r="R60">
        <f>IFERROR(VLOOKUP(Tabla13[[#This Row],[SISMED]],TblDisponibilidad[],22,FALSE), 0)</f>
        <v>0</v>
      </c>
      <c r="S60" s="15">
        <f>IFERROR(VLOOKUP(Tabla13[[#This Row],[SISMED]],TblDisponibilidad[],23,FALSE), 0)</f>
        <v>0</v>
      </c>
    </row>
    <row r="61" spans="1:19" x14ac:dyDescent="0.3">
      <c r="A61" s="15" t="s">
        <v>91</v>
      </c>
      <c r="B61" t="str">
        <f>IFERROR(VLOOKUP(Tabla13[[#This Row],[SISMED]],TblDisponibilidad[],2,FALSE), "")</f>
        <v/>
      </c>
      <c r="C61">
        <f>IFERROR(VLOOKUP(Tabla13[[#This Row],[SISMED]],TblDisponibilidad[],7,FALSE), 0)</f>
        <v>0</v>
      </c>
      <c r="D61">
        <f>IFERROR(VLOOKUP(Tabla13[[#This Row],[SISMED]],TblDisponibilidad[],8,FALSE), 0)</f>
        <v>0</v>
      </c>
      <c r="E61">
        <f>IFERROR(VLOOKUP(Tabla13[[#This Row],[SISMED]],TblDisponibilidad[],9,FALSE), 0)</f>
        <v>0</v>
      </c>
      <c r="F61">
        <f>IFERROR(VLOOKUP(Tabla13[[#This Row],[SISMED]],TblDisponibilidad[],10,FALSE), 0)</f>
        <v>0</v>
      </c>
      <c r="G61">
        <f>IFERROR(VLOOKUP(Tabla13[[#This Row],[SISMED]],TblDisponibilidad[],11,FALSE), 0)</f>
        <v>0</v>
      </c>
      <c r="H61">
        <f>IFERROR(VLOOKUP(Tabla13[[#This Row],[SISMED]],TblDisponibilidad[],12,FALSE), 0)</f>
        <v>0</v>
      </c>
      <c r="I61">
        <f>IFERROR(VLOOKUP(Tabla13[[#This Row],[SISMED]],TblDisponibilidad[],13,FALSE), 0)</f>
        <v>0</v>
      </c>
      <c r="J61">
        <f>IFERROR(VLOOKUP(Tabla13[[#This Row],[SISMED]],TblDisponibilidad[],14,FALSE), 0)</f>
        <v>0</v>
      </c>
      <c r="K61">
        <f>IFERROR(VLOOKUP(Tabla13[[#This Row],[SISMED]],TblDisponibilidad[],15,FALSE), 0)</f>
        <v>0</v>
      </c>
      <c r="L61">
        <f>IFERROR(VLOOKUP(Tabla13[[#This Row],[SISMED]],TblDisponibilidad[],16,FALSE), 0)</f>
        <v>0</v>
      </c>
      <c r="M61">
        <f>IFERROR(VLOOKUP(Tabla13[[#This Row],[SISMED]],TblDisponibilidad[],17,FALSE), 0)</f>
        <v>0</v>
      </c>
      <c r="N61">
        <f>IFERROR(VLOOKUP(Tabla13[[#This Row],[SISMED]],TblDisponibilidad[],18,FALSE), 0)</f>
        <v>0</v>
      </c>
      <c r="O61">
        <f>IFERROR(VLOOKUP(Tabla13[[#This Row],[SISMED]],TblDisponibilidad[],19,FALSE), 0)</f>
        <v>0</v>
      </c>
      <c r="P61">
        <f>IFERROR(VLOOKUP(Tabla13[[#This Row],[SISMED]],TblDisponibilidad[],20,FALSE), 0)</f>
        <v>0</v>
      </c>
      <c r="Q61">
        <f>IFERROR(VLOOKUP(Tabla13[[#This Row],[SISMED]],TblDisponibilidad[],21,FALSE), 0)</f>
        <v>0</v>
      </c>
      <c r="R61">
        <f>IFERROR(VLOOKUP(Tabla13[[#This Row],[SISMED]],TblDisponibilidad[],22,FALSE), 0)</f>
        <v>0</v>
      </c>
      <c r="S61" s="15">
        <f>IFERROR(VLOOKUP(Tabla13[[#This Row],[SISMED]],TblDisponibilidad[],23,FALSE), 0)</f>
        <v>0</v>
      </c>
    </row>
    <row r="62" spans="1:19" x14ac:dyDescent="0.3">
      <c r="A62" s="15" t="s">
        <v>92</v>
      </c>
      <c r="B62" t="str">
        <f>IFERROR(VLOOKUP(Tabla13[[#This Row],[SISMED]],TblDisponibilidad[],2,FALSE), "")</f>
        <v/>
      </c>
      <c r="C62">
        <f>IFERROR(VLOOKUP(Tabla13[[#This Row],[SISMED]],TblDisponibilidad[],7,FALSE), 0)</f>
        <v>0</v>
      </c>
      <c r="D62">
        <f>IFERROR(VLOOKUP(Tabla13[[#This Row],[SISMED]],TblDisponibilidad[],8,FALSE), 0)</f>
        <v>0</v>
      </c>
      <c r="E62">
        <f>IFERROR(VLOOKUP(Tabla13[[#This Row],[SISMED]],TblDisponibilidad[],9,FALSE), 0)</f>
        <v>0</v>
      </c>
      <c r="F62">
        <f>IFERROR(VLOOKUP(Tabla13[[#This Row],[SISMED]],TblDisponibilidad[],10,FALSE), 0)</f>
        <v>0</v>
      </c>
      <c r="G62">
        <f>IFERROR(VLOOKUP(Tabla13[[#This Row],[SISMED]],TblDisponibilidad[],11,FALSE), 0)</f>
        <v>0</v>
      </c>
      <c r="H62">
        <f>IFERROR(VLOOKUP(Tabla13[[#This Row],[SISMED]],TblDisponibilidad[],12,FALSE), 0)</f>
        <v>0</v>
      </c>
      <c r="I62">
        <f>IFERROR(VLOOKUP(Tabla13[[#This Row],[SISMED]],TblDisponibilidad[],13,FALSE), 0)</f>
        <v>0</v>
      </c>
      <c r="J62">
        <f>IFERROR(VLOOKUP(Tabla13[[#This Row],[SISMED]],TblDisponibilidad[],14,FALSE), 0)</f>
        <v>0</v>
      </c>
      <c r="K62">
        <f>IFERROR(VLOOKUP(Tabla13[[#This Row],[SISMED]],TblDisponibilidad[],15,FALSE), 0)</f>
        <v>0</v>
      </c>
      <c r="L62">
        <f>IFERROR(VLOOKUP(Tabla13[[#This Row],[SISMED]],TblDisponibilidad[],16,FALSE), 0)</f>
        <v>0</v>
      </c>
      <c r="M62">
        <f>IFERROR(VLOOKUP(Tabla13[[#This Row],[SISMED]],TblDisponibilidad[],17,FALSE), 0)</f>
        <v>0</v>
      </c>
      <c r="N62">
        <f>IFERROR(VLOOKUP(Tabla13[[#This Row],[SISMED]],TblDisponibilidad[],18,FALSE), 0)</f>
        <v>0</v>
      </c>
      <c r="O62">
        <f>IFERROR(VLOOKUP(Tabla13[[#This Row],[SISMED]],TblDisponibilidad[],19,FALSE), 0)</f>
        <v>0</v>
      </c>
      <c r="P62">
        <f>IFERROR(VLOOKUP(Tabla13[[#This Row],[SISMED]],TblDisponibilidad[],20,FALSE), 0)</f>
        <v>0</v>
      </c>
      <c r="Q62">
        <f>IFERROR(VLOOKUP(Tabla13[[#This Row],[SISMED]],TblDisponibilidad[],21,FALSE), 0)</f>
        <v>0</v>
      </c>
      <c r="R62">
        <f>IFERROR(VLOOKUP(Tabla13[[#This Row],[SISMED]],TblDisponibilidad[],22,FALSE), 0)</f>
        <v>0</v>
      </c>
      <c r="S62" s="15">
        <f>IFERROR(VLOOKUP(Tabla13[[#This Row],[SISMED]],TblDisponibilidad[],23,FALSE), 0)</f>
        <v>0</v>
      </c>
    </row>
    <row r="63" spans="1:19" x14ac:dyDescent="0.3">
      <c r="A63" s="15" t="s">
        <v>93</v>
      </c>
      <c r="B63" t="str">
        <f>IFERROR(VLOOKUP(Tabla13[[#This Row],[SISMED]],TblDisponibilidad[],2,FALSE), "")</f>
        <v/>
      </c>
      <c r="C63">
        <f>IFERROR(VLOOKUP(Tabla13[[#This Row],[SISMED]],TblDisponibilidad[],7,FALSE), 0)</f>
        <v>0</v>
      </c>
      <c r="D63">
        <f>IFERROR(VLOOKUP(Tabla13[[#This Row],[SISMED]],TblDisponibilidad[],8,FALSE), 0)</f>
        <v>0</v>
      </c>
      <c r="E63">
        <f>IFERROR(VLOOKUP(Tabla13[[#This Row],[SISMED]],TblDisponibilidad[],9,FALSE), 0)</f>
        <v>0</v>
      </c>
      <c r="F63">
        <f>IFERROR(VLOOKUP(Tabla13[[#This Row],[SISMED]],TblDisponibilidad[],10,FALSE), 0)</f>
        <v>0</v>
      </c>
      <c r="G63">
        <f>IFERROR(VLOOKUP(Tabla13[[#This Row],[SISMED]],TblDisponibilidad[],11,FALSE), 0)</f>
        <v>0</v>
      </c>
      <c r="H63">
        <f>IFERROR(VLOOKUP(Tabla13[[#This Row],[SISMED]],TblDisponibilidad[],12,FALSE), 0)</f>
        <v>0</v>
      </c>
      <c r="I63">
        <f>IFERROR(VLOOKUP(Tabla13[[#This Row],[SISMED]],TblDisponibilidad[],13,FALSE), 0)</f>
        <v>0</v>
      </c>
      <c r="J63">
        <f>IFERROR(VLOOKUP(Tabla13[[#This Row],[SISMED]],TblDisponibilidad[],14,FALSE), 0)</f>
        <v>0</v>
      </c>
      <c r="K63">
        <f>IFERROR(VLOOKUP(Tabla13[[#This Row],[SISMED]],TblDisponibilidad[],15,FALSE), 0)</f>
        <v>0</v>
      </c>
      <c r="L63">
        <f>IFERROR(VLOOKUP(Tabla13[[#This Row],[SISMED]],TblDisponibilidad[],16,FALSE), 0)</f>
        <v>0</v>
      </c>
      <c r="M63">
        <f>IFERROR(VLOOKUP(Tabla13[[#This Row],[SISMED]],TblDisponibilidad[],17,FALSE), 0)</f>
        <v>0</v>
      </c>
      <c r="N63">
        <f>IFERROR(VLOOKUP(Tabla13[[#This Row],[SISMED]],TblDisponibilidad[],18,FALSE), 0)</f>
        <v>0</v>
      </c>
      <c r="O63">
        <f>IFERROR(VLOOKUP(Tabla13[[#This Row],[SISMED]],TblDisponibilidad[],19,FALSE), 0)</f>
        <v>0</v>
      </c>
      <c r="P63">
        <f>IFERROR(VLOOKUP(Tabla13[[#This Row],[SISMED]],TblDisponibilidad[],20,FALSE), 0)</f>
        <v>0</v>
      </c>
      <c r="Q63">
        <f>IFERROR(VLOOKUP(Tabla13[[#This Row],[SISMED]],TblDisponibilidad[],21,FALSE), 0)</f>
        <v>0</v>
      </c>
      <c r="R63">
        <f>IFERROR(VLOOKUP(Tabla13[[#This Row],[SISMED]],TblDisponibilidad[],22,FALSE), 0)</f>
        <v>0</v>
      </c>
      <c r="S63" s="15">
        <f>IFERROR(VLOOKUP(Tabla13[[#This Row],[SISMED]],TblDisponibilidad[],23,FALSE), 0)</f>
        <v>0</v>
      </c>
    </row>
    <row r="64" spans="1:19" x14ac:dyDescent="0.3">
      <c r="A64" s="15" t="s">
        <v>94</v>
      </c>
      <c r="B64" t="str">
        <f>IFERROR(VLOOKUP(Tabla13[[#This Row],[SISMED]],TblDisponibilidad[],2,FALSE), "")</f>
        <v/>
      </c>
      <c r="C64">
        <f>IFERROR(VLOOKUP(Tabla13[[#This Row],[SISMED]],TblDisponibilidad[],7,FALSE), 0)</f>
        <v>0</v>
      </c>
      <c r="D64">
        <f>IFERROR(VLOOKUP(Tabla13[[#This Row],[SISMED]],TblDisponibilidad[],8,FALSE), 0)</f>
        <v>0</v>
      </c>
      <c r="E64">
        <f>IFERROR(VLOOKUP(Tabla13[[#This Row],[SISMED]],TblDisponibilidad[],9,FALSE), 0)</f>
        <v>0</v>
      </c>
      <c r="F64">
        <f>IFERROR(VLOOKUP(Tabla13[[#This Row],[SISMED]],TblDisponibilidad[],10,FALSE), 0)</f>
        <v>0</v>
      </c>
      <c r="G64">
        <f>IFERROR(VLOOKUP(Tabla13[[#This Row],[SISMED]],TblDisponibilidad[],11,FALSE), 0)</f>
        <v>0</v>
      </c>
      <c r="H64">
        <f>IFERROR(VLOOKUP(Tabla13[[#This Row],[SISMED]],TblDisponibilidad[],12,FALSE), 0)</f>
        <v>0</v>
      </c>
      <c r="I64">
        <f>IFERROR(VLOOKUP(Tabla13[[#This Row],[SISMED]],TblDisponibilidad[],13,FALSE), 0)</f>
        <v>0</v>
      </c>
      <c r="J64">
        <f>IFERROR(VLOOKUP(Tabla13[[#This Row],[SISMED]],TblDisponibilidad[],14,FALSE), 0)</f>
        <v>0</v>
      </c>
      <c r="K64">
        <f>IFERROR(VLOOKUP(Tabla13[[#This Row],[SISMED]],TblDisponibilidad[],15,FALSE), 0)</f>
        <v>0</v>
      </c>
      <c r="L64">
        <f>IFERROR(VLOOKUP(Tabla13[[#This Row],[SISMED]],TblDisponibilidad[],16,FALSE), 0)</f>
        <v>0</v>
      </c>
      <c r="M64">
        <f>IFERROR(VLOOKUP(Tabla13[[#This Row],[SISMED]],TblDisponibilidad[],17,FALSE), 0)</f>
        <v>0</v>
      </c>
      <c r="N64">
        <f>IFERROR(VLOOKUP(Tabla13[[#This Row],[SISMED]],TblDisponibilidad[],18,FALSE), 0)</f>
        <v>0</v>
      </c>
      <c r="O64">
        <f>IFERROR(VLOOKUP(Tabla13[[#This Row],[SISMED]],TblDisponibilidad[],19,FALSE), 0)</f>
        <v>0</v>
      </c>
      <c r="P64">
        <f>IFERROR(VLOOKUP(Tabla13[[#This Row],[SISMED]],TblDisponibilidad[],20,FALSE), 0)</f>
        <v>0</v>
      </c>
      <c r="Q64">
        <f>IFERROR(VLOOKUP(Tabla13[[#This Row],[SISMED]],TblDisponibilidad[],21,FALSE), 0)</f>
        <v>0</v>
      </c>
      <c r="R64">
        <f>IFERROR(VLOOKUP(Tabla13[[#This Row],[SISMED]],TblDisponibilidad[],22,FALSE), 0)</f>
        <v>0</v>
      </c>
      <c r="S64" s="15">
        <f>IFERROR(VLOOKUP(Tabla13[[#This Row],[SISMED]],TblDisponibilidad[],23,FALSE), 0)</f>
        <v>0</v>
      </c>
    </row>
    <row r="65" spans="1:19" x14ac:dyDescent="0.3">
      <c r="A65" s="15" t="s">
        <v>95</v>
      </c>
      <c r="B65" t="str">
        <f>IFERROR(VLOOKUP(Tabla13[[#This Row],[SISMED]],TblDisponibilidad[],2,FALSE), "")</f>
        <v/>
      </c>
      <c r="C65">
        <f>IFERROR(VLOOKUP(Tabla13[[#This Row],[SISMED]],TblDisponibilidad[],7,FALSE), 0)</f>
        <v>0</v>
      </c>
      <c r="D65">
        <f>IFERROR(VLOOKUP(Tabla13[[#This Row],[SISMED]],TblDisponibilidad[],8,FALSE), 0)</f>
        <v>0</v>
      </c>
      <c r="E65">
        <f>IFERROR(VLOOKUP(Tabla13[[#This Row],[SISMED]],TblDisponibilidad[],9,FALSE), 0)</f>
        <v>0</v>
      </c>
      <c r="F65">
        <f>IFERROR(VLOOKUP(Tabla13[[#This Row],[SISMED]],TblDisponibilidad[],10,FALSE), 0)</f>
        <v>0</v>
      </c>
      <c r="G65">
        <f>IFERROR(VLOOKUP(Tabla13[[#This Row],[SISMED]],TblDisponibilidad[],11,FALSE), 0)</f>
        <v>0</v>
      </c>
      <c r="H65">
        <f>IFERROR(VLOOKUP(Tabla13[[#This Row],[SISMED]],TblDisponibilidad[],12,FALSE), 0)</f>
        <v>0</v>
      </c>
      <c r="I65">
        <f>IFERROR(VLOOKUP(Tabla13[[#This Row],[SISMED]],TblDisponibilidad[],13,FALSE), 0)</f>
        <v>0</v>
      </c>
      <c r="J65">
        <f>IFERROR(VLOOKUP(Tabla13[[#This Row],[SISMED]],TblDisponibilidad[],14,FALSE), 0)</f>
        <v>0</v>
      </c>
      <c r="K65">
        <f>IFERROR(VLOOKUP(Tabla13[[#This Row],[SISMED]],TblDisponibilidad[],15,FALSE), 0)</f>
        <v>0</v>
      </c>
      <c r="L65">
        <f>IFERROR(VLOOKUP(Tabla13[[#This Row],[SISMED]],TblDisponibilidad[],16,FALSE), 0)</f>
        <v>0</v>
      </c>
      <c r="M65">
        <f>IFERROR(VLOOKUP(Tabla13[[#This Row],[SISMED]],TblDisponibilidad[],17,FALSE), 0)</f>
        <v>0</v>
      </c>
      <c r="N65">
        <f>IFERROR(VLOOKUP(Tabla13[[#This Row],[SISMED]],TblDisponibilidad[],18,FALSE), 0)</f>
        <v>0</v>
      </c>
      <c r="O65">
        <f>IFERROR(VLOOKUP(Tabla13[[#This Row],[SISMED]],TblDisponibilidad[],19,FALSE), 0)</f>
        <v>0</v>
      </c>
      <c r="P65">
        <f>IFERROR(VLOOKUP(Tabla13[[#This Row],[SISMED]],TblDisponibilidad[],20,FALSE), 0)</f>
        <v>0</v>
      </c>
      <c r="Q65">
        <f>IFERROR(VLOOKUP(Tabla13[[#This Row],[SISMED]],TblDisponibilidad[],21,FALSE), 0)</f>
        <v>0</v>
      </c>
      <c r="R65">
        <f>IFERROR(VLOOKUP(Tabla13[[#This Row],[SISMED]],TblDisponibilidad[],22,FALSE), 0)</f>
        <v>0</v>
      </c>
      <c r="S65" s="15">
        <f>IFERROR(VLOOKUP(Tabla13[[#This Row],[SISMED]],TblDisponibilidad[],23,FALSE), 0)</f>
        <v>0</v>
      </c>
    </row>
    <row r="66" spans="1:19" x14ac:dyDescent="0.3">
      <c r="A66" s="15" t="s">
        <v>96</v>
      </c>
      <c r="B66" t="str">
        <f>IFERROR(VLOOKUP(Tabla13[[#This Row],[SISMED]],TblDisponibilidad[],2,FALSE), "")</f>
        <v/>
      </c>
      <c r="C66">
        <f>IFERROR(VLOOKUP(Tabla13[[#This Row],[SISMED]],TblDisponibilidad[],7,FALSE), 0)</f>
        <v>0</v>
      </c>
      <c r="D66">
        <f>IFERROR(VLOOKUP(Tabla13[[#This Row],[SISMED]],TblDisponibilidad[],8,FALSE), 0)</f>
        <v>0</v>
      </c>
      <c r="E66">
        <f>IFERROR(VLOOKUP(Tabla13[[#This Row],[SISMED]],TblDisponibilidad[],9,FALSE), 0)</f>
        <v>0</v>
      </c>
      <c r="F66">
        <f>IFERROR(VLOOKUP(Tabla13[[#This Row],[SISMED]],TblDisponibilidad[],10,FALSE), 0)</f>
        <v>0</v>
      </c>
      <c r="G66">
        <f>IFERROR(VLOOKUP(Tabla13[[#This Row],[SISMED]],TblDisponibilidad[],11,FALSE), 0)</f>
        <v>0</v>
      </c>
      <c r="H66">
        <f>IFERROR(VLOOKUP(Tabla13[[#This Row],[SISMED]],TblDisponibilidad[],12,FALSE), 0)</f>
        <v>0</v>
      </c>
      <c r="I66">
        <f>IFERROR(VLOOKUP(Tabla13[[#This Row],[SISMED]],TblDisponibilidad[],13,FALSE), 0)</f>
        <v>0</v>
      </c>
      <c r="J66">
        <f>IFERROR(VLOOKUP(Tabla13[[#This Row],[SISMED]],TblDisponibilidad[],14,FALSE), 0)</f>
        <v>0</v>
      </c>
      <c r="K66">
        <f>IFERROR(VLOOKUP(Tabla13[[#This Row],[SISMED]],TblDisponibilidad[],15,FALSE), 0)</f>
        <v>0</v>
      </c>
      <c r="L66">
        <f>IFERROR(VLOOKUP(Tabla13[[#This Row],[SISMED]],TblDisponibilidad[],16,FALSE), 0)</f>
        <v>0</v>
      </c>
      <c r="M66">
        <f>IFERROR(VLOOKUP(Tabla13[[#This Row],[SISMED]],TblDisponibilidad[],17,FALSE), 0)</f>
        <v>0</v>
      </c>
      <c r="N66">
        <f>IFERROR(VLOOKUP(Tabla13[[#This Row],[SISMED]],TblDisponibilidad[],18,FALSE), 0)</f>
        <v>0</v>
      </c>
      <c r="O66">
        <f>IFERROR(VLOOKUP(Tabla13[[#This Row],[SISMED]],TblDisponibilidad[],19,FALSE), 0)</f>
        <v>0</v>
      </c>
      <c r="P66">
        <f>IFERROR(VLOOKUP(Tabla13[[#This Row],[SISMED]],TblDisponibilidad[],20,FALSE), 0)</f>
        <v>0</v>
      </c>
      <c r="Q66">
        <f>IFERROR(VLOOKUP(Tabla13[[#This Row],[SISMED]],TblDisponibilidad[],21,FALSE), 0)</f>
        <v>0</v>
      </c>
      <c r="R66">
        <f>IFERROR(VLOOKUP(Tabla13[[#This Row],[SISMED]],TblDisponibilidad[],22,FALSE), 0)</f>
        <v>0</v>
      </c>
      <c r="S66" s="15">
        <f>IFERROR(VLOOKUP(Tabla13[[#This Row],[SISMED]],TblDisponibilidad[],23,FALSE), 0)</f>
        <v>0</v>
      </c>
    </row>
    <row r="67" spans="1:19" x14ac:dyDescent="0.3">
      <c r="A67" s="15" t="s">
        <v>97</v>
      </c>
      <c r="B67" t="str">
        <f>IFERROR(VLOOKUP(Tabla13[[#This Row],[SISMED]],TblDisponibilidad[],2,FALSE), "")</f>
        <v/>
      </c>
      <c r="C67">
        <f>IFERROR(VLOOKUP(Tabla13[[#This Row],[SISMED]],TblDisponibilidad[],7,FALSE), 0)</f>
        <v>0</v>
      </c>
      <c r="D67">
        <f>IFERROR(VLOOKUP(Tabla13[[#This Row],[SISMED]],TblDisponibilidad[],8,FALSE), 0)</f>
        <v>0</v>
      </c>
      <c r="E67">
        <f>IFERROR(VLOOKUP(Tabla13[[#This Row],[SISMED]],TblDisponibilidad[],9,FALSE), 0)</f>
        <v>0</v>
      </c>
      <c r="F67">
        <f>IFERROR(VLOOKUP(Tabla13[[#This Row],[SISMED]],TblDisponibilidad[],10,FALSE), 0)</f>
        <v>0</v>
      </c>
      <c r="G67">
        <f>IFERROR(VLOOKUP(Tabla13[[#This Row],[SISMED]],TblDisponibilidad[],11,FALSE), 0)</f>
        <v>0</v>
      </c>
      <c r="H67">
        <f>IFERROR(VLOOKUP(Tabla13[[#This Row],[SISMED]],TblDisponibilidad[],12,FALSE), 0)</f>
        <v>0</v>
      </c>
      <c r="I67">
        <f>IFERROR(VLOOKUP(Tabla13[[#This Row],[SISMED]],TblDisponibilidad[],13,FALSE), 0)</f>
        <v>0</v>
      </c>
      <c r="J67">
        <f>IFERROR(VLOOKUP(Tabla13[[#This Row],[SISMED]],TblDisponibilidad[],14,FALSE), 0)</f>
        <v>0</v>
      </c>
      <c r="K67">
        <f>IFERROR(VLOOKUP(Tabla13[[#This Row],[SISMED]],TblDisponibilidad[],15,FALSE), 0)</f>
        <v>0</v>
      </c>
      <c r="L67">
        <f>IFERROR(VLOOKUP(Tabla13[[#This Row],[SISMED]],TblDisponibilidad[],16,FALSE), 0)</f>
        <v>0</v>
      </c>
      <c r="M67">
        <f>IFERROR(VLOOKUP(Tabla13[[#This Row],[SISMED]],TblDisponibilidad[],17,FALSE), 0)</f>
        <v>0</v>
      </c>
      <c r="N67">
        <f>IFERROR(VLOOKUP(Tabla13[[#This Row],[SISMED]],TblDisponibilidad[],18,FALSE), 0)</f>
        <v>0</v>
      </c>
      <c r="O67">
        <f>IFERROR(VLOOKUP(Tabla13[[#This Row],[SISMED]],TblDisponibilidad[],19,FALSE), 0)</f>
        <v>0</v>
      </c>
      <c r="P67">
        <f>IFERROR(VLOOKUP(Tabla13[[#This Row],[SISMED]],TblDisponibilidad[],20,FALSE), 0)</f>
        <v>0</v>
      </c>
      <c r="Q67">
        <f>IFERROR(VLOOKUP(Tabla13[[#This Row],[SISMED]],TblDisponibilidad[],21,FALSE), 0)</f>
        <v>0</v>
      </c>
      <c r="R67">
        <f>IFERROR(VLOOKUP(Tabla13[[#This Row],[SISMED]],TblDisponibilidad[],22,FALSE), 0)</f>
        <v>0</v>
      </c>
      <c r="S67" s="15">
        <f>IFERROR(VLOOKUP(Tabla13[[#This Row],[SISMED]],TblDisponibilidad[],23,FALSE), 0)</f>
        <v>0</v>
      </c>
    </row>
    <row r="68" spans="1:19" x14ac:dyDescent="0.3">
      <c r="A68" s="15" t="s">
        <v>98</v>
      </c>
      <c r="B68" t="str">
        <f>IFERROR(VLOOKUP(Tabla13[[#This Row],[SISMED]],TblDisponibilidad[],2,FALSE), "")</f>
        <v/>
      </c>
      <c r="C68">
        <f>IFERROR(VLOOKUP(Tabla13[[#This Row],[SISMED]],TblDisponibilidad[],7,FALSE), 0)</f>
        <v>0</v>
      </c>
      <c r="D68">
        <f>IFERROR(VLOOKUP(Tabla13[[#This Row],[SISMED]],TblDisponibilidad[],8,FALSE), 0)</f>
        <v>0</v>
      </c>
      <c r="E68">
        <f>IFERROR(VLOOKUP(Tabla13[[#This Row],[SISMED]],TblDisponibilidad[],9,FALSE), 0)</f>
        <v>0</v>
      </c>
      <c r="F68">
        <f>IFERROR(VLOOKUP(Tabla13[[#This Row],[SISMED]],TblDisponibilidad[],10,FALSE), 0)</f>
        <v>0</v>
      </c>
      <c r="G68">
        <f>IFERROR(VLOOKUP(Tabla13[[#This Row],[SISMED]],TblDisponibilidad[],11,FALSE), 0)</f>
        <v>0</v>
      </c>
      <c r="H68">
        <f>IFERROR(VLOOKUP(Tabla13[[#This Row],[SISMED]],TblDisponibilidad[],12,FALSE), 0)</f>
        <v>0</v>
      </c>
      <c r="I68">
        <f>IFERROR(VLOOKUP(Tabla13[[#This Row],[SISMED]],TblDisponibilidad[],13,FALSE), 0)</f>
        <v>0</v>
      </c>
      <c r="J68">
        <f>IFERROR(VLOOKUP(Tabla13[[#This Row],[SISMED]],TblDisponibilidad[],14,FALSE), 0)</f>
        <v>0</v>
      </c>
      <c r="K68">
        <f>IFERROR(VLOOKUP(Tabla13[[#This Row],[SISMED]],TblDisponibilidad[],15,FALSE), 0)</f>
        <v>0</v>
      </c>
      <c r="L68">
        <f>IFERROR(VLOOKUP(Tabla13[[#This Row],[SISMED]],TblDisponibilidad[],16,FALSE), 0)</f>
        <v>0</v>
      </c>
      <c r="M68">
        <f>IFERROR(VLOOKUP(Tabla13[[#This Row],[SISMED]],TblDisponibilidad[],17,FALSE), 0)</f>
        <v>0</v>
      </c>
      <c r="N68">
        <f>IFERROR(VLOOKUP(Tabla13[[#This Row],[SISMED]],TblDisponibilidad[],18,FALSE), 0)</f>
        <v>0</v>
      </c>
      <c r="O68">
        <f>IFERROR(VLOOKUP(Tabla13[[#This Row],[SISMED]],TblDisponibilidad[],19,FALSE), 0)</f>
        <v>0</v>
      </c>
      <c r="P68">
        <f>IFERROR(VLOOKUP(Tabla13[[#This Row],[SISMED]],TblDisponibilidad[],20,FALSE), 0)</f>
        <v>0</v>
      </c>
      <c r="Q68">
        <f>IFERROR(VLOOKUP(Tabla13[[#This Row],[SISMED]],TblDisponibilidad[],21,FALSE), 0)</f>
        <v>0</v>
      </c>
      <c r="R68">
        <f>IFERROR(VLOOKUP(Tabla13[[#This Row],[SISMED]],TblDisponibilidad[],22,FALSE), 0)</f>
        <v>0</v>
      </c>
      <c r="S68" s="15">
        <f>IFERROR(VLOOKUP(Tabla13[[#This Row],[SISMED]],TblDisponibilidad[],23,FALSE), 0)</f>
        <v>0</v>
      </c>
    </row>
    <row r="69" spans="1:19" x14ac:dyDescent="0.3">
      <c r="A69" s="15" t="s">
        <v>99</v>
      </c>
      <c r="B69" t="str">
        <f>IFERROR(VLOOKUP(Tabla13[[#This Row],[SISMED]],TblDisponibilidad[],2,FALSE), "")</f>
        <v/>
      </c>
      <c r="C69">
        <f>IFERROR(VLOOKUP(Tabla13[[#This Row],[SISMED]],TblDisponibilidad[],7,FALSE), 0)</f>
        <v>0</v>
      </c>
      <c r="D69">
        <f>IFERROR(VLOOKUP(Tabla13[[#This Row],[SISMED]],TblDisponibilidad[],8,FALSE), 0)</f>
        <v>0</v>
      </c>
      <c r="E69">
        <f>IFERROR(VLOOKUP(Tabla13[[#This Row],[SISMED]],TblDisponibilidad[],9,FALSE), 0)</f>
        <v>0</v>
      </c>
      <c r="F69">
        <f>IFERROR(VLOOKUP(Tabla13[[#This Row],[SISMED]],TblDisponibilidad[],10,FALSE), 0)</f>
        <v>0</v>
      </c>
      <c r="G69">
        <f>IFERROR(VLOOKUP(Tabla13[[#This Row],[SISMED]],TblDisponibilidad[],11,FALSE), 0)</f>
        <v>0</v>
      </c>
      <c r="H69">
        <f>IFERROR(VLOOKUP(Tabla13[[#This Row],[SISMED]],TblDisponibilidad[],12,FALSE), 0)</f>
        <v>0</v>
      </c>
      <c r="I69">
        <f>IFERROR(VLOOKUP(Tabla13[[#This Row],[SISMED]],TblDisponibilidad[],13,FALSE), 0)</f>
        <v>0</v>
      </c>
      <c r="J69">
        <f>IFERROR(VLOOKUP(Tabla13[[#This Row],[SISMED]],TblDisponibilidad[],14,FALSE), 0)</f>
        <v>0</v>
      </c>
      <c r="K69">
        <f>IFERROR(VLOOKUP(Tabla13[[#This Row],[SISMED]],TblDisponibilidad[],15,FALSE), 0)</f>
        <v>0</v>
      </c>
      <c r="L69">
        <f>IFERROR(VLOOKUP(Tabla13[[#This Row],[SISMED]],TblDisponibilidad[],16,FALSE), 0)</f>
        <v>0</v>
      </c>
      <c r="M69">
        <f>IFERROR(VLOOKUP(Tabla13[[#This Row],[SISMED]],TblDisponibilidad[],17,FALSE), 0)</f>
        <v>0</v>
      </c>
      <c r="N69">
        <f>IFERROR(VLOOKUP(Tabla13[[#This Row],[SISMED]],TblDisponibilidad[],18,FALSE), 0)</f>
        <v>0</v>
      </c>
      <c r="O69">
        <f>IFERROR(VLOOKUP(Tabla13[[#This Row],[SISMED]],TblDisponibilidad[],19,FALSE), 0)</f>
        <v>0</v>
      </c>
      <c r="P69">
        <f>IFERROR(VLOOKUP(Tabla13[[#This Row],[SISMED]],TblDisponibilidad[],20,FALSE), 0)</f>
        <v>0</v>
      </c>
      <c r="Q69">
        <f>IFERROR(VLOOKUP(Tabla13[[#This Row],[SISMED]],TblDisponibilidad[],21,FALSE), 0)</f>
        <v>0</v>
      </c>
      <c r="R69">
        <f>IFERROR(VLOOKUP(Tabla13[[#This Row],[SISMED]],TblDisponibilidad[],22,FALSE), 0)</f>
        <v>0</v>
      </c>
      <c r="S69" s="15">
        <f>IFERROR(VLOOKUP(Tabla13[[#This Row],[SISMED]],TblDisponibilidad[],23,FALSE), 0)</f>
        <v>0</v>
      </c>
    </row>
    <row r="70" spans="1:19" x14ac:dyDescent="0.3">
      <c r="A70" s="15" t="s">
        <v>100</v>
      </c>
      <c r="B70" t="str">
        <f>IFERROR(VLOOKUP(Tabla13[[#This Row],[SISMED]],TblDisponibilidad[],2,FALSE), "")</f>
        <v/>
      </c>
      <c r="C70">
        <f>IFERROR(VLOOKUP(Tabla13[[#This Row],[SISMED]],TblDisponibilidad[],7,FALSE), 0)</f>
        <v>0</v>
      </c>
      <c r="D70">
        <f>IFERROR(VLOOKUP(Tabla13[[#This Row],[SISMED]],TblDisponibilidad[],8,FALSE), 0)</f>
        <v>0</v>
      </c>
      <c r="E70">
        <f>IFERROR(VLOOKUP(Tabla13[[#This Row],[SISMED]],TblDisponibilidad[],9,FALSE), 0)</f>
        <v>0</v>
      </c>
      <c r="F70">
        <f>IFERROR(VLOOKUP(Tabla13[[#This Row],[SISMED]],TblDisponibilidad[],10,FALSE), 0)</f>
        <v>0</v>
      </c>
      <c r="G70">
        <f>IFERROR(VLOOKUP(Tabla13[[#This Row],[SISMED]],TblDisponibilidad[],11,FALSE), 0)</f>
        <v>0</v>
      </c>
      <c r="H70">
        <f>IFERROR(VLOOKUP(Tabla13[[#This Row],[SISMED]],TblDisponibilidad[],12,FALSE), 0)</f>
        <v>0</v>
      </c>
      <c r="I70">
        <f>IFERROR(VLOOKUP(Tabla13[[#This Row],[SISMED]],TblDisponibilidad[],13,FALSE), 0)</f>
        <v>0</v>
      </c>
      <c r="J70">
        <f>IFERROR(VLOOKUP(Tabla13[[#This Row],[SISMED]],TblDisponibilidad[],14,FALSE), 0)</f>
        <v>0</v>
      </c>
      <c r="K70">
        <f>IFERROR(VLOOKUP(Tabla13[[#This Row],[SISMED]],TblDisponibilidad[],15,FALSE), 0)</f>
        <v>0</v>
      </c>
      <c r="L70">
        <f>IFERROR(VLOOKUP(Tabla13[[#This Row],[SISMED]],TblDisponibilidad[],16,FALSE), 0)</f>
        <v>0</v>
      </c>
      <c r="M70">
        <f>IFERROR(VLOOKUP(Tabla13[[#This Row],[SISMED]],TblDisponibilidad[],17,FALSE), 0)</f>
        <v>0</v>
      </c>
      <c r="N70">
        <f>IFERROR(VLOOKUP(Tabla13[[#This Row],[SISMED]],TblDisponibilidad[],18,FALSE), 0)</f>
        <v>0</v>
      </c>
      <c r="O70">
        <f>IFERROR(VLOOKUP(Tabla13[[#This Row],[SISMED]],TblDisponibilidad[],19,FALSE), 0)</f>
        <v>0</v>
      </c>
      <c r="P70">
        <f>IFERROR(VLOOKUP(Tabla13[[#This Row],[SISMED]],TblDisponibilidad[],20,FALSE), 0)</f>
        <v>0</v>
      </c>
      <c r="Q70">
        <f>IFERROR(VLOOKUP(Tabla13[[#This Row],[SISMED]],TblDisponibilidad[],21,FALSE), 0)</f>
        <v>0</v>
      </c>
      <c r="R70">
        <f>IFERROR(VLOOKUP(Tabla13[[#This Row],[SISMED]],TblDisponibilidad[],22,FALSE), 0)</f>
        <v>0</v>
      </c>
      <c r="S70" s="15">
        <f>IFERROR(VLOOKUP(Tabla13[[#This Row],[SISMED]],TblDisponibilidad[],23,FALSE), 0)</f>
        <v>0</v>
      </c>
    </row>
    <row r="71" spans="1:19" x14ac:dyDescent="0.3">
      <c r="A71" s="15" t="s">
        <v>101</v>
      </c>
      <c r="B71" t="str">
        <f>IFERROR(VLOOKUP(Tabla13[[#This Row],[SISMED]],TblDisponibilidad[],2,FALSE), "")</f>
        <v/>
      </c>
      <c r="C71">
        <f>IFERROR(VLOOKUP(Tabla13[[#This Row],[SISMED]],TblDisponibilidad[],7,FALSE), 0)</f>
        <v>0</v>
      </c>
      <c r="D71">
        <f>IFERROR(VLOOKUP(Tabla13[[#This Row],[SISMED]],TblDisponibilidad[],8,FALSE), 0)</f>
        <v>0</v>
      </c>
      <c r="E71">
        <f>IFERROR(VLOOKUP(Tabla13[[#This Row],[SISMED]],TblDisponibilidad[],9,FALSE), 0)</f>
        <v>0</v>
      </c>
      <c r="F71">
        <f>IFERROR(VLOOKUP(Tabla13[[#This Row],[SISMED]],TblDisponibilidad[],10,FALSE), 0)</f>
        <v>0</v>
      </c>
      <c r="G71">
        <f>IFERROR(VLOOKUP(Tabla13[[#This Row],[SISMED]],TblDisponibilidad[],11,FALSE), 0)</f>
        <v>0</v>
      </c>
      <c r="H71">
        <f>IFERROR(VLOOKUP(Tabla13[[#This Row],[SISMED]],TblDisponibilidad[],12,FALSE), 0)</f>
        <v>0</v>
      </c>
      <c r="I71">
        <f>IFERROR(VLOOKUP(Tabla13[[#This Row],[SISMED]],TblDisponibilidad[],13,FALSE), 0)</f>
        <v>0</v>
      </c>
      <c r="J71">
        <f>IFERROR(VLOOKUP(Tabla13[[#This Row],[SISMED]],TblDisponibilidad[],14,FALSE), 0)</f>
        <v>0</v>
      </c>
      <c r="K71">
        <f>IFERROR(VLOOKUP(Tabla13[[#This Row],[SISMED]],TblDisponibilidad[],15,FALSE), 0)</f>
        <v>0</v>
      </c>
      <c r="L71">
        <f>IFERROR(VLOOKUP(Tabla13[[#This Row],[SISMED]],TblDisponibilidad[],16,FALSE), 0)</f>
        <v>0</v>
      </c>
      <c r="M71">
        <f>IFERROR(VLOOKUP(Tabla13[[#This Row],[SISMED]],TblDisponibilidad[],17,FALSE), 0)</f>
        <v>0</v>
      </c>
      <c r="N71">
        <f>IFERROR(VLOOKUP(Tabla13[[#This Row],[SISMED]],TblDisponibilidad[],18,FALSE), 0)</f>
        <v>0</v>
      </c>
      <c r="O71">
        <f>IFERROR(VLOOKUP(Tabla13[[#This Row],[SISMED]],TblDisponibilidad[],19,FALSE), 0)</f>
        <v>0</v>
      </c>
      <c r="P71">
        <f>IFERROR(VLOOKUP(Tabla13[[#This Row],[SISMED]],TblDisponibilidad[],20,FALSE), 0)</f>
        <v>0</v>
      </c>
      <c r="Q71">
        <f>IFERROR(VLOOKUP(Tabla13[[#This Row],[SISMED]],TblDisponibilidad[],21,FALSE), 0)</f>
        <v>0</v>
      </c>
      <c r="R71">
        <f>IFERROR(VLOOKUP(Tabla13[[#This Row],[SISMED]],TblDisponibilidad[],22,FALSE), 0)</f>
        <v>0</v>
      </c>
      <c r="S71" s="15">
        <f>IFERROR(VLOOKUP(Tabla13[[#This Row],[SISMED]],TblDisponibilidad[],23,FALSE), 0)</f>
        <v>0</v>
      </c>
    </row>
    <row r="72" spans="1:19" x14ac:dyDescent="0.3">
      <c r="A72" s="15" t="s">
        <v>102</v>
      </c>
      <c r="B72" t="str">
        <f>IFERROR(VLOOKUP(Tabla13[[#This Row],[SISMED]],TblDisponibilidad[],2,FALSE), "")</f>
        <v/>
      </c>
      <c r="C72">
        <f>IFERROR(VLOOKUP(Tabla13[[#This Row],[SISMED]],TblDisponibilidad[],7,FALSE), 0)</f>
        <v>0</v>
      </c>
      <c r="D72">
        <f>IFERROR(VLOOKUP(Tabla13[[#This Row],[SISMED]],TblDisponibilidad[],8,FALSE), 0)</f>
        <v>0</v>
      </c>
      <c r="E72">
        <f>IFERROR(VLOOKUP(Tabla13[[#This Row],[SISMED]],TblDisponibilidad[],9,FALSE), 0)</f>
        <v>0</v>
      </c>
      <c r="F72">
        <f>IFERROR(VLOOKUP(Tabla13[[#This Row],[SISMED]],TblDisponibilidad[],10,FALSE), 0)</f>
        <v>0</v>
      </c>
      <c r="G72">
        <f>IFERROR(VLOOKUP(Tabla13[[#This Row],[SISMED]],TblDisponibilidad[],11,FALSE), 0)</f>
        <v>0</v>
      </c>
      <c r="H72">
        <f>IFERROR(VLOOKUP(Tabla13[[#This Row],[SISMED]],TblDisponibilidad[],12,FALSE), 0)</f>
        <v>0</v>
      </c>
      <c r="I72">
        <f>IFERROR(VLOOKUP(Tabla13[[#This Row],[SISMED]],TblDisponibilidad[],13,FALSE), 0)</f>
        <v>0</v>
      </c>
      <c r="J72">
        <f>IFERROR(VLOOKUP(Tabla13[[#This Row],[SISMED]],TblDisponibilidad[],14,FALSE), 0)</f>
        <v>0</v>
      </c>
      <c r="K72">
        <f>IFERROR(VLOOKUP(Tabla13[[#This Row],[SISMED]],TblDisponibilidad[],15,FALSE), 0)</f>
        <v>0</v>
      </c>
      <c r="L72">
        <f>IFERROR(VLOOKUP(Tabla13[[#This Row],[SISMED]],TblDisponibilidad[],16,FALSE), 0)</f>
        <v>0</v>
      </c>
      <c r="M72">
        <f>IFERROR(VLOOKUP(Tabla13[[#This Row],[SISMED]],TblDisponibilidad[],17,FALSE), 0)</f>
        <v>0</v>
      </c>
      <c r="N72">
        <f>IFERROR(VLOOKUP(Tabla13[[#This Row],[SISMED]],TblDisponibilidad[],18,FALSE), 0)</f>
        <v>0</v>
      </c>
      <c r="O72">
        <f>IFERROR(VLOOKUP(Tabla13[[#This Row],[SISMED]],TblDisponibilidad[],19,FALSE), 0)</f>
        <v>0</v>
      </c>
      <c r="P72">
        <f>IFERROR(VLOOKUP(Tabla13[[#This Row],[SISMED]],TblDisponibilidad[],20,FALSE), 0)</f>
        <v>0</v>
      </c>
      <c r="Q72">
        <f>IFERROR(VLOOKUP(Tabla13[[#This Row],[SISMED]],TblDisponibilidad[],21,FALSE), 0)</f>
        <v>0</v>
      </c>
      <c r="R72">
        <f>IFERROR(VLOOKUP(Tabla13[[#This Row],[SISMED]],TblDisponibilidad[],22,FALSE), 0)</f>
        <v>0</v>
      </c>
      <c r="S72" s="15">
        <f>IFERROR(VLOOKUP(Tabla13[[#This Row],[SISMED]],TblDisponibilidad[],23,FALSE), 0)</f>
        <v>0</v>
      </c>
    </row>
    <row r="73" spans="1:19" x14ac:dyDescent="0.3">
      <c r="A73" s="15" t="s">
        <v>103</v>
      </c>
      <c r="B73" t="str">
        <f>IFERROR(VLOOKUP(Tabla13[[#This Row],[SISMED]],TblDisponibilidad[],2,FALSE), "")</f>
        <v/>
      </c>
      <c r="C73">
        <f>IFERROR(VLOOKUP(Tabla13[[#This Row],[SISMED]],TblDisponibilidad[],7,FALSE), 0)</f>
        <v>0</v>
      </c>
      <c r="D73">
        <f>IFERROR(VLOOKUP(Tabla13[[#This Row],[SISMED]],TblDisponibilidad[],8,FALSE), 0)</f>
        <v>0</v>
      </c>
      <c r="E73">
        <f>IFERROR(VLOOKUP(Tabla13[[#This Row],[SISMED]],TblDisponibilidad[],9,FALSE), 0)</f>
        <v>0</v>
      </c>
      <c r="F73">
        <f>IFERROR(VLOOKUP(Tabla13[[#This Row],[SISMED]],TblDisponibilidad[],10,FALSE), 0)</f>
        <v>0</v>
      </c>
      <c r="G73">
        <f>IFERROR(VLOOKUP(Tabla13[[#This Row],[SISMED]],TblDisponibilidad[],11,FALSE), 0)</f>
        <v>0</v>
      </c>
      <c r="H73">
        <f>IFERROR(VLOOKUP(Tabla13[[#This Row],[SISMED]],TblDisponibilidad[],12,FALSE), 0)</f>
        <v>0</v>
      </c>
      <c r="I73">
        <f>IFERROR(VLOOKUP(Tabla13[[#This Row],[SISMED]],TblDisponibilidad[],13,FALSE), 0)</f>
        <v>0</v>
      </c>
      <c r="J73">
        <f>IFERROR(VLOOKUP(Tabla13[[#This Row],[SISMED]],TblDisponibilidad[],14,FALSE), 0)</f>
        <v>0</v>
      </c>
      <c r="K73">
        <f>IFERROR(VLOOKUP(Tabla13[[#This Row],[SISMED]],TblDisponibilidad[],15,FALSE), 0)</f>
        <v>0</v>
      </c>
      <c r="L73">
        <f>IFERROR(VLOOKUP(Tabla13[[#This Row],[SISMED]],TblDisponibilidad[],16,FALSE), 0)</f>
        <v>0</v>
      </c>
      <c r="M73">
        <f>IFERROR(VLOOKUP(Tabla13[[#This Row],[SISMED]],TblDisponibilidad[],17,FALSE), 0)</f>
        <v>0</v>
      </c>
      <c r="N73">
        <f>IFERROR(VLOOKUP(Tabla13[[#This Row],[SISMED]],TblDisponibilidad[],18,FALSE), 0)</f>
        <v>0</v>
      </c>
      <c r="O73">
        <f>IFERROR(VLOOKUP(Tabla13[[#This Row],[SISMED]],TblDisponibilidad[],19,FALSE), 0)</f>
        <v>0</v>
      </c>
      <c r="P73">
        <f>IFERROR(VLOOKUP(Tabla13[[#This Row],[SISMED]],TblDisponibilidad[],20,FALSE), 0)</f>
        <v>0</v>
      </c>
      <c r="Q73">
        <f>IFERROR(VLOOKUP(Tabla13[[#This Row],[SISMED]],TblDisponibilidad[],21,FALSE), 0)</f>
        <v>0</v>
      </c>
      <c r="R73">
        <f>IFERROR(VLOOKUP(Tabla13[[#This Row],[SISMED]],TblDisponibilidad[],22,FALSE), 0)</f>
        <v>0</v>
      </c>
      <c r="S73" s="15">
        <f>IFERROR(VLOOKUP(Tabla13[[#This Row],[SISMED]],TblDisponibilidad[],23,FALSE), 0)</f>
        <v>0</v>
      </c>
    </row>
    <row r="74" spans="1:19" x14ac:dyDescent="0.3">
      <c r="A74" s="15" t="s">
        <v>104</v>
      </c>
      <c r="B74" t="str">
        <f>IFERROR(VLOOKUP(Tabla13[[#This Row],[SISMED]],TblDisponibilidad[],2,FALSE), "")</f>
        <v/>
      </c>
      <c r="C74">
        <f>IFERROR(VLOOKUP(Tabla13[[#This Row],[SISMED]],TblDisponibilidad[],7,FALSE), 0)</f>
        <v>0</v>
      </c>
      <c r="D74">
        <f>IFERROR(VLOOKUP(Tabla13[[#This Row],[SISMED]],TblDisponibilidad[],8,FALSE), 0)</f>
        <v>0</v>
      </c>
      <c r="E74">
        <f>IFERROR(VLOOKUP(Tabla13[[#This Row],[SISMED]],TblDisponibilidad[],9,FALSE), 0)</f>
        <v>0</v>
      </c>
      <c r="F74">
        <f>IFERROR(VLOOKUP(Tabla13[[#This Row],[SISMED]],TblDisponibilidad[],10,FALSE), 0)</f>
        <v>0</v>
      </c>
      <c r="G74">
        <f>IFERROR(VLOOKUP(Tabla13[[#This Row],[SISMED]],TblDisponibilidad[],11,FALSE), 0)</f>
        <v>0</v>
      </c>
      <c r="H74">
        <f>IFERROR(VLOOKUP(Tabla13[[#This Row],[SISMED]],TblDisponibilidad[],12,FALSE), 0)</f>
        <v>0</v>
      </c>
      <c r="I74">
        <f>IFERROR(VLOOKUP(Tabla13[[#This Row],[SISMED]],TblDisponibilidad[],13,FALSE), 0)</f>
        <v>0</v>
      </c>
      <c r="J74">
        <f>IFERROR(VLOOKUP(Tabla13[[#This Row],[SISMED]],TblDisponibilidad[],14,FALSE), 0)</f>
        <v>0</v>
      </c>
      <c r="K74">
        <f>IFERROR(VLOOKUP(Tabla13[[#This Row],[SISMED]],TblDisponibilidad[],15,FALSE), 0)</f>
        <v>0</v>
      </c>
      <c r="L74">
        <f>IFERROR(VLOOKUP(Tabla13[[#This Row],[SISMED]],TblDisponibilidad[],16,FALSE), 0)</f>
        <v>0</v>
      </c>
      <c r="M74">
        <f>IFERROR(VLOOKUP(Tabla13[[#This Row],[SISMED]],TblDisponibilidad[],17,FALSE), 0)</f>
        <v>0</v>
      </c>
      <c r="N74">
        <f>IFERROR(VLOOKUP(Tabla13[[#This Row],[SISMED]],TblDisponibilidad[],18,FALSE), 0)</f>
        <v>0</v>
      </c>
      <c r="O74">
        <f>IFERROR(VLOOKUP(Tabla13[[#This Row],[SISMED]],TblDisponibilidad[],19,FALSE), 0)</f>
        <v>0</v>
      </c>
      <c r="P74">
        <f>IFERROR(VLOOKUP(Tabla13[[#This Row],[SISMED]],TblDisponibilidad[],20,FALSE), 0)</f>
        <v>0</v>
      </c>
      <c r="Q74">
        <f>IFERROR(VLOOKUP(Tabla13[[#This Row],[SISMED]],TblDisponibilidad[],21,FALSE), 0)</f>
        <v>0</v>
      </c>
      <c r="R74">
        <f>IFERROR(VLOOKUP(Tabla13[[#This Row],[SISMED]],TblDisponibilidad[],22,FALSE), 0)</f>
        <v>0</v>
      </c>
      <c r="S74" s="15">
        <f>IFERROR(VLOOKUP(Tabla13[[#This Row],[SISMED]],TblDisponibilidad[],23,FALSE), 0)</f>
        <v>0</v>
      </c>
    </row>
    <row r="75" spans="1:19" x14ac:dyDescent="0.3">
      <c r="A75" s="15" t="s">
        <v>105</v>
      </c>
      <c r="B75" t="str">
        <f>IFERROR(VLOOKUP(Tabla13[[#This Row],[SISMED]],TblDisponibilidad[],2,FALSE), "")</f>
        <v/>
      </c>
      <c r="C75">
        <f>IFERROR(VLOOKUP(Tabla13[[#This Row],[SISMED]],TblDisponibilidad[],7,FALSE), 0)</f>
        <v>0</v>
      </c>
      <c r="D75">
        <f>IFERROR(VLOOKUP(Tabla13[[#This Row],[SISMED]],TblDisponibilidad[],8,FALSE), 0)</f>
        <v>0</v>
      </c>
      <c r="E75">
        <f>IFERROR(VLOOKUP(Tabla13[[#This Row],[SISMED]],TblDisponibilidad[],9,FALSE), 0)</f>
        <v>0</v>
      </c>
      <c r="F75">
        <f>IFERROR(VLOOKUP(Tabla13[[#This Row],[SISMED]],TblDisponibilidad[],10,FALSE), 0)</f>
        <v>0</v>
      </c>
      <c r="G75">
        <f>IFERROR(VLOOKUP(Tabla13[[#This Row],[SISMED]],TblDisponibilidad[],11,FALSE), 0)</f>
        <v>0</v>
      </c>
      <c r="H75">
        <f>IFERROR(VLOOKUP(Tabla13[[#This Row],[SISMED]],TblDisponibilidad[],12,FALSE), 0)</f>
        <v>0</v>
      </c>
      <c r="I75">
        <f>IFERROR(VLOOKUP(Tabla13[[#This Row],[SISMED]],TblDisponibilidad[],13,FALSE), 0)</f>
        <v>0</v>
      </c>
      <c r="J75">
        <f>IFERROR(VLOOKUP(Tabla13[[#This Row],[SISMED]],TblDisponibilidad[],14,FALSE), 0)</f>
        <v>0</v>
      </c>
      <c r="K75">
        <f>IFERROR(VLOOKUP(Tabla13[[#This Row],[SISMED]],TblDisponibilidad[],15,FALSE), 0)</f>
        <v>0</v>
      </c>
      <c r="L75">
        <f>IFERROR(VLOOKUP(Tabla13[[#This Row],[SISMED]],TblDisponibilidad[],16,FALSE), 0)</f>
        <v>0</v>
      </c>
      <c r="M75">
        <f>IFERROR(VLOOKUP(Tabla13[[#This Row],[SISMED]],TblDisponibilidad[],17,FALSE), 0)</f>
        <v>0</v>
      </c>
      <c r="N75">
        <f>IFERROR(VLOOKUP(Tabla13[[#This Row],[SISMED]],TblDisponibilidad[],18,FALSE), 0)</f>
        <v>0</v>
      </c>
      <c r="O75">
        <f>IFERROR(VLOOKUP(Tabla13[[#This Row],[SISMED]],TblDisponibilidad[],19,FALSE), 0)</f>
        <v>0</v>
      </c>
      <c r="P75">
        <f>IFERROR(VLOOKUP(Tabla13[[#This Row],[SISMED]],TblDisponibilidad[],20,FALSE), 0)</f>
        <v>0</v>
      </c>
      <c r="Q75">
        <f>IFERROR(VLOOKUP(Tabla13[[#This Row],[SISMED]],TblDisponibilidad[],21,FALSE), 0)</f>
        <v>0</v>
      </c>
      <c r="R75">
        <f>IFERROR(VLOOKUP(Tabla13[[#This Row],[SISMED]],TblDisponibilidad[],22,FALSE), 0)</f>
        <v>0</v>
      </c>
      <c r="S75" s="15">
        <f>IFERROR(VLOOKUP(Tabla13[[#This Row],[SISMED]],TblDisponibilidad[],23,FALSE), 0)</f>
        <v>0</v>
      </c>
    </row>
    <row r="76" spans="1:19" x14ac:dyDescent="0.3">
      <c r="A76" s="15" t="s">
        <v>106</v>
      </c>
      <c r="B76" t="str">
        <f>IFERROR(VLOOKUP(Tabla13[[#This Row],[SISMED]],TblDisponibilidad[],2,FALSE), "")</f>
        <v/>
      </c>
      <c r="C76">
        <f>IFERROR(VLOOKUP(Tabla13[[#This Row],[SISMED]],TblDisponibilidad[],7,FALSE), 0)</f>
        <v>0</v>
      </c>
      <c r="D76">
        <f>IFERROR(VLOOKUP(Tabla13[[#This Row],[SISMED]],TblDisponibilidad[],8,FALSE), 0)</f>
        <v>0</v>
      </c>
      <c r="E76">
        <f>IFERROR(VLOOKUP(Tabla13[[#This Row],[SISMED]],TblDisponibilidad[],9,FALSE), 0)</f>
        <v>0</v>
      </c>
      <c r="F76">
        <f>IFERROR(VLOOKUP(Tabla13[[#This Row],[SISMED]],TblDisponibilidad[],10,FALSE), 0)</f>
        <v>0</v>
      </c>
      <c r="G76">
        <f>IFERROR(VLOOKUP(Tabla13[[#This Row],[SISMED]],TblDisponibilidad[],11,FALSE), 0)</f>
        <v>0</v>
      </c>
      <c r="H76">
        <f>IFERROR(VLOOKUP(Tabla13[[#This Row],[SISMED]],TblDisponibilidad[],12,FALSE), 0)</f>
        <v>0</v>
      </c>
      <c r="I76">
        <f>IFERROR(VLOOKUP(Tabla13[[#This Row],[SISMED]],TblDisponibilidad[],13,FALSE), 0)</f>
        <v>0</v>
      </c>
      <c r="J76">
        <f>IFERROR(VLOOKUP(Tabla13[[#This Row],[SISMED]],TblDisponibilidad[],14,FALSE), 0)</f>
        <v>0</v>
      </c>
      <c r="K76">
        <f>IFERROR(VLOOKUP(Tabla13[[#This Row],[SISMED]],TblDisponibilidad[],15,FALSE), 0)</f>
        <v>0</v>
      </c>
      <c r="L76">
        <f>IFERROR(VLOOKUP(Tabla13[[#This Row],[SISMED]],TblDisponibilidad[],16,FALSE), 0)</f>
        <v>0</v>
      </c>
      <c r="M76">
        <f>IFERROR(VLOOKUP(Tabla13[[#This Row],[SISMED]],TblDisponibilidad[],17,FALSE), 0)</f>
        <v>0</v>
      </c>
      <c r="N76">
        <f>IFERROR(VLOOKUP(Tabla13[[#This Row],[SISMED]],TblDisponibilidad[],18,FALSE), 0)</f>
        <v>0</v>
      </c>
      <c r="O76">
        <f>IFERROR(VLOOKUP(Tabla13[[#This Row],[SISMED]],TblDisponibilidad[],19,FALSE), 0)</f>
        <v>0</v>
      </c>
      <c r="P76">
        <f>IFERROR(VLOOKUP(Tabla13[[#This Row],[SISMED]],TblDisponibilidad[],20,FALSE), 0)</f>
        <v>0</v>
      </c>
      <c r="Q76">
        <f>IFERROR(VLOOKUP(Tabla13[[#This Row],[SISMED]],TblDisponibilidad[],21,FALSE), 0)</f>
        <v>0</v>
      </c>
      <c r="R76">
        <f>IFERROR(VLOOKUP(Tabla13[[#This Row],[SISMED]],TblDisponibilidad[],22,FALSE), 0)</f>
        <v>0</v>
      </c>
      <c r="S76" s="15">
        <f>IFERROR(VLOOKUP(Tabla13[[#This Row],[SISMED]],TblDisponibilidad[],23,FALSE), 0)</f>
        <v>0</v>
      </c>
    </row>
    <row r="77" spans="1:19" x14ac:dyDescent="0.3">
      <c r="A77" s="15" t="s">
        <v>107</v>
      </c>
      <c r="B77" t="str">
        <f>IFERROR(VLOOKUP(Tabla13[[#This Row],[SISMED]],TblDisponibilidad[],2,FALSE), "")</f>
        <v/>
      </c>
      <c r="C77">
        <f>IFERROR(VLOOKUP(Tabla13[[#This Row],[SISMED]],TblDisponibilidad[],7,FALSE), 0)</f>
        <v>0</v>
      </c>
      <c r="D77">
        <f>IFERROR(VLOOKUP(Tabla13[[#This Row],[SISMED]],TblDisponibilidad[],8,FALSE), 0)</f>
        <v>0</v>
      </c>
      <c r="E77">
        <f>IFERROR(VLOOKUP(Tabla13[[#This Row],[SISMED]],TblDisponibilidad[],9,FALSE), 0)</f>
        <v>0</v>
      </c>
      <c r="F77">
        <f>IFERROR(VLOOKUP(Tabla13[[#This Row],[SISMED]],TblDisponibilidad[],10,FALSE), 0)</f>
        <v>0</v>
      </c>
      <c r="G77">
        <f>IFERROR(VLOOKUP(Tabla13[[#This Row],[SISMED]],TblDisponibilidad[],11,FALSE), 0)</f>
        <v>0</v>
      </c>
      <c r="H77">
        <f>IFERROR(VLOOKUP(Tabla13[[#This Row],[SISMED]],TblDisponibilidad[],12,FALSE), 0)</f>
        <v>0</v>
      </c>
      <c r="I77">
        <f>IFERROR(VLOOKUP(Tabla13[[#This Row],[SISMED]],TblDisponibilidad[],13,FALSE), 0)</f>
        <v>0</v>
      </c>
      <c r="J77">
        <f>IFERROR(VLOOKUP(Tabla13[[#This Row],[SISMED]],TblDisponibilidad[],14,FALSE), 0)</f>
        <v>0</v>
      </c>
      <c r="K77">
        <f>IFERROR(VLOOKUP(Tabla13[[#This Row],[SISMED]],TblDisponibilidad[],15,FALSE), 0)</f>
        <v>0</v>
      </c>
      <c r="L77">
        <f>IFERROR(VLOOKUP(Tabla13[[#This Row],[SISMED]],TblDisponibilidad[],16,FALSE), 0)</f>
        <v>0</v>
      </c>
      <c r="M77">
        <f>IFERROR(VLOOKUP(Tabla13[[#This Row],[SISMED]],TblDisponibilidad[],17,FALSE), 0)</f>
        <v>0</v>
      </c>
      <c r="N77">
        <f>IFERROR(VLOOKUP(Tabla13[[#This Row],[SISMED]],TblDisponibilidad[],18,FALSE), 0)</f>
        <v>0</v>
      </c>
      <c r="O77">
        <f>IFERROR(VLOOKUP(Tabla13[[#This Row],[SISMED]],TblDisponibilidad[],19,FALSE), 0)</f>
        <v>0</v>
      </c>
      <c r="P77">
        <f>IFERROR(VLOOKUP(Tabla13[[#This Row],[SISMED]],TblDisponibilidad[],20,FALSE), 0)</f>
        <v>0</v>
      </c>
      <c r="Q77">
        <f>IFERROR(VLOOKUP(Tabla13[[#This Row],[SISMED]],TblDisponibilidad[],21,FALSE), 0)</f>
        <v>0</v>
      </c>
      <c r="R77">
        <f>IFERROR(VLOOKUP(Tabla13[[#This Row],[SISMED]],TblDisponibilidad[],22,FALSE), 0)</f>
        <v>0</v>
      </c>
      <c r="S77" s="15">
        <f>IFERROR(VLOOKUP(Tabla13[[#This Row],[SISMED]],TblDisponibilidad[],23,FALSE), 0)</f>
        <v>0</v>
      </c>
    </row>
    <row r="78" spans="1:19" x14ac:dyDescent="0.3">
      <c r="A78" s="15" t="s">
        <v>108</v>
      </c>
      <c r="B78" t="str">
        <f>IFERROR(VLOOKUP(Tabla13[[#This Row],[SISMED]],TblDisponibilidad[],2,FALSE), "")</f>
        <v/>
      </c>
      <c r="C78">
        <f>IFERROR(VLOOKUP(Tabla13[[#This Row],[SISMED]],TblDisponibilidad[],7,FALSE), 0)</f>
        <v>0</v>
      </c>
      <c r="D78">
        <f>IFERROR(VLOOKUP(Tabla13[[#This Row],[SISMED]],TblDisponibilidad[],8,FALSE), 0)</f>
        <v>0</v>
      </c>
      <c r="E78">
        <f>IFERROR(VLOOKUP(Tabla13[[#This Row],[SISMED]],TblDisponibilidad[],9,FALSE), 0)</f>
        <v>0</v>
      </c>
      <c r="F78">
        <f>IFERROR(VLOOKUP(Tabla13[[#This Row],[SISMED]],TblDisponibilidad[],10,FALSE), 0)</f>
        <v>0</v>
      </c>
      <c r="G78">
        <f>IFERROR(VLOOKUP(Tabla13[[#This Row],[SISMED]],TblDisponibilidad[],11,FALSE), 0)</f>
        <v>0</v>
      </c>
      <c r="H78">
        <f>IFERROR(VLOOKUP(Tabla13[[#This Row],[SISMED]],TblDisponibilidad[],12,FALSE), 0)</f>
        <v>0</v>
      </c>
      <c r="I78">
        <f>IFERROR(VLOOKUP(Tabla13[[#This Row],[SISMED]],TblDisponibilidad[],13,FALSE), 0)</f>
        <v>0</v>
      </c>
      <c r="J78">
        <f>IFERROR(VLOOKUP(Tabla13[[#This Row],[SISMED]],TblDisponibilidad[],14,FALSE), 0)</f>
        <v>0</v>
      </c>
      <c r="K78">
        <f>IFERROR(VLOOKUP(Tabla13[[#This Row],[SISMED]],TblDisponibilidad[],15,FALSE), 0)</f>
        <v>0</v>
      </c>
      <c r="L78">
        <f>IFERROR(VLOOKUP(Tabla13[[#This Row],[SISMED]],TblDisponibilidad[],16,FALSE), 0)</f>
        <v>0</v>
      </c>
      <c r="M78">
        <f>IFERROR(VLOOKUP(Tabla13[[#This Row],[SISMED]],TblDisponibilidad[],17,FALSE), 0)</f>
        <v>0</v>
      </c>
      <c r="N78">
        <f>IFERROR(VLOOKUP(Tabla13[[#This Row],[SISMED]],TblDisponibilidad[],18,FALSE), 0)</f>
        <v>0</v>
      </c>
      <c r="O78">
        <f>IFERROR(VLOOKUP(Tabla13[[#This Row],[SISMED]],TblDisponibilidad[],19,FALSE), 0)</f>
        <v>0</v>
      </c>
      <c r="P78">
        <f>IFERROR(VLOOKUP(Tabla13[[#This Row],[SISMED]],TblDisponibilidad[],20,FALSE), 0)</f>
        <v>0</v>
      </c>
      <c r="Q78">
        <f>IFERROR(VLOOKUP(Tabla13[[#This Row],[SISMED]],TblDisponibilidad[],21,FALSE), 0)</f>
        <v>0</v>
      </c>
      <c r="R78">
        <f>IFERROR(VLOOKUP(Tabla13[[#This Row],[SISMED]],TblDisponibilidad[],22,FALSE), 0)</f>
        <v>0</v>
      </c>
      <c r="S78" s="15">
        <f>IFERROR(VLOOKUP(Tabla13[[#This Row],[SISMED]],TblDisponibilidad[],23,FALSE), 0)</f>
        <v>0</v>
      </c>
    </row>
    <row r="79" spans="1:19" x14ac:dyDescent="0.3">
      <c r="A79" s="15" t="s">
        <v>109</v>
      </c>
      <c r="B79" t="str">
        <f>IFERROR(VLOOKUP(Tabla13[[#This Row],[SISMED]],TblDisponibilidad[],2,FALSE), "")</f>
        <v/>
      </c>
      <c r="C79">
        <f>IFERROR(VLOOKUP(Tabla13[[#This Row],[SISMED]],TblDisponibilidad[],7,FALSE), 0)</f>
        <v>0</v>
      </c>
      <c r="D79">
        <f>IFERROR(VLOOKUP(Tabla13[[#This Row],[SISMED]],TblDisponibilidad[],8,FALSE), 0)</f>
        <v>0</v>
      </c>
      <c r="E79">
        <f>IFERROR(VLOOKUP(Tabla13[[#This Row],[SISMED]],TblDisponibilidad[],9,FALSE), 0)</f>
        <v>0</v>
      </c>
      <c r="F79">
        <f>IFERROR(VLOOKUP(Tabla13[[#This Row],[SISMED]],TblDisponibilidad[],10,FALSE), 0)</f>
        <v>0</v>
      </c>
      <c r="G79">
        <f>IFERROR(VLOOKUP(Tabla13[[#This Row],[SISMED]],TblDisponibilidad[],11,FALSE), 0)</f>
        <v>0</v>
      </c>
      <c r="H79">
        <f>IFERROR(VLOOKUP(Tabla13[[#This Row],[SISMED]],TblDisponibilidad[],12,FALSE), 0)</f>
        <v>0</v>
      </c>
      <c r="I79">
        <f>IFERROR(VLOOKUP(Tabla13[[#This Row],[SISMED]],TblDisponibilidad[],13,FALSE), 0)</f>
        <v>0</v>
      </c>
      <c r="J79">
        <f>IFERROR(VLOOKUP(Tabla13[[#This Row],[SISMED]],TblDisponibilidad[],14,FALSE), 0)</f>
        <v>0</v>
      </c>
      <c r="K79">
        <f>IFERROR(VLOOKUP(Tabla13[[#This Row],[SISMED]],TblDisponibilidad[],15,FALSE), 0)</f>
        <v>0</v>
      </c>
      <c r="L79">
        <f>IFERROR(VLOOKUP(Tabla13[[#This Row],[SISMED]],TblDisponibilidad[],16,FALSE), 0)</f>
        <v>0</v>
      </c>
      <c r="M79">
        <f>IFERROR(VLOOKUP(Tabla13[[#This Row],[SISMED]],TblDisponibilidad[],17,FALSE), 0)</f>
        <v>0</v>
      </c>
      <c r="N79">
        <f>IFERROR(VLOOKUP(Tabla13[[#This Row],[SISMED]],TblDisponibilidad[],18,FALSE), 0)</f>
        <v>0</v>
      </c>
      <c r="O79">
        <f>IFERROR(VLOOKUP(Tabla13[[#This Row],[SISMED]],TblDisponibilidad[],19,FALSE), 0)</f>
        <v>0</v>
      </c>
      <c r="P79">
        <f>IFERROR(VLOOKUP(Tabla13[[#This Row],[SISMED]],TblDisponibilidad[],20,FALSE), 0)</f>
        <v>0</v>
      </c>
      <c r="Q79">
        <f>IFERROR(VLOOKUP(Tabla13[[#This Row],[SISMED]],TblDisponibilidad[],21,FALSE), 0)</f>
        <v>0</v>
      </c>
      <c r="R79">
        <f>IFERROR(VLOOKUP(Tabla13[[#This Row],[SISMED]],TblDisponibilidad[],22,FALSE), 0)</f>
        <v>0</v>
      </c>
      <c r="S79" s="15">
        <f>IFERROR(VLOOKUP(Tabla13[[#This Row],[SISMED]],TblDisponibilidad[],23,FALSE), 0)</f>
        <v>0</v>
      </c>
    </row>
    <row r="80" spans="1:19" x14ac:dyDescent="0.3">
      <c r="A80" s="15" t="s">
        <v>110</v>
      </c>
      <c r="B80" t="str">
        <f>IFERROR(VLOOKUP(Tabla13[[#This Row],[SISMED]],TblDisponibilidad[],2,FALSE), "")</f>
        <v/>
      </c>
      <c r="C80">
        <f>IFERROR(VLOOKUP(Tabla13[[#This Row],[SISMED]],TblDisponibilidad[],7,FALSE), 0)</f>
        <v>0</v>
      </c>
      <c r="D80">
        <f>IFERROR(VLOOKUP(Tabla13[[#This Row],[SISMED]],TblDisponibilidad[],8,FALSE), 0)</f>
        <v>0</v>
      </c>
      <c r="E80">
        <f>IFERROR(VLOOKUP(Tabla13[[#This Row],[SISMED]],TblDisponibilidad[],9,FALSE), 0)</f>
        <v>0</v>
      </c>
      <c r="F80">
        <f>IFERROR(VLOOKUP(Tabla13[[#This Row],[SISMED]],TblDisponibilidad[],10,FALSE), 0)</f>
        <v>0</v>
      </c>
      <c r="G80">
        <f>IFERROR(VLOOKUP(Tabla13[[#This Row],[SISMED]],TblDisponibilidad[],11,FALSE), 0)</f>
        <v>0</v>
      </c>
      <c r="H80">
        <f>IFERROR(VLOOKUP(Tabla13[[#This Row],[SISMED]],TblDisponibilidad[],12,FALSE), 0)</f>
        <v>0</v>
      </c>
      <c r="I80">
        <f>IFERROR(VLOOKUP(Tabla13[[#This Row],[SISMED]],TblDisponibilidad[],13,FALSE), 0)</f>
        <v>0</v>
      </c>
      <c r="J80">
        <f>IFERROR(VLOOKUP(Tabla13[[#This Row],[SISMED]],TblDisponibilidad[],14,FALSE), 0)</f>
        <v>0</v>
      </c>
      <c r="K80">
        <f>IFERROR(VLOOKUP(Tabla13[[#This Row],[SISMED]],TblDisponibilidad[],15,FALSE), 0)</f>
        <v>0</v>
      </c>
      <c r="L80">
        <f>IFERROR(VLOOKUP(Tabla13[[#This Row],[SISMED]],TblDisponibilidad[],16,FALSE), 0)</f>
        <v>0</v>
      </c>
      <c r="M80">
        <f>IFERROR(VLOOKUP(Tabla13[[#This Row],[SISMED]],TblDisponibilidad[],17,FALSE), 0)</f>
        <v>0</v>
      </c>
      <c r="N80">
        <f>IFERROR(VLOOKUP(Tabla13[[#This Row],[SISMED]],TblDisponibilidad[],18,FALSE), 0)</f>
        <v>0</v>
      </c>
      <c r="O80">
        <f>IFERROR(VLOOKUP(Tabla13[[#This Row],[SISMED]],TblDisponibilidad[],19,FALSE), 0)</f>
        <v>0</v>
      </c>
      <c r="P80">
        <f>IFERROR(VLOOKUP(Tabla13[[#This Row],[SISMED]],TblDisponibilidad[],20,FALSE), 0)</f>
        <v>0</v>
      </c>
      <c r="Q80">
        <f>IFERROR(VLOOKUP(Tabla13[[#This Row],[SISMED]],TblDisponibilidad[],21,FALSE), 0)</f>
        <v>0</v>
      </c>
      <c r="R80">
        <f>IFERROR(VLOOKUP(Tabla13[[#This Row],[SISMED]],TblDisponibilidad[],22,FALSE), 0)</f>
        <v>0</v>
      </c>
      <c r="S80" s="15">
        <f>IFERROR(VLOOKUP(Tabla13[[#This Row],[SISMED]],TblDisponibilidad[],23,FALSE), 0)</f>
        <v>0</v>
      </c>
    </row>
    <row r="81" spans="1:19" x14ac:dyDescent="0.3">
      <c r="A81" s="15" t="s">
        <v>111</v>
      </c>
      <c r="B81" t="str">
        <f>IFERROR(VLOOKUP(Tabla13[[#This Row],[SISMED]],TblDisponibilidad[],2,FALSE), "")</f>
        <v/>
      </c>
      <c r="C81">
        <f>IFERROR(VLOOKUP(Tabla13[[#This Row],[SISMED]],TblDisponibilidad[],7,FALSE), 0)</f>
        <v>0</v>
      </c>
      <c r="D81">
        <f>IFERROR(VLOOKUP(Tabla13[[#This Row],[SISMED]],TblDisponibilidad[],8,FALSE), 0)</f>
        <v>0</v>
      </c>
      <c r="E81">
        <f>IFERROR(VLOOKUP(Tabla13[[#This Row],[SISMED]],TblDisponibilidad[],9,FALSE), 0)</f>
        <v>0</v>
      </c>
      <c r="F81">
        <f>IFERROR(VLOOKUP(Tabla13[[#This Row],[SISMED]],TblDisponibilidad[],10,FALSE), 0)</f>
        <v>0</v>
      </c>
      <c r="G81">
        <f>IFERROR(VLOOKUP(Tabla13[[#This Row],[SISMED]],TblDisponibilidad[],11,FALSE), 0)</f>
        <v>0</v>
      </c>
      <c r="H81">
        <f>IFERROR(VLOOKUP(Tabla13[[#This Row],[SISMED]],TblDisponibilidad[],12,FALSE), 0)</f>
        <v>0</v>
      </c>
      <c r="I81">
        <f>IFERROR(VLOOKUP(Tabla13[[#This Row],[SISMED]],TblDisponibilidad[],13,FALSE), 0)</f>
        <v>0</v>
      </c>
      <c r="J81">
        <f>IFERROR(VLOOKUP(Tabla13[[#This Row],[SISMED]],TblDisponibilidad[],14,FALSE), 0)</f>
        <v>0</v>
      </c>
      <c r="K81">
        <f>IFERROR(VLOOKUP(Tabla13[[#This Row],[SISMED]],TblDisponibilidad[],15,FALSE), 0)</f>
        <v>0</v>
      </c>
      <c r="L81">
        <f>IFERROR(VLOOKUP(Tabla13[[#This Row],[SISMED]],TblDisponibilidad[],16,FALSE), 0)</f>
        <v>0</v>
      </c>
      <c r="M81">
        <f>IFERROR(VLOOKUP(Tabla13[[#This Row],[SISMED]],TblDisponibilidad[],17,FALSE), 0)</f>
        <v>0</v>
      </c>
      <c r="N81">
        <f>IFERROR(VLOOKUP(Tabla13[[#This Row],[SISMED]],TblDisponibilidad[],18,FALSE), 0)</f>
        <v>0</v>
      </c>
      <c r="O81">
        <f>IFERROR(VLOOKUP(Tabla13[[#This Row],[SISMED]],TblDisponibilidad[],19,FALSE), 0)</f>
        <v>0</v>
      </c>
      <c r="P81">
        <f>IFERROR(VLOOKUP(Tabla13[[#This Row],[SISMED]],TblDisponibilidad[],20,FALSE), 0)</f>
        <v>0</v>
      </c>
      <c r="Q81">
        <f>IFERROR(VLOOKUP(Tabla13[[#This Row],[SISMED]],TblDisponibilidad[],21,FALSE), 0)</f>
        <v>0</v>
      </c>
      <c r="R81">
        <f>IFERROR(VLOOKUP(Tabla13[[#This Row],[SISMED]],TblDisponibilidad[],22,FALSE), 0)</f>
        <v>0</v>
      </c>
      <c r="S81" s="15">
        <f>IFERROR(VLOOKUP(Tabla13[[#This Row],[SISMED]],TblDisponibilidad[],23,FALSE), 0)</f>
        <v>0</v>
      </c>
    </row>
    <row r="82" spans="1:19" x14ac:dyDescent="0.3">
      <c r="A82" s="15" t="s">
        <v>112</v>
      </c>
      <c r="B82" t="str">
        <f>IFERROR(VLOOKUP(Tabla13[[#This Row],[SISMED]],TblDisponibilidad[],2,FALSE), "")</f>
        <v/>
      </c>
      <c r="C82">
        <f>IFERROR(VLOOKUP(Tabla13[[#This Row],[SISMED]],TblDisponibilidad[],7,FALSE), 0)</f>
        <v>0</v>
      </c>
      <c r="D82">
        <f>IFERROR(VLOOKUP(Tabla13[[#This Row],[SISMED]],TblDisponibilidad[],8,FALSE), 0)</f>
        <v>0</v>
      </c>
      <c r="E82">
        <f>IFERROR(VLOOKUP(Tabla13[[#This Row],[SISMED]],TblDisponibilidad[],9,FALSE), 0)</f>
        <v>0</v>
      </c>
      <c r="F82">
        <f>IFERROR(VLOOKUP(Tabla13[[#This Row],[SISMED]],TblDisponibilidad[],10,FALSE), 0)</f>
        <v>0</v>
      </c>
      <c r="G82">
        <f>IFERROR(VLOOKUP(Tabla13[[#This Row],[SISMED]],TblDisponibilidad[],11,FALSE), 0)</f>
        <v>0</v>
      </c>
      <c r="H82">
        <f>IFERROR(VLOOKUP(Tabla13[[#This Row],[SISMED]],TblDisponibilidad[],12,FALSE), 0)</f>
        <v>0</v>
      </c>
      <c r="I82">
        <f>IFERROR(VLOOKUP(Tabla13[[#This Row],[SISMED]],TblDisponibilidad[],13,FALSE), 0)</f>
        <v>0</v>
      </c>
      <c r="J82">
        <f>IFERROR(VLOOKUP(Tabla13[[#This Row],[SISMED]],TblDisponibilidad[],14,FALSE), 0)</f>
        <v>0</v>
      </c>
      <c r="K82">
        <f>IFERROR(VLOOKUP(Tabla13[[#This Row],[SISMED]],TblDisponibilidad[],15,FALSE), 0)</f>
        <v>0</v>
      </c>
      <c r="L82">
        <f>IFERROR(VLOOKUP(Tabla13[[#This Row],[SISMED]],TblDisponibilidad[],16,FALSE), 0)</f>
        <v>0</v>
      </c>
      <c r="M82">
        <f>IFERROR(VLOOKUP(Tabla13[[#This Row],[SISMED]],TblDisponibilidad[],17,FALSE), 0)</f>
        <v>0</v>
      </c>
      <c r="N82">
        <f>IFERROR(VLOOKUP(Tabla13[[#This Row],[SISMED]],TblDisponibilidad[],18,FALSE), 0)</f>
        <v>0</v>
      </c>
      <c r="O82">
        <f>IFERROR(VLOOKUP(Tabla13[[#This Row],[SISMED]],TblDisponibilidad[],19,FALSE), 0)</f>
        <v>0</v>
      </c>
      <c r="P82">
        <f>IFERROR(VLOOKUP(Tabla13[[#This Row],[SISMED]],TblDisponibilidad[],20,FALSE), 0)</f>
        <v>0</v>
      </c>
      <c r="Q82">
        <f>IFERROR(VLOOKUP(Tabla13[[#This Row],[SISMED]],TblDisponibilidad[],21,FALSE), 0)</f>
        <v>0</v>
      </c>
      <c r="R82">
        <f>IFERROR(VLOOKUP(Tabla13[[#This Row],[SISMED]],TblDisponibilidad[],22,FALSE), 0)</f>
        <v>0</v>
      </c>
      <c r="S82" s="15">
        <f>IFERROR(VLOOKUP(Tabla13[[#This Row],[SISMED]],TblDisponibilidad[],23,FALSE), 0)</f>
        <v>0</v>
      </c>
    </row>
    <row r="83" spans="1:19" x14ac:dyDescent="0.3">
      <c r="A83" s="15" t="s">
        <v>113</v>
      </c>
      <c r="B83" t="str">
        <f>IFERROR(VLOOKUP(Tabla13[[#This Row],[SISMED]],TblDisponibilidad[],2,FALSE), "")</f>
        <v/>
      </c>
      <c r="C83">
        <f>IFERROR(VLOOKUP(Tabla13[[#This Row],[SISMED]],TblDisponibilidad[],7,FALSE), 0)</f>
        <v>0</v>
      </c>
      <c r="D83">
        <f>IFERROR(VLOOKUP(Tabla13[[#This Row],[SISMED]],TblDisponibilidad[],8,FALSE), 0)</f>
        <v>0</v>
      </c>
      <c r="E83">
        <f>IFERROR(VLOOKUP(Tabla13[[#This Row],[SISMED]],TblDisponibilidad[],9,FALSE), 0)</f>
        <v>0</v>
      </c>
      <c r="F83">
        <f>IFERROR(VLOOKUP(Tabla13[[#This Row],[SISMED]],TblDisponibilidad[],10,FALSE), 0)</f>
        <v>0</v>
      </c>
      <c r="G83">
        <f>IFERROR(VLOOKUP(Tabla13[[#This Row],[SISMED]],TblDisponibilidad[],11,FALSE), 0)</f>
        <v>0</v>
      </c>
      <c r="H83">
        <f>IFERROR(VLOOKUP(Tabla13[[#This Row],[SISMED]],TblDisponibilidad[],12,FALSE), 0)</f>
        <v>0</v>
      </c>
      <c r="I83">
        <f>IFERROR(VLOOKUP(Tabla13[[#This Row],[SISMED]],TblDisponibilidad[],13,FALSE), 0)</f>
        <v>0</v>
      </c>
      <c r="J83">
        <f>IFERROR(VLOOKUP(Tabla13[[#This Row],[SISMED]],TblDisponibilidad[],14,FALSE), 0)</f>
        <v>0</v>
      </c>
      <c r="K83">
        <f>IFERROR(VLOOKUP(Tabla13[[#This Row],[SISMED]],TblDisponibilidad[],15,FALSE), 0)</f>
        <v>0</v>
      </c>
      <c r="L83">
        <f>IFERROR(VLOOKUP(Tabla13[[#This Row],[SISMED]],TblDisponibilidad[],16,FALSE), 0)</f>
        <v>0</v>
      </c>
      <c r="M83">
        <f>IFERROR(VLOOKUP(Tabla13[[#This Row],[SISMED]],TblDisponibilidad[],17,FALSE), 0)</f>
        <v>0</v>
      </c>
      <c r="N83">
        <f>IFERROR(VLOOKUP(Tabla13[[#This Row],[SISMED]],TblDisponibilidad[],18,FALSE), 0)</f>
        <v>0</v>
      </c>
      <c r="O83">
        <f>IFERROR(VLOOKUP(Tabla13[[#This Row],[SISMED]],TblDisponibilidad[],19,FALSE), 0)</f>
        <v>0</v>
      </c>
      <c r="P83">
        <f>IFERROR(VLOOKUP(Tabla13[[#This Row],[SISMED]],TblDisponibilidad[],20,FALSE), 0)</f>
        <v>0</v>
      </c>
      <c r="Q83">
        <f>IFERROR(VLOOKUP(Tabla13[[#This Row],[SISMED]],TblDisponibilidad[],21,FALSE), 0)</f>
        <v>0</v>
      </c>
      <c r="R83">
        <f>IFERROR(VLOOKUP(Tabla13[[#This Row],[SISMED]],TblDisponibilidad[],22,FALSE), 0)</f>
        <v>0</v>
      </c>
      <c r="S83" s="15">
        <f>IFERROR(VLOOKUP(Tabla13[[#This Row],[SISMED]],TblDisponibilidad[],23,FALSE), 0)</f>
        <v>0</v>
      </c>
    </row>
    <row r="84" spans="1:19" x14ac:dyDescent="0.3">
      <c r="A84" s="15" t="s">
        <v>114</v>
      </c>
      <c r="B84" t="str">
        <f>IFERROR(VLOOKUP(Tabla13[[#This Row],[SISMED]],TblDisponibilidad[],2,FALSE), "")</f>
        <v/>
      </c>
      <c r="C84">
        <f>IFERROR(VLOOKUP(Tabla13[[#This Row],[SISMED]],TblDisponibilidad[],7,FALSE), 0)</f>
        <v>0</v>
      </c>
      <c r="D84">
        <f>IFERROR(VLOOKUP(Tabla13[[#This Row],[SISMED]],TblDisponibilidad[],8,FALSE), 0)</f>
        <v>0</v>
      </c>
      <c r="E84">
        <f>IFERROR(VLOOKUP(Tabla13[[#This Row],[SISMED]],TblDisponibilidad[],9,FALSE), 0)</f>
        <v>0</v>
      </c>
      <c r="F84">
        <f>IFERROR(VLOOKUP(Tabla13[[#This Row],[SISMED]],TblDisponibilidad[],10,FALSE), 0)</f>
        <v>0</v>
      </c>
      <c r="G84">
        <f>IFERROR(VLOOKUP(Tabla13[[#This Row],[SISMED]],TblDisponibilidad[],11,FALSE), 0)</f>
        <v>0</v>
      </c>
      <c r="H84">
        <f>IFERROR(VLOOKUP(Tabla13[[#This Row],[SISMED]],TblDisponibilidad[],12,FALSE), 0)</f>
        <v>0</v>
      </c>
      <c r="I84">
        <f>IFERROR(VLOOKUP(Tabla13[[#This Row],[SISMED]],TblDisponibilidad[],13,FALSE), 0)</f>
        <v>0</v>
      </c>
      <c r="J84">
        <f>IFERROR(VLOOKUP(Tabla13[[#This Row],[SISMED]],TblDisponibilidad[],14,FALSE), 0)</f>
        <v>0</v>
      </c>
      <c r="K84">
        <f>IFERROR(VLOOKUP(Tabla13[[#This Row],[SISMED]],TblDisponibilidad[],15,FALSE), 0)</f>
        <v>0</v>
      </c>
      <c r="L84">
        <f>IFERROR(VLOOKUP(Tabla13[[#This Row],[SISMED]],TblDisponibilidad[],16,FALSE), 0)</f>
        <v>0</v>
      </c>
      <c r="M84">
        <f>IFERROR(VLOOKUP(Tabla13[[#This Row],[SISMED]],TblDisponibilidad[],17,FALSE), 0)</f>
        <v>0</v>
      </c>
      <c r="N84">
        <f>IFERROR(VLOOKUP(Tabla13[[#This Row],[SISMED]],TblDisponibilidad[],18,FALSE), 0)</f>
        <v>0</v>
      </c>
      <c r="O84">
        <f>IFERROR(VLOOKUP(Tabla13[[#This Row],[SISMED]],TblDisponibilidad[],19,FALSE), 0)</f>
        <v>0</v>
      </c>
      <c r="P84">
        <f>IFERROR(VLOOKUP(Tabla13[[#This Row],[SISMED]],TblDisponibilidad[],20,FALSE), 0)</f>
        <v>0</v>
      </c>
      <c r="Q84">
        <f>IFERROR(VLOOKUP(Tabla13[[#This Row],[SISMED]],TblDisponibilidad[],21,FALSE), 0)</f>
        <v>0</v>
      </c>
      <c r="R84">
        <f>IFERROR(VLOOKUP(Tabla13[[#This Row],[SISMED]],TblDisponibilidad[],22,FALSE), 0)</f>
        <v>0</v>
      </c>
      <c r="S84" s="15">
        <f>IFERROR(VLOOKUP(Tabla13[[#This Row],[SISMED]],TblDisponibilidad[],23,FALSE), 0)</f>
        <v>0</v>
      </c>
    </row>
    <row r="85" spans="1:19" x14ac:dyDescent="0.3">
      <c r="A85" s="15" t="s">
        <v>115</v>
      </c>
      <c r="B85" t="str">
        <f>IFERROR(VLOOKUP(Tabla13[[#This Row],[SISMED]],TblDisponibilidad[],2,FALSE), "")</f>
        <v/>
      </c>
      <c r="C85">
        <f>IFERROR(VLOOKUP(Tabla13[[#This Row],[SISMED]],TblDisponibilidad[],7,FALSE), 0)</f>
        <v>0</v>
      </c>
      <c r="D85">
        <f>IFERROR(VLOOKUP(Tabla13[[#This Row],[SISMED]],TblDisponibilidad[],8,FALSE), 0)</f>
        <v>0</v>
      </c>
      <c r="E85">
        <f>IFERROR(VLOOKUP(Tabla13[[#This Row],[SISMED]],TblDisponibilidad[],9,FALSE), 0)</f>
        <v>0</v>
      </c>
      <c r="F85">
        <f>IFERROR(VLOOKUP(Tabla13[[#This Row],[SISMED]],TblDisponibilidad[],10,FALSE), 0)</f>
        <v>0</v>
      </c>
      <c r="G85">
        <f>IFERROR(VLOOKUP(Tabla13[[#This Row],[SISMED]],TblDisponibilidad[],11,FALSE), 0)</f>
        <v>0</v>
      </c>
      <c r="H85">
        <f>IFERROR(VLOOKUP(Tabla13[[#This Row],[SISMED]],TblDisponibilidad[],12,FALSE), 0)</f>
        <v>0</v>
      </c>
      <c r="I85">
        <f>IFERROR(VLOOKUP(Tabla13[[#This Row],[SISMED]],TblDisponibilidad[],13,FALSE), 0)</f>
        <v>0</v>
      </c>
      <c r="J85">
        <f>IFERROR(VLOOKUP(Tabla13[[#This Row],[SISMED]],TblDisponibilidad[],14,FALSE), 0)</f>
        <v>0</v>
      </c>
      <c r="K85">
        <f>IFERROR(VLOOKUP(Tabla13[[#This Row],[SISMED]],TblDisponibilidad[],15,FALSE), 0)</f>
        <v>0</v>
      </c>
      <c r="L85">
        <f>IFERROR(VLOOKUP(Tabla13[[#This Row],[SISMED]],TblDisponibilidad[],16,FALSE), 0)</f>
        <v>0</v>
      </c>
      <c r="M85">
        <f>IFERROR(VLOOKUP(Tabla13[[#This Row],[SISMED]],TblDisponibilidad[],17,FALSE), 0)</f>
        <v>0</v>
      </c>
      <c r="N85">
        <f>IFERROR(VLOOKUP(Tabla13[[#This Row],[SISMED]],TblDisponibilidad[],18,FALSE), 0)</f>
        <v>0</v>
      </c>
      <c r="O85">
        <f>IFERROR(VLOOKUP(Tabla13[[#This Row],[SISMED]],TblDisponibilidad[],19,FALSE), 0)</f>
        <v>0</v>
      </c>
      <c r="P85">
        <f>IFERROR(VLOOKUP(Tabla13[[#This Row],[SISMED]],TblDisponibilidad[],20,FALSE), 0)</f>
        <v>0</v>
      </c>
      <c r="Q85">
        <f>IFERROR(VLOOKUP(Tabla13[[#This Row],[SISMED]],TblDisponibilidad[],21,FALSE), 0)</f>
        <v>0</v>
      </c>
      <c r="R85">
        <f>IFERROR(VLOOKUP(Tabla13[[#This Row],[SISMED]],TblDisponibilidad[],22,FALSE), 0)</f>
        <v>0</v>
      </c>
      <c r="S85" s="15">
        <f>IFERROR(VLOOKUP(Tabla13[[#This Row],[SISMED]],TblDisponibilidad[],23,FALSE), 0)</f>
        <v>0</v>
      </c>
    </row>
    <row r="86" spans="1:19" x14ac:dyDescent="0.3">
      <c r="A86" s="15" t="s">
        <v>116</v>
      </c>
      <c r="B86" t="str">
        <f>IFERROR(VLOOKUP(Tabla13[[#This Row],[SISMED]],TblDisponibilidad[],2,FALSE), "")</f>
        <v/>
      </c>
      <c r="C86">
        <f>IFERROR(VLOOKUP(Tabla13[[#This Row],[SISMED]],TblDisponibilidad[],7,FALSE), 0)</f>
        <v>0</v>
      </c>
      <c r="D86">
        <f>IFERROR(VLOOKUP(Tabla13[[#This Row],[SISMED]],TblDisponibilidad[],8,FALSE), 0)</f>
        <v>0</v>
      </c>
      <c r="E86">
        <f>IFERROR(VLOOKUP(Tabla13[[#This Row],[SISMED]],TblDisponibilidad[],9,FALSE), 0)</f>
        <v>0</v>
      </c>
      <c r="F86">
        <f>IFERROR(VLOOKUP(Tabla13[[#This Row],[SISMED]],TblDisponibilidad[],10,FALSE), 0)</f>
        <v>0</v>
      </c>
      <c r="G86">
        <f>IFERROR(VLOOKUP(Tabla13[[#This Row],[SISMED]],TblDisponibilidad[],11,FALSE), 0)</f>
        <v>0</v>
      </c>
      <c r="H86">
        <f>IFERROR(VLOOKUP(Tabla13[[#This Row],[SISMED]],TblDisponibilidad[],12,FALSE), 0)</f>
        <v>0</v>
      </c>
      <c r="I86">
        <f>IFERROR(VLOOKUP(Tabla13[[#This Row],[SISMED]],TblDisponibilidad[],13,FALSE), 0)</f>
        <v>0</v>
      </c>
      <c r="J86">
        <f>IFERROR(VLOOKUP(Tabla13[[#This Row],[SISMED]],TblDisponibilidad[],14,FALSE), 0)</f>
        <v>0</v>
      </c>
      <c r="K86">
        <f>IFERROR(VLOOKUP(Tabla13[[#This Row],[SISMED]],TblDisponibilidad[],15,FALSE), 0)</f>
        <v>0</v>
      </c>
      <c r="L86">
        <f>IFERROR(VLOOKUP(Tabla13[[#This Row],[SISMED]],TblDisponibilidad[],16,FALSE), 0)</f>
        <v>0</v>
      </c>
      <c r="M86">
        <f>IFERROR(VLOOKUP(Tabla13[[#This Row],[SISMED]],TblDisponibilidad[],17,FALSE), 0)</f>
        <v>0</v>
      </c>
      <c r="N86">
        <f>IFERROR(VLOOKUP(Tabla13[[#This Row],[SISMED]],TblDisponibilidad[],18,FALSE), 0)</f>
        <v>0</v>
      </c>
      <c r="O86">
        <f>IFERROR(VLOOKUP(Tabla13[[#This Row],[SISMED]],TblDisponibilidad[],19,FALSE), 0)</f>
        <v>0</v>
      </c>
      <c r="P86">
        <f>IFERROR(VLOOKUP(Tabla13[[#This Row],[SISMED]],TblDisponibilidad[],20,FALSE), 0)</f>
        <v>0</v>
      </c>
      <c r="Q86">
        <f>IFERROR(VLOOKUP(Tabla13[[#This Row],[SISMED]],TblDisponibilidad[],21,FALSE), 0)</f>
        <v>0</v>
      </c>
      <c r="R86">
        <f>IFERROR(VLOOKUP(Tabla13[[#This Row],[SISMED]],TblDisponibilidad[],22,FALSE), 0)</f>
        <v>0</v>
      </c>
      <c r="S86" s="15">
        <f>IFERROR(VLOOKUP(Tabla13[[#This Row],[SISMED]],TblDisponibilidad[],23,FALSE), 0)</f>
        <v>0</v>
      </c>
    </row>
    <row r="87" spans="1:19" x14ac:dyDescent="0.3">
      <c r="A87" s="15" t="s">
        <v>117</v>
      </c>
      <c r="B87" t="str">
        <f>IFERROR(VLOOKUP(Tabla13[[#This Row],[SISMED]],TblDisponibilidad[],2,FALSE), "")</f>
        <v/>
      </c>
      <c r="C87">
        <f>IFERROR(VLOOKUP(Tabla13[[#This Row],[SISMED]],TblDisponibilidad[],7,FALSE), 0)</f>
        <v>0</v>
      </c>
      <c r="D87">
        <f>IFERROR(VLOOKUP(Tabla13[[#This Row],[SISMED]],TblDisponibilidad[],8,FALSE), 0)</f>
        <v>0</v>
      </c>
      <c r="E87">
        <f>IFERROR(VLOOKUP(Tabla13[[#This Row],[SISMED]],TblDisponibilidad[],9,FALSE), 0)</f>
        <v>0</v>
      </c>
      <c r="F87">
        <f>IFERROR(VLOOKUP(Tabla13[[#This Row],[SISMED]],TblDisponibilidad[],10,FALSE), 0)</f>
        <v>0</v>
      </c>
      <c r="G87">
        <f>IFERROR(VLOOKUP(Tabla13[[#This Row],[SISMED]],TblDisponibilidad[],11,FALSE), 0)</f>
        <v>0</v>
      </c>
      <c r="H87">
        <f>IFERROR(VLOOKUP(Tabla13[[#This Row],[SISMED]],TblDisponibilidad[],12,FALSE), 0)</f>
        <v>0</v>
      </c>
      <c r="I87">
        <f>IFERROR(VLOOKUP(Tabla13[[#This Row],[SISMED]],TblDisponibilidad[],13,FALSE), 0)</f>
        <v>0</v>
      </c>
      <c r="J87">
        <f>IFERROR(VLOOKUP(Tabla13[[#This Row],[SISMED]],TblDisponibilidad[],14,FALSE), 0)</f>
        <v>0</v>
      </c>
      <c r="K87">
        <f>IFERROR(VLOOKUP(Tabla13[[#This Row],[SISMED]],TblDisponibilidad[],15,FALSE), 0)</f>
        <v>0</v>
      </c>
      <c r="L87">
        <f>IFERROR(VLOOKUP(Tabla13[[#This Row],[SISMED]],TblDisponibilidad[],16,FALSE), 0)</f>
        <v>0</v>
      </c>
      <c r="M87">
        <f>IFERROR(VLOOKUP(Tabla13[[#This Row],[SISMED]],TblDisponibilidad[],17,FALSE), 0)</f>
        <v>0</v>
      </c>
      <c r="N87">
        <f>IFERROR(VLOOKUP(Tabla13[[#This Row],[SISMED]],TblDisponibilidad[],18,FALSE), 0)</f>
        <v>0</v>
      </c>
      <c r="O87">
        <f>IFERROR(VLOOKUP(Tabla13[[#This Row],[SISMED]],TblDisponibilidad[],19,FALSE), 0)</f>
        <v>0</v>
      </c>
      <c r="P87">
        <f>IFERROR(VLOOKUP(Tabla13[[#This Row],[SISMED]],TblDisponibilidad[],20,FALSE), 0)</f>
        <v>0</v>
      </c>
      <c r="Q87">
        <f>IFERROR(VLOOKUP(Tabla13[[#This Row],[SISMED]],TblDisponibilidad[],21,FALSE), 0)</f>
        <v>0</v>
      </c>
      <c r="R87">
        <f>IFERROR(VLOOKUP(Tabla13[[#This Row],[SISMED]],TblDisponibilidad[],22,FALSE), 0)</f>
        <v>0</v>
      </c>
      <c r="S87" s="15">
        <f>IFERROR(VLOOKUP(Tabla13[[#This Row],[SISMED]],TblDisponibilidad[],23,FALSE), 0)</f>
        <v>0</v>
      </c>
    </row>
    <row r="88" spans="1:19" x14ac:dyDescent="0.3">
      <c r="A88" s="15" t="s">
        <v>118</v>
      </c>
      <c r="B88" t="str">
        <f>IFERROR(VLOOKUP(Tabla13[[#This Row],[SISMED]],TblDisponibilidad[],2,FALSE), "")</f>
        <v/>
      </c>
      <c r="C88">
        <f>IFERROR(VLOOKUP(Tabla13[[#This Row],[SISMED]],TblDisponibilidad[],7,FALSE), 0)</f>
        <v>0</v>
      </c>
      <c r="D88">
        <f>IFERROR(VLOOKUP(Tabla13[[#This Row],[SISMED]],TblDisponibilidad[],8,FALSE), 0)</f>
        <v>0</v>
      </c>
      <c r="E88">
        <f>IFERROR(VLOOKUP(Tabla13[[#This Row],[SISMED]],TblDisponibilidad[],9,FALSE), 0)</f>
        <v>0</v>
      </c>
      <c r="F88">
        <f>IFERROR(VLOOKUP(Tabla13[[#This Row],[SISMED]],TblDisponibilidad[],10,FALSE), 0)</f>
        <v>0</v>
      </c>
      <c r="G88">
        <f>IFERROR(VLOOKUP(Tabla13[[#This Row],[SISMED]],TblDisponibilidad[],11,FALSE), 0)</f>
        <v>0</v>
      </c>
      <c r="H88">
        <f>IFERROR(VLOOKUP(Tabla13[[#This Row],[SISMED]],TblDisponibilidad[],12,FALSE), 0)</f>
        <v>0</v>
      </c>
      <c r="I88">
        <f>IFERROR(VLOOKUP(Tabla13[[#This Row],[SISMED]],TblDisponibilidad[],13,FALSE), 0)</f>
        <v>0</v>
      </c>
      <c r="J88">
        <f>IFERROR(VLOOKUP(Tabla13[[#This Row],[SISMED]],TblDisponibilidad[],14,FALSE), 0)</f>
        <v>0</v>
      </c>
      <c r="K88">
        <f>IFERROR(VLOOKUP(Tabla13[[#This Row],[SISMED]],TblDisponibilidad[],15,FALSE), 0)</f>
        <v>0</v>
      </c>
      <c r="L88">
        <f>IFERROR(VLOOKUP(Tabla13[[#This Row],[SISMED]],TblDisponibilidad[],16,FALSE), 0)</f>
        <v>0</v>
      </c>
      <c r="M88">
        <f>IFERROR(VLOOKUP(Tabla13[[#This Row],[SISMED]],TblDisponibilidad[],17,FALSE), 0)</f>
        <v>0</v>
      </c>
      <c r="N88">
        <f>IFERROR(VLOOKUP(Tabla13[[#This Row],[SISMED]],TblDisponibilidad[],18,FALSE), 0)</f>
        <v>0</v>
      </c>
      <c r="O88">
        <f>IFERROR(VLOOKUP(Tabla13[[#This Row],[SISMED]],TblDisponibilidad[],19,FALSE), 0)</f>
        <v>0</v>
      </c>
      <c r="P88">
        <f>IFERROR(VLOOKUP(Tabla13[[#This Row],[SISMED]],TblDisponibilidad[],20,FALSE), 0)</f>
        <v>0</v>
      </c>
      <c r="Q88">
        <f>IFERROR(VLOOKUP(Tabla13[[#This Row],[SISMED]],TblDisponibilidad[],21,FALSE), 0)</f>
        <v>0</v>
      </c>
      <c r="R88">
        <f>IFERROR(VLOOKUP(Tabla13[[#This Row],[SISMED]],TblDisponibilidad[],22,FALSE), 0)</f>
        <v>0</v>
      </c>
      <c r="S88" s="15">
        <f>IFERROR(VLOOKUP(Tabla13[[#This Row],[SISMED]],TblDisponibilidad[],23,FALSE), 0)</f>
        <v>0</v>
      </c>
    </row>
    <row r="89" spans="1:19" x14ac:dyDescent="0.3">
      <c r="A89" s="15" t="s">
        <v>119</v>
      </c>
      <c r="B89" t="str">
        <f>IFERROR(VLOOKUP(Tabla13[[#This Row],[SISMED]],TblDisponibilidad[],2,FALSE), "")</f>
        <v/>
      </c>
      <c r="C89">
        <f>IFERROR(VLOOKUP(Tabla13[[#This Row],[SISMED]],TblDisponibilidad[],7,FALSE), 0)</f>
        <v>0</v>
      </c>
      <c r="D89">
        <f>IFERROR(VLOOKUP(Tabla13[[#This Row],[SISMED]],TblDisponibilidad[],8,FALSE), 0)</f>
        <v>0</v>
      </c>
      <c r="E89">
        <f>IFERROR(VLOOKUP(Tabla13[[#This Row],[SISMED]],TblDisponibilidad[],9,FALSE), 0)</f>
        <v>0</v>
      </c>
      <c r="F89">
        <f>IFERROR(VLOOKUP(Tabla13[[#This Row],[SISMED]],TblDisponibilidad[],10,FALSE), 0)</f>
        <v>0</v>
      </c>
      <c r="G89">
        <f>IFERROR(VLOOKUP(Tabla13[[#This Row],[SISMED]],TblDisponibilidad[],11,FALSE), 0)</f>
        <v>0</v>
      </c>
      <c r="H89">
        <f>IFERROR(VLOOKUP(Tabla13[[#This Row],[SISMED]],TblDisponibilidad[],12,FALSE), 0)</f>
        <v>0</v>
      </c>
      <c r="I89">
        <f>IFERROR(VLOOKUP(Tabla13[[#This Row],[SISMED]],TblDisponibilidad[],13,FALSE), 0)</f>
        <v>0</v>
      </c>
      <c r="J89">
        <f>IFERROR(VLOOKUP(Tabla13[[#This Row],[SISMED]],TblDisponibilidad[],14,FALSE), 0)</f>
        <v>0</v>
      </c>
      <c r="K89">
        <f>IFERROR(VLOOKUP(Tabla13[[#This Row],[SISMED]],TblDisponibilidad[],15,FALSE), 0)</f>
        <v>0</v>
      </c>
      <c r="L89">
        <f>IFERROR(VLOOKUP(Tabla13[[#This Row],[SISMED]],TblDisponibilidad[],16,FALSE), 0)</f>
        <v>0</v>
      </c>
      <c r="M89">
        <f>IFERROR(VLOOKUP(Tabla13[[#This Row],[SISMED]],TblDisponibilidad[],17,FALSE), 0)</f>
        <v>0</v>
      </c>
      <c r="N89">
        <f>IFERROR(VLOOKUP(Tabla13[[#This Row],[SISMED]],TblDisponibilidad[],18,FALSE), 0)</f>
        <v>0</v>
      </c>
      <c r="O89">
        <f>IFERROR(VLOOKUP(Tabla13[[#This Row],[SISMED]],TblDisponibilidad[],19,FALSE), 0)</f>
        <v>0</v>
      </c>
      <c r="P89">
        <f>IFERROR(VLOOKUP(Tabla13[[#This Row],[SISMED]],TblDisponibilidad[],20,FALSE), 0)</f>
        <v>0</v>
      </c>
      <c r="Q89">
        <f>IFERROR(VLOOKUP(Tabla13[[#This Row],[SISMED]],TblDisponibilidad[],21,FALSE), 0)</f>
        <v>0</v>
      </c>
      <c r="R89">
        <f>IFERROR(VLOOKUP(Tabla13[[#This Row],[SISMED]],TblDisponibilidad[],22,FALSE), 0)</f>
        <v>0</v>
      </c>
      <c r="S89" s="15">
        <f>IFERROR(VLOOKUP(Tabla13[[#This Row],[SISMED]],TblDisponibilidad[],23,FALSE), 0)</f>
        <v>0</v>
      </c>
    </row>
    <row r="90" spans="1:19" x14ac:dyDescent="0.3">
      <c r="A90" s="15" t="s">
        <v>120</v>
      </c>
      <c r="B90" t="str">
        <f>IFERROR(VLOOKUP(Tabla13[[#This Row],[SISMED]],TblDisponibilidad[],2,FALSE), "")</f>
        <v/>
      </c>
      <c r="C90">
        <f>IFERROR(VLOOKUP(Tabla13[[#This Row],[SISMED]],TblDisponibilidad[],7,FALSE), 0)</f>
        <v>0</v>
      </c>
      <c r="D90">
        <f>IFERROR(VLOOKUP(Tabla13[[#This Row],[SISMED]],TblDisponibilidad[],8,FALSE), 0)</f>
        <v>0</v>
      </c>
      <c r="E90">
        <f>IFERROR(VLOOKUP(Tabla13[[#This Row],[SISMED]],TblDisponibilidad[],9,FALSE), 0)</f>
        <v>0</v>
      </c>
      <c r="F90">
        <f>IFERROR(VLOOKUP(Tabla13[[#This Row],[SISMED]],TblDisponibilidad[],10,FALSE), 0)</f>
        <v>0</v>
      </c>
      <c r="G90">
        <f>IFERROR(VLOOKUP(Tabla13[[#This Row],[SISMED]],TblDisponibilidad[],11,FALSE), 0)</f>
        <v>0</v>
      </c>
      <c r="H90">
        <f>IFERROR(VLOOKUP(Tabla13[[#This Row],[SISMED]],TblDisponibilidad[],12,FALSE), 0)</f>
        <v>0</v>
      </c>
      <c r="I90">
        <f>IFERROR(VLOOKUP(Tabla13[[#This Row],[SISMED]],TblDisponibilidad[],13,FALSE), 0)</f>
        <v>0</v>
      </c>
      <c r="J90">
        <f>IFERROR(VLOOKUP(Tabla13[[#This Row],[SISMED]],TblDisponibilidad[],14,FALSE), 0)</f>
        <v>0</v>
      </c>
      <c r="K90">
        <f>IFERROR(VLOOKUP(Tabla13[[#This Row],[SISMED]],TblDisponibilidad[],15,FALSE), 0)</f>
        <v>0</v>
      </c>
      <c r="L90">
        <f>IFERROR(VLOOKUP(Tabla13[[#This Row],[SISMED]],TblDisponibilidad[],16,FALSE), 0)</f>
        <v>0</v>
      </c>
      <c r="M90">
        <f>IFERROR(VLOOKUP(Tabla13[[#This Row],[SISMED]],TblDisponibilidad[],17,FALSE), 0)</f>
        <v>0</v>
      </c>
      <c r="N90">
        <f>IFERROR(VLOOKUP(Tabla13[[#This Row],[SISMED]],TblDisponibilidad[],18,FALSE), 0)</f>
        <v>0</v>
      </c>
      <c r="O90">
        <f>IFERROR(VLOOKUP(Tabla13[[#This Row],[SISMED]],TblDisponibilidad[],19,FALSE), 0)</f>
        <v>0</v>
      </c>
      <c r="P90">
        <f>IFERROR(VLOOKUP(Tabla13[[#This Row],[SISMED]],TblDisponibilidad[],20,FALSE), 0)</f>
        <v>0</v>
      </c>
      <c r="Q90">
        <f>IFERROR(VLOOKUP(Tabla13[[#This Row],[SISMED]],TblDisponibilidad[],21,FALSE), 0)</f>
        <v>0</v>
      </c>
      <c r="R90">
        <f>IFERROR(VLOOKUP(Tabla13[[#This Row],[SISMED]],TblDisponibilidad[],22,FALSE), 0)</f>
        <v>0</v>
      </c>
      <c r="S90" s="15">
        <f>IFERROR(VLOOKUP(Tabla13[[#This Row],[SISMED]],TblDisponibilidad[],23,FALSE), 0)</f>
        <v>0</v>
      </c>
    </row>
    <row r="91" spans="1:19" x14ac:dyDescent="0.3">
      <c r="A91" s="15" t="s">
        <v>121</v>
      </c>
      <c r="B91" t="str">
        <f>IFERROR(VLOOKUP(Tabla13[[#This Row],[SISMED]],TblDisponibilidad[],2,FALSE), "")</f>
        <v/>
      </c>
      <c r="C91">
        <f>IFERROR(VLOOKUP(Tabla13[[#This Row],[SISMED]],TblDisponibilidad[],7,FALSE), 0)</f>
        <v>0</v>
      </c>
      <c r="D91">
        <f>IFERROR(VLOOKUP(Tabla13[[#This Row],[SISMED]],TblDisponibilidad[],8,FALSE), 0)</f>
        <v>0</v>
      </c>
      <c r="E91">
        <f>IFERROR(VLOOKUP(Tabla13[[#This Row],[SISMED]],TblDisponibilidad[],9,FALSE), 0)</f>
        <v>0</v>
      </c>
      <c r="F91">
        <f>IFERROR(VLOOKUP(Tabla13[[#This Row],[SISMED]],TblDisponibilidad[],10,FALSE), 0)</f>
        <v>0</v>
      </c>
      <c r="G91">
        <f>IFERROR(VLOOKUP(Tabla13[[#This Row],[SISMED]],TblDisponibilidad[],11,FALSE), 0)</f>
        <v>0</v>
      </c>
      <c r="H91">
        <f>IFERROR(VLOOKUP(Tabla13[[#This Row],[SISMED]],TblDisponibilidad[],12,FALSE), 0)</f>
        <v>0</v>
      </c>
      <c r="I91">
        <f>IFERROR(VLOOKUP(Tabla13[[#This Row],[SISMED]],TblDisponibilidad[],13,FALSE), 0)</f>
        <v>0</v>
      </c>
      <c r="J91">
        <f>IFERROR(VLOOKUP(Tabla13[[#This Row],[SISMED]],TblDisponibilidad[],14,FALSE), 0)</f>
        <v>0</v>
      </c>
      <c r="K91">
        <f>IFERROR(VLOOKUP(Tabla13[[#This Row],[SISMED]],TblDisponibilidad[],15,FALSE), 0)</f>
        <v>0</v>
      </c>
      <c r="L91">
        <f>IFERROR(VLOOKUP(Tabla13[[#This Row],[SISMED]],TblDisponibilidad[],16,FALSE), 0)</f>
        <v>0</v>
      </c>
      <c r="M91">
        <f>IFERROR(VLOOKUP(Tabla13[[#This Row],[SISMED]],TblDisponibilidad[],17,FALSE), 0)</f>
        <v>0</v>
      </c>
      <c r="N91">
        <f>IFERROR(VLOOKUP(Tabla13[[#This Row],[SISMED]],TblDisponibilidad[],18,FALSE), 0)</f>
        <v>0</v>
      </c>
      <c r="O91">
        <f>IFERROR(VLOOKUP(Tabla13[[#This Row],[SISMED]],TblDisponibilidad[],19,FALSE), 0)</f>
        <v>0</v>
      </c>
      <c r="P91">
        <f>IFERROR(VLOOKUP(Tabla13[[#This Row],[SISMED]],TblDisponibilidad[],20,FALSE), 0)</f>
        <v>0</v>
      </c>
      <c r="Q91">
        <f>IFERROR(VLOOKUP(Tabla13[[#This Row],[SISMED]],TblDisponibilidad[],21,FALSE), 0)</f>
        <v>0</v>
      </c>
      <c r="R91">
        <f>IFERROR(VLOOKUP(Tabla13[[#This Row],[SISMED]],TblDisponibilidad[],22,FALSE), 0)</f>
        <v>0</v>
      </c>
      <c r="S91" s="15">
        <f>IFERROR(VLOOKUP(Tabla13[[#This Row],[SISMED]],TblDisponibilidad[],23,FALSE), 0)</f>
        <v>0</v>
      </c>
    </row>
    <row r="92" spans="1:19" x14ac:dyDescent="0.3">
      <c r="A92" s="15" t="s">
        <v>122</v>
      </c>
      <c r="B92" t="str">
        <f>IFERROR(VLOOKUP(Tabla13[[#This Row],[SISMED]],TblDisponibilidad[],2,FALSE), "")</f>
        <v/>
      </c>
      <c r="C92">
        <f>IFERROR(VLOOKUP(Tabla13[[#This Row],[SISMED]],TblDisponibilidad[],7,FALSE), 0)</f>
        <v>0</v>
      </c>
      <c r="D92">
        <f>IFERROR(VLOOKUP(Tabla13[[#This Row],[SISMED]],TblDisponibilidad[],8,FALSE), 0)</f>
        <v>0</v>
      </c>
      <c r="E92">
        <f>IFERROR(VLOOKUP(Tabla13[[#This Row],[SISMED]],TblDisponibilidad[],9,FALSE), 0)</f>
        <v>0</v>
      </c>
      <c r="F92">
        <f>IFERROR(VLOOKUP(Tabla13[[#This Row],[SISMED]],TblDisponibilidad[],10,FALSE), 0)</f>
        <v>0</v>
      </c>
      <c r="G92">
        <f>IFERROR(VLOOKUP(Tabla13[[#This Row],[SISMED]],TblDisponibilidad[],11,FALSE), 0)</f>
        <v>0</v>
      </c>
      <c r="H92">
        <f>IFERROR(VLOOKUP(Tabla13[[#This Row],[SISMED]],TblDisponibilidad[],12,FALSE), 0)</f>
        <v>0</v>
      </c>
      <c r="I92">
        <f>IFERROR(VLOOKUP(Tabla13[[#This Row],[SISMED]],TblDisponibilidad[],13,FALSE), 0)</f>
        <v>0</v>
      </c>
      <c r="J92">
        <f>IFERROR(VLOOKUP(Tabla13[[#This Row],[SISMED]],TblDisponibilidad[],14,FALSE), 0)</f>
        <v>0</v>
      </c>
      <c r="K92">
        <f>IFERROR(VLOOKUP(Tabla13[[#This Row],[SISMED]],TblDisponibilidad[],15,FALSE), 0)</f>
        <v>0</v>
      </c>
      <c r="L92">
        <f>IFERROR(VLOOKUP(Tabla13[[#This Row],[SISMED]],TblDisponibilidad[],16,FALSE), 0)</f>
        <v>0</v>
      </c>
      <c r="M92">
        <f>IFERROR(VLOOKUP(Tabla13[[#This Row],[SISMED]],TblDisponibilidad[],17,FALSE), 0)</f>
        <v>0</v>
      </c>
      <c r="N92">
        <f>IFERROR(VLOOKUP(Tabla13[[#This Row],[SISMED]],TblDisponibilidad[],18,FALSE), 0)</f>
        <v>0</v>
      </c>
      <c r="O92">
        <f>IFERROR(VLOOKUP(Tabla13[[#This Row],[SISMED]],TblDisponibilidad[],19,FALSE), 0)</f>
        <v>0</v>
      </c>
      <c r="P92">
        <f>IFERROR(VLOOKUP(Tabla13[[#This Row],[SISMED]],TblDisponibilidad[],20,FALSE), 0)</f>
        <v>0</v>
      </c>
      <c r="Q92">
        <f>IFERROR(VLOOKUP(Tabla13[[#This Row],[SISMED]],TblDisponibilidad[],21,FALSE), 0)</f>
        <v>0</v>
      </c>
      <c r="R92">
        <f>IFERROR(VLOOKUP(Tabla13[[#This Row],[SISMED]],TblDisponibilidad[],22,FALSE), 0)</f>
        <v>0</v>
      </c>
      <c r="S92" s="15">
        <f>IFERROR(VLOOKUP(Tabla13[[#This Row],[SISMED]],TblDisponibilidad[],23,FALSE), 0)</f>
        <v>0</v>
      </c>
    </row>
    <row r="93" spans="1:19" x14ac:dyDescent="0.3">
      <c r="A93" s="15" t="s">
        <v>123</v>
      </c>
      <c r="B93" t="str">
        <f>IFERROR(VLOOKUP(Tabla13[[#This Row],[SISMED]],TblDisponibilidad[],2,FALSE), "")</f>
        <v/>
      </c>
      <c r="C93">
        <f>IFERROR(VLOOKUP(Tabla13[[#This Row],[SISMED]],TblDisponibilidad[],7,FALSE), 0)</f>
        <v>0</v>
      </c>
      <c r="D93">
        <f>IFERROR(VLOOKUP(Tabla13[[#This Row],[SISMED]],TblDisponibilidad[],8,FALSE), 0)</f>
        <v>0</v>
      </c>
      <c r="E93">
        <f>IFERROR(VLOOKUP(Tabla13[[#This Row],[SISMED]],TblDisponibilidad[],9,FALSE), 0)</f>
        <v>0</v>
      </c>
      <c r="F93">
        <f>IFERROR(VLOOKUP(Tabla13[[#This Row],[SISMED]],TblDisponibilidad[],10,FALSE), 0)</f>
        <v>0</v>
      </c>
      <c r="G93">
        <f>IFERROR(VLOOKUP(Tabla13[[#This Row],[SISMED]],TblDisponibilidad[],11,FALSE), 0)</f>
        <v>0</v>
      </c>
      <c r="H93">
        <f>IFERROR(VLOOKUP(Tabla13[[#This Row],[SISMED]],TblDisponibilidad[],12,FALSE), 0)</f>
        <v>0</v>
      </c>
      <c r="I93">
        <f>IFERROR(VLOOKUP(Tabla13[[#This Row],[SISMED]],TblDisponibilidad[],13,FALSE), 0)</f>
        <v>0</v>
      </c>
      <c r="J93">
        <f>IFERROR(VLOOKUP(Tabla13[[#This Row],[SISMED]],TblDisponibilidad[],14,FALSE), 0)</f>
        <v>0</v>
      </c>
      <c r="K93">
        <f>IFERROR(VLOOKUP(Tabla13[[#This Row],[SISMED]],TblDisponibilidad[],15,FALSE), 0)</f>
        <v>0</v>
      </c>
      <c r="L93">
        <f>IFERROR(VLOOKUP(Tabla13[[#This Row],[SISMED]],TblDisponibilidad[],16,FALSE), 0)</f>
        <v>0</v>
      </c>
      <c r="M93">
        <f>IFERROR(VLOOKUP(Tabla13[[#This Row],[SISMED]],TblDisponibilidad[],17,FALSE), 0)</f>
        <v>0</v>
      </c>
      <c r="N93">
        <f>IFERROR(VLOOKUP(Tabla13[[#This Row],[SISMED]],TblDisponibilidad[],18,FALSE), 0)</f>
        <v>0</v>
      </c>
      <c r="O93">
        <f>IFERROR(VLOOKUP(Tabla13[[#This Row],[SISMED]],TblDisponibilidad[],19,FALSE), 0)</f>
        <v>0</v>
      </c>
      <c r="P93">
        <f>IFERROR(VLOOKUP(Tabla13[[#This Row],[SISMED]],TblDisponibilidad[],20,FALSE), 0)</f>
        <v>0</v>
      </c>
      <c r="Q93">
        <f>IFERROR(VLOOKUP(Tabla13[[#This Row],[SISMED]],TblDisponibilidad[],21,FALSE), 0)</f>
        <v>0</v>
      </c>
      <c r="R93">
        <f>IFERROR(VLOOKUP(Tabla13[[#This Row],[SISMED]],TblDisponibilidad[],22,FALSE), 0)</f>
        <v>0</v>
      </c>
      <c r="S93" s="15">
        <f>IFERROR(VLOOKUP(Tabla13[[#This Row],[SISMED]],TblDisponibilidad[],23,FALSE), 0)</f>
        <v>0</v>
      </c>
    </row>
    <row r="94" spans="1:19" x14ac:dyDescent="0.3">
      <c r="A94" s="15" t="s">
        <v>124</v>
      </c>
      <c r="B94" t="str">
        <f>IFERROR(VLOOKUP(Tabla13[[#This Row],[SISMED]],TblDisponibilidad[],2,FALSE), "")</f>
        <v/>
      </c>
      <c r="C94">
        <f>IFERROR(VLOOKUP(Tabla13[[#This Row],[SISMED]],TblDisponibilidad[],7,FALSE), 0)</f>
        <v>0</v>
      </c>
      <c r="D94">
        <f>IFERROR(VLOOKUP(Tabla13[[#This Row],[SISMED]],TblDisponibilidad[],8,FALSE), 0)</f>
        <v>0</v>
      </c>
      <c r="E94">
        <f>IFERROR(VLOOKUP(Tabla13[[#This Row],[SISMED]],TblDisponibilidad[],9,FALSE), 0)</f>
        <v>0</v>
      </c>
      <c r="F94">
        <f>IFERROR(VLOOKUP(Tabla13[[#This Row],[SISMED]],TblDisponibilidad[],10,FALSE), 0)</f>
        <v>0</v>
      </c>
      <c r="G94">
        <f>IFERROR(VLOOKUP(Tabla13[[#This Row],[SISMED]],TblDisponibilidad[],11,FALSE), 0)</f>
        <v>0</v>
      </c>
      <c r="H94">
        <f>IFERROR(VLOOKUP(Tabla13[[#This Row],[SISMED]],TblDisponibilidad[],12,FALSE), 0)</f>
        <v>0</v>
      </c>
      <c r="I94">
        <f>IFERROR(VLOOKUP(Tabla13[[#This Row],[SISMED]],TblDisponibilidad[],13,FALSE), 0)</f>
        <v>0</v>
      </c>
      <c r="J94">
        <f>IFERROR(VLOOKUP(Tabla13[[#This Row],[SISMED]],TblDisponibilidad[],14,FALSE), 0)</f>
        <v>0</v>
      </c>
      <c r="K94">
        <f>IFERROR(VLOOKUP(Tabla13[[#This Row],[SISMED]],TblDisponibilidad[],15,FALSE), 0)</f>
        <v>0</v>
      </c>
      <c r="L94">
        <f>IFERROR(VLOOKUP(Tabla13[[#This Row],[SISMED]],TblDisponibilidad[],16,FALSE), 0)</f>
        <v>0</v>
      </c>
      <c r="M94">
        <f>IFERROR(VLOOKUP(Tabla13[[#This Row],[SISMED]],TblDisponibilidad[],17,FALSE), 0)</f>
        <v>0</v>
      </c>
      <c r="N94">
        <f>IFERROR(VLOOKUP(Tabla13[[#This Row],[SISMED]],TblDisponibilidad[],18,FALSE), 0)</f>
        <v>0</v>
      </c>
      <c r="O94">
        <f>IFERROR(VLOOKUP(Tabla13[[#This Row],[SISMED]],TblDisponibilidad[],19,FALSE), 0)</f>
        <v>0</v>
      </c>
      <c r="P94">
        <f>IFERROR(VLOOKUP(Tabla13[[#This Row],[SISMED]],TblDisponibilidad[],20,FALSE), 0)</f>
        <v>0</v>
      </c>
      <c r="Q94">
        <f>IFERROR(VLOOKUP(Tabla13[[#This Row],[SISMED]],TblDisponibilidad[],21,FALSE), 0)</f>
        <v>0</v>
      </c>
      <c r="R94">
        <f>IFERROR(VLOOKUP(Tabla13[[#This Row],[SISMED]],TblDisponibilidad[],22,FALSE), 0)</f>
        <v>0</v>
      </c>
      <c r="S94" s="15">
        <f>IFERROR(VLOOKUP(Tabla13[[#This Row],[SISMED]],TblDisponibilidad[],23,FALSE), 0)</f>
        <v>0</v>
      </c>
    </row>
    <row r="95" spans="1:19" x14ac:dyDescent="0.3">
      <c r="A95" s="15" t="s">
        <v>125</v>
      </c>
      <c r="B95" t="str">
        <f>IFERROR(VLOOKUP(Tabla13[[#This Row],[SISMED]],TblDisponibilidad[],2,FALSE), "")</f>
        <v/>
      </c>
      <c r="C95">
        <f>IFERROR(VLOOKUP(Tabla13[[#This Row],[SISMED]],TblDisponibilidad[],7,FALSE), 0)</f>
        <v>0</v>
      </c>
      <c r="D95">
        <f>IFERROR(VLOOKUP(Tabla13[[#This Row],[SISMED]],TblDisponibilidad[],8,FALSE), 0)</f>
        <v>0</v>
      </c>
      <c r="E95">
        <f>IFERROR(VLOOKUP(Tabla13[[#This Row],[SISMED]],TblDisponibilidad[],9,FALSE), 0)</f>
        <v>0</v>
      </c>
      <c r="F95">
        <f>IFERROR(VLOOKUP(Tabla13[[#This Row],[SISMED]],TblDisponibilidad[],10,FALSE), 0)</f>
        <v>0</v>
      </c>
      <c r="G95">
        <f>IFERROR(VLOOKUP(Tabla13[[#This Row],[SISMED]],TblDisponibilidad[],11,FALSE), 0)</f>
        <v>0</v>
      </c>
      <c r="H95">
        <f>IFERROR(VLOOKUP(Tabla13[[#This Row],[SISMED]],TblDisponibilidad[],12,FALSE), 0)</f>
        <v>0</v>
      </c>
      <c r="I95">
        <f>IFERROR(VLOOKUP(Tabla13[[#This Row],[SISMED]],TblDisponibilidad[],13,FALSE), 0)</f>
        <v>0</v>
      </c>
      <c r="J95">
        <f>IFERROR(VLOOKUP(Tabla13[[#This Row],[SISMED]],TblDisponibilidad[],14,FALSE), 0)</f>
        <v>0</v>
      </c>
      <c r="K95">
        <f>IFERROR(VLOOKUP(Tabla13[[#This Row],[SISMED]],TblDisponibilidad[],15,FALSE), 0)</f>
        <v>0</v>
      </c>
      <c r="L95">
        <f>IFERROR(VLOOKUP(Tabla13[[#This Row],[SISMED]],TblDisponibilidad[],16,FALSE), 0)</f>
        <v>0</v>
      </c>
      <c r="M95">
        <f>IFERROR(VLOOKUP(Tabla13[[#This Row],[SISMED]],TblDisponibilidad[],17,FALSE), 0)</f>
        <v>0</v>
      </c>
      <c r="N95">
        <f>IFERROR(VLOOKUP(Tabla13[[#This Row],[SISMED]],TblDisponibilidad[],18,FALSE), 0)</f>
        <v>0</v>
      </c>
      <c r="O95">
        <f>IFERROR(VLOOKUP(Tabla13[[#This Row],[SISMED]],TblDisponibilidad[],19,FALSE), 0)</f>
        <v>0</v>
      </c>
      <c r="P95">
        <f>IFERROR(VLOOKUP(Tabla13[[#This Row],[SISMED]],TblDisponibilidad[],20,FALSE), 0)</f>
        <v>0</v>
      </c>
      <c r="Q95">
        <f>IFERROR(VLOOKUP(Tabla13[[#This Row],[SISMED]],TblDisponibilidad[],21,FALSE), 0)</f>
        <v>0</v>
      </c>
      <c r="R95">
        <f>IFERROR(VLOOKUP(Tabla13[[#This Row],[SISMED]],TblDisponibilidad[],22,FALSE), 0)</f>
        <v>0</v>
      </c>
      <c r="S95" s="15">
        <f>IFERROR(VLOOKUP(Tabla13[[#This Row],[SISMED]],TblDisponibilidad[],23,FALSE), 0)</f>
        <v>0</v>
      </c>
    </row>
    <row r="96" spans="1:19" x14ac:dyDescent="0.3">
      <c r="A96" s="15" t="s">
        <v>126</v>
      </c>
      <c r="B96" t="str">
        <f>IFERROR(VLOOKUP(Tabla13[[#This Row],[SISMED]],TblDisponibilidad[],2,FALSE), "")</f>
        <v/>
      </c>
      <c r="C96">
        <f>IFERROR(VLOOKUP(Tabla13[[#This Row],[SISMED]],TblDisponibilidad[],7,FALSE), 0)</f>
        <v>0</v>
      </c>
      <c r="D96">
        <f>IFERROR(VLOOKUP(Tabla13[[#This Row],[SISMED]],TblDisponibilidad[],8,FALSE), 0)</f>
        <v>0</v>
      </c>
      <c r="E96">
        <f>IFERROR(VLOOKUP(Tabla13[[#This Row],[SISMED]],TblDisponibilidad[],9,FALSE), 0)</f>
        <v>0</v>
      </c>
      <c r="F96">
        <f>IFERROR(VLOOKUP(Tabla13[[#This Row],[SISMED]],TblDisponibilidad[],10,FALSE), 0)</f>
        <v>0</v>
      </c>
      <c r="G96">
        <f>IFERROR(VLOOKUP(Tabla13[[#This Row],[SISMED]],TblDisponibilidad[],11,FALSE), 0)</f>
        <v>0</v>
      </c>
      <c r="H96">
        <f>IFERROR(VLOOKUP(Tabla13[[#This Row],[SISMED]],TblDisponibilidad[],12,FALSE), 0)</f>
        <v>0</v>
      </c>
      <c r="I96">
        <f>IFERROR(VLOOKUP(Tabla13[[#This Row],[SISMED]],TblDisponibilidad[],13,FALSE), 0)</f>
        <v>0</v>
      </c>
      <c r="J96">
        <f>IFERROR(VLOOKUP(Tabla13[[#This Row],[SISMED]],TblDisponibilidad[],14,FALSE), 0)</f>
        <v>0</v>
      </c>
      <c r="K96">
        <f>IFERROR(VLOOKUP(Tabla13[[#This Row],[SISMED]],TblDisponibilidad[],15,FALSE), 0)</f>
        <v>0</v>
      </c>
      <c r="L96">
        <f>IFERROR(VLOOKUP(Tabla13[[#This Row],[SISMED]],TblDisponibilidad[],16,FALSE), 0)</f>
        <v>0</v>
      </c>
      <c r="M96">
        <f>IFERROR(VLOOKUP(Tabla13[[#This Row],[SISMED]],TblDisponibilidad[],17,FALSE), 0)</f>
        <v>0</v>
      </c>
      <c r="N96">
        <f>IFERROR(VLOOKUP(Tabla13[[#This Row],[SISMED]],TblDisponibilidad[],18,FALSE), 0)</f>
        <v>0</v>
      </c>
      <c r="O96">
        <f>IFERROR(VLOOKUP(Tabla13[[#This Row],[SISMED]],TblDisponibilidad[],19,FALSE), 0)</f>
        <v>0</v>
      </c>
      <c r="P96">
        <f>IFERROR(VLOOKUP(Tabla13[[#This Row],[SISMED]],TblDisponibilidad[],20,FALSE), 0)</f>
        <v>0</v>
      </c>
      <c r="Q96">
        <f>IFERROR(VLOOKUP(Tabla13[[#This Row],[SISMED]],TblDisponibilidad[],21,FALSE), 0)</f>
        <v>0</v>
      </c>
      <c r="R96">
        <f>IFERROR(VLOOKUP(Tabla13[[#This Row],[SISMED]],TblDisponibilidad[],22,FALSE), 0)</f>
        <v>0</v>
      </c>
      <c r="S96" s="15">
        <f>IFERROR(VLOOKUP(Tabla13[[#This Row],[SISMED]],TblDisponibilidad[],23,FALSE), 0)</f>
        <v>0</v>
      </c>
    </row>
    <row r="97" spans="1:19" x14ac:dyDescent="0.3">
      <c r="A97" s="15" t="s">
        <v>127</v>
      </c>
      <c r="B97" t="str">
        <f>IFERROR(VLOOKUP(Tabla13[[#This Row],[SISMED]],TblDisponibilidad[],2,FALSE), "")</f>
        <v/>
      </c>
      <c r="C97">
        <f>IFERROR(VLOOKUP(Tabla13[[#This Row],[SISMED]],TblDisponibilidad[],7,FALSE), 0)</f>
        <v>0</v>
      </c>
      <c r="D97">
        <f>IFERROR(VLOOKUP(Tabla13[[#This Row],[SISMED]],TblDisponibilidad[],8,FALSE), 0)</f>
        <v>0</v>
      </c>
      <c r="E97">
        <f>IFERROR(VLOOKUP(Tabla13[[#This Row],[SISMED]],TblDisponibilidad[],9,FALSE), 0)</f>
        <v>0</v>
      </c>
      <c r="F97">
        <f>IFERROR(VLOOKUP(Tabla13[[#This Row],[SISMED]],TblDisponibilidad[],10,FALSE), 0)</f>
        <v>0</v>
      </c>
      <c r="G97">
        <f>IFERROR(VLOOKUP(Tabla13[[#This Row],[SISMED]],TblDisponibilidad[],11,FALSE), 0)</f>
        <v>0</v>
      </c>
      <c r="H97">
        <f>IFERROR(VLOOKUP(Tabla13[[#This Row],[SISMED]],TblDisponibilidad[],12,FALSE), 0)</f>
        <v>0</v>
      </c>
      <c r="I97">
        <f>IFERROR(VLOOKUP(Tabla13[[#This Row],[SISMED]],TblDisponibilidad[],13,FALSE), 0)</f>
        <v>0</v>
      </c>
      <c r="J97">
        <f>IFERROR(VLOOKUP(Tabla13[[#This Row],[SISMED]],TblDisponibilidad[],14,FALSE), 0)</f>
        <v>0</v>
      </c>
      <c r="K97">
        <f>IFERROR(VLOOKUP(Tabla13[[#This Row],[SISMED]],TblDisponibilidad[],15,FALSE), 0)</f>
        <v>0</v>
      </c>
      <c r="L97">
        <f>IFERROR(VLOOKUP(Tabla13[[#This Row],[SISMED]],TblDisponibilidad[],16,FALSE), 0)</f>
        <v>0</v>
      </c>
      <c r="M97">
        <f>IFERROR(VLOOKUP(Tabla13[[#This Row],[SISMED]],TblDisponibilidad[],17,FALSE), 0)</f>
        <v>0</v>
      </c>
      <c r="N97">
        <f>IFERROR(VLOOKUP(Tabla13[[#This Row],[SISMED]],TblDisponibilidad[],18,FALSE), 0)</f>
        <v>0</v>
      </c>
      <c r="O97">
        <f>IFERROR(VLOOKUP(Tabla13[[#This Row],[SISMED]],TblDisponibilidad[],19,FALSE), 0)</f>
        <v>0</v>
      </c>
      <c r="P97">
        <f>IFERROR(VLOOKUP(Tabla13[[#This Row],[SISMED]],TblDisponibilidad[],20,FALSE), 0)</f>
        <v>0</v>
      </c>
      <c r="Q97">
        <f>IFERROR(VLOOKUP(Tabla13[[#This Row],[SISMED]],TblDisponibilidad[],21,FALSE), 0)</f>
        <v>0</v>
      </c>
      <c r="R97">
        <f>IFERROR(VLOOKUP(Tabla13[[#This Row],[SISMED]],TblDisponibilidad[],22,FALSE), 0)</f>
        <v>0</v>
      </c>
      <c r="S97" s="15">
        <f>IFERROR(VLOOKUP(Tabla13[[#This Row],[SISMED]],TblDisponibilidad[],23,FALSE), 0)</f>
        <v>0</v>
      </c>
    </row>
    <row r="98" spans="1:19" x14ac:dyDescent="0.3">
      <c r="A98" s="15" t="s">
        <v>128</v>
      </c>
      <c r="B98" t="str">
        <f>IFERROR(VLOOKUP(Tabla13[[#This Row],[SISMED]],TblDisponibilidad[],2,FALSE), "")</f>
        <v/>
      </c>
      <c r="C98">
        <f>IFERROR(VLOOKUP(Tabla13[[#This Row],[SISMED]],TblDisponibilidad[],7,FALSE), 0)</f>
        <v>0</v>
      </c>
      <c r="D98">
        <f>IFERROR(VLOOKUP(Tabla13[[#This Row],[SISMED]],TblDisponibilidad[],8,FALSE), 0)</f>
        <v>0</v>
      </c>
      <c r="E98">
        <f>IFERROR(VLOOKUP(Tabla13[[#This Row],[SISMED]],TblDisponibilidad[],9,FALSE), 0)</f>
        <v>0</v>
      </c>
      <c r="F98">
        <f>IFERROR(VLOOKUP(Tabla13[[#This Row],[SISMED]],TblDisponibilidad[],10,FALSE), 0)</f>
        <v>0</v>
      </c>
      <c r="G98">
        <f>IFERROR(VLOOKUP(Tabla13[[#This Row],[SISMED]],TblDisponibilidad[],11,FALSE), 0)</f>
        <v>0</v>
      </c>
      <c r="H98">
        <f>IFERROR(VLOOKUP(Tabla13[[#This Row],[SISMED]],TblDisponibilidad[],12,FALSE), 0)</f>
        <v>0</v>
      </c>
      <c r="I98">
        <f>IFERROR(VLOOKUP(Tabla13[[#This Row],[SISMED]],TblDisponibilidad[],13,FALSE), 0)</f>
        <v>0</v>
      </c>
      <c r="J98">
        <f>IFERROR(VLOOKUP(Tabla13[[#This Row],[SISMED]],TblDisponibilidad[],14,FALSE), 0)</f>
        <v>0</v>
      </c>
      <c r="K98">
        <f>IFERROR(VLOOKUP(Tabla13[[#This Row],[SISMED]],TblDisponibilidad[],15,FALSE), 0)</f>
        <v>0</v>
      </c>
      <c r="L98">
        <f>IFERROR(VLOOKUP(Tabla13[[#This Row],[SISMED]],TblDisponibilidad[],16,FALSE), 0)</f>
        <v>0</v>
      </c>
      <c r="M98">
        <f>IFERROR(VLOOKUP(Tabla13[[#This Row],[SISMED]],TblDisponibilidad[],17,FALSE), 0)</f>
        <v>0</v>
      </c>
      <c r="N98">
        <f>IFERROR(VLOOKUP(Tabla13[[#This Row],[SISMED]],TblDisponibilidad[],18,FALSE), 0)</f>
        <v>0</v>
      </c>
      <c r="O98">
        <f>IFERROR(VLOOKUP(Tabla13[[#This Row],[SISMED]],TblDisponibilidad[],19,FALSE), 0)</f>
        <v>0</v>
      </c>
      <c r="P98">
        <f>IFERROR(VLOOKUP(Tabla13[[#This Row],[SISMED]],TblDisponibilidad[],20,FALSE), 0)</f>
        <v>0</v>
      </c>
      <c r="Q98">
        <f>IFERROR(VLOOKUP(Tabla13[[#This Row],[SISMED]],TblDisponibilidad[],21,FALSE), 0)</f>
        <v>0</v>
      </c>
      <c r="R98">
        <f>IFERROR(VLOOKUP(Tabla13[[#This Row],[SISMED]],TblDisponibilidad[],22,FALSE), 0)</f>
        <v>0</v>
      </c>
      <c r="S98" s="15">
        <f>IFERROR(VLOOKUP(Tabla13[[#This Row],[SISMED]],TblDisponibilidad[],23,FALSE), 0)</f>
        <v>0</v>
      </c>
    </row>
    <row r="99" spans="1:19" x14ac:dyDescent="0.3">
      <c r="A99" s="15" t="s">
        <v>129</v>
      </c>
      <c r="B99" t="str">
        <f>IFERROR(VLOOKUP(Tabla13[[#This Row],[SISMED]],TblDisponibilidad[],2,FALSE), "")</f>
        <v/>
      </c>
      <c r="C99">
        <f>IFERROR(VLOOKUP(Tabla13[[#This Row],[SISMED]],TblDisponibilidad[],7,FALSE), 0)</f>
        <v>0</v>
      </c>
      <c r="D99">
        <f>IFERROR(VLOOKUP(Tabla13[[#This Row],[SISMED]],TblDisponibilidad[],8,FALSE), 0)</f>
        <v>0</v>
      </c>
      <c r="E99">
        <f>IFERROR(VLOOKUP(Tabla13[[#This Row],[SISMED]],TblDisponibilidad[],9,FALSE), 0)</f>
        <v>0</v>
      </c>
      <c r="F99">
        <f>IFERROR(VLOOKUP(Tabla13[[#This Row],[SISMED]],TblDisponibilidad[],10,FALSE), 0)</f>
        <v>0</v>
      </c>
      <c r="G99">
        <f>IFERROR(VLOOKUP(Tabla13[[#This Row],[SISMED]],TblDisponibilidad[],11,FALSE), 0)</f>
        <v>0</v>
      </c>
      <c r="H99">
        <f>IFERROR(VLOOKUP(Tabla13[[#This Row],[SISMED]],TblDisponibilidad[],12,FALSE), 0)</f>
        <v>0</v>
      </c>
      <c r="I99">
        <f>IFERROR(VLOOKUP(Tabla13[[#This Row],[SISMED]],TblDisponibilidad[],13,FALSE), 0)</f>
        <v>0</v>
      </c>
      <c r="J99">
        <f>IFERROR(VLOOKUP(Tabla13[[#This Row],[SISMED]],TblDisponibilidad[],14,FALSE), 0)</f>
        <v>0</v>
      </c>
      <c r="K99">
        <f>IFERROR(VLOOKUP(Tabla13[[#This Row],[SISMED]],TblDisponibilidad[],15,FALSE), 0)</f>
        <v>0</v>
      </c>
      <c r="L99">
        <f>IFERROR(VLOOKUP(Tabla13[[#This Row],[SISMED]],TblDisponibilidad[],16,FALSE), 0)</f>
        <v>0</v>
      </c>
      <c r="M99">
        <f>IFERROR(VLOOKUP(Tabla13[[#This Row],[SISMED]],TblDisponibilidad[],17,FALSE), 0)</f>
        <v>0</v>
      </c>
      <c r="N99">
        <f>IFERROR(VLOOKUP(Tabla13[[#This Row],[SISMED]],TblDisponibilidad[],18,FALSE), 0)</f>
        <v>0</v>
      </c>
      <c r="O99">
        <f>IFERROR(VLOOKUP(Tabla13[[#This Row],[SISMED]],TblDisponibilidad[],19,FALSE), 0)</f>
        <v>0</v>
      </c>
      <c r="P99">
        <f>IFERROR(VLOOKUP(Tabla13[[#This Row],[SISMED]],TblDisponibilidad[],20,FALSE), 0)</f>
        <v>0</v>
      </c>
      <c r="Q99">
        <f>IFERROR(VLOOKUP(Tabla13[[#This Row],[SISMED]],TblDisponibilidad[],21,FALSE), 0)</f>
        <v>0</v>
      </c>
      <c r="R99">
        <f>IFERROR(VLOOKUP(Tabla13[[#This Row],[SISMED]],TblDisponibilidad[],22,FALSE), 0)</f>
        <v>0</v>
      </c>
      <c r="S99" s="15">
        <f>IFERROR(VLOOKUP(Tabla13[[#This Row],[SISMED]],TblDisponibilidad[],23,FALSE), 0)</f>
        <v>0</v>
      </c>
    </row>
    <row r="100" spans="1:19" x14ac:dyDescent="0.3">
      <c r="A100" s="15" t="s">
        <v>130</v>
      </c>
      <c r="B100" t="str">
        <f>IFERROR(VLOOKUP(Tabla13[[#This Row],[SISMED]],TblDisponibilidad[],2,FALSE), "")</f>
        <v/>
      </c>
      <c r="C100">
        <f>IFERROR(VLOOKUP(Tabla13[[#This Row],[SISMED]],TblDisponibilidad[],7,FALSE), 0)</f>
        <v>0</v>
      </c>
      <c r="D100">
        <f>IFERROR(VLOOKUP(Tabla13[[#This Row],[SISMED]],TblDisponibilidad[],8,FALSE), 0)</f>
        <v>0</v>
      </c>
      <c r="E100">
        <f>IFERROR(VLOOKUP(Tabla13[[#This Row],[SISMED]],TblDisponibilidad[],9,FALSE), 0)</f>
        <v>0</v>
      </c>
      <c r="F100">
        <f>IFERROR(VLOOKUP(Tabla13[[#This Row],[SISMED]],TblDisponibilidad[],10,FALSE), 0)</f>
        <v>0</v>
      </c>
      <c r="G100">
        <f>IFERROR(VLOOKUP(Tabla13[[#This Row],[SISMED]],TblDisponibilidad[],11,FALSE), 0)</f>
        <v>0</v>
      </c>
      <c r="H100">
        <f>IFERROR(VLOOKUP(Tabla13[[#This Row],[SISMED]],TblDisponibilidad[],12,FALSE), 0)</f>
        <v>0</v>
      </c>
      <c r="I100">
        <f>IFERROR(VLOOKUP(Tabla13[[#This Row],[SISMED]],TblDisponibilidad[],13,FALSE), 0)</f>
        <v>0</v>
      </c>
      <c r="J100">
        <f>IFERROR(VLOOKUP(Tabla13[[#This Row],[SISMED]],TblDisponibilidad[],14,FALSE), 0)</f>
        <v>0</v>
      </c>
      <c r="K100">
        <f>IFERROR(VLOOKUP(Tabla13[[#This Row],[SISMED]],TblDisponibilidad[],15,FALSE), 0)</f>
        <v>0</v>
      </c>
      <c r="L100">
        <f>IFERROR(VLOOKUP(Tabla13[[#This Row],[SISMED]],TblDisponibilidad[],16,FALSE), 0)</f>
        <v>0</v>
      </c>
      <c r="M100">
        <f>IFERROR(VLOOKUP(Tabla13[[#This Row],[SISMED]],TblDisponibilidad[],17,FALSE), 0)</f>
        <v>0</v>
      </c>
      <c r="N100">
        <f>IFERROR(VLOOKUP(Tabla13[[#This Row],[SISMED]],TblDisponibilidad[],18,FALSE), 0)</f>
        <v>0</v>
      </c>
      <c r="O100">
        <f>IFERROR(VLOOKUP(Tabla13[[#This Row],[SISMED]],TblDisponibilidad[],19,FALSE), 0)</f>
        <v>0</v>
      </c>
      <c r="P100">
        <f>IFERROR(VLOOKUP(Tabla13[[#This Row],[SISMED]],TblDisponibilidad[],20,FALSE), 0)</f>
        <v>0</v>
      </c>
      <c r="Q100">
        <f>IFERROR(VLOOKUP(Tabla13[[#This Row],[SISMED]],TblDisponibilidad[],21,FALSE), 0)</f>
        <v>0</v>
      </c>
      <c r="R100">
        <f>IFERROR(VLOOKUP(Tabla13[[#This Row],[SISMED]],TblDisponibilidad[],22,FALSE), 0)</f>
        <v>0</v>
      </c>
      <c r="S100" s="15">
        <f>IFERROR(VLOOKUP(Tabla13[[#This Row],[SISMED]],TblDisponibilidad[],23,FALSE), 0)</f>
        <v>0</v>
      </c>
    </row>
    <row r="101" spans="1:19" x14ac:dyDescent="0.3">
      <c r="A101" s="15" t="s">
        <v>131</v>
      </c>
      <c r="B101" t="str">
        <f>IFERROR(VLOOKUP(Tabla13[[#This Row],[SISMED]],TblDisponibilidad[],2,FALSE), "")</f>
        <v/>
      </c>
      <c r="C101">
        <f>IFERROR(VLOOKUP(Tabla13[[#This Row],[SISMED]],TblDisponibilidad[],7,FALSE), 0)</f>
        <v>0</v>
      </c>
      <c r="D101">
        <f>IFERROR(VLOOKUP(Tabla13[[#This Row],[SISMED]],TblDisponibilidad[],8,FALSE), 0)</f>
        <v>0</v>
      </c>
      <c r="E101">
        <f>IFERROR(VLOOKUP(Tabla13[[#This Row],[SISMED]],TblDisponibilidad[],9,FALSE), 0)</f>
        <v>0</v>
      </c>
      <c r="F101">
        <f>IFERROR(VLOOKUP(Tabla13[[#This Row],[SISMED]],TblDisponibilidad[],10,FALSE), 0)</f>
        <v>0</v>
      </c>
      <c r="G101">
        <f>IFERROR(VLOOKUP(Tabla13[[#This Row],[SISMED]],TblDisponibilidad[],11,FALSE), 0)</f>
        <v>0</v>
      </c>
      <c r="H101">
        <f>IFERROR(VLOOKUP(Tabla13[[#This Row],[SISMED]],TblDisponibilidad[],12,FALSE), 0)</f>
        <v>0</v>
      </c>
      <c r="I101">
        <f>IFERROR(VLOOKUP(Tabla13[[#This Row],[SISMED]],TblDisponibilidad[],13,FALSE), 0)</f>
        <v>0</v>
      </c>
      <c r="J101">
        <f>IFERROR(VLOOKUP(Tabla13[[#This Row],[SISMED]],TblDisponibilidad[],14,FALSE), 0)</f>
        <v>0</v>
      </c>
      <c r="K101">
        <f>IFERROR(VLOOKUP(Tabla13[[#This Row],[SISMED]],TblDisponibilidad[],15,FALSE), 0)</f>
        <v>0</v>
      </c>
      <c r="L101">
        <f>IFERROR(VLOOKUP(Tabla13[[#This Row],[SISMED]],TblDisponibilidad[],16,FALSE), 0)</f>
        <v>0</v>
      </c>
      <c r="M101">
        <f>IFERROR(VLOOKUP(Tabla13[[#This Row],[SISMED]],TblDisponibilidad[],17,FALSE), 0)</f>
        <v>0</v>
      </c>
      <c r="N101">
        <f>IFERROR(VLOOKUP(Tabla13[[#This Row],[SISMED]],TblDisponibilidad[],18,FALSE), 0)</f>
        <v>0</v>
      </c>
      <c r="O101">
        <f>IFERROR(VLOOKUP(Tabla13[[#This Row],[SISMED]],TblDisponibilidad[],19,FALSE), 0)</f>
        <v>0</v>
      </c>
      <c r="P101">
        <f>IFERROR(VLOOKUP(Tabla13[[#This Row],[SISMED]],TblDisponibilidad[],20,FALSE), 0)</f>
        <v>0</v>
      </c>
      <c r="Q101">
        <f>IFERROR(VLOOKUP(Tabla13[[#This Row],[SISMED]],TblDisponibilidad[],21,FALSE), 0)</f>
        <v>0</v>
      </c>
      <c r="R101">
        <f>IFERROR(VLOOKUP(Tabla13[[#This Row],[SISMED]],TblDisponibilidad[],22,FALSE), 0)</f>
        <v>0</v>
      </c>
      <c r="S101" s="15">
        <f>IFERROR(VLOOKUP(Tabla13[[#This Row],[SISMED]],TblDisponibilidad[],23,FALSE), 0)</f>
        <v>0</v>
      </c>
    </row>
    <row r="102" spans="1:19" x14ac:dyDescent="0.3">
      <c r="A102" s="15" t="s">
        <v>132</v>
      </c>
      <c r="B102" t="str">
        <f>IFERROR(VLOOKUP(Tabla13[[#This Row],[SISMED]],TblDisponibilidad[],2,FALSE), "")</f>
        <v/>
      </c>
      <c r="C102">
        <f>IFERROR(VLOOKUP(Tabla13[[#This Row],[SISMED]],TblDisponibilidad[],7,FALSE), 0)</f>
        <v>0</v>
      </c>
      <c r="D102">
        <f>IFERROR(VLOOKUP(Tabla13[[#This Row],[SISMED]],TblDisponibilidad[],8,FALSE), 0)</f>
        <v>0</v>
      </c>
      <c r="E102">
        <f>IFERROR(VLOOKUP(Tabla13[[#This Row],[SISMED]],TblDisponibilidad[],9,FALSE), 0)</f>
        <v>0</v>
      </c>
      <c r="F102">
        <f>IFERROR(VLOOKUP(Tabla13[[#This Row],[SISMED]],TblDisponibilidad[],10,FALSE), 0)</f>
        <v>0</v>
      </c>
      <c r="G102">
        <f>IFERROR(VLOOKUP(Tabla13[[#This Row],[SISMED]],TblDisponibilidad[],11,FALSE), 0)</f>
        <v>0</v>
      </c>
      <c r="H102">
        <f>IFERROR(VLOOKUP(Tabla13[[#This Row],[SISMED]],TblDisponibilidad[],12,FALSE), 0)</f>
        <v>0</v>
      </c>
      <c r="I102">
        <f>IFERROR(VLOOKUP(Tabla13[[#This Row],[SISMED]],TblDisponibilidad[],13,FALSE), 0)</f>
        <v>0</v>
      </c>
      <c r="J102">
        <f>IFERROR(VLOOKUP(Tabla13[[#This Row],[SISMED]],TblDisponibilidad[],14,FALSE), 0)</f>
        <v>0</v>
      </c>
      <c r="K102">
        <f>IFERROR(VLOOKUP(Tabla13[[#This Row],[SISMED]],TblDisponibilidad[],15,FALSE), 0)</f>
        <v>0</v>
      </c>
      <c r="L102">
        <f>IFERROR(VLOOKUP(Tabla13[[#This Row],[SISMED]],TblDisponibilidad[],16,FALSE), 0)</f>
        <v>0</v>
      </c>
      <c r="M102">
        <f>IFERROR(VLOOKUP(Tabla13[[#This Row],[SISMED]],TblDisponibilidad[],17,FALSE), 0)</f>
        <v>0</v>
      </c>
      <c r="N102">
        <f>IFERROR(VLOOKUP(Tabla13[[#This Row],[SISMED]],TblDisponibilidad[],18,FALSE), 0)</f>
        <v>0</v>
      </c>
      <c r="O102">
        <f>IFERROR(VLOOKUP(Tabla13[[#This Row],[SISMED]],TblDisponibilidad[],19,FALSE), 0)</f>
        <v>0</v>
      </c>
      <c r="P102">
        <f>IFERROR(VLOOKUP(Tabla13[[#This Row],[SISMED]],TblDisponibilidad[],20,FALSE), 0)</f>
        <v>0</v>
      </c>
      <c r="Q102">
        <f>IFERROR(VLOOKUP(Tabla13[[#This Row],[SISMED]],TblDisponibilidad[],21,FALSE), 0)</f>
        <v>0</v>
      </c>
      <c r="R102">
        <f>IFERROR(VLOOKUP(Tabla13[[#This Row],[SISMED]],TblDisponibilidad[],22,FALSE), 0)</f>
        <v>0</v>
      </c>
      <c r="S102" s="15">
        <f>IFERROR(VLOOKUP(Tabla13[[#This Row],[SISMED]],TblDisponibilidad[],23,FALSE), 0)</f>
        <v>0</v>
      </c>
    </row>
    <row r="103" spans="1:19" x14ac:dyDescent="0.3">
      <c r="A103" s="15" t="s">
        <v>133</v>
      </c>
      <c r="B103" t="str">
        <f>IFERROR(VLOOKUP(Tabla13[[#This Row],[SISMED]],TblDisponibilidad[],2,FALSE), "")</f>
        <v/>
      </c>
      <c r="C103">
        <f>IFERROR(VLOOKUP(Tabla13[[#This Row],[SISMED]],TblDisponibilidad[],7,FALSE), 0)</f>
        <v>0</v>
      </c>
      <c r="D103">
        <f>IFERROR(VLOOKUP(Tabla13[[#This Row],[SISMED]],TblDisponibilidad[],8,FALSE), 0)</f>
        <v>0</v>
      </c>
      <c r="E103">
        <f>IFERROR(VLOOKUP(Tabla13[[#This Row],[SISMED]],TblDisponibilidad[],9,FALSE), 0)</f>
        <v>0</v>
      </c>
      <c r="F103">
        <f>IFERROR(VLOOKUP(Tabla13[[#This Row],[SISMED]],TblDisponibilidad[],10,FALSE), 0)</f>
        <v>0</v>
      </c>
      <c r="G103">
        <f>IFERROR(VLOOKUP(Tabla13[[#This Row],[SISMED]],TblDisponibilidad[],11,FALSE), 0)</f>
        <v>0</v>
      </c>
      <c r="H103">
        <f>IFERROR(VLOOKUP(Tabla13[[#This Row],[SISMED]],TblDisponibilidad[],12,FALSE), 0)</f>
        <v>0</v>
      </c>
      <c r="I103">
        <f>IFERROR(VLOOKUP(Tabla13[[#This Row],[SISMED]],TblDisponibilidad[],13,FALSE), 0)</f>
        <v>0</v>
      </c>
      <c r="J103">
        <f>IFERROR(VLOOKUP(Tabla13[[#This Row],[SISMED]],TblDisponibilidad[],14,FALSE), 0)</f>
        <v>0</v>
      </c>
      <c r="K103">
        <f>IFERROR(VLOOKUP(Tabla13[[#This Row],[SISMED]],TblDisponibilidad[],15,FALSE), 0)</f>
        <v>0</v>
      </c>
      <c r="L103">
        <f>IFERROR(VLOOKUP(Tabla13[[#This Row],[SISMED]],TblDisponibilidad[],16,FALSE), 0)</f>
        <v>0</v>
      </c>
      <c r="M103">
        <f>IFERROR(VLOOKUP(Tabla13[[#This Row],[SISMED]],TblDisponibilidad[],17,FALSE), 0)</f>
        <v>0</v>
      </c>
      <c r="N103">
        <f>IFERROR(VLOOKUP(Tabla13[[#This Row],[SISMED]],TblDisponibilidad[],18,FALSE), 0)</f>
        <v>0</v>
      </c>
      <c r="O103">
        <f>IFERROR(VLOOKUP(Tabla13[[#This Row],[SISMED]],TblDisponibilidad[],19,FALSE), 0)</f>
        <v>0</v>
      </c>
      <c r="P103">
        <f>IFERROR(VLOOKUP(Tabla13[[#This Row],[SISMED]],TblDisponibilidad[],20,FALSE), 0)</f>
        <v>0</v>
      </c>
      <c r="Q103">
        <f>IFERROR(VLOOKUP(Tabla13[[#This Row],[SISMED]],TblDisponibilidad[],21,FALSE), 0)</f>
        <v>0</v>
      </c>
      <c r="R103">
        <f>IFERROR(VLOOKUP(Tabla13[[#This Row],[SISMED]],TblDisponibilidad[],22,FALSE), 0)</f>
        <v>0</v>
      </c>
      <c r="S103" s="15">
        <f>IFERROR(VLOOKUP(Tabla13[[#This Row],[SISMED]],TblDisponibilidad[],23,FALSE), 0)</f>
        <v>0</v>
      </c>
    </row>
    <row r="104" spans="1:19" x14ac:dyDescent="0.3">
      <c r="A104" s="15" t="s">
        <v>134</v>
      </c>
      <c r="B104" t="str">
        <f>IFERROR(VLOOKUP(Tabla13[[#This Row],[SISMED]],TblDisponibilidad[],2,FALSE), "")</f>
        <v/>
      </c>
      <c r="C104">
        <f>IFERROR(VLOOKUP(Tabla13[[#This Row],[SISMED]],TblDisponibilidad[],7,FALSE), 0)</f>
        <v>0</v>
      </c>
      <c r="D104">
        <f>IFERROR(VLOOKUP(Tabla13[[#This Row],[SISMED]],TblDisponibilidad[],8,FALSE), 0)</f>
        <v>0</v>
      </c>
      <c r="E104">
        <f>IFERROR(VLOOKUP(Tabla13[[#This Row],[SISMED]],TblDisponibilidad[],9,FALSE), 0)</f>
        <v>0</v>
      </c>
      <c r="F104">
        <f>IFERROR(VLOOKUP(Tabla13[[#This Row],[SISMED]],TblDisponibilidad[],10,FALSE), 0)</f>
        <v>0</v>
      </c>
      <c r="G104">
        <f>IFERROR(VLOOKUP(Tabla13[[#This Row],[SISMED]],TblDisponibilidad[],11,FALSE), 0)</f>
        <v>0</v>
      </c>
      <c r="H104">
        <f>IFERROR(VLOOKUP(Tabla13[[#This Row],[SISMED]],TblDisponibilidad[],12,FALSE), 0)</f>
        <v>0</v>
      </c>
      <c r="I104">
        <f>IFERROR(VLOOKUP(Tabla13[[#This Row],[SISMED]],TblDisponibilidad[],13,FALSE), 0)</f>
        <v>0</v>
      </c>
      <c r="J104">
        <f>IFERROR(VLOOKUP(Tabla13[[#This Row],[SISMED]],TblDisponibilidad[],14,FALSE), 0)</f>
        <v>0</v>
      </c>
      <c r="K104">
        <f>IFERROR(VLOOKUP(Tabla13[[#This Row],[SISMED]],TblDisponibilidad[],15,FALSE), 0)</f>
        <v>0</v>
      </c>
      <c r="L104">
        <f>IFERROR(VLOOKUP(Tabla13[[#This Row],[SISMED]],TblDisponibilidad[],16,FALSE), 0)</f>
        <v>0</v>
      </c>
      <c r="M104">
        <f>IFERROR(VLOOKUP(Tabla13[[#This Row],[SISMED]],TblDisponibilidad[],17,FALSE), 0)</f>
        <v>0</v>
      </c>
      <c r="N104">
        <f>IFERROR(VLOOKUP(Tabla13[[#This Row],[SISMED]],TblDisponibilidad[],18,FALSE), 0)</f>
        <v>0</v>
      </c>
      <c r="O104">
        <f>IFERROR(VLOOKUP(Tabla13[[#This Row],[SISMED]],TblDisponibilidad[],19,FALSE), 0)</f>
        <v>0</v>
      </c>
      <c r="P104">
        <f>IFERROR(VLOOKUP(Tabla13[[#This Row],[SISMED]],TblDisponibilidad[],20,FALSE), 0)</f>
        <v>0</v>
      </c>
      <c r="Q104">
        <f>IFERROR(VLOOKUP(Tabla13[[#This Row],[SISMED]],TblDisponibilidad[],21,FALSE), 0)</f>
        <v>0</v>
      </c>
      <c r="R104">
        <f>IFERROR(VLOOKUP(Tabla13[[#This Row],[SISMED]],TblDisponibilidad[],22,FALSE), 0)</f>
        <v>0</v>
      </c>
      <c r="S104" s="15">
        <f>IFERROR(VLOOKUP(Tabla13[[#This Row],[SISMED]],TblDisponibilidad[],23,FALSE), 0)</f>
        <v>0</v>
      </c>
    </row>
    <row r="105" spans="1:19" x14ac:dyDescent="0.3">
      <c r="A105" s="15" t="s">
        <v>135</v>
      </c>
      <c r="B105" t="str">
        <f>IFERROR(VLOOKUP(Tabla13[[#This Row],[SISMED]],TblDisponibilidad[],2,FALSE), "")</f>
        <v/>
      </c>
      <c r="C105">
        <f>IFERROR(VLOOKUP(Tabla13[[#This Row],[SISMED]],TblDisponibilidad[],7,FALSE), 0)</f>
        <v>0</v>
      </c>
      <c r="D105">
        <f>IFERROR(VLOOKUP(Tabla13[[#This Row],[SISMED]],TblDisponibilidad[],8,FALSE), 0)</f>
        <v>0</v>
      </c>
      <c r="E105">
        <f>IFERROR(VLOOKUP(Tabla13[[#This Row],[SISMED]],TblDisponibilidad[],9,FALSE), 0)</f>
        <v>0</v>
      </c>
      <c r="F105">
        <f>IFERROR(VLOOKUP(Tabla13[[#This Row],[SISMED]],TblDisponibilidad[],10,FALSE), 0)</f>
        <v>0</v>
      </c>
      <c r="G105">
        <f>IFERROR(VLOOKUP(Tabla13[[#This Row],[SISMED]],TblDisponibilidad[],11,FALSE), 0)</f>
        <v>0</v>
      </c>
      <c r="H105">
        <f>IFERROR(VLOOKUP(Tabla13[[#This Row],[SISMED]],TblDisponibilidad[],12,FALSE), 0)</f>
        <v>0</v>
      </c>
      <c r="I105">
        <f>IFERROR(VLOOKUP(Tabla13[[#This Row],[SISMED]],TblDisponibilidad[],13,FALSE), 0)</f>
        <v>0</v>
      </c>
      <c r="J105">
        <f>IFERROR(VLOOKUP(Tabla13[[#This Row],[SISMED]],TblDisponibilidad[],14,FALSE), 0)</f>
        <v>0</v>
      </c>
      <c r="K105">
        <f>IFERROR(VLOOKUP(Tabla13[[#This Row],[SISMED]],TblDisponibilidad[],15,FALSE), 0)</f>
        <v>0</v>
      </c>
      <c r="L105">
        <f>IFERROR(VLOOKUP(Tabla13[[#This Row],[SISMED]],TblDisponibilidad[],16,FALSE), 0)</f>
        <v>0</v>
      </c>
      <c r="M105">
        <f>IFERROR(VLOOKUP(Tabla13[[#This Row],[SISMED]],TblDisponibilidad[],17,FALSE), 0)</f>
        <v>0</v>
      </c>
      <c r="N105">
        <f>IFERROR(VLOOKUP(Tabla13[[#This Row],[SISMED]],TblDisponibilidad[],18,FALSE), 0)</f>
        <v>0</v>
      </c>
      <c r="O105">
        <f>IFERROR(VLOOKUP(Tabla13[[#This Row],[SISMED]],TblDisponibilidad[],19,FALSE), 0)</f>
        <v>0</v>
      </c>
      <c r="P105">
        <f>IFERROR(VLOOKUP(Tabla13[[#This Row],[SISMED]],TblDisponibilidad[],20,FALSE), 0)</f>
        <v>0</v>
      </c>
      <c r="Q105">
        <f>IFERROR(VLOOKUP(Tabla13[[#This Row],[SISMED]],TblDisponibilidad[],21,FALSE), 0)</f>
        <v>0</v>
      </c>
      <c r="R105">
        <f>IFERROR(VLOOKUP(Tabla13[[#This Row],[SISMED]],TblDisponibilidad[],22,FALSE), 0)</f>
        <v>0</v>
      </c>
      <c r="S105" s="15">
        <f>IFERROR(VLOOKUP(Tabla13[[#This Row],[SISMED]],TblDisponibilidad[],23,FALSE), 0)</f>
        <v>0</v>
      </c>
    </row>
    <row r="106" spans="1:19" x14ac:dyDescent="0.3">
      <c r="A106" s="15" t="s">
        <v>136</v>
      </c>
      <c r="B106" t="str">
        <f>IFERROR(VLOOKUP(Tabla13[[#This Row],[SISMED]],TblDisponibilidad[],2,FALSE), "")</f>
        <v/>
      </c>
      <c r="C106">
        <f>IFERROR(VLOOKUP(Tabla13[[#This Row],[SISMED]],TblDisponibilidad[],7,FALSE), 0)</f>
        <v>0</v>
      </c>
      <c r="D106">
        <f>IFERROR(VLOOKUP(Tabla13[[#This Row],[SISMED]],TblDisponibilidad[],8,FALSE), 0)</f>
        <v>0</v>
      </c>
      <c r="E106">
        <f>IFERROR(VLOOKUP(Tabla13[[#This Row],[SISMED]],TblDisponibilidad[],9,FALSE), 0)</f>
        <v>0</v>
      </c>
      <c r="F106">
        <f>IFERROR(VLOOKUP(Tabla13[[#This Row],[SISMED]],TblDisponibilidad[],10,FALSE), 0)</f>
        <v>0</v>
      </c>
      <c r="G106">
        <f>IFERROR(VLOOKUP(Tabla13[[#This Row],[SISMED]],TblDisponibilidad[],11,FALSE), 0)</f>
        <v>0</v>
      </c>
      <c r="H106">
        <f>IFERROR(VLOOKUP(Tabla13[[#This Row],[SISMED]],TblDisponibilidad[],12,FALSE), 0)</f>
        <v>0</v>
      </c>
      <c r="I106">
        <f>IFERROR(VLOOKUP(Tabla13[[#This Row],[SISMED]],TblDisponibilidad[],13,FALSE), 0)</f>
        <v>0</v>
      </c>
      <c r="J106">
        <f>IFERROR(VLOOKUP(Tabla13[[#This Row],[SISMED]],TblDisponibilidad[],14,FALSE), 0)</f>
        <v>0</v>
      </c>
      <c r="K106">
        <f>IFERROR(VLOOKUP(Tabla13[[#This Row],[SISMED]],TblDisponibilidad[],15,FALSE), 0)</f>
        <v>0</v>
      </c>
      <c r="L106">
        <f>IFERROR(VLOOKUP(Tabla13[[#This Row],[SISMED]],TblDisponibilidad[],16,FALSE), 0)</f>
        <v>0</v>
      </c>
      <c r="M106">
        <f>IFERROR(VLOOKUP(Tabla13[[#This Row],[SISMED]],TblDisponibilidad[],17,FALSE), 0)</f>
        <v>0</v>
      </c>
      <c r="N106">
        <f>IFERROR(VLOOKUP(Tabla13[[#This Row],[SISMED]],TblDisponibilidad[],18,FALSE), 0)</f>
        <v>0</v>
      </c>
      <c r="O106">
        <f>IFERROR(VLOOKUP(Tabla13[[#This Row],[SISMED]],TblDisponibilidad[],19,FALSE), 0)</f>
        <v>0</v>
      </c>
      <c r="P106">
        <f>IFERROR(VLOOKUP(Tabla13[[#This Row],[SISMED]],TblDisponibilidad[],20,FALSE), 0)</f>
        <v>0</v>
      </c>
      <c r="Q106">
        <f>IFERROR(VLOOKUP(Tabla13[[#This Row],[SISMED]],TblDisponibilidad[],21,FALSE), 0)</f>
        <v>0</v>
      </c>
      <c r="R106">
        <f>IFERROR(VLOOKUP(Tabla13[[#This Row],[SISMED]],TblDisponibilidad[],22,FALSE), 0)</f>
        <v>0</v>
      </c>
      <c r="S106" s="15">
        <f>IFERROR(VLOOKUP(Tabla13[[#This Row],[SISMED]],TblDisponibilidad[],23,FALSE), 0)</f>
        <v>0</v>
      </c>
    </row>
    <row r="107" spans="1:19" x14ac:dyDescent="0.3">
      <c r="A107" s="15" t="s">
        <v>137</v>
      </c>
      <c r="B107" t="str">
        <f>IFERROR(VLOOKUP(Tabla13[[#This Row],[SISMED]],TblDisponibilidad[],2,FALSE), "")</f>
        <v/>
      </c>
      <c r="C107">
        <f>IFERROR(VLOOKUP(Tabla13[[#This Row],[SISMED]],TblDisponibilidad[],7,FALSE), 0)</f>
        <v>0</v>
      </c>
      <c r="D107">
        <f>IFERROR(VLOOKUP(Tabla13[[#This Row],[SISMED]],TblDisponibilidad[],8,FALSE), 0)</f>
        <v>0</v>
      </c>
      <c r="E107">
        <f>IFERROR(VLOOKUP(Tabla13[[#This Row],[SISMED]],TblDisponibilidad[],9,FALSE), 0)</f>
        <v>0</v>
      </c>
      <c r="F107">
        <f>IFERROR(VLOOKUP(Tabla13[[#This Row],[SISMED]],TblDisponibilidad[],10,FALSE), 0)</f>
        <v>0</v>
      </c>
      <c r="G107">
        <f>IFERROR(VLOOKUP(Tabla13[[#This Row],[SISMED]],TblDisponibilidad[],11,FALSE), 0)</f>
        <v>0</v>
      </c>
      <c r="H107">
        <f>IFERROR(VLOOKUP(Tabla13[[#This Row],[SISMED]],TblDisponibilidad[],12,FALSE), 0)</f>
        <v>0</v>
      </c>
      <c r="I107">
        <f>IFERROR(VLOOKUP(Tabla13[[#This Row],[SISMED]],TblDisponibilidad[],13,FALSE), 0)</f>
        <v>0</v>
      </c>
      <c r="J107">
        <f>IFERROR(VLOOKUP(Tabla13[[#This Row],[SISMED]],TblDisponibilidad[],14,FALSE), 0)</f>
        <v>0</v>
      </c>
      <c r="K107">
        <f>IFERROR(VLOOKUP(Tabla13[[#This Row],[SISMED]],TblDisponibilidad[],15,FALSE), 0)</f>
        <v>0</v>
      </c>
      <c r="L107">
        <f>IFERROR(VLOOKUP(Tabla13[[#This Row],[SISMED]],TblDisponibilidad[],16,FALSE), 0)</f>
        <v>0</v>
      </c>
      <c r="M107">
        <f>IFERROR(VLOOKUP(Tabla13[[#This Row],[SISMED]],TblDisponibilidad[],17,FALSE), 0)</f>
        <v>0</v>
      </c>
      <c r="N107">
        <f>IFERROR(VLOOKUP(Tabla13[[#This Row],[SISMED]],TblDisponibilidad[],18,FALSE), 0)</f>
        <v>0</v>
      </c>
      <c r="O107">
        <f>IFERROR(VLOOKUP(Tabla13[[#This Row],[SISMED]],TblDisponibilidad[],19,FALSE), 0)</f>
        <v>0</v>
      </c>
      <c r="P107">
        <f>IFERROR(VLOOKUP(Tabla13[[#This Row],[SISMED]],TblDisponibilidad[],20,FALSE), 0)</f>
        <v>0</v>
      </c>
      <c r="Q107">
        <f>IFERROR(VLOOKUP(Tabla13[[#This Row],[SISMED]],TblDisponibilidad[],21,FALSE), 0)</f>
        <v>0</v>
      </c>
      <c r="R107">
        <f>IFERROR(VLOOKUP(Tabla13[[#This Row],[SISMED]],TblDisponibilidad[],22,FALSE), 0)</f>
        <v>0</v>
      </c>
      <c r="S107" s="15">
        <f>IFERROR(VLOOKUP(Tabla13[[#This Row],[SISMED]],TblDisponibilidad[],23,FALSE), 0)</f>
        <v>0</v>
      </c>
    </row>
    <row r="108" spans="1:19" x14ac:dyDescent="0.3">
      <c r="A108" s="15" t="s">
        <v>138</v>
      </c>
      <c r="B108" t="str">
        <f>IFERROR(VLOOKUP(Tabla13[[#This Row],[SISMED]],TblDisponibilidad[],2,FALSE), "")</f>
        <v/>
      </c>
      <c r="C108">
        <f>IFERROR(VLOOKUP(Tabla13[[#This Row],[SISMED]],TblDisponibilidad[],7,FALSE), 0)</f>
        <v>0</v>
      </c>
      <c r="D108">
        <f>IFERROR(VLOOKUP(Tabla13[[#This Row],[SISMED]],TblDisponibilidad[],8,FALSE), 0)</f>
        <v>0</v>
      </c>
      <c r="E108">
        <f>IFERROR(VLOOKUP(Tabla13[[#This Row],[SISMED]],TblDisponibilidad[],9,FALSE), 0)</f>
        <v>0</v>
      </c>
      <c r="F108">
        <f>IFERROR(VLOOKUP(Tabla13[[#This Row],[SISMED]],TblDisponibilidad[],10,FALSE), 0)</f>
        <v>0</v>
      </c>
      <c r="G108">
        <f>IFERROR(VLOOKUP(Tabla13[[#This Row],[SISMED]],TblDisponibilidad[],11,FALSE), 0)</f>
        <v>0</v>
      </c>
      <c r="H108">
        <f>IFERROR(VLOOKUP(Tabla13[[#This Row],[SISMED]],TblDisponibilidad[],12,FALSE), 0)</f>
        <v>0</v>
      </c>
      <c r="I108">
        <f>IFERROR(VLOOKUP(Tabla13[[#This Row],[SISMED]],TblDisponibilidad[],13,FALSE), 0)</f>
        <v>0</v>
      </c>
      <c r="J108">
        <f>IFERROR(VLOOKUP(Tabla13[[#This Row],[SISMED]],TblDisponibilidad[],14,FALSE), 0)</f>
        <v>0</v>
      </c>
      <c r="K108">
        <f>IFERROR(VLOOKUP(Tabla13[[#This Row],[SISMED]],TblDisponibilidad[],15,FALSE), 0)</f>
        <v>0</v>
      </c>
      <c r="L108">
        <f>IFERROR(VLOOKUP(Tabla13[[#This Row],[SISMED]],TblDisponibilidad[],16,FALSE), 0)</f>
        <v>0</v>
      </c>
      <c r="M108">
        <f>IFERROR(VLOOKUP(Tabla13[[#This Row],[SISMED]],TblDisponibilidad[],17,FALSE), 0)</f>
        <v>0</v>
      </c>
      <c r="N108">
        <f>IFERROR(VLOOKUP(Tabla13[[#This Row],[SISMED]],TblDisponibilidad[],18,FALSE), 0)</f>
        <v>0</v>
      </c>
      <c r="O108">
        <f>IFERROR(VLOOKUP(Tabla13[[#This Row],[SISMED]],TblDisponibilidad[],19,FALSE), 0)</f>
        <v>0</v>
      </c>
      <c r="P108">
        <f>IFERROR(VLOOKUP(Tabla13[[#This Row],[SISMED]],TblDisponibilidad[],20,FALSE), 0)</f>
        <v>0</v>
      </c>
      <c r="Q108">
        <f>IFERROR(VLOOKUP(Tabla13[[#This Row],[SISMED]],TblDisponibilidad[],21,FALSE), 0)</f>
        <v>0</v>
      </c>
      <c r="R108">
        <f>IFERROR(VLOOKUP(Tabla13[[#This Row],[SISMED]],TblDisponibilidad[],22,FALSE), 0)</f>
        <v>0</v>
      </c>
      <c r="S108" s="15">
        <f>IFERROR(VLOOKUP(Tabla13[[#This Row],[SISMED]],TblDisponibilidad[],23,FALSE), 0)</f>
        <v>0</v>
      </c>
    </row>
    <row r="109" spans="1:19" x14ac:dyDescent="0.3">
      <c r="A109" s="15" t="s">
        <v>139</v>
      </c>
      <c r="B109" t="str">
        <f>IFERROR(VLOOKUP(Tabla13[[#This Row],[SISMED]],TblDisponibilidad[],2,FALSE), "")</f>
        <v/>
      </c>
      <c r="C109">
        <f>IFERROR(VLOOKUP(Tabla13[[#This Row],[SISMED]],TblDisponibilidad[],7,FALSE), 0)</f>
        <v>0</v>
      </c>
      <c r="D109">
        <f>IFERROR(VLOOKUP(Tabla13[[#This Row],[SISMED]],TblDisponibilidad[],8,FALSE), 0)</f>
        <v>0</v>
      </c>
      <c r="E109">
        <f>IFERROR(VLOOKUP(Tabla13[[#This Row],[SISMED]],TblDisponibilidad[],9,FALSE), 0)</f>
        <v>0</v>
      </c>
      <c r="F109">
        <f>IFERROR(VLOOKUP(Tabla13[[#This Row],[SISMED]],TblDisponibilidad[],10,FALSE), 0)</f>
        <v>0</v>
      </c>
      <c r="G109">
        <f>IFERROR(VLOOKUP(Tabla13[[#This Row],[SISMED]],TblDisponibilidad[],11,FALSE), 0)</f>
        <v>0</v>
      </c>
      <c r="H109">
        <f>IFERROR(VLOOKUP(Tabla13[[#This Row],[SISMED]],TblDisponibilidad[],12,FALSE), 0)</f>
        <v>0</v>
      </c>
      <c r="I109">
        <f>IFERROR(VLOOKUP(Tabla13[[#This Row],[SISMED]],TblDisponibilidad[],13,FALSE), 0)</f>
        <v>0</v>
      </c>
      <c r="J109">
        <f>IFERROR(VLOOKUP(Tabla13[[#This Row],[SISMED]],TblDisponibilidad[],14,FALSE), 0)</f>
        <v>0</v>
      </c>
      <c r="K109">
        <f>IFERROR(VLOOKUP(Tabla13[[#This Row],[SISMED]],TblDisponibilidad[],15,FALSE), 0)</f>
        <v>0</v>
      </c>
      <c r="L109">
        <f>IFERROR(VLOOKUP(Tabla13[[#This Row],[SISMED]],TblDisponibilidad[],16,FALSE), 0)</f>
        <v>0</v>
      </c>
      <c r="M109">
        <f>IFERROR(VLOOKUP(Tabla13[[#This Row],[SISMED]],TblDisponibilidad[],17,FALSE), 0)</f>
        <v>0</v>
      </c>
      <c r="N109">
        <f>IFERROR(VLOOKUP(Tabla13[[#This Row],[SISMED]],TblDisponibilidad[],18,FALSE), 0)</f>
        <v>0</v>
      </c>
      <c r="O109">
        <f>IFERROR(VLOOKUP(Tabla13[[#This Row],[SISMED]],TblDisponibilidad[],19,FALSE), 0)</f>
        <v>0</v>
      </c>
      <c r="P109">
        <f>IFERROR(VLOOKUP(Tabla13[[#This Row],[SISMED]],TblDisponibilidad[],20,FALSE), 0)</f>
        <v>0</v>
      </c>
      <c r="Q109">
        <f>IFERROR(VLOOKUP(Tabla13[[#This Row],[SISMED]],TblDisponibilidad[],21,FALSE), 0)</f>
        <v>0</v>
      </c>
      <c r="R109">
        <f>IFERROR(VLOOKUP(Tabla13[[#This Row],[SISMED]],TblDisponibilidad[],22,FALSE), 0)</f>
        <v>0</v>
      </c>
      <c r="S109" s="15">
        <f>IFERROR(VLOOKUP(Tabla13[[#This Row],[SISMED]],TblDisponibilidad[],23,FALSE), 0)</f>
        <v>0</v>
      </c>
    </row>
    <row r="110" spans="1:19" x14ac:dyDescent="0.3">
      <c r="A110" s="15" t="s">
        <v>140</v>
      </c>
      <c r="B110" t="str">
        <f>IFERROR(VLOOKUP(Tabla13[[#This Row],[SISMED]],TblDisponibilidad[],2,FALSE), "")</f>
        <v/>
      </c>
      <c r="C110">
        <f>IFERROR(VLOOKUP(Tabla13[[#This Row],[SISMED]],TblDisponibilidad[],7,FALSE), 0)</f>
        <v>0</v>
      </c>
      <c r="D110">
        <f>IFERROR(VLOOKUP(Tabla13[[#This Row],[SISMED]],TblDisponibilidad[],8,FALSE), 0)</f>
        <v>0</v>
      </c>
      <c r="E110">
        <f>IFERROR(VLOOKUP(Tabla13[[#This Row],[SISMED]],TblDisponibilidad[],9,FALSE), 0)</f>
        <v>0</v>
      </c>
      <c r="F110">
        <f>IFERROR(VLOOKUP(Tabla13[[#This Row],[SISMED]],TblDisponibilidad[],10,FALSE), 0)</f>
        <v>0</v>
      </c>
      <c r="G110">
        <f>IFERROR(VLOOKUP(Tabla13[[#This Row],[SISMED]],TblDisponibilidad[],11,FALSE), 0)</f>
        <v>0</v>
      </c>
      <c r="H110">
        <f>IFERROR(VLOOKUP(Tabla13[[#This Row],[SISMED]],TblDisponibilidad[],12,FALSE), 0)</f>
        <v>0</v>
      </c>
      <c r="I110">
        <f>IFERROR(VLOOKUP(Tabla13[[#This Row],[SISMED]],TblDisponibilidad[],13,FALSE), 0)</f>
        <v>0</v>
      </c>
      <c r="J110">
        <f>IFERROR(VLOOKUP(Tabla13[[#This Row],[SISMED]],TblDisponibilidad[],14,FALSE), 0)</f>
        <v>0</v>
      </c>
      <c r="K110">
        <f>IFERROR(VLOOKUP(Tabla13[[#This Row],[SISMED]],TblDisponibilidad[],15,FALSE), 0)</f>
        <v>0</v>
      </c>
      <c r="L110">
        <f>IFERROR(VLOOKUP(Tabla13[[#This Row],[SISMED]],TblDisponibilidad[],16,FALSE), 0)</f>
        <v>0</v>
      </c>
      <c r="M110">
        <f>IFERROR(VLOOKUP(Tabla13[[#This Row],[SISMED]],TblDisponibilidad[],17,FALSE), 0)</f>
        <v>0</v>
      </c>
      <c r="N110">
        <f>IFERROR(VLOOKUP(Tabla13[[#This Row],[SISMED]],TblDisponibilidad[],18,FALSE), 0)</f>
        <v>0</v>
      </c>
      <c r="O110">
        <f>IFERROR(VLOOKUP(Tabla13[[#This Row],[SISMED]],TblDisponibilidad[],19,FALSE), 0)</f>
        <v>0</v>
      </c>
      <c r="P110">
        <f>IFERROR(VLOOKUP(Tabla13[[#This Row],[SISMED]],TblDisponibilidad[],20,FALSE), 0)</f>
        <v>0</v>
      </c>
      <c r="Q110">
        <f>IFERROR(VLOOKUP(Tabla13[[#This Row],[SISMED]],TblDisponibilidad[],21,FALSE), 0)</f>
        <v>0</v>
      </c>
      <c r="R110">
        <f>IFERROR(VLOOKUP(Tabla13[[#This Row],[SISMED]],TblDisponibilidad[],22,FALSE), 0)</f>
        <v>0</v>
      </c>
      <c r="S110" s="15">
        <f>IFERROR(VLOOKUP(Tabla13[[#This Row],[SISMED]],TblDisponibilidad[],23,FALSE), 0)</f>
        <v>0</v>
      </c>
    </row>
    <row r="111" spans="1:19" x14ac:dyDescent="0.3">
      <c r="A111" s="15" t="s">
        <v>141</v>
      </c>
      <c r="B111" t="str">
        <f>IFERROR(VLOOKUP(Tabla13[[#This Row],[SISMED]],TblDisponibilidad[],2,FALSE), "")</f>
        <v/>
      </c>
      <c r="C111">
        <f>IFERROR(VLOOKUP(Tabla13[[#This Row],[SISMED]],TblDisponibilidad[],7,FALSE), 0)</f>
        <v>0</v>
      </c>
      <c r="D111">
        <f>IFERROR(VLOOKUP(Tabla13[[#This Row],[SISMED]],TblDisponibilidad[],8,FALSE), 0)</f>
        <v>0</v>
      </c>
      <c r="E111">
        <f>IFERROR(VLOOKUP(Tabla13[[#This Row],[SISMED]],TblDisponibilidad[],9,FALSE), 0)</f>
        <v>0</v>
      </c>
      <c r="F111">
        <f>IFERROR(VLOOKUP(Tabla13[[#This Row],[SISMED]],TblDisponibilidad[],10,FALSE), 0)</f>
        <v>0</v>
      </c>
      <c r="G111">
        <f>IFERROR(VLOOKUP(Tabla13[[#This Row],[SISMED]],TblDisponibilidad[],11,FALSE), 0)</f>
        <v>0</v>
      </c>
      <c r="H111">
        <f>IFERROR(VLOOKUP(Tabla13[[#This Row],[SISMED]],TblDisponibilidad[],12,FALSE), 0)</f>
        <v>0</v>
      </c>
      <c r="I111">
        <f>IFERROR(VLOOKUP(Tabla13[[#This Row],[SISMED]],TblDisponibilidad[],13,FALSE), 0)</f>
        <v>0</v>
      </c>
      <c r="J111">
        <f>IFERROR(VLOOKUP(Tabla13[[#This Row],[SISMED]],TblDisponibilidad[],14,FALSE), 0)</f>
        <v>0</v>
      </c>
      <c r="K111">
        <f>IFERROR(VLOOKUP(Tabla13[[#This Row],[SISMED]],TblDisponibilidad[],15,FALSE), 0)</f>
        <v>0</v>
      </c>
      <c r="L111">
        <f>IFERROR(VLOOKUP(Tabla13[[#This Row],[SISMED]],TblDisponibilidad[],16,FALSE), 0)</f>
        <v>0</v>
      </c>
      <c r="M111">
        <f>IFERROR(VLOOKUP(Tabla13[[#This Row],[SISMED]],TblDisponibilidad[],17,FALSE), 0)</f>
        <v>0</v>
      </c>
      <c r="N111">
        <f>IFERROR(VLOOKUP(Tabla13[[#This Row],[SISMED]],TblDisponibilidad[],18,FALSE), 0)</f>
        <v>0</v>
      </c>
      <c r="O111">
        <f>IFERROR(VLOOKUP(Tabla13[[#This Row],[SISMED]],TblDisponibilidad[],19,FALSE), 0)</f>
        <v>0</v>
      </c>
      <c r="P111">
        <f>IFERROR(VLOOKUP(Tabla13[[#This Row],[SISMED]],TblDisponibilidad[],20,FALSE), 0)</f>
        <v>0</v>
      </c>
      <c r="Q111">
        <f>IFERROR(VLOOKUP(Tabla13[[#This Row],[SISMED]],TblDisponibilidad[],21,FALSE), 0)</f>
        <v>0</v>
      </c>
      <c r="R111">
        <f>IFERROR(VLOOKUP(Tabla13[[#This Row],[SISMED]],TblDisponibilidad[],22,FALSE), 0)</f>
        <v>0</v>
      </c>
      <c r="S111" s="15">
        <f>IFERROR(VLOOKUP(Tabla13[[#This Row],[SISMED]],TblDisponibilidad[],23,FALSE), 0)</f>
        <v>0</v>
      </c>
    </row>
    <row r="112" spans="1:19" x14ac:dyDescent="0.3">
      <c r="A112" s="15" t="s">
        <v>142</v>
      </c>
      <c r="B112" t="str">
        <f>IFERROR(VLOOKUP(Tabla13[[#This Row],[SISMED]],TblDisponibilidad[],2,FALSE), "")</f>
        <v/>
      </c>
      <c r="C112">
        <f>IFERROR(VLOOKUP(Tabla13[[#This Row],[SISMED]],TblDisponibilidad[],7,FALSE), 0)</f>
        <v>0</v>
      </c>
      <c r="D112">
        <f>IFERROR(VLOOKUP(Tabla13[[#This Row],[SISMED]],TblDisponibilidad[],8,FALSE), 0)</f>
        <v>0</v>
      </c>
      <c r="E112">
        <f>IFERROR(VLOOKUP(Tabla13[[#This Row],[SISMED]],TblDisponibilidad[],9,FALSE), 0)</f>
        <v>0</v>
      </c>
      <c r="F112">
        <f>IFERROR(VLOOKUP(Tabla13[[#This Row],[SISMED]],TblDisponibilidad[],10,FALSE), 0)</f>
        <v>0</v>
      </c>
      <c r="G112">
        <f>IFERROR(VLOOKUP(Tabla13[[#This Row],[SISMED]],TblDisponibilidad[],11,FALSE), 0)</f>
        <v>0</v>
      </c>
      <c r="H112">
        <f>IFERROR(VLOOKUP(Tabla13[[#This Row],[SISMED]],TblDisponibilidad[],12,FALSE), 0)</f>
        <v>0</v>
      </c>
      <c r="I112">
        <f>IFERROR(VLOOKUP(Tabla13[[#This Row],[SISMED]],TblDisponibilidad[],13,FALSE), 0)</f>
        <v>0</v>
      </c>
      <c r="J112">
        <f>IFERROR(VLOOKUP(Tabla13[[#This Row],[SISMED]],TblDisponibilidad[],14,FALSE), 0)</f>
        <v>0</v>
      </c>
      <c r="K112">
        <f>IFERROR(VLOOKUP(Tabla13[[#This Row],[SISMED]],TblDisponibilidad[],15,FALSE), 0)</f>
        <v>0</v>
      </c>
      <c r="L112">
        <f>IFERROR(VLOOKUP(Tabla13[[#This Row],[SISMED]],TblDisponibilidad[],16,FALSE), 0)</f>
        <v>0</v>
      </c>
      <c r="M112">
        <f>IFERROR(VLOOKUP(Tabla13[[#This Row],[SISMED]],TblDisponibilidad[],17,FALSE), 0)</f>
        <v>0</v>
      </c>
      <c r="N112">
        <f>IFERROR(VLOOKUP(Tabla13[[#This Row],[SISMED]],TblDisponibilidad[],18,FALSE), 0)</f>
        <v>0</v>
      </c>
      <c r="O112">
        <f>IFERROR(VLOOKUP(Tabla13[[#This Row],[SISMED]],TblDisponibilidad[],19,FALSE), 0)</f>
        <v>0</v>
      </c>
      <c r="P112">
        <f>IFERROR(VLOOKUP(Tabla13[[#This Row],[SISMED]],TblDisponibilidad[],20,FALSE), 0)</f>
        <v>0</v>
      </c>
      <c r="Q112">
        <f>IFERROR(VLOOKUP(Tabla13[[#This Row],[SISMED]],TblDisponibilidad[],21,FALSE), 0)</f>
        <v>0</v>
      </c>
      <c r="R112">
        <f>IFERROR(VLOOKUP(Tabla13[[#This Row],[SISMED]],TblDisponibilidad[],22,FALSE), 0)</f>
        <v>0</v>
      </c>
      <c r="S112" s="15">
        <f>IFERROR(VLOOKUP(Tabla13[[#This Row],[SISMED]],TblDisponibilidad[],23,FALSE), 0)</f>
        <v>0</v>
      </c>
    </row>
    <row r="113" spans="1:19" x14ac:dyDescent="0.3">
      <c r="A113" s="15" t="s">
        <v>143</v>
      </c>
      <c r="B113" t="str">
        <f>IFERROR(VLOOKUP(Tabla13[[#This Row],[SISMED]],TblDisponibilidad[],2,FALSE), "")</f>
        <v/>
      </c>
      <c r="C113">
        <f>IFERROR(VLOOKUP(Tabla13[[#This Row],[SISMED]],TblDisponibilidad[],7,FALSE), 0)</f>
        <v>0</v>
      </c>
      <c r="D113">
        <f>IFERROR(VLOOKUP(Tabla13[[#This Row],[SISMED]],TblDisponibilidad[],8,FALSE), 0)</f>
        <v>0</v>
      </c>
      <c r="E113">
        <f>IFERROR(VLOOKUP(Tabla13[[#This Row],[SISMED]],TblDisponibilidad[],9,FALSE), 0)</f>
        <v>0</v>
      </c>
      <c r="F113">
        <f>IFERROR(VLOOKUP(Tabla13[[#This Row],[SISMED]],TblDisponibilidad[],10,FALSE), 0)</f>
        <v>0</v>
      </c>
      <c r="G113">
        <f>IFERROR(VLOOKUP(Tabla13[[#This Row],[SISMED]],TblDisponibilidad[],11,FALSE), 0)</f>
        <v>0</v>
      </c>
      <c r="H113">
        <f>IFERROR(VLOOKUP(Tabla13[[#This Row],[SISMED]],TblDisponibilidad[],12,FALSE), 0)</f>
        <v>0</v>
      </c>
      <c r="I113">
        <f>IFERROR(VLOOKUP(Tabla13[[#This Row],[SISMED]],TblDisponibilidad[],13,FALSE), 0)</f>
        <v>0</v>
      </c>
      <c r="J113">
        <f>IFERROR(VLOOKUP(Tabla13[[#This Row],[SISMED]],TblDisponibilidad[],14,FALSE), 0)</f>
        <v>0</v>
      </c>
      <c r="K113">
        <f>IFERROR(VLOOKUP(Tabla13[[#This Row],[SISMED]],TblDisponibilidad[],15,FALSE), 0)</f>
        <v>0</v>
      </c>
      <c r="L113">
        <f>IFERROR(VLOOKUP(Tabla13[[#This Row],[SISMED]],TblDisponibilidad[],16,FALSE), 0)</f>
        <v>0</v>
      </c>
      <c r="M113">
        <f>IFERROR(VLOOKUP(Tabla13[[#This Row],[SISMED]],TblDisponibilidad[],17,FALSE), 0)</f>
        <v>0</v>
      </c>
      <c r="N113">
        <f>IFERROR(VLOOKUP(Tabla13[[#This Row],[SISMED]],TblDisponibilidad[],18,FALSE), 0)</f>
        <v>0</v>
      </c>
      <c r="O113">
        <f>IFERROR(VLOOKUP(Tabla13[[#This Row],[SISMED]],TblDisponibilidad[],19,FALSE), 0)</f>
        <v>0</v>
      </c>
      <c r="P113">
        <f>IFERROR(VLOOKUP(Tabla13[[#This Row],[SISMED]],TblDisponibilidad[],20,FALSE), 0)</f>
        <v>0</v>
      </c>
      <c r="Q113">
        <f>IFERROR(VLOOKUP(Tabla13[[#This Row],[SISMED]],TblDisponibilidad[],21,FALSE), 0)</f>
        <v>0</v>
      </c>
      <c r="R113">
        <f>IFERROR(VLOOKUP(Tabla13[[#This Row],[SISMED]],TblDisponibilidad[],22,FALSE), 0)</f>
        <v>0</v>
      </c>
      <c r="S113" s="15">
        <f>IFERROR(VLOOKUP(Tabla13[[#This Row],[SISMED]],TblDisponibilidad[],23,FALSE), 0)</f>
        <v>0</v>
      </c>
    </row>
    <row r="114" spans="1:19" x14ac:dyDescent="0.3">
      <c r="A114" s="15" t="s">
        <v>144</v>
      </c>
      <c r="B114" t="str">
        <f>IFERROR(VLOOKUP(Tabla13[[#This Row],[SISMED]],TblDisponibilidad[],2,FALSE), "")</f>
        <v/>
      </c>
      <c r="C114">
        <f>IFERROR(VLOOKUP(Tabla13[[#This Row],[SISMED]],TblDisponibilidad[],7,FALSE), 0)</f>
        <v>0</v>
      </c>
      <c r="D114">
        <f>IFERROR(VLOOKUP(Tabla13[[#This Row],[SISMED]],TblDisponibilidad[],8,FALSE), 0)</f>
        <v>0</v>
      </c>
      <c r="E114">
        <f>IFERROR(VLOOKUP(Tabla13[[#This Row],[SISMED]],TblDisponibilidad[],9,FALSE), 0)</f>
        <v>0</v>
      </c>
      <c r="F114">
        <f>IFERROR(VLOOKUP(Tabla13[[#This Row],[SISMED]],TblDisponibilidad[],10,FALSE), 0)</f>
        <v>0</v>
      </c>
      <c r="G114">
        <f>IFERROR(VLOOKUP(Tabla13[[#This Row],[SISMED]],TblDisponibilidad[],11,FALSE), 0)</f>
        <v>0</v>
      </c>
      <c r="H114">
        <f>IFERROR(VLOOKUP(Tabla13[[#This Row],[SISMED]],TblDisponibilidad[],12,FALSE), 0)</f>
        <v>0</v>
      </c>
      <c r="I114">
        <f>IFERROR(VLOOKUP(Tabla13[[#This Row],[SISMED]],TblDisponibilidad[],13,FALSE), 0)</f>
        <v>0</v>
      </c>
      <c r="J114">
        <f>IFERROR(VLOOKUP(Tabla13[[#This Row],[SISMED]],TblDisponibilidad[],14,FALSE), 0)</f>
        <v>0</v>
      </c>
      <c r="K114">
        <f>IFERROR(VLOOKUP(Tabla13[[#This Row],[SISMED]],TblDisponibilidad[],15,FALSE), 0)</f>
        <v>0</v>
      </c>
      <c r="L114">
        <f>IFERROR(VLOOKUP(Tabla13[[#This Row],[SISMED]],TblDisponibilidad[],16,FALSE), 0)</f>
        <v>0</v>
      </c>
      <c r="M114">
        <f>IFERROR(VLOOKUP(Tabla13[[#This Row],[SISMED]],TblDisponibilidad[],17,FALSE), 0)</f>
        <v>0</v>
      </c>
      <c r="N114">
        <f>IFERROR(VLOOKUP(Tabla13[[#This Row],[SISMED]],TblDisponibilidad[],18,FALSE), 0)</f>
        <v>0</v>
      </c>
      <c r="O114">
        <f>IFERROR(VLOOKUP(Tabla13[[#This Row],[SISMED]],TblDisponibilidad[],19,FALSE), 0)</f>
        <v>0</v>
      </c>
      <c r="P114">
        <f>IFERROR(VLOOKUP(Tabla13[[#This Row],[SISMED]],TblDisponibilidad[],20,FALSE), 0)</f>
        <v>0</v>
      </c>
      <c r="Q114">
        <f>IFERROR(VLOOKUP(Tabla13[[#This Row],[SISMED]],TblDisponibilidad[],21,FALSE), 0)</f>
        <v>0</v>
      </c>
      <c r="R114">
        <f>IFERROR(VLOOKUP(Tabla13[[#This Row],[SISMED]],TblDisponibilidad[],22,FALSE), 0)</f>
        <v>0</v>
      </c>
      <c r="S114" s="15">
        <f>IFERROR(VLOOKUP(Tabla13[[#This Row],[SISMED]],TblDisponibilidad[],23,FALSE), 0)</f>
        <v>0</v>
      </c>
    </row>
    <row r="115" spans="1:19" x14ac:dyDescent="0.3">
      <c r="A115" s="15" t="s">
        <v>145</v>
      </c>
      <c r="B115" t="str">
        <f>IFERROR(VLOOKUP(Tabla13[[#This Row],[SISMED]],TblDisponibilidad[],2,FALSE), "")</f>
        <v/>
      </c>
      <c r="C115">
        <f>IFERROR(VLOOKUP(Tabla13[[#This Row],[SISMED]],TblDisponibilidad[],7,FALSE), 0)</f>
        <v>0</v>
      </c>
      <c r="D115">
        <f>IFERROR(VLOOKUP(Tabla13[[#This Row],[SISMED]],TblDisponibilidad[],8,FALSE), 0)</f>
        <v>0</v>
      </c>
      <c r="E115">
        <f>IFERROR(VLOOKUP(Tabla13[[#This Row],[SISMED]],TblDisponibilidad[],9,FALSE), 0)</f>
        <v>0</v>
      </c>
      <c r="F115">
        <f>IFERROR(VLOOKUP(Tabla13[[#This Row],[SISMED]],TblDisponibilidad[],10,FALSE), 0)</f>
        <v>0</v>
      </c>
      <c r="G115">
        <f>IFERROR(VLOOKUP(Tabla13[[#This Row],[SISMED]],TblDisponibilidad[],11,FALSE), 0)</f>
        <v>0</v>
      </c>
      <c r="H115">
        <f>IFERROR(VLOOKUP(Tabla13[[#This Row],[SISMED]],TblDisponibilidad[],12,FALSE), 0)</f>
        <v>0</v>
      </c>
      <c r="I115">
        <f>IFERROR(VLOOKUP(Tabla13[[#This Row],[SISMED]],TblDisponibilidad[],13,FALSE), 0)</f>
        <v>0</v>
      </c>
      <c r="J115">
        <f>IFERROR(VLOOKUP(Tabla13[[#This Row],[SISMED]],TblDisponibilidad[],14,FALSE), 0)</f>
        <v>0</v>
      </c>
      <c r="K115">
        <f>IFERROR(VLOOKUP(Tabla13[[#This Row],[SISMED]],TblDisponibilidad[],15,FALSE), 0)</f>
        <v>0</v>
      </c>
      <c r="L115">
        <f>IFERROR(VLOOKUP(Tabla13[[#This Row],[SISMED]],TblDisponibilidad[],16,FALSE), 0)</f>
        <v>0</v>
      </c>
      <c r="M115">
        <f>IFERROR(VLOOKUP(Tabla13[[#This Row],[SISMED]],TblDisponibilidad[],17,FALSE), 0)</f>
        <v>0</v>
      </c>
      <c r="N115">
        <f>IFERROR(VLOOKUP(Tabla13[[#This Row],[SISMED]],TblDisponibilidad[],18,FALSE), 0)</f>
        <v>0</v>
      </c>
      <c r="O115">
        <f>IFERROR(VLOOKUP(Tabla13[[#This Row],[SISMED]],TblDisponibilidad[],19,FALSE), 0)</f>
        <v>0</v>
      </c>
      <c r="P115">
        <f>IFERROR(VLOOKUP(Tabla13[[#This Row],[SISMED]],TblDisponibilidad[],20,FALSE), 0)</f>
        <v>0</v>
      </c>
      <c r="Q115">
        <f>IFERROR(VLOOKUP(Tabla13[[#This Row],[SISMED]],TblDisponibilidad[],21,FALSE), 0)</f>
        <v>0</v>
      </c>
      <c r="R115">
        <f>IFERROR(VLOOKUP(Tabla13[[#This Row],[SISMED]],TblDisponibilidad[],22,FALSE), 0)</f>
        <v>0</v>
      </c>
      <c r="S115" s="15">
        <f>IFERROR(VLOOKUP(Tabla13[[#This Row],[SISMED]],TblDisponibilidad[],23,FALSE), 0)</f>
        <v>0</v>
      </c>
    </row>
    <row r="116" spans="1:19" x14ac:dyDescent="0.3">
      <c r="A116" s="15" t="s">
        <v>146</v>
      </c>
      <c r="B116" t="str">
        <f>IFERROR(VLOOKUP(Tabla13[[#This Row],[SISMED]],TblDisponibilidad[],2,FALSE), "")</f>
        <v/>
      </c>
      <c r="C116">
        <f>IFERROR(VLOOKUP(Tabla13[[#This Row],[SISMED]],TblDisponibilidad[],7,FALSE), 0)</f>
        <v>0</v>
      </c>
      <c r="D116">
        <f>IFERROR(VLOOKUP(Tabla13[[#This Row],[SISMED]],TblDisponibilidad[],8,FALSE), 0)</f>
        <v>0</v>
      </c>
      <c r="E116">
        <f>IFERROR(VLOOKUP(Tabla13[[#This Row],[SISMED]],TblDisponibilidad[],9,FALSE), 0)</f>
        <v>0</v>
      </c>
      <c r="F116">
        <f>IFERROR(VLOOKUP(Tabla13[[#This Row],[SISMED]],TblDisponibilidad[],10,FALSE), 0)</f>
        <v>0</v>
      </c>
      <c r="G116">
        <f>IFERROR(VLOOKUP(Tabla13[[#This Row],[SISMED]],TblDisponibilidad[],11,FALSE), 0)</f>
        <v>0</v>
      </c>
      <c r="H116">
        <f>IFERROR(VLOOKUP(Tabla13[[#This Row],[SISMED]],TblDisponibilidad[],12,FALSE), 0)</f>
        <v>0</v>
      </c>
      <c r="I116">
        <f>IFERROR(VLOOKUP(Tabla13[[#This Row],[SISMED]],TblDisponibilidad[],13,FALSE), 0)</f>
        <v>0</v>
      </c>
      <c r="J116">
        <f>IFERROR(VLOOKUP(Tabla13[[#This Row],[SISMED]],TblDisponibilidad[],14,FALSE), 0)</f>
        <v>0</v>
      </c>
      <c r="K116">
        <f>IFERROR(VLOOKUP(Tabla13[[#This Row],[SISMED]],TblDisponibilidad[],15,FALSE), 0)</f>
        <v>0</v>
      </c>
      <c r="L116">
        <f>IFERROR(VLOOKUP(Tabla13[[#This Row],[SISMED]],TblDisponibilidad[],16,FALSE), 0)</f>
        <v>0</v>
      </c>
      <c r="M116">
        <f>IFERROR(VLOOKUP(Tabla13[[#This Row],[SISMED]],TblDisponibilidad[],17,FALSE), 0)</f>
        <v>0</v>
      </c>
      <c r="N116">
        <f>IFERROR(VLOOKUP(Tabla13[[#This Row],[SISMED]],TblDisponibilidad[],18,FALSE), 0)</f>
        <v>0</v>
      </c>
      <c r="O116">
        <f>IFERROR(VLOOKUP(Tabla13[[#This Row],[SISMED]],TblDisponibilidad[],19,FALSE), 0)</f>
        <v>0</v>
      </c>
      <c r="P116">
        <f>IFERROR(VLOOKUP(Tabla13[[#This Row],[SISMED]],TblDisponibilidad[],20,FALSE), 0)</f>
        <v>0</v>
      </c>
      <c r="Q116">
        <f>IFERROR(VLOOKUP(Tabla13[[#This Row],[SISMED]],TblDisponibilidad[],21,FALSE), 0)</f>
        <v>0</v>
      </c>
      <c r="R116">
        <f>IFERROR(VLOOKUP(Tabla13[[#This Row],[SISMED]],TblDisponibilidad[],22,FALSE), 0)</f>
        <v>0</v>
      </c>
      <c r="S116" s="15">
        <f>IFERROR(VLOOKUP(Tabla13[[#This Row],[SISMED]],TblDisponibilidad[],23,FALSE), 0)</f>
        <v>0</v>
      </c>
    </row>
    <row r="117" spans="1:19" x14ac:dyDescent="0.3">
      <c r="A117" s="15" t="s">
        <v>147</v>
      </c>
      <c r="B117" t="str">
        <f>IFERROR(VLOOKUP(Tabla13[[#This Row],[SISMED]],TblDisponibilidad[],2,FALSE), "")</f>
        <v/>
      </c>
      <c r="C117">
        <f>IFERROR(VLOOKUP(Tabla13[[#This Row],[SISMED]],TblDisponibilidad[],7,FALSE), 0)</f>
        <v>0</v>
      </c>
      <c r="D117">
        <f>IFERROR(VLOOKUP(Tabla13[[#This Row],[SISMED]],TblDisponibilidad[],8,FALSE), 0)</f>
        <v>0</v>
      </c>
      <c r="E117">
        <f>IFERROR(VLOOKUP(Tabla13[[#This Row],[SISMED]],TblDisponibilidad[],9,FALSE), 0)</f>
        <v>0</v>
      </c>
      <c r="F117">
        <f>IFERROR(VLOOKUP(Tabla13[[#This Row],[SISMED]],TblDisponibilidad[],10,FALSE), 0)</f>
        <v>0</v>
      </c>
      <c r="G117">
        <f>IFERROR(VLOOKUP(Tabla13[[#This Row],[SISMED]],TblDisponibilidad[],11,FALSE), 0)</f>
        <v>0</v>
      </c>
      <c r="H117">
        <f>IFERROR(VLOOKUP(Tabla13[[#This Row],[SISMED]],TblDisponibilidad[],12,FALSE), 0)</f>
        <v>0</v>
      </c>
      <c r="I117">
        <f>IFERROR(VLOOKUP(Tabla13[[#This Row],[SISMED]],TblDisponibilidad[],13,FALSE), 0)</f>
        <v>0</v>
      </c>
      <c r="J117">
        <f>IFERROR(VLOOKUP(Tabla13[[#This Row],[SISMED]],TblDisponibilidad[],14,FALSE), 0)</f>
        <v>0</v>
      </c>
      <c r="K117">
        <f>IFERROR(VLOOKUP(Tabla13[[#This Row],[SISMED]],TblDisponibilidad[],15,FALSE), 0)</f>
        <v>0</v>
      </c>
      <c r="L117">
        <f>IFERROR(VLOOKUP(Tabla13[[#This Row],[SISMED]],TblDisponibilidad[],16,FALSE), 0)</f>
        <v>0</v>
      </c>
      <c r="M117">
        <f>IFERROR(VLOOKUP(Tabla13[[#This Row],[SISMED]],TblDisponibilidad[],17,FALSE), 0)</f>
        <v>0</v>
      </c>
      <c r="N117">
        <f>IFERROR(VLOOKUP(Tabla13[[#This Row],[SISMED]],TblDisponibilidad[],18,FALSE), 0)</f>
        <v>0</v>
      </c>
      <c r="O117">
        <f>IFERROR(VLOOKUP(Tabla13[[#This Row],[SISMED]],TblDisponibilidad[],19,FALSE), 0)</f>
        <v>0</v>
      </c>
      <c r="P117">
        <f>IFERROR(VLOOKUP(Tabla13[[#This Row],[SISMED]],TblDisponibilidad[],20,FALSE), 0)</f>
        <v>0</v>
      </c>
      <c r="Q117">
        <f>IFERROR(VLOOKUP(Tabla13[[#This Row],[SISMED]],TblDisponibilidad[],21,FALSE), 0)</f>
        <v>0</v>
      </c>
      <c r="R117">
        <f>IFERROR(VLOOKUP(Tabla13[[#This Row],[SISMED]],TblDisponibilidad[],22,FALSE), 0)</f>
        <v>0</v>
      </c>
      <c r="S117" s="15">
        <f>IFERROR(VLOOKUP(Tabla13[[#This Row],[SISMED]],TblDisponibilidad[],23,FALSE), 0)</f>
        <v>0</v>
      </c>
    </row>
    <row r="118" spans="1:19" x14ac:dyDescent="0.3">
      <c r="A118" s="15" t="s">
        <v>148</v>
      </c>
      <c r="B118" t="str">
        <f>IFERROR(VLOOKUP(Tabla13[[#This Row],[SISMED]],TblDisponibilidad[],2,FALSE), "")</f>
        <v/>
      </c>
      <c r="C118">
        <f>IFERROR(VLOOKUP(Tabla13[[#This Row],[SISMED]],TblDisponibilidad[],7,FALSE), 0)</f>
        <v>0</v>
      </c>
      <c r="D118">
        <f>IFERROR(VLOOKUP(Tabla13[[#This Row],[SISMED]],TblDisponibilidad[],8,FALSE), 0)</f>
        <v>0</v>
      </c>
      <c r="E118">
        <f>IFERROR(VLOOKUP(Tabla13[[#This Row],[SISMED]],TblDisponibilidad[],9,FALSE), 0)</f>
        <v>0</v>
      </c>
      <c r="F118">
        <f>IFERROR(VLOOKUP(Tabla13[[#This Row],[SISMED]],TblDisponibilidad[],10,FALSE), 0)</f>
        <v>0</v>
      </c>
      <c r="G118">
        <f>IFERROR(VLOOKUP(Tabla13[[#This Row],[SISMED]],TblDisponibilidad[],11,FALSE), 0)</f>
        <v>0</v>
      </c>
      <c r="H118">
        <f>IFERROR(VLOOKUP(Tabla13[[#This Row],[SISMED]],TblDisponibilidad[],12,FALSE), 0)</f>
        <v>0</v>
      </c>
      <c r="I118">
        <f>IFERROR(VLOOKUP(Tabla13[[#This Row],[SISMED]],TblDisponibilidad[],13,FALSE), 0)</f>
        <v>0</v>
      </c>
      <c r="J118">
        <f>IFERROR(VLOOKUP(Tabla13[[#This Row],[SISMED]],TblDisponibilidad[],14,FALSE), 0)</f>
        <v>0</v>
      </c>
      <c r="K118">
        <f>IFERROR(VLOOKUP(Tabla13[[#This Row],[SISMED]],TblDisponibilidad[],15,FALSE), 0)</f>
        <v>0</v>
      </c>
      <c r="L118">
        <f>IFERROR(VLOOKUP(Tabla13[[#This Row],[SISMED]],TblDisponibilidad[],16,FALSE), 0)</f>
        <v>0</v>
      </c>
      <c r="M118">
        <f>IFERROR(VLOOKUP(Tabla13[[#This Row],[SISMED]],TblDisponibilidad[],17,FALSE), 0)</f>
        <v>0</v>
      </c>
      <c r="N118">
        <f>IFERROR(VLOOKUP(Tabla13[[#This Row],[SISMED]],TblDisponibilidad[],18,FALSE), 0)</f>
        <v>0</v>
      </c>
      <c r="O118">
        <f>IFERROR(VLOOKUP(Tabla13[[#This Row],[SISMED]],TblDisponibilidad[],19,FALSE), 0)</f>
        <v>0</v>
      </c>
      <c r="P118">
        <f>IFERROR(VLOOKUP(Tabla13[[#This Row],[SISMED]],TblDisponibilidad[],20,FALSE), 0)</f>
        <v>0</v>
      </c>
      <c r="Q118">
        <f>IFERROR(VLOOKUP(Tabla13[[#This Row],[SISMED]],TblDisponibilidad[],21,FALSE), 0)</f>
        <v>0</v>
      </c>
      <c r="R118">
        <f>IFERROR(VLOOKUP(Tabla13[[#This Row],[SISMED]],TblDisponibilidad[],22,FALSE), 0)</f>
        <v>0</v>
      </c>
      <c r="S118" s="15">
        <f>IFERROR(VLOOKUP(Tabla13[[#This Row],[SISMED]],TblDisponibilidad[],23,FALSE), 0)</f>
        <v>0</v>
      </c>
    </row>
    <row r="119" spans="1:19" x14ac:dyDescent="0.3">
      <c r="A119" s="15" t="s">
        <v>149</v>
      </c>
      <c r="B119" t="str">
        <f>IFERROR(VLOOKUP(Tabla13[[#This Row],[SISMED]],TblDisponibilidad[],2,FALSE), "")</f>
        <v/>
      </c>
      <c r="C119">
        <f>IFERROR(VLOOKUP(Tabla13[[#This Row],[SISMED]],TblDisponibilidad[],7,FALSE), 0)</f>
        <v>0</v>
      </c>
      <c r="D119">
        <f>IFERROR(VLOOKUP(Tabla13[[#This Row],[SISMED]],TblDisponibilidad[],8,FALSE), 0)</f>
        <v>0</v>
      </c>
      <c r="E119">
        <f>IFERROR(VLOOKUP(Tabla13[[#This Row],[SISMED]],TblDisponibilidad[],9,FALSE), 0)</f>
        <v>0</v>
      </c>
      <c r="F119">
        <f>IFERROR(VLOOKUP(Tabla13[[#This Row],[SISMED]],TblDisponibilidad[],10,FALSE), 0)</f>
        <v>0</v>
      </c>
      <c r="G119">
        <f>IFERROR(VLOOKUP(Tabla13[[#This Row],[SISMED]],TblDisponibilidad[],11,FALSE), 0)</f>
        <v>0</v>
      </c>
      <c r="H119">
        <f>IFERROR(VLOOKUP(Tabla13[[#This Row],[SISMED]],TblDisponibilidad[],12,FALSE), 0)</f>
        <v>0</v>
      </c>
      <c r="I119">
        <f>IFERROR(VLOOKUP(Tabla13[[#This Row],[SISMED]],TblDisponibilidad[],13,FALSE), 0)</f>
        <v>0</v>
      </c>
      <c r="J119">
        <f>IFERROR(VLOOKUP(Tabla13[[#This Row],[SISMED]],TblDisponibilidad[],14,FALSE), 0)</f>
        <v>0</v>
      </c>
      <c r="K119">
        <f>IFERROR(VLOOKUP(Tabla13[[#This Row],[SISMED]],TblDisponibilidad[],15,FALSE), 0)</f>
        <v>0</v>
      </c>
      <c r="L119">
        <f>IFERROR(VLOOKUP(Tabla13[[#This Row],[SISMED]],TblDisponibilidad[],16,FALSE), 0)</f>
        <v>0</v>
      </c>
      <c r="M119">
        <f>IFERROR(VLOOKUP(Tabla13[[#This Row],[SISMED]],TblDisponibilidad[],17,FALSE), 0)</f>
        <v>0</v>
      </c>
      <c r="N119">
        <f>IFERROR(VLOOKUP(Tabla13[[#This Row],[SISMED]],TblDisponibilidad[],18,FALSE), 0)</f>
        <v>0</v>
      </c>
      <c r="O119">
        <f>IFERROR(VLOOKUP(Tabla13[[#This Row],[SISMED]],TblDisponibilidad[],19,FALSE), 0)</f>
        <v>0</v>
      </c>
      <c r="P119">
        <f>IFERROR(VLOOKUP(Tabla13[[#This Row],[SISMED]],TblDisponibilidad[],20,FALSE), 0)</f>
        <v>0</v>
      </c>
      <c r="Q119">
        <f>IFERROR(VLOOKUP(Tabla13[[#This Row],[SISMED]],TblDisponibilidad[],21,FALSE), 0)</f>
        <v>0</v>
      </c>
      <c r="R119">
        <f>IFERROR(VLOOKUP(Tabla13[[#This Row],[SISMED]],TblDisponibilidad[],22,FALSE), 0)</f>
        <v>0</v>
      </c>
      <c r="S119" s="15">
        <f>IFERROR(VLOOKUP(Tabla13[[#This Row],[SISMED]],TblDisponibilidad[],23,FALSE), 0)</f>
        <v>0</v>
      </c>
    </row>
    <row r="120" spans="1:19" x14ac:dyDescent="0.3">
      <c r="A120" s="15" t="s">
        <v>150</v>
      </c>
      <c r="B120" t="str">
        <f>IFERROR(VLOOKUP(Tabla13[[#This Row],[SISMED]],TblDisponibilidad[],2,FALSE), "")</f>
        <v/>
      </c>
      <c r="C120">
        <f>IFERROR(VLOOKUP(Tabla13[[#This Row],[SISMED]],TblDisponibilidad[],7,FALSE), 0)</f>
        <v>0</v>
      </c>
      <c r="D120">
        <f>IFERROR(VLOOKUP(Tabla13[[#This Row],[SISMED]],TblDisponibilidad[],8,FALSE), 0)</f>
        <v>0</v>
      </c>
      <c r="E120">
        <f>IFERROR(VLOOKUP(Tabla13[[#This Row],[SISMED]],TblDisponibilidad[],9,FALSE), 0)</f>
        <v>0</v>
      </c>
      <c r="F120">
        <f>IFERROR(VLOOKUP(Tabla13[[#This Row],[SISMED]],TblDisponibilidad[],10,FALSE), 0)</f>
        <v>0</v>
      </c>
      <c r="G120">
        <f>IFERROR(VLOOKUP(Tabla13[[#This Row],[SISMED]],TblDisponibilidad[],11,FALSE), 0)</f>
        <v>0</v>
      </c>
      <c r="H120">
        <f>IFERROR(VLOOKUP(Tabla13[[#This Row],[SISMED]],TblDisponibilidad[],12,FALSE), 0)</f>
        <v>0</v>
      </c>
      <c r="I120">
        <f>IFERROR(VLOOKUP(Tabla13[[#This Row],[SISMED]],TblDisponibilidad[],13,FALSE), 0)</f>
        <v>0</v>
      </c>
      <c r="J120">
        <f>IFERROR(VLOOKUP(Tabla13[[#This Row],[SISMED]],TblDisponibilidad[],14,FALSE), 0)</f>
        <v>0</v>
      </c>
      <c r="K120">
        <f>IFERROR(VLOOKUP(Tabla13[[#This Row],[SISMED]],TblDisponibilidad[],15,FALSE), 0)</f>
        <v>0</v>
      </c>
      <c r="L120">
        <f>IFERROR(VLOOKUP(Tabla13[[#This Row],[SISMED]],TblDisponibilidad[],16,FALSE), 0)</f>
        <v>0</v>
      </c>
      <c r="M120">
        <f>IFERROR(VLOOKUP(Tabla13[[#This Row],[SISMED]],TblDisponibilidad[],17,FALSE), 0)</f>
        <v>0</v>
      </c>
      <c r="N120">
        <f>IFERROR(VLOOKUP(Tabla13[[#This Row],[SISMED]],TblDisponibilidad[],18,FALSE), 0)</f>
        <v>0</v>
      </c>
      <c r="O120">
        <f>IFERROR(VLOOKUP(Tabla13[[#This Row],[SISMED]],TblDisponibilidad[],19,FALSE), 0)</f>
        <v>0</v>
      </c>
      <c r="P120">
        <f>IFERROR(VLOOKUP(Tabla13[[#This Row],[SISMED]],TblDisponibilidad[],20,FALSE), 0)</f>
        <v>0</v>
      </c>
      <c r="Q120">
        <f>IFERROR(VLOOKUP(Tabla13[[#This Row],[SISMED]],TblDisponibilidad[],21,FALSE), 0)</f>
        <v>0</v>
      </c>
      <c r="R120">
        <f>IFERROR(VLOOKUP(Tabla13[[#This Row],[SISMED]],TblDisponibilidad[],22,FALSE), 0)</f>
        <v>0</v>
      </c>
      <c r="S120" s="15">
        <f>IFERROR(VLOOKUP(Tabla13[[#This Row],[SISMED]],TblDisponibilidad[],23,FALSE), 0)</f>
        <v>0</v>
      </c>
    </row>
    <row r="121" spans="1:19" x14ac:dyDescent="0.3">
      <c r="A121" s="15" t="s">
        <v>151</v>
      </c>
      <c r="B121" t="str">
        <f>IFERROR(VLOOKUP(Tabla13[[#This Row],[SISMED]],TblDisponibilidad[],2,FALSE), "")</f>
        <v/>
      </c>
      <c r="C121">
        <f>IFERROR(VLOOKUP(Tabla13[[#This Row],[SISMED]],TblDisponibilidad[],7,FALSE), 0)</f>
        <v>0</v>
      </c>
      <c r="D121">
        <f>IFERROR(VLOOKUP(Tabla13[[#This Row],[SISMED]],TblDisponibilidad[],8,FALSE), 0)</f>
        <v>0</v>
      </c>
      <c r="E121">
        <f>IFERROR(VLOOKUP(Tabla13[[#This Row],[SISMED]],TblDisponibilidad[],9,FALSE), 0)</f>
        <v>0</v>
      </c>
      <c r="F121">
        <f>IFERROR(VLOOKUP(Tabla13[[#This Row],[SISMED]],TblDisponibilidad[],10,FALSE), 0)</f>
        <v>0</v>
      </c>
      <c r="G121">
        <f>IFERROR(VLOOKUP(Tabla13[[#This Row],[SISMED]],TblDisponibilidad[],11,FALSE), 0)</f>
        <v>0</v>
      </c>
      <c r="H121">
        <f>IFERROR(VLOOKUP(Tabla13[[#This Row],[SISMED]],TblDisponibilidad[],12,FALSE), 0)</f>
        <v>0</v>
      </c>
      <c r="I121">
        <f>IFERROR(VLOOKUP(Tabla13[[#This Row],[SISMED]],TblDisponibilidad[],13,FALSE), 0)</f>
        <v>0</v>
      </c>
      <c r="J121">
        <f>IFERROR(VLOOKUP(Tabla13[[#This Row],[SISMED]],TblDisponibilidad[],14,FALSE), 0)</f>
        <v>0</v>
      </c>
      <c r="K121">
        <f>IFERROR(VLOOKUP(Tabla13[[#This Row],[SISMED]],TblDisponibilidad[],15,FALSE), 0)</f>
        <v>0</v>
      </c>
      <c r="L121">
        <f>IFERROR(VLOOKUP(Tabla13[[#This Row],[SISMED]],TblDisponibilidad[],16,FALSE), 0)</f>
        <v>0</v>
      </c>
      <c r="M121">
        <f>IFERROR(VLOOKUP(Tabla13[[#This Row],[SISMED]],TblDisponibilidad[],17,FALSE), 0)</f>
        <v>0</v>
      </c>
      <c r="N121">
        <f>IFERROR(VLOOKUP(Tabla13[[#This Row],[SISMED]],TblDisponibilidad[],18,FALSE), 0)</f>
        <v>0</v>
      </c>
      <c r="O121">
        <f>IFERROR(VLOOKUP(Tabla13[[#This Row],[SISMED]],TblDisponibilidad[],19,FALSE), 0)</f>
        <v>0</v>
      </c>
      <c r="P121">
        <f>IFERROR(VLOOKUP(Tabla13[[#This Row],[SISMED]],TblDisponibilidad[],20,FALSE), 0)</f>
        <v>0</v>
      </c>
      <c r="Q121">
        <f>IFERROR(VLOOKUP(Tabla13[[#This Row],[SISMED]],TblDisponibilidad[],21,FALSE), 0)</f>
        <v>0</v>
      </c>
      <c r="R121">
        <f>IFERROR(VLOOKUP(Tabla13[[#This Row],[SISMED]],TblDisponibilidad[],22,FALSE), 0)</f>
        <v>0</v>
      </c>
      <c r="S121" s="15">
        <f>IFERROR(VLOOKUP(Tabla13[[#This Row],[SISMED]],TblDisponibilidad[],23,FALSE), 0)</f>
        <v>0</v>
      </c>
    </row>
    <row r="122" spans="1:19" x14ac:dyDescent="0.3">
      <c r="A122" s="15" t="s">
        <v>152</v>
      </c>
      <c r="B122" t="str">
        <f>IFERROR(VLOOKUP(Tabla13[[#This Row],[SISMED]],TblDisponibilidad[],2,FALSE), "")</f>
        <v/>
      </c>
      <c r="C122">
        <f>IFERROR(VLOOKUP(Tabla13[[#This Row],[SISMED]],TblDisponibilidad[],7,FALSE), 0)</f>
        <v>0</v>
      </c>
      <c r="D122">
        <f>IFERROR(VLOOKUP(Tabla13[[#This Row],[SISMED]],TblDisponibilidad[],8,FALSE), 0)</f>
        <v>0</v>
      </c>
      <c r="E122">
        <f>IFERROR(VLOOKUP(Tabla13[[#This Row],[SISMED]],TblDisponibilidad[],9,FALSE), 0)</f>
        <v>0</v>
      </c>
      <c r="F122">
        <f>IFERROR(VLOOKUP(Tabla13[[#This Row],[SISMED]],TblDisponibilidad[],10,FALSE), 0)</f>
        <v>0</v>
      </c>
      <c r="G122">
        <f>IFERROR(VLOOKUP(Tabla13[[#This Row],[SISMED]],TblDisponibilidad[],11,FALSE), 0)</f>
        <v>0</v>
      </c>
      <c r="H122">
        <f>IFERROR(VLOOKUP(Tabla13[[#This Row],[SISMED]],TblDisponibilidad[],12,FALSE), 0)</f>
        <v>0</v>
      </c>
      <c r="I122">
        <f>IFERROR(VLOOKUP(Tabla13[[#This Row],[SISMED]],TblDisponibilidad[],13,FALSE), 0)</f>
        <v>0</v>
      </c>
      <c r="J122">
        <f>IFERROR(VLOOKUP(Tabla13[[#This Row],[SISMED]],TblDisponibilidad[],14,FALSE), 0)</f>
        <v>0</v>
      </c>
      <c r="K122">
        <f>IFERROR(VLOOKUP(Tabla13[[#This Row],[SISMED]],TblDisponibilidad[],15,FALSE), 0)</f>
        <v>0</v>
      </c>
      <c r="L122">
        <f>IFERROR(VLOOKUP(Tabla13[[#This Row],[SISMED]],TblDisponibilidad[],16,FALSE), 0)</f>
        <v>0</v>
      </c>
      <c r="M122">
        <f>IFERROR(VLOOKUP(Tabla13[[#This Row],[SISMED]],TblDisponibilidad[],17,FALSE), 0)</f>
        <v>0</v>
      </c>
      <c r="N122">
        <f>IFERROR(VLOOKUP(Tabla13[[#This Row],[SISMED]],TblDisponibilidad[],18,FALSE), 0)</f>
        <v>0</v>
      </c>
      <c r="O122">
        <f>IFERROR(VLOOKUP(Tabla13[[#This Row],[SISMED]],TblDisponibilidad[],19,FALSE), 0)</f>
        <v>0</v>
      </c>
      <c r="P122">
        <f>IFERROR(VLOOKUP(Tabla13[[#This Row],[SISMED]],TblDisponibilidad[],20,FALSE), 0)</f>
        <v>0</v>
      </c>
      <c r="Q122">
        <f>IFERROR(VLOOKUP(Tabla13[[#This Row],[SISMED]],TblDisponibilidad[],21,FALSE), 0)</f>
        <v>0</v>
      </c>
      <c r="R122">
        <f>IFERROR(VLOOKUP(Tabla13[[#This Row],[SISMED]],TblDisponibilidad[],22,FALSE), 0)</f>
        <v>0</v>
      </c>
      <c r="S122" s="15">
        <f>IFERROR(VLOOKUP(Tabla13[[#This Row],[SISMED]],TblDisponibilidad[],23,FALSE), 0)</f>
        <v>0</v>
      </c>
    </row>
    <row r="123" spans="1:19" x14ac:dyDescent="0.3">
      <c r="A123" s="15" t="s">
        <v>153</v>
      </c>
      <c r="B123" t="str">
        <f>IFERROR(VLOOKUP(Tabla13[[#This Row],[SISMED]],TblDisponibilidad[],2,FALSE), "")</f>
        <v/>
      </c>
      <c r="C123">
        <f>IFERROR(VLOOKUP(Tabla13[[#This Row],[SISMED]],TblDisponibilidad[],7,FALSE), 0)</f>
        <v>0</v>
      </c>
      <c r="D123">
        <f>IFERROR(VLOOKUP(Tabla13[[#This Row],[SISMED]],TblDisponibilidad[],8,FALSE), 0)</f>
        <v>0</v>
      </c>
      <c r="E123">
        <f>IFERROR(VLOOKUP(Tabla13[[#This Row],[SISMED]],TblDisponibilidad[],9,FALSE), 0)</f>
        <v>0</v>
      </c>
      <c r="F123">
        <f>IFERROR(VLOOKUP(Tabla13[[#This Row],[SISMED]],TblDisponibilidad[],10,FALSE), 0)</f>
        <v>0</v>
      </c>
      <c r="G123">
        <f>IFERROR(VLOOKUP(Tabla13[[#This Row],[SISMED]],TblDisponibilidad[],11,FALSE), 0)</f>
        <v>0</v>
      </c>
      <c r="H123">
        <f>IFERROR(VLOOKUP(Tabla13[[#This Row],[SISMED]],TblDisponibilidad[],12,FALSE), 0)</f>
        <v>0</v>
      </c>
      <c r="I123">
        <f>IFERROR(VLOOKUP(Tabla13[[#This Row],[SISMED]],TblDisponibilidad[],13,FALSE), 0)</f>
        <v>0</v>
      </c>
      <c r="J123">
        <f>IFERROR(VLOOKUP(Tabla13[[#This Row],[SISMED]],TblDisponibilidad[],14,FALSE), 0)</f>
        <v>0</v>
      </c>
      <c r="K123">
        <f>IFERROR(VLOOKUP(Tabla13[[#This Row],[SISMED]],TblDisponibilidad[],15,FALSE), 0)</f>
        <v>0</v>
      </c>
      <c r="L123">
        <f>IFERROR(VLOOKUP(Tabla13[[#This Row],[SISMED]],TblDisponibilidad[],16,FALSE), 0)</f>
        <v>0</v>
      </c>
      <c r="M123">
        <f>IFERROR(VLOOKUP(Tabla13[[#This Row],[SISMED]],TblDisponibilidad[],17,FALSE), 0)</f>
        <v>0</v>
      </c>
      <c r="N123">
        <f>IFERROR(VLOOKUP(Tabla13[[#This Row],[SISMED]],TblDisponibilidad[],18,FALSE), 0)</f>
        <v>0</v>
      </c>
      <c r="O123">
        <f>IFERROR(VLOOKUP(Tabla13[[#This Row],[SISMED]],TblDisponibilidad[],19,FALSE), 0)</f>
        <v>0</v>
      </c>
      <c r="P123">
        <f>IFERROR(VLOOKUP(Tabla13[[#This Row],[SISMED]],TblDisponibilidad[],20,FALSE), 0)</f>
        <v>0</v>
      </c>
      <c r="Q123">
        <f>IFERROR(VLOOKUP(Tabla13[[#This Row],[SISMED]],TblDisponibilidad[],21,FALSE), 0)</f>
        <v>0</v>
      </c>
      <c r="R123">
        <f>IFERROR(VLOOKUP(Tabla13[[#This Row],[SISMED]],TblDisponibilidad[],22,FALSE), 0)</f>
        <v>0</v>
      </c>
      <c r="S123" s="15">
        <f>IFERROR(VLOOKUP(Tabla13[[#This Row],[SISMED]],TblDisponibilidad[],23,FALSE), 0)</f>
        <v>0</v>
      </c>
    </row>
    <row r="124" spans="1:19" x14ac:dyDescent="0.3">
      <c r="A124" s="15" t="s">
        <v>154</v>
      </c>
      <c r="B124" t="str">
        <f>IFERROR(VLOOKUP(Tabla13[[#This Row],[SISMED]],TblDisponibilidad[],2,FALSE), "")</f>
        <v/>
      </c>
      <c r="C124">
        <f>IFERROR(VLOOKUP(Tabla13[[#This Row],[SISMED]],TblDisponibilidad[],7,FALSE), 0)</f>
        <v>0</v>
      </c>
      <c r="D124">
        <f>IFERROR(VLOOKUP(Tabla13[[#This Row],[SISMED]],TblDisponibilidad[],8,FALSE), 0)</f>
        <v>0</v>
      </c>
      <c r="E124">
        <f>IFERROR(VLOOKUP(Tabla13[[#This Row],[SISMED]],TblDisponibilidad[],9,FALSE), 0)</f>
        <v>0</v>
      </c>
      <c r="F124">
        <f>IFERROR(VLOOKUP(Tabla13[[#This Row],[SISMED]],TblDisponibilidad[],10,FALSE), 0)</f>
        <v>0</v>
      </c>
      <c r="G124">
        <f>IFERROR(VLOOKUP(Tabla13[[#This Row],[SISMED]],TblDisponibilidad[],11,FALSE), 0)</f>
        <v>0</v>
      </c>
      <c r="H124">
        <f>IFERROR(VLOOKUP(Tabla13[[#This Row],[SISMED]],TblDisponibilidad[],12,FALSE), 0)</f>
        <v>0</v>
      </c>
      <c r="I124">
        <f>IFERROR(VLOOKUP(Tabla13[[#This Row],[SISMED]],TblDisponibilidad[],13,FALSE), 0)</f>
        <v>0</v>
      </c>
      <c r="J124">
        <f>IFERROR(VLOOKUP(Tabla13[[#This Row],[SISMED]],TblDisponibilidad[],14,FALSE), 0)</f>
        <v>0</v>
      </c>
      <c r="K124">
        <f>IFERROR(VLOOKUP(Tabla13[[#This Row],[SISMED]],TblDisponibilidad[],15,FALSE), 0)</f>
        <v>0</v>
      </c>
      <c r="L124">
        <f>IFERROR(VLOOKUP(Tabla13[[#This Row],[SISMED]],TblDisponibilidad[],16,FALSE), 0)</f>
        <v>0</v>
      </c>
      <c r="M124">
        <f>IFERROR(VLOOKUP(Tabla13[[#This Row],[SISMED]],TblDisponibilidad[],17,FALSE), 0)</f>
        <v>0</v>
      </c>
      <c r="N124">
        <f>IFERROR(VLOOKUP(Tabla13[[#This Row],[SISMED]],TblDisponibilidad[],18,FALSE), 0)</f>
        <v>0</v>
      </c>
      <c r="O124">
        <f>IFERROR(VLOOKUP(Tabla13[[#This Row],[SISMED]],TblDisponibilidad[],19,FALSE), 0)</f>
        <v>0</v>
      </c>
      <c r="P124">
        <f>IFERROR(VLOOKUP(Tabla13[[#This Row],[SISMED]],TblDisponibilidad[],20,FALSE), 0)</f>
        <v>0</v>
      </c>
      <c r="Q124">
        <f>IFERROR(VLOOKUP(Tabla13[[#This Row],[SISMED]],TblDisponibilidad[],21,FALSE), 0)</f>
        <v>0</v>
      </c>
      <c r="R124">
        <f>IFERROR(VLOOKUP(Tabla13[[#This Row],[SISMED]],TblDisponibilidad[],22,FALSE), 0)</f>
        <v>0</v>
      </c>
      <c r="S124" s="15">
        <f>IFERROR(VLOOKUP(Tabla13[[#This Row],[SISMED]],TblDisponibilidad[],23,FALSE), 0)</f>
        <v>0</v>
      </c>
    </row>
    <row r="125" spans="1:19" x14ac:dyDescent="0.3">
      <c r="A125" s="15" t="s">
        <v>155</v>
      </c>
      <c r="B125" t="str">
        <f>IFERROR(VLOOKUP(Tabla13[[#This Row],[SISMED]],TblDisponibilidad[],2,FALSE), "")</f>
        <v/>
      </c>
      <c r="C125">
        <f>IFERROR(VLOOKUP(Tabla13[[#This Row],[SISMED]],TblDisponibilidad[],7,FALSE), 0)</f>
        <v>0</v>
      </c>
      <c r="D125">
        <f>IFERROR(VLOOKUP(Tabla13[[#This Row],[SISMED]],TblDisponibilidad[],8,FALSE), 0)</f>
        <v>0</v>
      </c>
      <c r="E125">
        <f>IFERROR(VLOOKUP(Tabla13[[#This Row],[SISMED]],TblDisponibilidad[],9,FALSE), 0)</f>
        <v>0</v>
      </c>
      <c r="F125">
        <f>IFERROR(VLOOKUP(Tabla13[[#This Row],[SISMED]],TblDisponibilidad[],10,FALSE), 0)</f>
        <v>0</v>
      </c>
      <c r="G125">
        <f>IFERROR(VLOOKUP(Tabla13[[#This Row],[SISMED]],TblDisponibilidad[],11,FALSE), 0)</f>
        <v>0</v>
      </c>
      <c r="H125">
        <f>IFERROR(VLOOKUP(Tabla13[[#This Row],[SISMED]],TblDisponibilidad[],12,FALSE), 0)</f>
        <v>0</v>
      </c>
      <c r="I125">
        <f>IFERROR(VLOOKUP(Tabla13[[#This Row],[SISMED]],TblDisponibilidad[],13,FALSE), 0)</f>
        <v>0</v>
      </c>
      <c r="J125">
        <f>IFERROR(VLOOKUP(Tabla13[[#This Row],[SISMED]],TblDisponibilidad[],14,FALSE), 0)</f>
        <v>0</v>
      </c>
      <c r="K125">
        <f>IFERROR(VLOOKUP(Tabla13[[#This Row],[SISMED]],TblDisponibilidad[],15,FALSE), 0)</f>
        <v>0</v>
      </c>
      <c r="L125">
        <f>IFERROR(VLOOKUP(Tabla13[[#This Row],[SISMED]],TblDisponibilidad[],16,FALSE), 0)</f>
        <v>0</v>
      </c>
      <c r="M125">
        <f>IFERROR(VLOOKUP(Tabla13[[#This Row],[SISMED]],TblDisponibilidad[],17,FALSE), 0)</f>
        <v>0</v>
      </c>
      <c r="N125">
        <f>IFERROR(VLOOKUP(Tabla13[[#This Row],[SISMED]],TblDisponibilidad[],18,FALSE), 0)</f>
        <v>0</v>
      </c>
      <c r="O125">
        <f>IFERROR(VLOOKUP(Tabla13[[#This Row],[SISMED]],TblDisponibilidad[],19,FALSE), 0)</f>
        <v>0</v>
      </c>
      <c r="P125">
        <f>IFERROR(VLOOKUP(Tabla13[[#This Row],[SISMED]],TblDisponibilidad[],20,FALSE), 0)</f>
        <v>0</v>
      </c>
      <c r="Q125">
        <f>IFERROR(VLOOKUP(Tabla13[[#This Row],[SISMED]],TblDisponibilidad[],21,FALSE), 0)</f>
        <v>0</v>
      </c>
      <c r="R125">
        <f>IFERROR(VLOOKUP(Tabla13[[#This Row],[SISMED]],TblDisponibilidad[],22,FALSE), 0)</f>
        <v>0</v>
      </c>
      <c r="S125" s="15">
        <f>IFERROR(VLOOKUP(Tabla13[[#This Row],[SISMED]],TblDisponibilidad[],23,FALSE), 0)</f>
        <v>0</v>
      </c>
    </row>
    <row r="126" spans="1:19" x14ac:dyDescent="0.3">
      <c r="A126" s="15" t="s">
        <v>156</v>
      </c>
      <c r="B126" t="str">
        <f>IFERROR(VLOOKUP(Tabla13[[#This Row],[SISMED]],TblDisponibilidad[],2,FALSE), "")</f>
        <v/>
      </c>
      <c r="C126">
        <f>IFERROR(VLOOKUP(Tabla13[[#This Row],[SISMED]],TblDisponibilidad[],7,FALSE), 0)</f>
        <v>0</v>
      </c>
      <c r="D126">
        <f>IFERROR(VLOOKUP(Tabla13[[#This Row],[SISMED]],TblDisponibilidad[],8,FALSE), 0)</f>
        <v>0</v>
      </c>
      <c r="E126">
        <f>IFERROR(VLOOKUP(Tabla13[[#This Row],[SISMED]],TblDisponibilidad[],9,FALSE), 0)</f>
        <v>0</v>
      </c>
      <c r="F126">
        <f>IFERROR(VLOOKUP(Tabla13[[#This Row],[SISMED]],TblDisponibilidad[],10,FALSE), 0)</f>
        <v>0</v>
      </c>
      <c r="G126">
        <f>IFERROR(VLOOKUP(Tabla13[[#This Row],[SISMED]],TblDisponibilidad[],11,FALSE), 0)</f>
        <v>0</v>
      </c>
      <c r="H126">
        <f>IFERROR(VLOOKUP(Tabla13[[#This Row],[SISMED]],TblDisponibilidad[],12,FALSE), 0)</f>
        <v>0</v>
      </c>
      <c r="I126">
        <f>IFERROR(VLOOKUP(Tabla13[[#This Row],[SISMED]],TblDisponibilidad[],13,FALSE), 0)</f>
        <v>0</v>
      </c>
      <c r="J126">
        <f>IFERROR(VLOOKUP(Tabla13[[#This Row],[SISMED]],TblDisponibilidad[],14,FALSE), 0)</f>
        <v>0</v>
      </c>
      <c r="K126">
        <f>IFERROR(VLOOKUP(Tabla13[[#This Row],[SISMED]],TblDisponibilidad[],15,FALSE), 0)</f>
        <v>0</v>
      </c>
      <c r="L126">
        <f>IFERROR(VLOOKUP(Tabla13[[#This Row],[SISMED]],TblDisponibilidad[],16,FALSE), 0)</f>
        <v>0</v>
      </c>
      <c r="M126">
        <f>IFERROR(VLOOKUP(Tabla13[[#This Row],[SISMED]],TblDisponibilidad[],17,FALSE), 0)</f>
        <v>0</v>
      </c>
      <c r="N126">
        <f>IFERROR(VLOOKUP(Tabla13[[#This Row],[SISMED]],TblDisponibilidad[],18,FALSE), 0)</f>
        <v>0</v>
      </c>
      <c r="O126">
        <f>IFERROR(VLOOKUP(Tabla13[[#This Row],[SISMED]],TblDisponibilidad[],19,FALSE), 0)</f>
        <v>0</v>
      </c>
      <c r="P126">
        <f>IFERROR(VLOOKUP(Tabla13[[#This Row],[SISMED]],TblDisponibilidad[],20,FALSE), 0)</f>
        <v>0</v>
      </c>
      <c r="Q126">
        <f>IFERROR(VLOOKUP(Tabla13[[#This Row],[SISMED]],TblDisponibilidad[],21,FALSE), 0)</f>
        <v>0</v>
      </c>
      <c r="R126">
        <f>IFERROR(VLOOKUP(Tabla13[[#This Row],[SISMED]],TblDisponibilidad[],22,FALSE), 0)</f>
        <v>0</v>
      </c>
      <c r="S126" s="15">
        <f>IFERROR(VLOOKUP(Tabla13[[#This Row],[SISMED]],TblDisponibilidad[],23,FALSE), 0)</f>
        <v>0</v>
      </c>
    </row>
    <row r="127" spans="1:19" x14ac:dyDescent="0.3">
      <c r="A127" s="15" t="s">
        <v>157</v>
      </c>
      <c r="B127" t="str">
        <f>IFERROR(VLOOKUP(Tabla13[[#This Row],[SISMED]],TblDisponibilidad[],2,FALSE), "")</f>
        <v/>
      </c>
      <c r="C127">
        <f>IFERROR(VLOOKUP(Tabla13[[#This Row],[SISMED]],TblDisponibilidad[],7,FALSE), 0)</f>
        <v>0</v>
      </c>
      <c r="D127">
        <f>IFERROR(VLOOKUP(Tabla13[[#This Row],[SISMED]],TblDisponibilidad[],8,FALSE), 0)</f>
        <v>0</v>
      </c>
      <c r="E127">
        <f>IFERROR(VLOOKUP(Tabla13[[#This Row],[SISMED]],TblDisponibilidad[],9,FALSE), 0)</f>
        <v>0</v>
      </c>
      <c r="F127">
        <f>IFERROR(VLOOKUP(Tabla13[[#This Row],[SISMED]],TblDisponibilidad[],10,FALSE), 0)</f>
        <v>0</v>
      </c>
      <c r="G127">
        <f>IFERROR(VLOOKUP(Tabla13[[#This Row],[SISMED]],TblDisponibilidad[],11,FALSE), 0)</f>
        <v>0</v>
      </c>
      <c r="H127">
        <f>IFERROR(VLOOKUP(Tabla13[[#This Row],[SISMED]],TblDisponibilidad[],12,FALSE), 0)</f>
        <v>0</v>
      </c>
      <c r="I127">
        <f>IFERROR(VLOOKUP(Tabla13[[#This Row],[SISMED]],TblDisponibilidad[],13,FALSE), 0)</f>
        <v>0</v>
      </c>
      <c r="J127">
        <f>IFERROR(VLOOKUP(Tabla13[[#This Row],[SISMED]],TblDisponibilidad[],14,FALSE), 0)</f>
        <v>0</v>
      </c>
      <c r="K127">
        <f>IFERROR(VLOOKUP(Tabla13[[#This Row],[SISMED]],TblDisponibilidad[],15,FALSE), 0)</f>
        <v>0</v>
      </c>
      <c r="L127">
        <f>IFERROR(VLOOKUP(Tabla13[[#This Row],[SISMED]],TblDisponibilidad[],16,FALSE), 0)</f>
        <v>0</v>
      </c>
      <c r="M127">
        <f>IFERROR(VLOOKUP(Tabla13[[#This Row],[SISMED]],TblDisponibilidad[],17,FALSE), 0)</f>
        <v>0</v>
      </c>
      <c r="N127">
        <f>IFERROR(VLOOKUP(Tabla13[[#This Row],[SISMED]],TblDisponibilidad[],18,FALSE), 0)</f>
        <v>0</v>
      </c>
      <c r="O127">
        <f>IFERROR(VLOOKUP(Tabla13[[#This Row],[SISMED]],TblDisponibilidad[],19,FALSE), 0)</f>
        <v>0</v>
      </c>
      <c r="P127">
        <f>IFERROR(VLOOKUP(Tabla13[[#This Row],[SISMED]],TblDisponibilidad[],20,FALSE), 0)</f>
        <v>0</v>
      </c>
      <c r="Q127">
        <f>IFERROR(VLOOKUP(Tabla13[[#This Row],[SISMED]],TblDisponibilidad[],21,FALSE), 0)</f>
        <v>0</v>
      </c>
      <c r="R127">
        <f>IFERROR(VLOOKUP(Tabla13[[#This Row],[SISMED]],TblDisponibilidad[],22,FALSE), 0)</f>
        <v>0</v>
      </c>
      <c r="S127" s="15">
        <f>IFERROR(VLOOKUP(Tabla13[[#This Row],[SISMED]],TblDisponibilidad[],23,FALSE), 0)</f>
        <v>0</v>
      </c>
    </row>
    <row r="128" spans="1:19" x14ac:dyDescent="0.3">
      <c r="A128" s="15" t="s">
        <v>158</v>
      </c>
      <c r="B128" t="str">
        <f>IFERROR(VLOOKUP(Tabla13[[#This Row],[SISMED]],TblDisponibilidad[],2,FALSE), "")</f>
        <v/>
      </c>
      <c r="C128">
        <f>IFERROR(VLOOKUP(Tabla13[[#This Row],[SISMED]],TblDisponibilidad[],7,FALSE), 0)</f>
        <v>0</v>
      </c>
      <c r="D128">
        <f>IFERROR(VLOOKUP(Tabla13[[#This Row],[SISMED]],TblDisponibilidad[],8,FALSE), 0)</f>
        <v>0</v>
      </c>
      <c r="E128">
        <f>IFERROR(VLOOKUP(Tabla13[[#This Row],[SISMED]],TblDisponibilidad[],9,FALSE), 0)</f>
        <v>0</v>
      </c>
      <c r="F128">
        <f>IFERROR(VLOOKUP(Tabla13[[#This Row],[SISMED]],TblDisponibilidad[],10,FALSE), 0)</f>
        <v>0</v>
      </c>
      <c r="G128">
        <f>IFERROR(VLOOKUP(Tabla13[[#This Row],[SISMED]],TblDisponibilidad[],11,FALSE), 0)</f>
        <v>0</v>
      </c>
      <c r="H128">
        <f>IFERROR(VLOOKUP(Tabla13[[#This Row],[SISMED]],TblDisponibilidad[],12,FALSE), 0)</f>
        <v>0</v>
      </c>
      <c r="I128">
        <f>IFERROR(VLOOKUP(Tabla13[[#This Row],[SISMED]],TblDisponibilidad[],13,FALSE), 0)</f>
        <v>0</v>
      </c>
      <c r="J128">
        <f>IFERROR(VLOOKUP(Tabla13[[#This Row],[SISMED]],TblDisponibilidad[],14,FALSE), 0)</f>
        <v>0</v>
      </c>
      <c r="K128">
        <f>IFERROR(VLOOKUP(Tabla13[[#This Row],[SISMED]],TblDisponibilidad[],15,FALSE), 0)</f>
        <v>0</v>
      </c>
      <c r="L128">
        <f>IFERROR(VLOOKUP(Tabla13[[#This Row],[SISMED]],TblDisponibilidad[],16,FALSE), 0)</f>
        <v>0</v>
      </c>
      <c r="M128">
        <f>IFERROR(VLOOKUP(Tabla13[[#This Row],[SISMED]],TblDisponibilidad[],17,FALSE), 0)</f>
        <v>0</v>
      </c>
      <c r="N128">
        <f>IFERROR(VLOOKUP(Tabla13[[#This Row],[SISMED]],TblDisponibilidad[],18,FALSE), 0)</f>
        <v>0</v>
      </c>
      <c r="O128">
        <f>IFERROR(VLOOKUP(Tabla13[[#This Row],[SISMED]],TblDisponibilidad[],19,FALSE), 0)</f>
        <v>0</v>
      </c>
      <c r="P128">
        <f>IFERROR(VLOOKUP(Tabla13[[#This Row],[SISMED]],TblDisponibilidad[],20,FALSE), 0)</f>
        <v>0</v>
      </c>
      <c r="Q128">
        <f>IFERROR(VLOOKUP(Tabla13[[#This Row],[SISMED]],TblDisponibilidad[],21,FALSE), 0)</f>
        <v>0</v>
      </c>
      <c r="R128">
        <f>IFERROR(VLOOKUP(Tabla13[[#This Row],[SISMED]],TblDisponibilidad[],22,FALSE), 0)</f>
        <v>0</v>
      </c>
      <c r="S128" s="15">
        <f>IFERROR(VLOOKUP(Tabla13[[#This Row],[SISMED]],TblDisponibilidad[],23,FALSE), 0)</f>
        <v>0</v>
      </c>
    </row>
    <row r="129" spans="1:19" x14ac:dyDescent="0.3">
      <c r="A129" s="15" t="s">
        <v>159</v>
      </c>
      <c r="B129" t="str">
        <f>IFERROR(VLOOKUP(Tabla13[[#This Row],[SISMED]],TblDisponibilidad[],2,FALSE), "")</f>
        <v/>
      </c>
      <c r="C129">
        <f>IFERROR(VLOOKUP(Tabla13[[#This Row],[SISMED]],TblDisponibilidad[],7,FALSE), 0)</f>
        <v>0</v>
      </c>
      <c r="D129">
        <f>IFERROR(VLOOKUP(Tabla13[[#This Row],[SISMED]],TblDisponibilidad[],8,FALSE), 0)</f>
        <v>0</v>
      </c>
      <c r="E129">
        <f>IFERROR(VLOOKUP(Tabla13[[#This Row],[SISMED]],TblDisponibilidad[],9,FALSE), 0)</f>
        <v>0</v>
      </c>
      <c r="F129">
        <f>IFERROR(VLOOKUP(Tabla13[[#This Row],[SISMED]],TblDisponibilidad[],10,FALSE), 0)</f>
        <v>0</v>
      </c>
      <c r="G129">
        <f>IFERROR(VLOOKUP(Tabla13[[#This Row],[SISMED]],TblDisponibilidad[],11,FALSE), 0)</f>
        <v>0</v>
      </c>
      <c r="H129">
        <f>IFERROR(VLOOKUP(Tabla13[[#This Row],[SISMED]],TblDisponibilidad[],12,FALSE), 0)</f>
        <v>0</v>
      </c>
      <c r="I129">
        <f>IFERROR(VLOOKUP(Tabla13[[#This Row],[SISMED]],TblDisponibilidad[],13,FALSE), 0)</f>
        <v>0</v>
      </c>
      <c r="J129">
        <f>IFERROR(VLOOKUP(Tabla13[[#This Row],[SISMED]],TblDisponibilidad[],14,FALSE), 0)</f>
        <v>0</v>
      </c>
      <c r="K129">
        <f>IFERROR(VLOOKUP(Tabla13[[#This Row],[SISMED]],TblDisponibilidad[],15,FALSE), 0)</f>
        <v>0</v>
      </c>
      <c r="L129">
        <f>IFERROR(VLOOKUP(Tabla13[[#This Row],[SISMED]],TblDisponibilidad[],16,FALSE), 0)</f>
        <v>0</v>
      </c>
      <c r="M129">
        <f>IFERROR(VLOOKUP(Tabla13[[#This Row],[SISMED]],TblDisponibilidad[],17,FALSE), 0)</f>
        <v>0</v>
      </c>
      <c r="N129">
        <f>IFERROR(VLOOKUP(Tabla13[[#This Row],[SISMED]],TblDisponibilidad[],18,FALSE), 0)</f>
        <v>0</v>
      </c>
      <c r="O129">
        <f>IFERROR(VLOOKUP(Tabla13[[#This Row],[SISMED]],TblDisponibilidad[],19,FALSE), 0)</f>
        <v>0</v>
      </c>
      <c r="P129">
        <f>IFERROR(VLOOKUP(Tabla13[[#This Row],[SISMED]],TblDisponibilidad[],20,FALSE), 0)</f>
        <v>0</v>
      </c>
      <c r="Q129">
        <f>IFERROR(VLOOKUP(Tabla13[[#This Row],[SISMED]],TblDisponibilidad[],21,FALSE), 0)</f>
        <v>0</v>
      </c>
      <c r="R129">
        <f>IFERROR(VLOOKUP(Tabla13[[#This Row],[SISMED]],TblDisponibilidad[],22,FALSE), 0)</f>
        <v>0</v>
      </c>
      <c r="S129" s="15">
        <f>IFERROR(VLOOKUP(Tabla13[[#This Row],[SISMED]],TblDisponibilidad[],23,FALSE), 0)</f>
        <v>0</v>
      </c>
    </row>
    <row r="130" spans="1:19" x14ac:dyDescent="0.3">
      <c r="A130" s="15" t="s">
        <v>160</v>
      </c>
      <c r="B130" t="str">
        <f>IFERROR(VLOOKUP(Tabla13[[#This Row],[SISMED]],TblDisponibilidad[],2,FALSE), "")</f>
        <v/>
      </c>
      <c r="C130">
        <f>IFERROR(VLOOKUP(Tabla13[[#This Row],[SISMED]],TblDisponibilidad[],7,FALSE), 0)</f>
        <v>0</v>
      </c>
      <c r="D130">
        <f>IFERROR(VLOOKUP(Tabla13[[#This Row],[SISMED]],TblDisponibilidad[],8,FALSE), 0)</f>
        <v>0</v>
      </c>
      <c r="E130">
        <f>IFERROR(VLOOKUP(Tabla13[[#This Row],[SISMED]],TblDisponibilidad[],9,FALSE), 0)</f>
        <v>0</v>
      </c>
      <c r="F130">
        <f>IFERROR(VLOOKUP(Tabla13[[#This Row],[SISMED]],TblDisponibilidad[],10,FALSE), 0)</f>
        <v>0</v>
      </c>
      <c r="G130">
        <f>IFERROR(VLOOKUP(Tabla13[[#This Row],[SISMED]],TblDisponibilidad[],11,FALSE), 0)</f>
        <v>0</v>
      </c>
      <c r="H130">
        <f>IFERROR(VLOOKUP(Tabla13[[#This Row],[SISMED]],TblDisponibilidad[],12,FALSE), 0)</f>
        <v>0</v>
      </c>
      <c r="I130">
        <f>IFERROR(VLOOKUP(Tabla13[[#This Row],[SISMED]],TblDisponibilidad[],13,FALSE), 0)</f>
        <v>0</v>
      </c>
      <c r="J130">
        <f>IFERROR(VLOOKUP(Tabla13[[#This Row],[SISMED]],TblDisponibilidad[],14,FALSE), 0)</f>
        <v>0</v>
      </c>
      <c r="K130">
        <f>IFERROR(VLOOKUP(Tabla13[[#This Row],[SISMED]],TblDisponibilidad[],15,FALSE), 0)</f>
        <v>0</v>
      </c>
      <c r="L130">
        <f>IFERROR(VLOOKUP(Tabla13[[#This Row],[SISMED]],TblDisponibilidad[],16,FALSE), 0)</f>
        <v>0</v>
      </c>
      <c r="M130">
        <f>IFERROR(VLOOKUP(Tabla13[[#This Row],[SISMED]],TblDisponibilidad[],17,FALSE), 0)</f>
        <v>0</v>
      </c>
      <c r="N130">
        <f>IFERROR(VLOOKUP(Tabla13[[#This Row],[SISMED]],TblDisponibilidad[],18,FALSE), 0)</f>
        <v>0</v>
      </c>
      <c r="O130">
        <f>IFERROR(VLOOKUP(Tabla13[[#This Row],[SISMED]],TblDisponibilidad[],19,FALSE), 0)</f>
        <v>0</v>
      </c>
      <c r="P130">
        <f>IFERROR(VLOOKUP(Tabla13[[#This Row],[SISMED]],TblDisponibilidad[],20,FALSE), 0)</f>
        <v>0</v>
      </c>
      <c r="Q130">
        <f>IFERROR(VLOOKUP(Tabla13[[#This Row],[SISMED]],TblDisponibilidad[],21,FALSE), 0)</f>
        <v>0</v>
      </c>
      <c r="R130">
        <f>IFERROR(VLOOKUP(Tabla13[[#This Row],[SISMED]],TblDisponibilidad[],22,FALSE), 0)</f>
        <v>0</v>
      </c>
      <c r="S130" s="15">
        <f>IFERROR(VLOOKUP(Tabla13[[#This Row],[SISMED]],TblDisponibilidad[],23,FALSE), 0)</f>
        <v>0</v>
      </c>
    </row>
    <row r="131" spans="1:19" x14ac:dyDescent="0.3">
      <c r="A131" s="15" t="s">
        <v>161</v>
      </c>
      <c r="B131" t="str">
        <f>IFERROR(VLOOKUP(Tabla13[[#This Row],[SISMED]],TblDisponibilidad[],2,FALSE), "")</f>
        <v/>
      </c>
      <c r="C131">
        <f>IFERROR(VLOOKUP(Tabla13[[#This Row],[SISMED]],TblDisponibilidad[],7,FALSE), 0)</f>
        <v>0</v>
      </c>
      <c r="D131">
        <f>IFERROR(VLOOKUP(Tabla13[[#This Row],[SISMED]],TblDisponibilidad[],8,FALSE), 0)</f>
        <v>0</v>
      </c>
      <c r="E131">
        <f>IFERROR(VLOOKUP(Tabla13[[#This Row],[SISMED]],TblDisponibilidad[],9,FALSE), 0)</f>
        <v>0</v>
      </c>
      <c r="F131">
        <f>IFERROR(VLOOKUP(Tabla13[[#This Row],[SISMED]],TblDisponibilidad[],10,FALSE), 0)</f>
        <v>0</v>
      </c>
      <c r="G131">
        <f>IFERROR(VLOOKUP(Tabla13[[#This Row],[SISMED]],TblDisponibilidad[],11,FALSE), 0)</f>
        <v>0</v>
      </c>
      <c r="H131">
        <f>IFERROR(VLOOKUP(Tabla13[[#This Row],[SISMED]],TblDisponibilidad[],12,FALSE), 0)</f>
        <v>0</v>
      </c>
      <c r="I131">
        <f>IFERROR(VLOOKUP(Tabla13[[#This Row],[SISMED]],TblDisponibilidad[],13,FALSE), 0)</f>
        <v>0</v>
      </c>
      <c r="J131">
        <f>IFERROR(VLOOKUP(Tabla13[[#This Row],[SISMED]],TblDisponibilidad[],14,FALSE), 0)</f>
        <v>0</v>
      </c>
      <c r="K131">
        <f>IFERROR(VLOOKUP(Tabla13[[#This Row],[SISMED]],TblDisponibilidad[],15,FALSE), 0)</f>
        <v>0</v>
      </c>
      <c r="L131">
        <f>IFERROR(VLOOKUP(Tabla13[[#This Row],[SISMED]],TblDisponibilidad[],16,FALSE), 0)</f>
        <v>0</v>
      </c>
      <c r="M131">
        <f>IFERROR(VLOOKUP(Tabla13[[#This Row],[SISMED]],TblDisponibilidad[],17,FALSE), 0)</f>
        <v>0</v>
      </c>
      <c r="N131">
        <f>IFERROR(VLOOKUP(Tabla13[[#This Row],[SISMED]],TblDisponibilidad[],18,FALSE), 0)</f>
        <v>0</v>
      </c>
      <c r="O131">
        <f>IFERROR(VLOOKUP(Tabla13[[#This Row],[SISMED]],TblDisponibilidad[],19,FALSE), 0)</f>
        <v>0</v>
      </c>
      <c r="P131">
        <f>IFERROR(VLOOKUP(Tabla13[[#This Row],[SISMED]],TblDisponibilidad[],20,FALSE), 0)</f>
        <v>0</v>
      </c>
      <c r="Q131">
        <f>IFERROR(VLOOKUP(Tabla13[[#This Row],[SISMED]],TblDisponibilidad[],21,FALSE), 0)</f>
        <v>0</v>
      </c>
      <c r="R131">
        <f>IFERROR(VLOOKUP(Tabla13[[#This Row],[SISMED]],TblDisponibilidad[],22,FALSE), 0)</f>
        <v>0</v>
      </c>
      <c r="S131" s="15">
        <f>IFERROR(VLOOKUP(Tabla13[[#This Row],[SISMED]],TblDisponibilidad[],23,FALSE), 0)</f>
        <v>0</v>
      </c>
    </row>
    <row r="132" spans="1:19" x14ac:dyDescent="0.3">
      <c r="A132" s="15" t="s">
        <v>162</v>
      </c>
      <c r="B132" t="str">
        <f>IFERROR(VLOOKUP(Tabla13[[#This Row],[SISMED]],TblDisponibilidad[],2,FALSE), "")</f>
        <v/>
      </c>
      <c r="C132">
        <f>IFERROR(VLOOKUP(Tabla13[[#This Row],[SISMED]],TblDisponibilidad[],7,FALSE), 0)</f>
        <v>0</v>
      </c>
      <c r="D132">
        <f>IFERROR(VLOOKUP(Tabla13[[#This Row],[SISMED]],TblDisponibilidad[],8,FALSE), 0)</f>
        <v>0</v>
      </c>
      <c r="E132">
        <f>IFERROR(VLOOKUP(Tabla13[[#This Row],[SISMED]],TblDisponibilidad[],9,FALSE), 0)</f>
        <v>0</v>
      </c>
      <c r="F132">
        <f>IFERROR(VLOOKUP(Tabla13[[#This Row],[SISMED]],TblDisponibilidad[],10,FALSE), 0)</f>
        <v>0</v>
      </c>
      <c r="G132">
        <f>IFERROR(VLOOKUP(Tabla13[[#This Row],[SISMED]],TblDisponibilidad[],11,FALSE), 0)</f>
        <v>0</v>
      </c>
      <c r="H132">
        <f>IFERROR(VLOOKUP(Tabla13[[#This Row],[SISMED]],TblDisponibilidad[],12,FALSE), 0)</f>
        <v>0</v>
      </c>
      <c r="I132">
        <f>IFERROR(VLOOKUP(Tabla13[[#This Row],[SISMED]],TblDisponibilidad[],13,FALSE), 0)</f>
        <v>0</v>
      </c>
      <c r="J132">
        <f>IFERROR(VLOOKUP(Tabla13[[#This Row],[SISMED]],TblDisponibilidad[],14,FALSE), 0)</f>
        <v>0</v>
      </c>
      <c r="K132">
        <f>IFERROR(VLOOKUP(Tabla13[[#This Row],[SISMED]],TblDisponibilidad[],15,FALSE), 0)</f>
        <v>0</v>
      </c>
      <c r="L132">
        <f>IFERROR(VLOOKUP(Tabla13[[#This Row],[SISMED]],TblDisponibilidad[],16,FALSE), 0)</f>
        <v>0</v>
      </c>
      <c r="M132">
        <f>IFERROR(VLOOKUP(Tabla13[[#This Row],[SISMED]],TblDisponibilidad[],17,FALSE), 0)</f>
        <v>0</v>
      </c>
      <c r="N132">
        <f>IFERROR(VLOOKUP(Tabla13[[#This Row],[SISMED]],TblDisponibilidad[],18,FALSE), 0)</f>
        <v>0</v>
      </c>
      <c r="O132">
        <f>IFERROR(VLOOKUP(Tabla13[[#This Row],[SISMED]],TblDisponibilidad[],19,FALSE), 0)</f>
        <v>0</v>
      </c>
      <c r="P132">
        <f>IFERROR(VLOOKUP(Tabla13[[#This Row],[SISMED]],TblDisponibilidad[],20,FALSE), 0)</f>
        <v>0</v>
      </c>
      <c r="Q132">
        <f>IFERROR(VLOOKUP(Tabla13[[#This Row],[SISMED]],TblDisponibilidad[],21,FALSE), 0)</f>
        <v>0</v>
      </c>
      <c r="R132">
        <f>IFERROR(VLOOKUP(Tabla13[[#This Row],[SISMED]],TblDisponibilidad[],22,FALSE), 0)</f>
        <v>0</v>
      </c>
      <c r="S132" s="15">
        <f>IFERROR(VLOOKUP(Tabla13[[#This Row],[SISMED]],TblDisponibilidad[],23,FALSE), 0)</f>
        <v>0</v>
      </c>
    </row>
    <row r="133" spans="1:19" x14ac:dyDescent="0.3">
      <c r="A133" s="15" t="s">
        <v>163</v>
      </c>
      <c r="B133" t="str">
        <f>IFERROR(VLOOKUP(Tabla13[[#This Row],[SISMED]],TblDisponibilidad[],2,FALSE), "")</f>
        <v/>
      </c>
      <c r="C133">
        <f>IFERROR(VLOOKUP(Tabla13[[#This Row],[SISMED]],TblDisponibilidad[],7,FALSE), 0)</f>
        <v>0</v>
      </c>
      <c r="D133">
        <f>IFERROR(VLOOKUP(Tabla13[[#This Row],[SISMED]],TblDisponibilidad[],8,FALSE), 0)</f>
        <v>0</v>
      </c>
      <c r="E133">
        <f>IFERROR(VLOOKUP(Tabla13[[#This Row],[SISMED]],TblDisponibilidad[],9,FALSE), 0)</f>
        <v>0</v>
      </c>
      <c r="F133">
        <f>IFERROR(VLOOKUP(Tabla13[[#This Row],[SISMED]],TblDisponibilidad[],10,FALSE), 0)</f>
        <v>0</v>
      </c>
      <c r="G133">
        <f>IFERROR(VLOOKUP(Tabla13[[#This Row],[SISMED]],TblDisponibilidad[],11,FALSE), 0)</f>
        <v>0</v>
      </c>
      <c r="H133">
        <f>IFERROR(VLOOKUP(Tabla13[[#This Row],[SISMED]],TblDisponibilidad[],12,FALSE), 0)</f>
        <v>0</v>
      </c>
      <c r="I133">
        <f>IFERROR(VLOOKUP(Tabla13[[#This Row],[SISMED]],TblDisponibilidad[],13,FALSE), 0)</f>
        <v>0</v>
      </c>
      <c r="J133">
        <f>IFERROR(VLOOKUP(Tabla13[[#This Row],[SISMED]],TblDisponibilidad[],14,FALSE), 0)</f>
        <v>0</v>
      </c>
      <c r="K133">
        <f>IFERROR(VLOOKUP(Tabla13[[#This Row],[SISMED]],TblDisponibilidad[],15,FALSE), 0)</f>
        <v>0</v>
      </c>
      <c r="L133">
        <f>IFERROR(VLOOKUP(Tabla13[[#This Row],[SISMED]],TblDisponibilidad[],16,FALSE), 0)</f>
        <v>0</v>
      </c>
      <c r="M133">
        <f>IFERROR(VLOOKUP(Tabla13[[#This Row],[SISMED]],TblDisponibilidad[],17,FALSE), 0)</f>
        <v>0</v>
      </c>
      <c r="N133">
        <f>IFERROR(VLOOKUP(Tabla13[[#This Row],[SISMED]],TblDisponibilidad[],18,FALSE), 0)</f>
        <v>0</v>
      </c>
      <c r="O133">
        <f>IFERROR(VLOOKUP(Tabla13[[#This Row],[SISMED]],TblDisponibilidad[],19,FALSE), 0)</f>
        <v>0</v>
      </c>
      <c r="P133">
        <f>IFERROR(VLOOKUP(Tabla13[[#This Row],[SISMED]],TblDisponibilidad[],20,FALSE), 0)</f>
        <v>0</v>
      </c>
      <c r="Q133">
        <f>IFERROR(VLOOKUP(Tabla13[[#This Row],[SISMED]],TblDisponibilidad[],21,FALSE), 0)</f>
        <v>0</v>
      </c>
      <c r="R133">
        <f>IFERROR(VLOOKUP(Tabla13[[#This Row],[SISMED]],TblDisponibilidad[],22,FALSE), 0)</f>
        <v>0</v>
      </c>
      <c r="S133" s="15">
        <f>IFERROR(VLOOKUP(Tabla13[[#This Row],[SISMED]],TblDisponibilidad[],23,FALSE), 0)</f>
        <v>0</v>
      </c>
    </row>
    <row r="134" spans="1:19" x14ac:dyDescent="0.3">
      <c r="A134" s="15" t="s">
        <v>164</v>
      </c>
      <c r="B134" t="str">
        <f>IFERROR(VLOOKUP(Tabla13[[#This Row],[SISMED]],TblDisponibilidad[],2,FALSE), "")</f>
        <v/>
      </c>
      <c r="C134">
        <f>IFERROR(VLOOKUP(Tabla13[[#This Row],[SISMED]],TblDisponibilidad[],7,FALSE), 0)</f>
        <v>0</v>
      </c>
      <c r="D134">
        <f>IFERROR(VLOOKUP(Tabla13[[#This Row],[SISMED]],TblDisponibilidad[],8,FALSE), 0)</f>
        <v>0</v>
      </c>
      <c r="E134">
        <f>IFERROR(VLOOKUP(Tabla13[[#This Row],[SISMED]],TblDisponibilidad[],9,FALSE), 0)</f>
        <v>0</v>
      </c>
      <c r="F134">
        <f>IFERROR(VLOOKUP(Tabla13[[#This Row],[SISMED]],TblDisponibilidad[],10,FALSE), 0)</f>
        <v>0</v>
      </c>
      <c r="G134">
        <f>IFERROR(VLOOKUP(Tabla13[[#This Row],[SISMED]],TblDisponibilidad[],11,FALSE), 0)</f>
        <v>0</v>
      </c>
      <c r="H134">
        <f>IFERROR(VLOOKUP(Tabla13[[#This Row],[SISMED]],TblDisponibilidad[],12,FALSE), 0)</f>
        <v>0</v>
      </c>
      <c r="I134">
        <f>IFERROR(VLOOKUP(Tabla13[[#This Row],[SISMED]],TblDisponibilidad[],13,FALSE), 0)</f>
        <v>0</v>
      </c>
      <c r="J134">
        <f>IFERROR(VLOOKUP(Tabla13[[#This Row],[SISMED]],TblDisponibilidad[],14,FALSE), 0)</f>
        <v>0</v>
      </c>
      <c r="K134">
        <f>IFERROR(VLOOKUP(Tabla13[[#This Row],[SISMED]],TblDisponibilidad[],15,FALSE), 0)</f>
        <v>0</v>
      </c>
      <c r="L134">
        <f>IFERROR(VLOOKUP(Tabla13[[#This Row],[SISMED]],TblDisponibilidad[],16,FALSE), 0)</f>
        <v>0</v>
      </c>
      <c r="M134">
        <f>IFERROR(VLOOKUP(Tabla13[[#This Row],[SISMED]],TblDisponibilidad[],17,FALSE), 0)</f>
        <v>0</v>
      </c>
      <c r="N134">
        <f>IFERROR(VLOOKUP(Tabla13[[#This Row],[SISMED]],TblDisponibilidad[],18,FALSE), 0)</f>
        <v>0</v>
      </c>
      <c r="O134">
        <f>IFERROR(VLOOKUP(Tabla13[[#This Row],[SISMED]],TblDisponibilidad[],19,FALSE), 0)</f>
        <v>0</v>
      </c>
      <c r="P134">
        <f>IFERROR(VLOOKUP(Tabla13[[#This Row],[SISMED]],TblDisponibilidad[],20,FALSE), 0)</f>
        <v>0</v>
      </c>
      <c r="Q134">
        <f>IFERROR(VLOOKUP(Tabla13[[#This Row],[SISMED]],TblDisponibilidad[],21,FALSE), 0)</f>
        <v>0</v>
      </c>
      <c r="R134">
        <f>IFERROR(VLOOKUP(Tabla13[[#This Row],[SISMED]],TblDisponibilidad[],22,FALSE), 0)</f>
        <v>0</v>
      </c>
      <c r="S134" s="15">
        <f>IFERROR(VLOOKUP(Tabla13[[#This Row],[SISMED]],TblDisponibilidad[],23,FALSE), 0)</f>
        <v>0</v>
      </c>
    </row>
    <row r="135" spans="1:19" x14ac:dyDescent="0.3">
      <c r="A135" s="15" t="s">
        <v>165</v>
      </c>
      <c r="B135" t="str">
        <f>IFERROR(VLOOKUP(Tabla13[[#This Row],[SISMED]],TblDisponibilidad[],2,FALSE), "")</f>
        <v/>
      </c>
      <c r="C135">
        <f>IFERROR(VLOOKUP(Tabla13[[#This Row],[SISMED]],TblDisponibilidad[],7,FALSE), 0)</f>
        <v>0</v>
      </c>
      <c r="D135">
        <f>IFERROR(VLOOKUP(Tabla13[[#This Row],[SISMED]],TblDisponibilidad[],8,FALSE), 0)</f>
        <v>0</v>
      </c>
      <c r="E135">
        <f>IFERROR(VLOOKUP(Tabla13[[#This Row],[SISMED]],TblDisponibilidad[],9,FALSE), 0)</f>
        <v>0</v>
      </c>
      <c r="F135">
        <f>IFERROR(VLOOKUP(Tabla13[[#This Row],[SISMED]],TblDisponibilidad[],10,FALSE), 0)</f>
        <v>0</v>
      </c>
      <c r="G135">
        <f>IFERROR(VLOOKUP(Tabla13[[#This Row],[SISMED]],TblDisponibilidad[],11,FALSE), 0)</f>
        <v>0</v>
      </c>
      <c r="H135">
        <f>IFERROR(VLOOKUP(Tabla13[[#This Row],[SISMED]],TblDisponibilidad[],12,FALSE), 0)</f>
        <v>0</v>
      </c>
      <c r="I135">
        <f>IFERROR(VLOOKUP(Tabla13[[#This Row],[SISMED]],TblDisponibilidad[],13,FALSE), 0)</f>
        <v>0</v>
      </c>
      <c r="J135">
        <f>IFERROR(VLOOKUP(Tabla13[[#This Row],[SISMED]],TblDisponibilidad[],14,FALSE), 0)</f>
        <v>0</v>
      </c>
      <c r="K135">
        <f>IFERROR(VLOOKUP(Tabla13[[#This Row],[SISMED]],TblDisponibilidad[],15,FALSE), 0)</f>
        <v>0</v>
      </c>
      <c r="L135">
        <f>IFERROR(VLOOKUP(Tabla13[[#This Row],[SISMED]],TblDisponibilidad[],16,FALSE), 0)</f>
        <v>0</v>
      </c>
      <c r="M135">
        <f>IFERROR(VLOOKUP(Tabla13[[#This Row],[SISMED]],TblDisponibilidad[],17,FALSE), 0)</f>
        <v>0</v>
      </c>
      <c r="N135">
        <f>IFERROR(VLOOKUP(Tabla13[[#This Row],[SISMED]],TblDisponibilidad[],18,FALSE), 0)</f>
        <v>0</v>
      </c>
      <c r="O135">
        <f>IFERROR(VLOOKUP(Tabla13[[#This Row],[SISMED]],TblDisponibilidad[],19,FALSE), 0)</f>
        <v>0</v>
      </c>
      <c r="P135">
        <f>IFERROR(VLOOKUP(Tabla13[[#This Row],[SISMED]],TblDisponibilidad[],20,FALSE), 0)</f>
        <v>0</v>
      </c>
      <c r="Q135">
        <f>IFERROR(VLOOKUP(Tabla13[[#This Row],[SISMED]],TblDisponibilidad[],21,FALSE), 0)</f>
        <v>0</v>
      </c>
      <c r="R135">
        <f>IFERROR(VLOOKUP(Tabla13[[#This Row],[SISMED]],TblDisponibilidad[],22,FALSE), 0)</f>
        <v>0</v>
      </c>
      <c r="S135" s="15">
        <f>IFERROR(VLOOKUP(Tabla13[[#This Row],[SISMED]],TblDisponibilidad[],23,FALSE), 0)</f>
        <v>0</v>
      </c>
    </row>
    <row r="136" spans="1:19" x14ac:dyDescent="0.3">
      <c r="A136" s="15" t="s">
        <v>166</v>
      </c>
      <c r="B136" t="str">
        <f>IFERROR(VLOOKUP(Tabla13[[#This Row],[SISMED]],TblDisponibilidad[],2,FALSE), "")</f>
        <v/>
      </c>
      <c r="C136">
        <f>IFERROR(VLOOKUP(Tabla13[[#This Row],[SISMED]],TblDisponibilidad[],7,FALSE), 0)</f>
        <v>0</v>
      </c>
      <c r="D136">
        <f>IFERROR(VLOOKUP(Tabla13[[#This Row],[SISMED]],TblDisponibilidad[],8,FALSE), 0)</f>
        <v>0</v>
      </c>
      <c r="E136">
        <f>IFERROR(VLOOKUP(Tabla13[[#This Row],[SISMED]],TblDisponibilidad[],9,FALSE), 0)</f>
        <v>0</v>
      </c>
      <c r="F136">
        <f>IFERROR(VLOOKUP(Tabla13[[#This Row],[SISMED]],TblDisponibilidad[],10,FALSE), 0)</f>
        <v>0</v>
      </c>
      <c r="G136">
        <f>IFERROR(VLOOKUP(Tabla13[[#This Row],[SISMED]],TblDisponibilidad[],11,FALSE), 0)</f>
        <v>0</v>
      </c>
      <c r="H136">
        <f>IFERROR(VLOOKUP(Tabla13[[#This Row],[SISMED]],TblDisponibilidad[],12,FALSE), 0)</f>
        <v>0</v>
      </c>
      <c r="I136">
        <f>IFERROR(VLOOKUP(Tabla13[[#This Row],[SISMED]],TblDisponibilidad[],13,FALSE), 0)</f>
        <v>0</v>
      </c>
      <c r="J136">
        <f>IFERROR(VLOOKUP(Tabla13[[#This Row],[SISMED]],TblDisponibilidad[],14,FALSE), 0)</f>
        <v>0</v>
      </c>
      <c r="K136">
        <f>IFERROR(VLOOKUP(Tabla13[[#This Row],[SISMED]],TblDisponibilidad[],15,FALSE), 0)</f>
        <v>0</v>
      </c>
      <c r="L136">
        <f>IFERROR(VLOOKUP(Tabla13[[#This Row],[SISMED]],TblDisponibilidad[],16,FALSE), 0)</f>
        <v>0</v>
      </c>
      <c r="M136">
        <f>IFERROR(VLOOKUP(Tabla13[[#This Row],[SISMED]],TblDisponibilidad[],17,FALSE), 0)</f>
        <v>0</v>
      </c>
      <c r="N136">
        <f>IFERROR(VLOOKUP(Tabla13[[#This Row],[SISMED]],TblDisponibilidad[],18,FALSE), 0)</f>
        <v>0</v>
      </c>
      <c r="O136">
        <f>IFERROR(VLOOKUP(Tabla13[[#This Row],[SISMED]],TblDisponibilidad[],19,FALSE), 0)</f>
        <v>0</v>
      </c>
      <c r="P136">
        <f>IFERROR(VLOOKUP(Tabla13[[#This Row],[SISMED]],TblDisponibilidad[],20,FALSE), 0)</f>
        <v>0</v>
      </c>
      <c r="Q136">
        <f>IFERROR(VLOOKUP(Tabla13[[#This Row],[SISMED]],TblDisponibilidad[],21,FALSE), 0)</f>
        <v>0</v>
      </c>
      <c r="R136">
        <f>IFERROR(VLOOKUP(Tabla13[[#This Row],[SISMED]],TblDisponibilidad[],22,FALSE), 0)</f>
        <v>0</v>
      </c>
      <c r="S136" s="15">
        <f>IFERROR(VLOOKUP(Tabla13[[#This Row],[SISMED]],TblDisponibilidad[],23,FALSE), 0)</f>
        <v>0</v>
      </c>
    </row>
    <row r="137" spans="1:19" x14ac:dyDescent="0.3">
      <c r="A137" s="15" t="s">
        <v>167</v>
      </c>
      <c r="B137" t="str">
        <f>IFERROR(VLOOKUP(Tabla13[[#This Row],[SISMED]],TblDisponibilidad[],2,FALSE), "")</f>
        <v/>
      </c>
      <c r="C137">
        <f>IFERROR(VLOOKUP(Tabla13[[#This Row],[SISMED]],TblDisponibilidad[],7,FALSE), 0)</f>
        <v>0</v>
      </c>
      <c r="D137">
        <f>IFERROR(VLOOKUP(Tabla13[[#This Row],[SISMED]],TblDisponibilidad[],8,FALSE), 0)</f>
        <v>0</v>
      </c>
      <c r="E137">
        <f>IFERROR(VLOOKUP(Tabla13[[#This Row],[SISMED]],TblDisponibilidad[],9,FALSE), 0)</f>
        <v>0</v>
      </c>
      <c r="F137">
        <f>IFERROR(VLOOKUP(Tabla13[[#This Row],[SISMED]],TblDisponibilidad[],10,FALSE), 0)</f>
        <v>0</v>
      </c>
      <c r="G137">
        <f>IFERROR(VLOOKUP(Tabla13[[#This Row],[SISMED]],TblDisponibilidad[],11,FALSE), 0)</f>
        <v>0</v>
      </c>
      <c r="H137">
        <f>IFERROR(VLOOKUP(Tabla13[[#This Row],[SISMED]],TblDisponibilidad[],12,FALSE), 0)</f>
        <v>0</v>
      </c>
      <c r="I137">
        <f>IFERROR(VLOOKUP(Tabla13[[#This Row],[SISMED]],TblDisponibilidad[],13,FALSE), 0)</f>
        <v>0</v>
      </c>
      <c r="J137">
        <f>IFERROR(VLOOKUP(Tabla13[[#This Row],[SISMED]],TblDisponibilidad[],14,FALSE), 0)</f>
        <v>0</v>
      </c>
      <c r="K137">
        <f>IFERROR(VLOOKUP(Tabla13[[#This Row],[SISMED]],TblDisponibilidad[],15,FALSE), 0)</f>
        <v>0</v>
      </c>
      <c r="L137">
        <f>IFERROR(VLOOKUP(Tabla13[[#This Row],[SISMED]],TblDisponibilidad[],16,FALSE), 0)</f>
        <v>0</v>
      </c>
      <c r="M137">
        <f>IFERROR(VLOOKUP(Tabla13[[#This Row],[SISMED]],TblDisponibilidad[],17,FALSE), 0)</f>
        <v>0</v>
      </c>
      <c r="N137">
        <f>IFERROR(VLOOKUP(Tabla13[[#This Row],[SISMED]],TblDisponibilidad[],18,FALSE), 0)</f>
        <v>0</v>
      </c>
      <c r="O137">
        <f>IFERROR(VLOOKUP(Tabla13[[#This Row],[SISMED]],TblDisponibilidad[],19,FALSE), 0)</f>
        <v>0</v>
      </c>
      <c r="P137">
        <f>IFERROR(VLOOKUP(Tabla13[[#This Row],[SISMED]],TblDisponibilidad[],20,FALSE), 0)</f>
        <v>0</v>
      </c>
      <c r="Q137">
        <f>IFERROR(VLOOKUP(Tabla13[[#This Row],[SISMED]],TblDisponibilidad[],21,FALSE), 0)</f>
        <v>0</v>
      </c>
      <c r="R137">
        <f>IFERROR(VLOOKUP(Tabla13[[#This Row],[SISMED]],TblDisponibilidad[],22,FALSE), 0)</f>
        <v>0</v>
      </c>
      <c r="S137" s="15">
        <f>IFERROR(VLOOKUP(Tabla13[[#This Row],[SISMED]],TblDisponibilidad[],23,FALSE), 0)</f>
        <v>0</v>
      </c>
    </row>
    <row r="138" spans="1:19" x14ac:dyDescent="0.3">
      <c r="A138" s="15" t="s">
        <v>168</v>
      </c>
      <c r="B138" t="str">
        <f>IFERROR(VLOOKUP(Tabla13[[#This Row],[SISMED]],TblDisponibilidad[],2,FALSE), "")</f>
        <v/>
      </c>
      <c r="C138">
        <f>IFERROR(VLOOKUP(Tabla13[[#This Row],[SISMED]],TblDisponibilidad[],7,FALSE), 0)</f>
        <v>0</v>
      </c>
      <c r="D138">
        <f>IFERROR(VLOOKUP(Tabla13[[#This Row],[SISMED]],TblDisponibilidad[],8,FALSE), 0)</f>
        <v>0</v>
      </c>
      <c r="E138">
        <f>IFERROR(VLOOKUP(Tabla13[[#This Row],[SISMED]],TblDisponibilidad[],9,FALSE), 0)</f>
        <v>0</v>
      </c>
      <c r="F138">
        <f>IFERROR(VLOOKUP(Tabla13[[#This Row],[SISMED]],TblDisponibilidad[],10,FALSE), 0)</f>
        <v>0</v>
      </c>
      <c r="G138">
        <f>IFERROR(VLOOKUP(Tabla13[[#This Row],[SISMED]],TblDisponibilidad[],11,FALSE), 0)</f>
        <v>0</v>
      </c>
      <c r="H138">
        <f>IFERROR(VLOOKUP(Tabla13[[#This Row],[SISMED]],TblDisponibilidad[],12,FALSE), 0)</f>
        <v>0</v>
      </c>
      <c r="I138">
        <f>IFERROR(VLOOKUP(Tabla13[[#This Row],[SISMED]],TblDisponibilidad[],13,FALSE), 0)</f>
        <v>0</v>
      </c>
      <c r="J138">
        <f>IFERROR(VLOOKUP(Tabla13[[#This Row],[SISMED]],TblDisponibilidad[],14,FALSE), 0)</f>
        <v>0</v>
      </c>
      <c r="K138">
        <f>IFERROR(VLOOKUP(Tabla13[[#This Row],[SISMED]],TblDisponibilidad[],15,FALSE), 0)</f>
        <v>0</v>
      </c>
      <c r="L138">
        <f>IFERROR(VLOOKUP(Tabla13[[#This Row],[SISMED]],TblDisponibilidad[],16,FALSE), 0)</f>
        <v>0</v>
      </c>
      <c r="M138">
        <f>IFERROR(VLOOKUP(Tabla13[[#This Row],[SISMED]],TblDisponibilidad[],17,FALSE), 0)</f>
        <v>0</v>
      </c>
      <c r="N138">
        <f>IFERROR(VLOOKUP(Tabla13[[#This Row],[SISMED]],TblDisponibilidad[],18,FALSE), 0)</f>
        <v>0</v>
      </c>
      <c r="O138">
        <f>IFERROR(VLOOKUP(Tabla13[[#This Row],[SISMED]],TblDisponibilidad[],19,FALSE), 0)</f>
        <v>0</v>
      </c>
      <c r="P138">
        <f>IFERROR(VLOOKUP(Tabla13[[#This Row],[SISMED]],TblDisponibilidad[],20,FALSE), 0)</f>
        <v>0</v>
      </c>
      <c r="Q138">
        <f>IFERROR(VLOOKUP(Tabla13[[#This Row],[SISMED]],TblDisponibilidad[],21,FALSE), 0)</f>
        <v>0</v>
      </c>
      <c r="R138">
        <f>IFERROR(VLOOKUP(Tabla13[[#This Row],[SISMED]],TblDisponibilidad[],22,FALSE), 0)</f>
        <v>0</v>
      </c>
      <c r="S138" s="15">
        <f>IFERROR(VLOOKUP(Tabla13[[#This Row],[SISMED]],TblDisponibilidad[],23,FALSE), 0)</f>
        <v>0</v>
      </c>
    </row>
    <row r="139" spans="1:19" x14ac:dyDescent="0.3">
      <c r="A139" s="15" t="s">
        <v>169</v>
      </c>
      <c r="B139" t="str">
        <f>IFERROR(VLOOKUP(Tabla13[[#This Row],[SISMED]],TblDisponibilidad[],2,FALSE), "")</f>
        <v/>
      </c>
      <c r="C139">
        <f>IFERROR(VLOOKUP(Tabla13[[#This Row],[SISMED]],TblDisponibilidad[],7,FALSE), 0)</f>
        <v>0</v>
      </c>
      <c r="D139">
        <f>IFERROR(VLOOKUP(Tabla13[[#This Row],[SISMED]],TblDisponibilidad[],8,FALSE), 0)</f>
        <v>0</v>
      </c>
      <c r="E139">
        <f>IFERROR(VLOOKUP(Tabla13[[#This Row],[SISMED]],TblDisponibilidad[],9,FALSE), 0)</f>
        <v>0</v>
      </c>
      <c r="F139">
        <f>IFERROR(VLOOKUP(Tabla13[[#This Row],[SISMED]],TblDisponibilidad[],10,FALSE), 0)</f>
        <v>0</v>
      </c>
      <c r="G139">
        <f>IFERROR(VLOOKUP(Tabla13[[#This Row],[SISMED]],TblDisponibilidad[],11,FALSE), 0)</f>
        <v>0</v>
      </c>
      <c r="H139">
        <f>IFERROR(VLOOKUP(Tabla13[[#This Row],[SISMED]],TblDisponibilidad[],12,FALSE), 0)</f>
        <v>0</v>
      </c>
      <c r="I139">
        <f>IFERROR(VLOOKUP(Tabla13[[#This Row],[SISMED]],TblDisponibilidad[],13,FALSE), 0)</f>
        <v>0</v>
      </c>
      <c r="J139">
        <f>IFERROR(VLOOKUP(Tabla13[[#This Row],[SISMED]],TblDisponibilidad[],14,FALSE), 0)</f>
        <v>0</v>
      </c>
      <c r="K139">
        <f>IFERROR(VLOOKUP(Tabla13[[#This Row],[SISMED]],TblDisponibilidad[],15,FALSE), 0)</f>
        <v>0</v>
      </c>
      <c r="L139">
        <f>IFERROR(VLOOKUP(Tabla13[[#This Row],[SISMED]],TblDisponibilidad[],16,FALSE), 0)</f>
        <v>0</v>
      </c>
      <c r="M139">
        <f>IFERROR(VLOOKUP(Tabla13[[#This Row],[SISMED]],TblDisponibilidad[],17,FALSE), 0)</f>
        <v>0</v>
      </c>
      <c r="N139">
        <f>IFERROR(VLOOKUP(Tabla13[[#This Row],[SISMED]],TblDisponibilidad[],18,FALSE), 0)</f>
        <v>0</v>
      </c>
      <c r="O139">
        <f>IFERROR(VLOOKUP(Tabla13[[#This Row],[SISMED]],TblDisponibilidad[],19,FALSE), 0)</f>
        <v>0</v>
      </c>
      <c r="P139">
        <f>IFERROR(VLOOKUP(Tabla13[[#This Row],[SISMED]],TblDisponibilidad[],20,FALSE), 0)</f>
        <v>0</v>
      </c>
      <c r="Q139">
        <f>IFERROR(VLOOKUP(Tabla13[[#This Row],[SISMED]],TblDisponibilidad[],21,FALSE), 0)</f>
        <v>0</v>
      </c>
      <c r="R139">
        <f>IFERROR(VLOOKUP(Tabla13[[#This Row],[SISMED]],TblDisponibilidad[],22,FALSE), 0)</f>
        <v>0</v>
      </c>
      <c r="S139" s="15">
        <f>IFERROR(VLOOKUP(Tabla13[[#This Row],[SISMED]],TblDisponibilidad[],23,FALSE), 0)</f>
        <v>0</v>
      </c>
    </row>
    <row r="140" spans="1:19" x14ac:dyDescent="0.3">
      <c r="A140" s="15" t="s">
        <v>170</v>
      </c>
      <c r="B140" t="str">
        <f>IFERROR(VLOOKUP(Tabla13[[#This Row],[SISMED]],TblDisponibilidad[],2,FALSE), "")</f>
        <v/>
      </c>
      <c r="C140">
        <f>IFERROR(VLOOKUP(Tabla13[[#This Row],[SISMED]],TblDisponibilidad[],7,FALSE), 0)</f>
        <v>0</v>
      </c>
      <c r="D140">
        <f>IFERROR(VLOOKUP(Tabla13[[#This Row],[SISMED]],TblDisponibilidad[],8,FALSE), 0)</f>
        <v>0</v>
      </c>
      <c r="E140">
        <f>IFERROR(VLOOKUP(Tabla13[[#This Row],[SISMED]],TblDisponibilidad[],9,FALSE), 0)</f>
        <v>0</v>
      </c>
      <c r="F140">
        <f>IFERROR(VLOOKUP(Tabla13[[#This Row],[SISMED]],TblDisponibilidad[],10,FALSE), 0)</f>
        <v>0</v>
      </c>
      <c r="G140">
        <f>IFERROR(VLOOKUP(Tabla13[[#This Row],[SISMED]],TblDisponibilidad[],11,FALSE), 0)</f>
        <v>0</v>
      </c>
      <c r="H140">
        <f>IFERROR(VLOOKUP(Tabla13[[#This Row],[SISMED]],TblDisponibilidad[],12,FALSE), 0)</f>
        <v>0</v>
      </c>
      <c r="I140">
        <f>IFERROR(VLOOKUP(Tabla13[[#This Row],[SISMED]],TblDisponibilidad[],13,FALSE), 0)</f>
        <v>0</v>
      </c>
      <c r="J140">
        <f>IFERROR(VLOOKUP(Tabla13[[#This Row],[SISMED]],TblDisponibilidad[],14,FALSE), 0)</f>
        <v>0</v>
      </c>
      <c r="K140">
        <f>IFERROR(VLOOKUP(Tabla13[[#This Row],[SISMED]],TblDisponibilidad[],15,FALSE), 0)</f>
        <v>0</v>
      </c>
      <c r="L140">
        <f>IFERROR(VLOOKUP(Tabla13[[#This Row],[SISMED]],TblDisponibilidad[],16,FALSE), 0)</f>
        <v>0</v>
      </c>
      <c r="M140">
        <f>IFERROR(VLOOKUP(Tabla13[[#This Row],[SISMED]],TblDisponibilidad[],17,FALSE), 0)</f>
        <v>0</v>
      </c>
      <c r="N140">
        <f>IFERROR(VLOOKUP(Tabla13[[#This Row],[SISMED]],TblDisponibilidad[],18,FALSE), 0)</f>
        <v>0</v>
      </c>
      <c r="O140">
        <f>IFERROR(VLOOKUP(Tabla13[[#This Row],[SISMED]],TblDisponibilidad[],19,FALSE), 0)</f>
        <v>0</v>
      </c>
      <c r="P140">
        <f>IFERROR(VLOOKUP(Tabla13[[#This Row],[SISMED]],TblDisponibilidad[],20,FALSE), 0)</f>
        <v>0</v>
      </c>
      <c r="Q140">
        <f>IFERROR(VLOOKUP(Tabla13[[#This Row],[SISMED]],TblDisponibilidad[],21,FALSE), 0)</f>
        <v>0</v>
      </c>
      <c r="R140">
        <f>IFERROR(VLOOKUP(Tabla13[[#This Row],[SISMED]],TblDisponibilidad[],22,FALSE), 0)</f>
        <v>0</v>
      </c>
      <c r="S140" s="15">
        <f>IFERROR(VLOOKUP(Tabla13[[#This Row],[SISMED]],TblDisponibilidad[],23,FALSE), 0)</f>
        <v>0</v>
      </c>
    </row>
    <row r="141" spans="1:19" x14ac:dyDescent="0.3">
      <c r="A141" s="15" t="s">
        <v>171</v>
      </c>
      <c r="B141" t="str">
        <f>IFERROR(VLOOKUP(Tabla13[[#This Row],[SISMED]],TblDisponibilidad[],2,FALSE), "")</f>
        <v/>
      </c>
      <c r="C141">
        <f>IFERROR(VLOOKUP(Tabla13[[#This Row],[SISMED]],TblDisponibilidad[],7,FALSE), 0)</f>
        <v>0</v>
      </c>
      <c r="D141">
        <f>IFERROR(VLOOKUP(Tabla13[[#This Row],[SISMED]],TblDisponibilidad[],8,FALSE), 0)</f>
        <v>0</v>
      </c>
      <c r="E141">
        <f>IFERROR(VLOOKUP(Tabla13[[#This Row],[SISMED]],TblDisponibilidad[],9,FALSE), 0)</f>
        <v>0</v>
      </c>
      <c r="F141">
        <f>IFERROR(VLOOKUP(Tabla13[[#This Row],[SISMED]],TblDisponibilidad[],10,FALSE), 0)</f>
        <v>0</v>
      </c>
      <c r="G141">
        <f>IFERROR(VLOOKUP(Tabla13[[#This Row],[SISMED]],TblDisponibilidad[],11,FALSE), 0)</f>
        <v>0</v>
      </c>
      <c r="H141">
        <f>IFERROR(VLOOKUP(Tabla13[[#This Row],[SISMED]],TblDisponibilidad[],12,FALSE), 0)</f>
        <v>0</v>
      </c>
      <c r="I141">
        <f>IFERROR(VLOOKUP(Tabla13[[#This Row],[SISMED]],TblDisponibilidad[],13,FALSE), 0)</f>
        <v>0</v>
      </c>
      <c r="J141">
        <f>IFERROR(VLOOKUP(Tabla13[[#This Row],[SISMED]],TblDisponibilidad[],14,FALSE), 0)</f>
        <v>0</v>
      </c>
      <c r="K141">
        <f>IFERROR(VLOOKUP(Tabla13[[#This Row],[SISMED]],TblDisponibilidad[],15,FALSE), 0)</f>
        <v>0</v>
      </c>
      <c r="L141">
        <f>IFERROR(VLOOKUP(Tabla13[[#This Row],[SISMED]],TblDisponibilidad[],16,FALSE), 0)</f>
        <v>0</v>
      </c>
      <c r="M141">
        <f>IFERROR(VLOOKUP(Tabla13[[#This Row],[SISMED]],TblDisponibilidad[],17,FALSE), 0)</f>
        <v>0</v>
      </c>
      <c r="N141">
        <f>IFERROR(VLOOKUP(Tabla13[[#This Row],[SISMED]],TblDisponibilidad[],18,FALSE), 0)</f>
        <v>0</v>
      </c>
      <c r="O141">
        <f>IFERROR(VLOOKUP(Tabla13[[#This Row],[SISMED]],TblDisponibilidad[],19,FALSE), 0)</f>
        <v>0</v>
      </c>
      <c r="P141">
        <f>IFERROR(VLOOKUP(Tabla13[[#This Row],[SISMED]],TblDisponibilidad[],20,FALSE), 0)</f>
        <v>0</v>
      </c>
      <c r="Q141">
        <f>IFERROR(VLOOKUP(Tabla13[[#This Row],[SISMED]],TblDisponibilidad[],21,FALSE), 0)</f>
        <v>0</v>
      </c>
      <c r="R141">
        <f>IFERROR(VLOOKUP(Tabla13[[#This Row],[SISMED]],TblDisponibilidad[],22,FALSE), 0)</f>
        <v>0</v>
      </c>
      <c r="S141" s="15">
        <f>IFERROR(VLOOKUP(Tabla13[[#This Row],[SISMED]],TblDisponibilidad[],23,FALSE), 0)</f>
        <v>0</v>
      </c>
    </row>
    <row r="142" spans="1:19" x14ac:dyDescent="0.3">
      <c r="A142" s="15" t="s">
        <v>172</v>
      </c>
      <c r="B142" t="str">
        <f>IFERROR(VLOOKUP(Tabla13[[#This Row],[SISMED]],TblDisponibilidad[],2,FALSE), "")</f>
        <v/>
      </c>
      <c r="C142">
        <f>IFERROR(VLOOKUP(Tabla13[[#This Row],[SISMED]],TblDisponibilidad[],7,FALSE), 0)</f>
        <v>0</v>
      </c>
      <c r="D142">
        <f>IFERROR(VLOOKUP(Tabla13[[#This Row],[SISMED]],TblDisponibilidad[],8,FALSE), 0)</f>
        <v>0</v>
      </c>
      <c r="E142">
        <f>IFERROR(VLOOKUP(Tabla13[[#This Row],[SISMED]],TblDisponibilidad[],9,FALSE), 0)</f>
        <v>0</v>
      </c>
      <c r="F142">
        <f>IFERROR(VLOOKUP(Tabla13[[#This Row],[SISMED]],TblDisponibilidad[],10,FALSE), 0)</f>
        <v>0</v>
      </c>
      <c r="G142">
        <f>IFERROR(VLOOKUP(Tabla13[[#This Row],[SISMED]],TblDisponibilidad[],11,FALSE), 0)</f>
        <v>0</v>
      </c>
      <c r="H142">
        <f>IFERROR(VLOOKUP(Tabla13[[#This Row],[SISMED]],TblDisponibilidad[],12,FALSE), 0)</f>
        <v>0</v>
      </c>
      <c r="I142">
        <f>IFERROR(VLOOKUP(Tabla13[[#This Row],[SISMED]],TblDisponibilidad[],13,FALSE), 0)</f>
        <v>0</v>
      </c>
      <c r="J142">
        <f>IFERROR(VLOOKUP(Tabla13[[#This Row],[SISMED]],TblDisponibilidad[],14,FALSE), 0)</f>
        <v>0</v>
      </c>
      <c r="K142">
        <f>IFERROR(VLOOKUP(Tabla13[[#This Row],[SISMED]],TblDisponibilidad[],15,FALSE), 0)</f>
        <v>0</v>
      </c>
      <c r="L142">
        <f>IFERROR(VLOOKUP(Tabla13[[#This Row],[SISMED]],TblDisponibilidad[],16,FALSE), 0)</f>
        <v>0</v>
      </c>
      <c r="M142">
        <f>IFERROR(VLOOKUP(Tabla13[[#This Row],[SISMED]],TblDisponibilidad[],17,FALSE), 0)</f>
        <v>0</v>
      </c>
      <c r="N142">
        <f>IFERROR(VLOOKUP(Tabla13[[#This Row],[SISMED]],TblDisponibilidad[],18,FALSE), 0)</f>
        <v>0</v>
      </c>
      <c r="O142">
        <f>IFERROR(VLOOKUP(Tabla13[[#This Row],[SISMED]],TblDisponibilidad[],19,FALSE), 0)</f>
        <v>0</v>
      </c>
      <c r="P142">
        <f>IFERROR(VLOOKUP(Tabla13[[#This Row],[SISMED]],TblDisponibilidad[],20,FALSE), 0)</f>
        <v>0</v>
      </c>
      <c r="Q142">
        <f>IFERROR(VLOOKUP(Tabla13[[#This Row],[SISMED]],TblDisponibilidad[],21,FALSE), 0)</f>
        <v>0</v>
      </c>
      <c r="R142">
        <f>IFERROR(VLOOKUP(Tabla13[[#This Row],[SISMED]],TblDisponibilidad[],22,FALSE), 0)</f>
        <v>0</v>
      </c>
      <c r="S142" s="15">
        <f>IFERROR(VLOOKUP(Tabla13[[#This Row],[SISMED]],TblDisponibilidad[],23,FALSE), 0)</f>
        <v>0</v>
      </c>
    </row>
    <row r="143" spans="1:19" x14ac:dyDescent="0.3">
      <c r="A143" s="15" t="s">
        <v>173</v>
      </c>
      <c r="B143" t="str">
        <f>IFERROR(VLOOKUP(Tabla13[[#This Row],[SISMED]],TblDisponibilidad[],2,FALSE), "")</f>
        <v/>
      </c>
      <c r="C143">
        <f>IFERROR(VLOOKUP(Tabla13[[#This Row],[SISMED]],TblDisponibilidad[],7,FALSE), 0)</f>
        <v>0</v>
      </c>
      <c r="D143">
        <f>IFERROR(VLOOKUP(Tabla13[[#This Row],[SISMED]],TblDisponibilidad[],8,FALSE), 0)</f>
        <v>0</v>
      </c>
      <c r="E143">
        <f>IFERROR(VLOOKUP(Tabla13[[#This Row],[SISMED]],TblDisponibilidad[],9,FALSE), 0)</f>
        <v>0</v>
      </c>
      <c r="F143">
        <f>IFERROR(VLOOKUP(Tabla13[[#This Row],[SISMED]],TblDisponibilidad[],10,FALSE), 0)</f>
        <v>0</v>
      </c>
      <c r="G143">
        <f>IFERROR(VLOOKUP(Tabla13[[#This Row],[SISMED]],TblDisponibilidad[],11,FALSE), 0)</f>
        <v>0</v>
      </c>
      <c r="H143">
        <f>IFERROR(VLOOKUP(Tabla13[[#This Row],[SISMED]],TblDisponibilidad[],12,FALSE), 0)</f>
        <v>0</v>
      </c>
      <c r="I143">
        <f>IFERROR(VLOOKUP(Tabla13[[#This Row],[SISMED]],TblDisponibilidad[],13,FALSE), 0)</f>
        <v>0</v>
      </c>
      <c r="J143">
        <f>IFERROR(VLOOKUP(Tabla13[[#This Row],[SISMED]],TblDisponibilidad[],14,FALSE), 0)</f>
        <v>0</v>
      </c>
      <c r="K143">
        <f>IFERROR(VLOOKUP(Tabla13[[#This Row],[SISMED]],TblDisponibilidad[],15,FALSE), 0)</f>
        <v>0</v>
      </c>
      <c r="L143">
        <f>IFERROR(VLOOKUP(Tabla13[[#This Row],[SISMED]],TblDisponibilidad[],16,FALSE), 0)</f>
        <v>0</v>
      </c>
      <c r="M143">
        <f>IFERROR(VLOOKUP(Tabla13[[#This Row],[SISMED]],TblDisponibilidad[],17,FALSE), 0)</f>
        <v>0</v>
      </c>
      <c r="N143">
        <f>IFERROR(VLOOKUP(Tabla13[[#This Row],[SISMED]],TblDisponibilidad[],18,FALSE), 0)</f>
        <v>0</v>
      </c>
      <c r="O143">
        <f>IFERROR(VLOOKUP(Tabla13[[#This Row],[SISMED]],TblDisponibilidad[],19,FALSE), 0)</f>
        <v>0</v>
      </c>
      <c r="P143">
        <f>IFERROR(VLOOKUP(Tabla13[[#This Row],[SISMED]],TblDisponibilidad[],20,FALSE), 0)</f>
        <v>0</v>
      </c>
      <c r="Q143">
        <f>IFERROR(VLOOKUP(Tabla13[[#This Row],[SISMED]],TblDisponibilidad[],21,FALSE), 0)</f>
        <v>0</v>
      </c>
      <c r="R143">
        <f>IFERROR(VLOOKUP(Tabla13[[#This Row],[SISMED]],TblDisponibilidad[],22,FALSE), 0)</f>
        <v>0</v>
      </c>
      <c r="S143" s="15">
        <f>IFERROR(VLOOKUP(Tabla13[[#This Row],[SISMED]],TblDisponibilidad[],23,FALSE), 0)</f>
        <v>0</v>
      </c>
    </row>
    <row r="144" spans="1:19" x14ac:dyDescent="0.3">
      <c r="A144" s="15" t="s">
        <v>174</v>
      </c>
      <c r="B144" t="str">
        <f>IFERROR(VLOOKUP(Tabla13[[#This Row],[SISMED]],TblDisponibilidad[],2,FALSE), "")</f>
        <v/>
      </c>
      <c r="C144">
        <f>IFERROR(VLOOKUP(Tabla13[[#This Row],[SISMED]],TblDisponibilidad[],7,FALSE), 0)</f>
        <v>0</v>
      </c>
      <c r="D144">
        <f>IFERROR(VLOOKUP(Tabla13[[#This Row],[SISMED]],TblDisponibilidad[],8,FALSE), 0)</f>
        <v>0</v>
      </c>
      <c r="E144">
        <f>IFERROR(VLOOKUP(Tabla13[[#This Row],[SISMED]],TblDisponibilidad[],9,FALSE), 0)</f>
        <v>0</v>
      </c>
      <c r="F144">
        <f>IFERROR(VLOOKUP(Tabla13[[#This Row],[SISMED]],TblDisponibilidad[],10,FALSE), 0)</f>
        <v>0</v>
      </c>
      <c r="G144">
        <f>IFERROR(VLOOKUP(Tabla13[[#This Row],[SISMED]],TblDisponibilidad[],11,FALSE), 0)</f>
        <v>0</v>
      </c>
      <c r="H144">
        <f>IFERROR(VLOOKUP(Tabla13[[#This Row],[SISMED]],TblDisponibilidad[],12,FALSE), 0)</f>
        <v>0</v>
      </c>
      <c r="I144">
        <f>IFERROR(VLOOKUP(Tabla13[[#This Row],[SISMED]],TblDisponibilidad[],13,FALSE), 0)</f>
        <v>0</v>
      </c>
      <c r="J144">
        <f>IFERROR(VLOOKUP(Tabla13[[#This Row],[SISMED]],TblDisponibilidad[],14,FALSE), 0)</f>
        <v>0</v>
      </c>
      <c r="K144">
        <f>IFERROR(VLOOKUP(Tabla13[[#This Row],[SISMED]],TblDisponibilidad[],15,FALSE), 0)</f>
        <v>0</v>
      </c>
      <c r="L144">
        <f>IFERROR(VLOOKUP(Tabla13[[#This Row],[SISMED]],TblDisponibilidad[],16,FALSE), 0)</f>
        <v>0</v>
      </c>
      <c r="M144">
        <f>IFERROR(VLOOKUP(Tabla13[[#This Row],[SISMED]],TblDisponibilidad[],17,FALSE), 0)</f>
        <v>0</v>
      </c>
      <c r="N144">
        <f>IFERROR(VLOOKUP(Tabla13[[#This Row],[SISMED]],TblDisponibilidad[],18,FALSE), 0)</f>
        <v>0</v>
      </c>
      <c r="O144">
        <f>IFERROR(VLOOKUP(Tabla13[[#This Row],[SISMED]],TblDisponibilidad[],19,FALSE), 0)</f>
        <v>0</v>
      </c>
      <c r="P144">
        <f>IFERROR(VLOOKUP(Tabla13[[#This Row],[SISMED]],TblDisponibilidad[],20,FALSE), 0)</f>
        <v>0</v>
      </c>
      <c r="Q144">
        <f>IFERROR(VLOOKUP(Tabla13[[#This Row],[SISMED]],TblDisponibilidad[],21,FALSE), 0)</f>
        <v>0</v>
      </c>
      <c r="R144">
        <f>IFERROR(VLOOKUP(Tabla13[[#This Row],[SISMED]],TblDisponibilidad[],22,FALSE), 0)</f>
        <v>0</v>
      </c>
      <c r="S144" s="15">
        <f>IFERROR(VLOOKUP(Tabla13[[#This Row],[SISMED]],TblDisponibilidad[],23,FALSE), 0)</f>
        <v>0</v>
      </c>
    </row>
    <row r="145" spans="1:19" x14ac:dyDescent="0.3">
      <c r="A145" s="15" t="s">
        <v>175</v>
      </c>
      <c r="B145" t="str">
        <f>IFERROR(VLOOKUP(Tabla13[[#This Row],[SISMED]],TblDisponibilidad[],2,FALSE), "")</f>
        <v/>
      </c>
      <c r="C145">
        <f>IFERROR(VLOOKUP(Tabla13[[#This Row],[SISMED]],TblDisponibilidad[],7,FALSE), 0)</f>
        <v>0</v>
      </c>
      <c r="D145">
        <f>IFERROR(VLOOKUP(Tabla13[[#This Row],[SISMED]],TblDisponibilidad[],8,FALSE), 0)</f>
        <v>0</v>
      </c>
      <c r="E145">
        <f>IFERROR(VLOOKUP(Tabla13[[#This Row],[SISMED]],TblDisponibilidad[],9,FALSE), 0)</f>
        <v>0</v>
      </c>
      <c r="F145">
        <f>IFERROR(VLOOKUP(Tabla13[[#This Row],[SISMED]],TblDisponibilidad[],10,FALSE), 0)</f>
        <v>0</v>
      </c>
      <c r="G145">
        <f>IFERROR(VLOOKUP(Tabla13[[#This Row],[SISMED]],TblDisponibilidad[],11,FALSE), 0)</f>
        <v>0</v>
      </c>
      <c r="H145">
        <f>IFERROR(VLOOKUP(Tabla13[[#This Row],[SISMED]],TblDisponibilidad[],12,FALSE), 0)</f>
        <v>0</v>
      </c>
      <c r="I145">
        <f>IFERROR(VLOOKUP(Tabla13[[#This Row],[SISMED]],TblDisponibilidad[],13,FALSE), 0)</f>
        <v>0</v>
      </c>
      <c r="J145">
        <f>IFERROR(VLOOKUP(Tabla13[[#This Row],[SISMED]],TblDisponibilidad[],14,FALSE), 0)</f>
        <v>0</v>
      </c>
      <c r="K145">
        <f>IFERROR(VLOOKUP(Tabla13[[#This Row],[SISMED]],TblDisponibilidad[],15,FALSE), 0)</f>
        <v>0</v>
      </c>
      <c r="L145">
        <f>IFERROR(VLOOKUP(Tabla13[[#This Row],[SISMED]],TblDisponibilidad[],16,FALSE), 0)</f>
        <v>0</v>
      </c>
      <c r="M145">
        <f>IFERROR(VLOOKUP(Tabla13[[#This Row],[SISMED]],TblDisponibilidad[],17,FALSE), 0)</f>
        <v>0</v>
      </c>
      <c r="N145">
        <f>IFERROR(VLOOKUP(Tabla13[[#This Row],[SISMED]],TblDisponibilidad[],18,FALSE), 0)</f>
        <v>0</v>
      </c>
      <c r="O145">
        <f>IFERROR(VLOOKUP(Tabla13[[#This Row],[SISMED]],TblDisponibilidad[],19,FALSE), 0)</f>
        <v>0</v>
      </c>
      <c r="P145">
        <f>IFERROR(VLOOKUP(Tabla13[[#This Row],[SISMED]],TblDisponibilidad[],20,FALSE), 0)</f>
        <v>0</v>
      </c>
      <c r="Q145">
        <f>IFERROR(VLOOKUP(Tabla13[[#This Row],[SISMED]],TblDisponibilidad[],21,FALSE), 0)</f>
        <v>0</v>
      </c>
      <c r="R145">
        <f>IFERROR(VLOOKUP(Tabla13[[#This Row],[SISMED]],TblDisponibilidad[],22,FALSE), 0)</f>
        <v>0</v>
      </c>
      <c r="S145" s="15">
        <f>IFERROR(VLOOKUP(Tabla13[[#This Row],[SISMED]],TblDisponibilidad[],23,FALSE), 0)</f>
        <v>0</v>
      </c>
    </row>
    <row r="146" spans="1:19" x14ac:dyDescent="0.3">
      <c r="A146" s="15" t="s">
        <v>176</v>
      </c>
      <c r="B146" t="str">
        <f>IFERROR(VLOOKUP(Tabla13[[#This Row],[SISMED]],TblDisponibilidad[],2,FALSE), "")</f>
        <v/>
      </c>
      <c r="C146">
        <f>IFERROR(VLOOKUP(Tabla13[[#This Row],[SISMED]],TblDisponibilidad[],7,FALSE), 0)</f>
        <v>0</v>
      </c>
      <c r="D146">
        <f>IFERROR(VLOOKUP(Tabla13[[#This Row],[SISMED]],TblDisponibilidad[],8,FALSE), 0)</f>
        <v>0</v>
      </c>
      <c r="E146">
        <f>IFERROR(VLOOKUP(Tabla13[[#This Row],[SISMED]],TblDisponibilidad[],9,FALSE), 0)</f>
        <v>0</v>
      </c>
      <c r="F146">
        <f>IFERROR(VLOOKUP(Tabla13[[#This Row],[SISMED]],TblDisponibilidad[],10,FALSE), 0)</f>
        <v>0</v>
      </c>
      <c r="G146">
        <f>IFERROR(VLOOKUP(Tabla13[[#This Row],[SISMED]],TblDisponibilidad[],11,FALSE), 0)</f>
        <v>0</v>
      </c>
      <c r="H146">
        <f>IFERROR(VLOOKUP(Tabla13[[#This Row],[SISMED]],TblDisponibilidad[],12,FALSE), 0)</f>
        <v>0</v>
      </c>
      <c r="I146">
        <f>IFERROR(VLOOKUP(Tabla13[[#This Row],[SISMED]],TblDisponibilidad[],13,FALSE), 0)</f>
        <v>0</v>
      </c>
      <c r="J146">
        <f>IFERROR(VLOOKUP(Tabla13[[#This Row],[SISMED]],TblDisponibilidad[],14,FALSE), 0)</f>
        <v>0</v>
      </c>
      <c r="K146">
        <f>IFERROR(VLOOKUP(Tabla13[[#This Row],[SISMED]],TblDisponibilidad[],15,FALSE), 0)</f>
        <v>0</v>
      </c>
      <c r="L146">
        <f>IFERROR(VLOOKUP(Tabla13[[#This Row],[SISMED]],TblDisponibilidad[],16,FALSE), 0)</f>
        <v>0</v>
      </c>
      <c r="M146">
        <f>IFERROR(VLOOKUP(Tabla13[[#This Row],[SISMED]],TblDisponibilidad[],17,FALSE), 0)</f>
        <v>0</v>
      </c>
      <c r="N146">
        <f>IFERROR(VLOOKUP(Tabla13[[#This Row],[SISMED]],TblDisponibilidad[],18,FALSE), 0)</f>
        <v>0</v>
      </c>
      <c r="O146">
        <f>IFERROR(VLOOKUP(Tabla13[[#This Row],[SISMED]],TblDisponibilidad[],19,FALSE), 0)</f>
        <v>0</v>
      </c>
      <c r="P146">
        <f>IFERROR(VLOOKUP(Tabla13[[#This Row],[SISMED]],TblDisponibilidad[],20,FALSE), 0)</f>
        <v>0</v>
      </c>
      <c r="Q146">
        <f>IFERROR(VLOOKUP(Tabla13[[#This Row],[SISMED]],TblDisponibilidad[],21,FALSE), 0)</f>
        <v>0</v>
      </c>
      <c r="R146">
        <f>IFERROR(VLOOKUP(Tabla13[[#This Row],[SISMED]],TblDisponibilidad[],22,FALSE), 0)</f>
        <v>0</v>
      </c>
      <c r="S146" s="15">
        <f>IFERROR(VLOOKUP(Tabla13[[#This Row],[SISMED]],TblDisponibilidad[],23,FALSE), 0)</f>
        <v>0</v>
      </c>
    </row>
    <row r="147" spans="1:19" x14ac:dyDescent="0.3">
      <c r="A147" s="15" t="s">
        <v>177</v>
      </c>
      <c r="B147" t="str">
        <f>IFERROR(VLOOKUP(Tabla13[[#This Row],[SISMED]],TblDisponibilidad[],2,FALSE), "")</f>
        <v/>
      </c>
      <c r="C147">
        <f>IFERROR(VLOOKUP(Tabla13[[#This Row],[SISMED]],TblDisponibilidad[],7,FALSE), 0)</f>
        <v>0</v>
      </c>
      <c r="D147">
        <f>IFERROR(VLOOKUP(Tabla13[[#This Row],[SISMED]],TblDisponibilidad[],8,FALSE), 0)</f>
        <v>0</v>
      </c>
      <c r="E147">
        <f>IFERROR(VLOOKUP(Tabla13[[#This Row],[SISMED]],TblDisponibilidad[],9,FALSE), 0)</f>
        <v>0</v>
      </c>
      <c r="F147">
        <f>IFERROR(VLOOKUP(Tabla13[[#This Row],[SISMED]],TblDisponibilidad[],10,FALSE), 0)</f>
        <v>0</v>
      </c>
      <c r="G147">
        <f>IFERROR(VLOOKUP(Tabla13[[#This Row],[SISMED]],TblDisponibilidad[],11,FALSE), 0)</f>
        <v>0</v>
      </c>
      <c r="H147">
        <f>IFERROR(VLOOKUP(Tabla13[[#This Row],[SISMED]],TblDisponibilidad[],12,FALSE), 0)</f>
        <v>0</v>
      </c>
      <c r="I147">
        <f>IFERROR(VLOOKUP(Tabla13[[#This Row],[SISMED]],TblDisponibilidad[],13,FALSE), 0)</f>
        <v>0</v>
      </c>
      <c r="J147">
        <f>IFERROR(VLOOKUP(Tabla13[[#This Row],[SISMED]],TblDisponibilidad[],14,FALSE), 0)</f>
        <v>0</v>
      </c>
      <c r="K147">
        <f>IFERROR(VLOOKUP(Tabla13[[#This Row],[SISMED]],TblDisponibilidad[],15,FALSE), 0)</f>
        <v>0</v>
      </c>
      <c r="L147">
        <f>IFERROR(VLOOKUP(Tabla13[[#This Row],[SISMED]],TblDisponibilidad[],16,FALSE), 0)</f>
        <v>0</v>
      </c>
      <c r="M147">
        <f>IFERROR(VLOOKUP(Tabla13[[#This Row],[SISMED]],TblDisponibilidad[],17,FALSE), 0)</f>
        <v>0</v>
      </c>
      <c r="N147">
        <f>IFERROR(VLOOKUP(Tabla13[[#This Row],[SISMED]],TblDisponibilidad[],18,FALSE), 0)</f>
        <v>0</v>
      </c>
      <c r="O147">
        <f>IFERROR(VLOOKUP(Tabla13[[#This Row],[SISMED]],TblDisponibilidad[],19,FALSE), 0)</f>
        <v>0</v>
      </c>
      <c r="P147">
        <f>IFERROR(VLOOKUP(Tabla13[[#This Row],[SISMED]],TblDisponibilidad[],20,FALSE), 0)</f>
        <v>0</v>
      </c>
      <c r="Q147">
        <f>IFERROR(VLOOKUP(Tabla13[[#This Row],[SISMED]],TblDisponibilidad[],21,FALSE), 0)</f>
        <v>0</v>
      </c>
      <c r="R147">
        <f>IFERROR(VLOOKUP(Tabla13[[#This Row],[SISMED]],TblDisponibilidad[],22,FALSE), 0)</f>
        <v>0</v>
      </c>
      <c r="S147" s="15">
        <f>IFERROR(VLOOKUP(Tabla13[[#This Row],[SISMED]],TblDisponibilidad[],23,FALSE), 0)</f>
        <v>0</v>
      </c>
    </row>
    <row r="148" spans="1:19" x14ac:dyDescent="0.3">
      <c r="A148" s="15" t="s">
        <v>178</v>
      </c>
      <c r="B148" t="str">
        <f>IFERROR(VLOOKUP(Tabla13[[#This Row],[SISMED]],TblDisponibilidad[],2,FALSE), "")</f>
        <v/>
      </c>
      <c r="C148">
        <f>IFERROR(VLOOKUP(Tabla13[[#This Row],[SISMED]],TblDisponibilidad[],7,FALSE), 0)</f>
        <v>0</v>
      </c>
      <c r="D148">
        <f>IFERROR(VLOOKUP(Tabla13[[#This Row],[SISMED]],TblDisponibilidad[],8,FALSE), 0)</f>
        <v>0</v>
      </c>
      <c r="E148">
        <f>IFERROR(VLOOKUP(Tabla13[[#This Row],[SISMED]],TblDisponibilidad[],9,FALSE), 0)</f>
        <v>0</v>
      </c>
      <c r="F148">
        <f>IFERROR(VLOOKUP(Tabla13[[#This Row],[SISMED]],TblDisponibilidad[],10,FALSE), 0)</f>
        <v>0</v>
      </c>
      <c r="G148">
        <f>IFERROR(VLOOKUP(Tabla13[[#This Row],[SISMED]],TblDisponibilidad[],11,FALSE), 0)</f>
        <v>0</v>
      </c>
      <c r="H148">
        <f>IFERROR(VLOOKUP(Tabla13[[#This Row],[SISMED]],TblDisponibilidad[],12,FALSE), 0)</f>
        <v>0</v>
      </c>
      <c r="I148">
        <f>IFERROR(VLOOKUP(Tabla13[[#This Row],[SISMED]],TblDisponibilidad[],13,FALSE), 0)</f>
        <v>0</v>
      </c>
      <c r="J148">
        <f>IFERROR(VLOOKUP(Tabla13[[#This Row],[SISMED]],TblDisponibilidad[],14,FALSE), 0)</f>
        <v>0</v>
      </c>
      <c r="K148">
        <f>IFERROR(VLOOKUP(Tabla13[[#This Row],[SISMED]],TblDisponibilidad[],15,FALSE), 0)</f>
        <v>0</v>
      </c>
      <c r="L148">
        <f>IFERROR(VLOOKUP(Tabla13[[#This Row],[SISMED]],TblDisponibilidad[],16,FALSE), 0)</f>
        <v>0</v>
      </c>
      <c r="M148">
        <f>IFERROR(VLOOKUP(Tabla13[[#This Row],[SISMED]],TblDisponibilidad[],17,FALSE), 0)</f>
        <v>0</v>
      </c>
      <c r="N148">
        <f>IFERROR(VLOOKUP(Tabla13[[#This Row],[SISMED]],TblDisponibilidad[],18,FALSE), 0)</f>
        <v>0</v>
      </c>
      <c r="O148">
        <f>IFERROR(VLOOKUP(Tabla13[[#This Row],[SISMED]],TblDisponibilidad[],19,FALSE), 0)</f>
        <v>0</v>
      </c>
      <c r="P148">
        <f>IFERROR(VLOOKUP(Tabla13[[#This Row],[SISMED]],TblDisponibilidad[],20,FALSE), 0)</f>
        <v>0</v>
      </c>
      <c r="Q148">
        <f>IFERROR(VLOOKUP(Tabla13[[#This Row],[SISMED]],TblDisponibilidad[],21,FALSE), 0)</f>
        <v>0</v>
      </c>
      <c r="R148">
        <f>IFERROR(VLOOKUP(Tabla13[[#This Row],[SISMED]],TblDisponibilidad[],22,FALSE), 0)</f>
        <v>0</v>
      </c>
      <c r="S148" s="15">
        <f>IFERROR(VLOOKUP(Tabla13[[#This Row],[SISMED]],TblDisponibilidad[],23,FALSE), 0)</f>
        <v>0</v>
      </c>
    </row>
    <row r="149" spans="1:19" x14ac:dyDescent="0.3">
      <c r="A149" s="15" t="s">
        <v>179</v>
      </c>
      <c r="B149" t="str">
        <f>IFERROR(VLOOKUP(Tabla13[[#This Row],[SISMED]],TblDisponibilidad[],2,FALSE), "")</f>
        <v/>
      </c>
      <c r="C149">
        <f>IFERROR(VLOOKUP(Tabla13[[#This Row],[SISMED]],TblDisponibilidad[],7,FALSE), 0)</f>
        <v>0</v>
      </c>
      <c r="D149">
        <f>IFERROR(VLOOKUP(Tabla13[[#This Row],[SISMED]],TblDisponibilidad[],8,FALSE), 0)</f>
        <v>0</v>
      </c>
      <c r="E149">
        <f>IFERROR(VLOOKUP(Tabla13[[#This Row],[SISMED]],TblDisponibilidad[],9,FALSE), 0)</f>
        <v>0</v>
      </c>
      <c r="F149">
        <f>IFERROR(VLOOKUP(Tabla13[[#This Row],[SISMED]],TblDisponibilidad[],10,FALSE), 0)</f>
        <v>0</v>
      </c>
      <c r="G149">
        <f>IFERROR(VLOOKUP(Tabla13[[#This Row],[SISMED]],TblDisponibilidad[],11,FALSE), 0)</f>
        <v>0</v>
      </c>
      <c r="H149">
        <f>IFERROR(VLOOKUP(Tabla13[[#This Row],[SISMED]],TblDisponibilidad[],12,FALSE), 0)</f>
        <v>0</v>
      </c>
      <c r="I149">
        <f>IFERROR(VLOOKUP(Tabla13[[#This Row],[SISMED]],TblDisponibilidad[],13,FALSE), 0)</f>
        <v>0</v>
      </c>
      <c r="J149">
        <f>IFERROR(VLOOKUP(Tabla13[[#This Row],[SISMED]],TblDisponibilidad[],14,FALSE), 0)</f>
        <v>0</v>
      </c>
      <c r="K149">
        <f>IFERROR(VLOOKUP(Tabla13[[#This Row],[SISMED]],TblDisponibilidad[],15,FALSE), 0)</f>
        <v>0</v>
      </c>
      <c r="L149">
        <f>IFERROR(VLOOKUP(Tabla13[[#This Row],[SISMED]],TblDisponibilidad[],16,FALSE), 0)</f>
        <v>0</v>
      </c>
      <c r="M149">
        <f>IFERROR(VLOOKUP(Tabla13[[#This Row],[SISMED]],TblDisponibilidad[],17,FALSE), 0)</f>
        <v>0</v>
      </c>
      <c r="N149">
        <f>IFERROR(VLOOKUP(Tabla13[[#This Row],[SISMED]],TblDisponibilidad[],18,FALSE), 0)</f>
        <v>0</v>
      </c>
      <c r="O149">
        <f>IFERROR(VLOOKUP(Tabla13[[#This Row],[SISMED]],TblDisponibilidad[],19,FALSE), 0)</f>
        <v>0</v>
      </c>
      <c r="P149">
        <f>IFERROR(VLOOKUP(Tabla13[[#This Row],[SISMED]],TblDisponibilidad[],20,FALSE), 0)</f>
        <v>0</v>
      </c>
      <c r="Q149">
        <f>IFERROR(VLOOKUP(Tabla13[[#This Row],[SISMED]],TblDisponibilidad[],21,FALSE), 0)</f>
        <v>0</v>
      </c>
      <c r="R149">
        <f>IFERROR(VLOOKUP(Tabla13[[#This Row],[SISMED]],TblDisponibilidad[],22,FALSE), 0)</f>
        <v>0</v>
      </c>
      <c r="S149" s="15">
        <f>IFERROR(VLOOKUP(Tabla13[[#This Row],[SISMED]],TblDisponibilidad[],23,FALSE), 0)</f>
        <v>0</v>
      </c>
    </row>
    <row r="150" spans="1:19" x14ac:dyDescent="0.3">
      <c r="A150" s="15" t="s">
        <v>180</v>
      </c>
      <c r="B150" t="str">
        <f>IFERROR(VLOOKUP(Tabla13[[#This Row],[SISMED]],TblDisponibilidad[],2,FALSE), "")</f>
        <v/>
      </c>
      <c r="C150">
        <f>IFERROR(VLOOKUP(Tabla13[[#This Row],[SISMED]],TblDisponibilidad[],7,FALSE), 0)</f>
        <v>0</v>
      </c>
      <c r="D150">
        <f>IFERROR(VLOOKUP(Tabla13[[#This Row],[SISMED]],TblDisponibilidad[],8,FALSE), 0)</f>
        <v>0</v>
      </c>
      <c r="E150">
        <f>IFERROR(VLOOKUP(Tabla13[[#This Row],[SISMED]],TblDisponibilidad[],9,FALSE), 0)</f>
        <v>0</v>
      </c>
      <c r="F150">
        <f>IFERROR(VLOOKUP(Tabla13[[#This Row],[SISMED]],TblDisponibilidad[],10,FALSE), 0)</f>
        <v>0</v>
      </c>
      <c r="G150">
        <f>IFERROR(VLOOKUP(Tabla13[[#This Row],[SISMED]],TblDisponibilidad[],11,FALSE), 0)</f>
        <v>0</v>
      </c>
      <c r="H150">
        <f>IFERROR(VLOOKUP(Tabla13[[#This Row],[SISMED]],TblDisponibilidad[],12,FALSE), 0)</f>
        <v>0</v>
      </c>
      <c r="I150">
        <f>IFERROR(VLOOKUP(Tabla13[[#This Row],[SISMED]],TblDisponibilidad[],13,FALSE), 0)</f>
        <v>0</v>
      </c>
      <c r="J150">
        <f>IFERROR(VLOOKUP(Tabla13[[#This Row],[SISMED]],TblDisponibilidad[],14,FALSE), 0)</f>
        <v>0</v>
      </c>
      <c r="K150">
        <f>IFERROR(VLOOKUP(Tabla13[[#This Row],[SISMED]],TblDisponibilidad[],15,FALSE), 0)</f>
        <v>0</v>
      </c>
      <c r="L150">
        <f>IFERROR(VLOOKUP(Tabla13[[#This Row],[SISMED]],TblDisponibilidad[],16,FALSE), 0)</f>
        <v>0</v>
      </c>
      <c r="M150">
        <f>IFERROR(VLOOKUP(Tabla13[[#This Row],[SISMED]],TblDisponibilidad[],17,FALSE), 0)</f>
        <v>0</v>
      </c>
      <c r="N150">
        <f>IFERROR(VLOOKUP(Tabla13[[#This Row],[SISMED]],TblDisponibilidad[],18,FALSE), 0)</f>
        <v>0</v>
      </c>
      <c r="O150">
        <f>IFERROR(VLOOKUP(Tabla13[[#This Row],[SISMED]],TblDisponibilidad[],19,FALSE), 0)</f>
        <v>0</v>
      </c>
      <c r="P150">
        <f>IFERROR(VLOOKUP(Tabla13[[#This Row],[SISMED]],TblDisponibilidad[],20,FALSE), 0)</f>
        <v>0</v>
      </c>
      <c r="Q150">
        <f>IFERROR(VLOOKUP(Tabla13[[#This Row],[SISMED]],TblDisponibilidad[],21,FALSE), 0)</f>
        <v>0</v>
      </c>
      <c r="R150">
        <f>IFERROR(VLOOKUP(Tabla13[[#This Row],[SISMED]],TblDisponibilidad[],22,FALSE), 0)</f>
        <v>0</v>
      </c>
      <c r="S150" s="15">
        <f>IFERROR(VLOOKUP(Tabla13[[#This Row],[SISMED]],TblDisponibilidad[],23,FALSE), 0)</f>
        <v>0</v>
      </c>
    </row>
    <row r="151" spans="1:19" x14ac:dyDescent="0.3">
      <c r="A151" s="15" t="s">
        <v>181</v>
      </c>
      <c r="B151" t="str">
        <f>IFERROR(VLOOKUP(Tabla13[[#This Row],[SISMED]],TblDisponibilidad[],2,FALSE), "")</f>
        <v/>
      </c>
      <c r="C151">
        <f>IFERROR(VLOOKUP(Tabla13[[#This Row],[SISMED]],TblDisponibilidad[],7,FALSE), 0)</f>
        <v>0</v>
      </c>
      <c r="D151">
        <f>IFERROR(VLOOKUP(Tabla13[[#This Row],[SISMED]],TblDisponibilidad[],8,FALSE), 0)</f>
        <v>0</v>
      </c>
      <c r="E151">
        <f>IFERROR(VLOOKUP(Tabla13[[#This Row],[SISMED]],TblDisponibilidad[],9,FALSE), 0)</f>
        <v>0</v>
      </c>
      <c r="F151">
        <f>IFERROR(VLOOKUP(Tabla13[[#This Row],[SISMED]],TblDisponibilidad[],10,FALSE), 0)</f>
        <v>0</v>
      </c>
      <c r="G151">
        <f>IFERROR(VLOOKUP(Tabla13[[#This Row],[SISMED]],TblDisponibilidad[],11,FALSE), 0)</f>
        <v>0</v>
      </c>
      <c r="H151">
        <f>IFERROR(VLOOKUP(Tabla13[[#This Row],[SISMED]],TblDisponibilidad[],12,FALSE), 0)</f>
        <v>0</v>
      </c>
      <c r="I151">
        <f>IFERROR(VLOOKUP(Tabla13[[#This Row],[SISMED]],TblDisponibilidad[],13,FALSE), 0)</f>
        <v>0</v>
      </c>
      <c r="J151">
        <f>IFERROR(VLOOKUP(Tabla13[[#This Row],[SISMED]],TblDisponibilidad[],14,FALSE), 0)</f>
        <v>0</v>
      </c>
      <c r="K151">
        <f>IFERROR(VLOOKUP(Tabla13[[#This Row],[SISMED]],TblDisponibilidad[],15,FALSE), 0)</f>
        <v>0</v>
      </c>
      <c r="L151">
        <f>IFERROR(VLOOKUP(Tabla13[[#This Row],[SISMED]],TblDisponibilidad[],16,FALSE), 0)</f>
        <v>0</v>
      </c>
      <c r="M151">
        <f>IFERROR(VLOOKUP(Tabla13[[#This Row],[SISMED]],TblDisponibilidad[],17,FALSE), 0)</f>
        <v>0</v>
      </c>
      <c r="N151">
        <f>IFERROR(VLOOKUP(Tabla13[[#This Row],[SISMED]],TblDisponibilidad[],18,FALSE), 0)</f>
        <v>0</v>
      </c>
      <c r="O151">
        <f>IFERROR(VLOOKUP(Tabla13[[#This Row],[SISMED]],TblDisponibilidad[],19,FALSE), 0)</f>
        <v>0</v>
      </c>
      <c r="P151">
        <f>IFERROR(VLOOKUP(Tabla13[[#This Row],[SISMED]],TblDisponibilidad[],20,FALSE), 0)</f>
        <v>0</v>
      </c>
      <c r="Q151">
        <f>IFERROR(VLOOKUP(Tabla13[[#This Row],[SISMED]],TblDisponibilidad[],21,FALSE), 0)</f>
        <v>0</v>
      </c>
      <c r="R151">
        <f>IFERROR(VLOOKUP(Tabla13[[#This Row],[SISMED]],TblDisponibilidad[],22,FALSE), 0)</f>
        <v>0</v>
      </c>
      <c r="S151" s="15">
        <f>IFERROR(VLOOKUP(Tabla13[[#This Row],[SISMED]],TblDisponibilidad[],23,FALSE), 0)</f>
        <v>0</v>
      </c>
    </row>
    <row r="152" spans="1:19" x14ac:dyDescent="0.3">
      <c r="A152" s="15" t="s">
        <v>182</v>
      </c>
      <c r="B152" t="str">
        <f>IFERROR(VLOOKUP(Tabla13[[#This Row],[SISMED]],TblDisponibilidad[],2,FALSE), "")</f>
        <v/>
      </c>
      <c r="C152">
        <f>IFERROR(VLOOKUP(Tabla13[[#This Row],[SISMED]],TblDisponibilidad[],7,FALSE), 0)</f>
        <v>0</v>
      </c>
      <c r="D152">
        <f>IFERROR(VLOOKUP(Tabla13[[#This Row],[SISMED]],TblDisponibilidad[],8,FALSE), 0)</f>
        <v>0</v>
      </c>
      <c r="E152">
        <f>IFERROR(VLOOKUP(Tabla13[[#This Row],[SISMED]],TblDisponibilidad[],9,FALSE), 0)</f>
        <v>0</v>
      </c>
      <c r="F152">
        <f>IFERROR(VLOOKUP(Tabla13[[#This Row],[SISMED]],TblDisponibilidad[],10,FALSE), 0)</f>
        <v>0</v>
      </c>
      <c r="G152">
        <f>IFERROR(VLOOKUP(Tabla13[[#This Row],[SISMED]],TblDisponibilidad[],11,FALSE), 0)</f>
        <v>0</v>
      </c>
      <c r="H152">
        <f>IFERROR(VLOOKUP(Tabla13[[#This Row],[SISMED]],TblDisponibilidad[],12,FALSE), 0)</f>
        <v>0</v>
      </c>
      <c r="I152">
        <f>IFERROR(VLOOKUP(Tabla13[[#This Row],[SISMED]],TblDisponibilidad[],13,FALSE), 0)</f>
        <v>0</v>
      </c>
      <c r="J152">
        <f>IFERROR(VLOOKUP(Tabla13[[#This Row],[SISMED]],TblDisponibilidad[],14,FALSE), 0)</f>
        <v>0</v>
      </c>
      <c r="K152">
        <f>IFERROR(VLOOKUP(Tabla13[[#This Row],[SISMED]],TblDisponibilidad[],15,FALSE), 0)</f>
        <v>0</v>
      </c>
      <c r="L152">
        <f>IFERROR(VLOOKUP(Tabla13[[#This Row],[SISMED]],TblDisponibilidad[],16,FALSE), 0)</f>
        <v>0</v>
      </c>
      <c r="M152">
        <f>IFERROR(VLOOKUP(Tabla13[[#This Row],[SISMED]],TblDisponibilidad[],17,FALSE), 0)</f>
        <v>0</v>
      </c>
      <c r="N152">
        <f>IFERROR(VLOOKUP(Tabla13[[#This Row],[SISMED]],TblDisponibilidad[],18,FALSE), 0)</f>
        <v>0</v>
      </c>
      <c r="O152">
        <f>IFERROR(VLOOKUP(Tabla13[[#This Row],[SISMED]],TblDisponibilidad[],19,FALSE), 0)</f>
        <v>0</v>
      </c>
      <c r="P152">
        <f>IFERROR(VLOOKUP(Tabla13[[#This Row],[SISMED]],TblDisponibilidad[],20,FALSE), 0)</f>
        <v>0</v>
      </c>
      <c r="Q152">
        <f>IFERROR(VLOOKUP(Tabla13[[#This Row],[SISMED]],TblDisponibilidad[],21,FALSE), 0)</f>
        <v>0</v>
      </c>
      <c r="R152">
        <f>IFERROR(VLOOKUP(Tabla13[[#This Row],[SISMED]],TblDisponibilidad[],22,FALSE), 0)</f>
        <v>0</v>
      </c>
      <c r="S152" s="15">
        <f>IFERROR(VLOOKUP(Tabla13[[#This Row],[SISMED]],TblDisponibilidad[],23,FALSE), 0)</f>
        <v>0</v>
      </c>
    </row>
    <row r="153" spans="1:19" x14ac:dyDescent="0.3">
      <c r="A153" s="15" t="s">
        <v>183</v>
      </c>
      <c r="B153" t="str">
        <f>IFERROR(VLOOKUP(Tabla13[[#This Row],[SISMED]],TblDisponibilidad[],2,FALSE), "")</f>
        <v/>
      </c>
      <c r="C153">
        <f>IFERROR(VLOOKUP(Tabla13[[#This Row],[SISMED]],TblDisponibilidad[],7,FALSE), 0)</f>
        <v>0</v>
      </c>
      <c r="D153">
        <f>IFERROR(VLOOKUP(Tabla13[[#This Row],[SISMED]],TblDisponibilidad[],8,FALSE), 0)</f>
        <v>0</v>
      </c>
      <c r="E153">
        <f>IFERROR(VLOOKUP(Tabla13[[#This Row],[SISMED]],TblDisponibilidad[],9,FALSE), 0)</f>
        <v>0</v>
      </c>
      <c r="F153">
        <f>IFERROR(VLOOKUP(Tabla13[[#This Row],[SISMED]],TblDisponibilidad[],10,FALSE), 0)</f>
        <v>0</v>
      </c>
      <c r="G153">
        <f>IFERROR(VLOOKUP(Tabla13[[#This Row],[SISMED]],TblDisponibilidad[],11,FALSE), 0)</f>
        <v>0</v>
      </c>
      <c r="H153">
        <f>IFERROR(VLOOKUP(Tabla13[[#This Row],[SISMED]],TblDisponibilidad[],12,FALSE), 0)</f>
        <v>0</v>
      </c>
      <c r="I153">
        <f>IFERROR(VLOOKUP(Tabla13[[#This Row],[SISMED]],TblDisponibilidad[],13,FALSE), 0)</f>
        <v>0</v>
      </c>
      <c r="J153">
        <f>IFERROR(VLOOKUP(Tabla13[[#This Row],[SISMED]],TblDisponibilidad[],14,FALSE), 0)</f>
        <v>0</v>
      </c>
      <c r="K153">
        <f>IFERROR(VLOOKUP(Tabla13[[#This Row],[SISMED]],TblDisponibilidad[],15,FALSE), 0)</f>
        <v>0</v>
      </c>
      <c r="L153">
        <f>IFERROR(VLOOKUP(Tabla13[[#This Row],[SISMED]],TblDisponibilidad[],16,FALSE), 0)</f>
        <v>0</v>
      </c>
      <c r="M153">
        <f>IFERROR(VLOOKUP(Tabla13[[#This Row],[SISMED]],TblDisponibilidad[],17,FALSE), 0)</f>
        <v>0</v>
      </c>
      <c r="N153">
        <f>IFERROR(VLOOKUP(Tabla13[[#This Row],[SISMED]],TblDisponibilidad[],18,FALSE), 0)</f>
        <v>0</v>
      </c>
      <c r="O153">
        <f>IFERROR(VLOOKUP(Tabla13[[#This Row],[SISMED]],TblDisponibilidad[],19,FALSE), 0)</f>
        <v>0</v>
      </c>
      <c r="P153">
        <f>IFERROR(VLOOKUP(Tabla13[[#This Row],[SISMED]],TblDisponibilidad[],20,FALSE), 0)</f>
        <v>0</v>
      </c>
      <c r="Q153">
        <f>IFERROR(VLOOKUP(Tabla13[[#This Row],[SISMED]],TblDisponibilidad[],21,FALSE), 0)</f>
        <v>0</v>
      </c>
      <c r="R153">
        <f>IFERROR(VLOOKUP(Tabla13[[#This Row],[SISMED]],TblDisponibilidad[],22,FALSE), 0)</f>
        <v>0</v>
      </c>
      <c r="S153" s="15">
        <f>IFERROR(VLOOKUP(Tabla13[[#This Row],[SISMED]],TblDisponibilidad[],23,FALSE), 0)</f>
        <v>0</v>
      </c>
    </row>
    <row r="154" spans="1:19" x14ac:dyDescent="0.3">
      <c r="A154" s="15" t="s">
        <v>184</v>
      </c>
      <c r="B154" t="str">
        <f>IFERROR(VLOOKUP(Tabla13[[#This Row],[SISMED]],TblDisponibilidad[],2,FALSE), "")</f>
        <v/>
      </c>
      <c r="C154">
        <f>IFERROR(VLOOKUP(Tabla13[[#This Row],[SISMED]],TblDisponibilidad[],7,FALSE), 0)</f>
        <v>0</v>
      </c>
      <c r="D154">
        <f>IFERROR(VLOOKUP(Tabla13[[#This Row],[SISMED]],TblDisponibilidad[],8,FALSE), 0)</f>
        <v>0</v>
      </c>
      <c r="E154">
        <f>IFERROR(VLOOKUP(Tabla13[[#This Row],[SISMED]],TblDisponibilidad[],9,FALSE), 0)</f>
        <v>0</v>
      </c>
      <c r="F154">
        <f>IFERROR(VLOOKUP(Tabla13[[#This Row],[SISMED]],TblDisponibilidad[],10,FALSE), 0)</f>
        <v>0</v>
      </c>
      <c r="G154">
        <f>IFERROR(VLOOKUP(Tabla13[[#This Row],[SISMED]],TblDisponibilidad[],11,FALSE), 0)</f>
        <v>0</v>
      </c>
      <c r="H154">
        <f>IFERROR(VLOOKUP(Tabla13[[#This Row],[SISMED]],TblDisponibilidad[],12,FALSE), 0)</f>
        <v>0</v>
      </c>
      <c r="I154">
        <f>IFERROR(VLOOKUP(Tabla13[[#This Row],[SISMED]],TblDisponibilidad[],13,FALSE), 0)</f>
        <v>0</v>
      </c>
      <c r="J154">
        <f>IFERROR(VLOOKUP(Tabla13[[#This Row],[SISMED]],TblDisponibilidad[],14,FALSE), 0)</f>
        <v>0</v>
      </c>
      <c r="K154">
        <f>IFERROR(VLOOKUP(Tabla13[[#This Row],[SISMED]],TblDisponibilidad[],15,FALSE), 0)</f>
        <v>0</v>
      </c>
      <c r="L154">
        <f>IFERROR(VLOOKUP(Tabla13[[#This Row],[SISMED]],TblDisponibilidad[],16,FALSE), 0)</f>
        <v>0</v>
      </c>
      <c r="M154">
        <f>IFERROR(VLOOKUP(Tabla13[[#This Row],[SISMED]],TblDisponibilidad[],17,FALSE), 0)</f>
        <v>0</v>
      </c>
      <c r="N154">
        <f>IFERROR(VLOOKUP(Tabla13[[#This Row],[SISMED]],TblDisponibilidad[],18,FALSE), 0)</f>
        <v>0</v>
      </c>
      <c r="O154">
        <f>IFERROR(VLOOKUP(Tabla13[[#This Row],[SISMED]],TblDisponibilidad[],19,FALSE), 0)</f>
        <v>0</v>
      </c>
      <c r="P154">
        <f>IFERROR(VLOOKUP(Tabla13[[#This Row],[SISMED]],TblDisponibilidad[],20,FALSE), 0)</f>
        <v>0</v>
      </c>
      <c r="Q154">
        <f>IFERROR(VLOOKUP(Tabla13[[#This Row],[SISMED]],TblDisponibilidad[],21,FALSE), 0)</f>
        <v>0</v>
      </c>
      <c r="R154">
        <f>IFERROR(VLOOKUP(Tabla13[[#This Row],[SISMED]],TblDisponibilidad[],22,FALSE), 0)</f>
        <v>0</v>
      </c>
      <c r="S154" s="15">
        <f>IFERROR(VLOOKUP(Tabla13[[#This Row],[SISMED]],TblDisponibilidad[],23,FALSE), 0)</f>
        <v>0</v>
      </c>
    </row>
    <row r="155" spans="1:19" x14ac:dyDescent="0.3">
      <c r="A155" s="15" t="s">
        <v>185</v>
      </c>
      <c r="B155" t="str">
        <f>IFERROR(VLOOKUP(Tabla13[[#This Row],[SISMED]],TblDisponibilidad[],2,FALSE), "")</f>
        <v/>
      </c>
      <c r="C155">
        <f>IFERROR(VLOOKUP(Tabla13[[#This Row],[SISMED]],TblDisponibilidad[],7,FALSE), 0)</f>
        <v>0</v>
      </c>
      <c r="D155">
        <f>IFERROR(VLOOKUP(Tabla13[[#This Row],[SISMED]],TblDisponibilidad[],8,FALSE), 0)</f>
        <v>0</v>
      </c>
      <c r="E155">
        <f>IFERROR(VLOOKUP(Tabla13[[#This Row],[SISMED]],TblDisponibilidad[],9,FALSE), 0)</f>
        <v>0</v>
      </c>
      <c r="F155">
        <f>IFERROR(VLOOKUP(Tabla13[[#This Row],[SISMED]],TblDisponibilidad[],10,FALSE), 0)</f>
        <v>0</v>
      </c>
      <c r="G155">
        <f>IFERROR(VLOOKUP(Tabla13[[#This Row],[SISMED]],TblDisponibilidad[],11,FALSE), 0)</f>
        <v>0</v>
      </c>
      <c r="H155">
        <f>IFERROR(VLOOKUP(Tabla13[[#This Row],[SISMED]],TblDisponibilidad[],12,FALSE), 0)</f>
        <v>0</v>
      </c>
      <c r="I155">
        <f>IFERROR(VLOOKUP(Tabla13[[#This Row],[SISMED]],TblDisponibilidad[],13,FALSE), 0)</f>
        <v>0</v>
      </c>
      <c r="J155">
        <f>IFERROR(VLOOKUP(Tabla13[[#This Row],[SISMED]],TblDisponibilidad[],14,FALSE), 0)</f>
        <v>0</v>
      </c>
      <c r="K155">
        <f>IFERROR(VLOOKUP(Tabla13[[#This Row],[SISMED]],TblDisponibilidad[],15,FALSE), 0)</f>
        <v>0</v>
      </c>
      <c r="L155">
        <f>IFERROR(VLOOKUP(Tabla13[[#This Row],[SISMED]],TblDisponibilidad[],16,FALSE), 0)</f>
        <v>0</v>
      </c>
      <c r="M155">
        <f>IFERROR(VLOOKUP(Tabla13[[#This Row],[SISMED]],TblDisponibilidad[],17,FALSE), 0)</f>
        <v>0</v>
      </c>
      <c r="N155">
        <f>IFERROR(VLOOKUP(Tabla13[[#This Row],[SISMED]],TblDisponibilidad[],18,FALSE), 0)</f>
        <v>0</v>
      </c>
      <c r="O155">
        <f>IFERROR(VLOOKUP(Tabla13[[#This Row],[SISMED]],TblDisponibilidad[],19,FALSE), 0)</f>
        <v>0</v>
      </c>
      <c r="P155">
        <f>IFERROR(VLOOKUP(Tabla13[[#This Row],[SISMED]],TblDisponibilidad[],20,FALSE), 0)</f>
        <v>0</v>
      </c>
      <c r="Q155">
        <f>IFERROR(VLOOKUP(Tabla13[[#This Row],[SISMED]],TblDisponibilidad[],21,FALSE), 0)</f>
        <v>0</v>
      </c>
      <c r="R155">
        <f>IFERROR(VLOOKUP(Tabla13[[#This Row],[SISMED]],TblDisponibilidad[],22,FALSE), 0)</f>
        <v>0</v>
      </c>
      <c r="S155" s="15">
        <f>IFERROR(VLOOKUP(Tabla13[[#This Row],[SISMED]],TblDisponibilidad[],23,FALSE), 0)</f>
        <v>0</v>
      </c>
    </row>
    <row r="156" spans="1:19" x14ac:dyDescent="0.3">
      <c r="A156" s="15" t="s">
        <v>186</v>
      </c>
      <c r="B156" t="str">
        <f>IFERROR(VLOOKUP(Tabla13[[#This Row],[SISMED]],TblDisponibilidad[],2,FALSE), "")</f>
        <v/>
      </c>
      <c r="C156">
        <f>IFERROR(VLOOKUP(Tabla13[[#This Row],[SISMED]],TblDisponibilidad[],7,FALSE), 0)</f>
        <v>0</v>
      </c>
      <c r="D156">
        <f>IFERROR(VLOOKUP(Tabla13[[#This Row],[SISMED]],TblDisponibilidad[],8,FALSE), 0)</f>
        <v>0</v>
      </c>
      <c r="E156">
        <f>IFERROR(VLOOKUP(Tabla13[[#This Row],[SISMED]],TblDisponibilidad[],9,FALSE), 0)</f>
        <v>0</v>
      </c>
      <c r="F156">
        <f>IFERROR(VLOOKUP(Tabla13[[#This Row],[SISMED]],TblDisponibilidad[],10,FALSE), 0)</f>
        <v>0</v>
      </c>
      <c r="G156">
        <f>IFERROR(VLOOKUP(Tabla13[[#This Row],[SISMED]],TblDisponibilidad[],11,FALSE), 0)</f>
        <v>0</v>
      </c>
      <c r="H156">
        <f>IFERROR(VLOOKUP(Tabla13[[#This Row],[SISMED]],TblDisponibilidad[],12,FALSE), 0)</f>
        <v>0</v>
      </c>
      <c r="I156">
        <f>IFERROR(VLOOKUP(Tabla13[[#This Row],[SISMED]],TblDisponibilidad[],13,FALSE), 0)</f>
        <v>0</v>
      </c>
      <c r="J156">
        <f>IFERROR(VLOOKUP(Tabla13[[#This Row],[SISMED]],TblDisponibilidad[],14,FALSE), 0)</f>
        <v>0</v>
      </c>
      <c r="K156">
        <f>IFERROR(VLOOKUP(Tabla13[[#This Row],[SISMED]],TblDisponibilidad[],15,FALSE), 0)</f>
        <v>0</v>
      </c>
      <c r="L156">
        <f>IFERROR(VLOOKUP(Tabla13[[#This Row],[SISMED]],TblDisponibilidad[],16,FALSE), 0)</f>
        <v>0</v>
      </c>
      <c r="M156">
        <f>IFERROR(VLOOKUP(Tabla13[[#This Row],[SISMED]],TblDisponibilidad[],17,FALSE), 0)</f>
        <v>0</v>
      </c>
      <c r="N156">
        <f>IFERROR(VLOOKUP(Tabla13[[#This Row],[SISMED]],TblDisponibilidad[],18,FALSE), 0)</f>
        <v>0</v>
      </c>
      <c r="O156">
        <f>IFERROR(VLOOKUP(Tabla13[[#This Row],[SISMED]],TblDisponibilidad[],19,FALSE), 0)</f>
        <v>0</v>
      </c>
      <c r="P156">
        <f>IFERROR(VLOOKUP(Tabla13[[#This Row],[SISMED]],TblDisponibilidad[],20,FALSE), 0)</f>
        <v>0</v>
      </c>
      <c r="Q156">
        <f>IFERROR(VLOOKUP(Tabla13[[#This Row],[SISMED]],TblDisponibilidad[],21,FALSE), 0)</f>
        <v>0</v>
      </c>
      <c r="R156">
        <f>IFERROR(VLOOKUP(Tabla13[[#This Row],[SISMED]],TblDisponibilidad[],22,FALSE), 0)</f>
        <v>0</v>
      </c>
      <c r="S156" s="15">
        <f>IFERROR(VLOOKUP(Tabla13[[#This Row],[SISMED]],TblDisponibilidad[],23,FALSE), 0)</f>
        <v>0</v>
      </c>
    </row>
    <row r="157" spans="1:19" x14ac:dyDescent="0.3">
      <c r="A157" s="15" t="s">
        <v>187</v>
      </c>
      <c r="B157" t="str">
        <f>IFERROR(VLOOKUP(Tabla13[[#This Row],[SISMED]],TblDisponibilidad[],2,FALSE), "")</f>
        <v/>
      </c>
      <c r="C157">
        <f>IFERROR(VLOOKUP(Tabla13[[#This Row],[SISMED]],TblDisponibilidad[],7,FALSE), 0)</f>
        <v>0</v>
      </c>
      <c r="D157">
        <f>IFERROR(VLOOKUP(Tabla13[[#This Row],[SISMED]],TblDisponibilidad[],8,FALSE), 0)</f>
        <v>0</v>
      </c>
      <c r="E157">
        <f>IFERROR(VLOOKUP(Tabla13[[#This Row],[SISMED]],TblDisponibilidad[],9,FALSE), 0)</f>
        <v>0</v>
      </c>
      <c r="F157">
        <f>IFERROR(VLOOKUP(Tabla13[[#This Row],[SISMED]],TblDisponibilidad[],10,FALSE), 0)</f>
        <v>0</v>
      </c>
      <c r="G157">
        <f>IFERROR(VLOOKUP(Tabla13[[#This Row],[SISMED]],TblDisponibilidad[],11,FALSE), 0)</f>
        <v>0</v>
      </c>
      <c r="H157">
        <f>IFERROR(VLOOKUP(Tabla13[[#This Row],[SISMED]],TblDisponibilidad[],12,FALSE), 0)</f>
        <v>0</v>
      </c>
      <c r="I157">
        <f>IFERROR(VLOOKUP(Tabla13[[#This Row],[SISMED]],TblDisponibilidad[],13,FALSE), 0)</f>
        <v>0</v>
      </c>
      <c r="J157">
        <f>IFERROR(VLOOKUP(Tabla13[[#This Row],[SISMED]],TblDisponibilidad[],14,FALSE), 0)</f>
        <v>0</v>
      </c>
      <c r="K157">
        <f>IFERROR(VLOOKUP(Tabla13[[#This Row],[SISMED]],TblDisponibilidad[],15,FALSE), 0)</f>
        <v>0</v>
      </c>
      <c r="L157">
        <f>IFERROR(VLOOKUP(Tabla13[[#This Row],[SISMED]],TblDisponibilidad[],16,FALSE), 0)</f>
        <v>0</v>
      </c>
      <c r="M157">
        <f>IFERROR(VLOOKUP(Tabla13[[#This Row],[SISMED]],TblDisponibilidad[],17,FALSE), 0)</f>
        <v>0</v>
      </c>
      <c r="N157">
        <f>IFERROR(VLOOKUP(Tabla13[[#This Row],[SISMED]],TblDisponibilidad[],18,FALSE), 0)</f>
        <v>0</v>
      </c>
      <c r="O157">
        <f>IFERROR(VLOOKUP(Tabla13[[#This Row],[SISMED]],TblDisponibilidad[],19,FALSE), 0)</f>
        <v>0</v>
      </c>
      <c r="P157">
        <f>IFERROR(VLOOKUP(Tabla13[[#This Row],[SISMED]],TblDisponibilidad[],20,FALSE), 0)</f>
        <v>0</v>
      </c>
      <c r="Q157">
        <f>IFERROR(VLOOKUP(Tabla13[[#This Row],[SISMED]],TblDisponibilidad[],21,FALSE), 0)</f>
        <v>0</v>
      </c>
      <c r="R157">
        <f>IFERROR(VLOOKUP(Tabla13[[#This Row],[SISMED]],TblDisponibilidad[],22,FALSE), 0)</f>
        <v>0</v>
      </c>
      <c r="S157" s="15">
        <f>IFERROR(VLOOKUP(Tabla13[[#This Row],[SISMED]],TblDisponibilidad[],23,FALSE), 0)</f>
        <v>0</v>
      </c>
    </row>
    <row r="158" spans="1:19" x14ac:dyDescent="0.3">
      <c r="A158" s="15" t="s">
        <v>188</v>
      </c>
      <c r="B158" t="str">
        <f>IFERROR(VLOOKUP(Tabla13[[#This Row],[SISMED]],TblDisponibilidad[],2,FALSE), "")</f>
        <v/>
      </c>
      <c r="C158">
        <f>IFERROR(VLOOKUP(Tabla13[[#This Row],[SISMED]],TblDisponibilidad[],7,FALSE), 0)</f>
        <v>0</v>
      </c>
      <c r="D158">
        <f>IFERROR(VLOOKUP(Tabla13[[#This Row],[SISMED]],TblDisponibilidad[],8,FALSE), 0)</f>
        <v>0</v>
      </c>
      <c r="E158">
        <f>IFERROR(VLOOKUP(Tabla13[[#This Row],[SISMED]],TblDisponibilidad[],9,FALSE), 0)</f>
        <v>0</v>
      </c>
      <c r="F158">
        <f>IFERROR(VLOOKUP(Tabla13[[#This Row],[SISMED]],TblDisponibilidad[],10,FALSE), 0)</f>
        <v>0</v>
      </c>
      <c r="G158">
        <f>IFERROR(VLOOKUP(Tabla13[[#This Row],[SISMED]],TblDisponibilidad[],11,FALSE), 0)</f>
        <v>0</v>
      </c>
      <c r="H158">
        <f>IFERROR(VLOOKUP(Tabla13[[#This Row],[SISMED]],TblDisponibilidad[],12,FALSE), 0)</f>
        <v>0</v>
      </c>
      <c r="I158">
        <f>IFERROR(VLOOKUP(Tabla13[[#This Row],[SISMED]],TblDisponibilidad[],13,FALSE), 0)</f>
        <v>0</v>
      </c>
      <c r="J158">
        <f>IFERROR(VLOOKUP(Tabla13[[#This Row],[SISMED]],TblDisponibilidad[],14,FALSE), 0)</f>
        <v>0</v>
      </c>
      <c r="K158">
        <f>IFERROR(VLOOKUP(Tabla13[[#This Row],[SISMED]],TblDisponibilidad[],15,FALSE), 0)</f>
        <v>0</v>
      </c>
      <c r="L158">
        <f>IFERROR(VLOOKUP(Tabla13[[#This Row],[SISMED]],TblDisponibilidad[],16,FALSE), 0)</f>
        <v>0</v>
      </c>
      <c r="M158">
        <f>IFERROR(VLOOKUP(Tabla13[[#This Row],[SISMED]],TblDisponibilidad[],17,FALSE), 0)</f>
        <v>0</v>
      </c>
      <c r="N158">
        <f>IFERROR(VLOOKUP(Tabla13[[#This Row],[SISMED]],TblDisponibilidad[],18,FALSE), 0)</f>
        <v>0</v>
      </c>
      <c r="O158">
        <f>IFERROR(VLOOKUP(Tabla13[[#This Row],[SISMED]],TblDisponibilidad[],19,FALSE), 0)</f>
        <v>0</v>
      </c>
      <c r="P158">
        <f>IFERROR(VLOOKUP(Tabla13[[#This Row],[SISMED]],TblDisponibilidad[],20,FALSE), 0)</f>
        <v>0</v>
      </c>
      <c r="Q158">
        <f>IFERROR(VLOOKUP(Tabla13[[#This Row],[SISMED]],TblDisponibilidad[],21,FALSE), 0)</f>
        <v>0</v>
      </c>
      <c r="R158">
        <f>IFERROR(VLOOKUP(Tabla13[[#This Row],[SISMED]],TblDisponibilidad[],22,FALSE), 0)</f>
        <v>0</v>
      </c>
      <c r="S158" s="15">
        <f>IFERROR(VLOOKUP(Tabla13[[#This Row],[SISMED]],TblDisponibilidad[],23,FALSE), 0)</f>
        <v>0</v>
      </c>
    </row>
    <row r="159" spans="1:19" x14ac:dyDescent="0.3">
      <c r="A159" s="15" t="s">
        <v>189</v>
      </c>
      <c r="B159" t="str">
        <f>IFERROR(VLOOKUP(Tabla13[[#This Row],[SISMED]],TblDisponibilidad[],2,FALSE), "")</f>
        <v/>
      </c>
      <c r="C159">
        <f>IFERROR(VLOOKUP(Tabla13[[#This Row],[SISMED]],TblDisponibilidad[],7,FALSE), 0)</f>
        <v>0</v>
      </c>
      <c r="D159">
        <f>IFERROR(VLOOKUP(Tabla13[[#This Row],[SISMED]],TblDisponibilidad[],8,FALSE), 0)</f>
        <v>0</v>
      </c>
      <c r="E159">
        <f>IFERROR(VLOOKUP(Tabla13[[#This Row],[SISMED]],TblDisponibilidad[],9,FALSE), 0)</f>
        <v>0</v>
      </c>
      <c r="F159">
        <f>IFERROR(VLOOKUP(Tabla13[[#This Row],[SISMED]],TblDisponibilidad[],10,FALSE), 0)</f>
        <v>0</v>
      </c>
      <c r="G159">
        <f>IFERROR(VLOOKUP(Tabla13[[#This Row],[SISMED]],TblDisponibilidad[],11,FALSE), 0)</f>
        <v>0</v>
      </c>
      <c r="H159">
        <f>IFERROR(VLOOKUP(Tabla13[[#This Row],[SISMED]],TblDisponibilidad[],12,FALSE), 0)</f>
        <v>0</v>
      </c>
      <c r="I159">
        <f>IFERROR(VLOOKUP(Tabla13[[#This Row],[SISMED]],TblDisponibilidad[],13,FALSE), 0)</f>
        <v>0</v>
      </c>
      <c r="J159">
        <f>IFERROR(VLOOKUP(Tabla13[[#This Row],[SISMED]],TblDisponibilidad[],14,FALSE), 0)</f>
        <v>0</v>
      </c>
      <c r="K159">
        <f>IFERROR(VLOOKUP(Tabla13[[#This Row],[SISMED]],TblDisponibilidad[],15,FALSE), 0)</f>
        <v>0</v>
      </c>
      <c r="L159">
        <f>IFERROR(VLOOKUP(Tabla13[[#This Row],[SISMED]],TblDisponibilidad[],16,FALSE), 0)</f>
        <v>0</v>
      </c>
      <c r="M159">
        <f>IFERROR(VLOOKUP(Tabla13[[#This Row],[SISMED]],TblDisponibilidad[],17,FALSE), 0)</f>
        <v>0</v>
      </c>
      <c r="N159">
        <f>IFERROR(VLOOKUP(Tabla13[[#This Row],[SISMED]],TblDisponibilidad[],18,FALSE), 0)</f>
        <v>0</v>
      </c>
      <c r="O159">
        <f>IFERROR(VLOOKUP(Tabla13[[#This Row],[SISMED]],TblDisponibilidad[],19,FALSE), 0)</f>
        <v>0</v>
      </c>
      <c r="P159">
        <f>IFERROR(VLOOKUP(Tabla13[[#This Row],[SISMED]],TblDisponibilidad[],20,FALSE), 0)</f>
        <v>0</v>
      </c>
      <c r="Q159">
        <f>IFERROR(VLOOKUP(Tabla13[[#This Row],[SISMED]],TblDisponibilidad[],21,FALSE), 0)</f>
        <v>0</v>
      </c>
      <c r="R159">
        <f>IFERROR(VLOOKUP(Tabla13[[#This Row],[SISMED]],TblDisponibilidad[],22,FALSE), 0)</f>
        <v>0</v>
      </c>
      <c r="S159" s="15">
        <f>IFERROR(VLOOKUP(Tabla13[[#This Row],[SISMED]],TblDisponibilidad[],23,FALSE), 0)</f>
        <v>0</v>
      </c>
    </row>
    <row r="160" spans="1:19" x14ac:dyDescent="0.3">
      <c r="A160" s="15" t="s">
        <v>190</v>
      </c>
      <c r="B160" t="str">
        <f>IFERROR(VLOOKUP(Tabla13[[#This Row],[SISMED]],TblDisponibilidad[],2,FALSE), "")</f>
        <v/>
      </c>
      <c r="C160">
        <f>IFERROR(VLOOKUP(Tabla13[[#This Row],[SISMED]],TblDisponibilidad[],7,FALSE), 0)</f>
        <v>0</v>
      </c>
      <c r="D160">
        <f>IFERROR(VLOOKUP(Tabla13[[#This Row],[SISMED]],TblDisponibilidad[],8,FALSE), 0)</f>
        <v>0</v>
      </c>
      <c r="E160">
        <f>IFERROR(VLOOKUP(Tabla13[[#This Row],[SISMED]],TblDisponibilidad[],9,FALSE), 0)</f>
        <v>0</v>
      </c>
      <c r="F160">
        <f>IFERROR(VLOOKUP(Tabla13[[#This Row],[SISMED]],TblDisponibilidad[],10,FALSE), 0)</f>
        <v>0</v>
      </c>
      <c r="G160">
        <f>IFERROR(VLOOKUP(Tabla13[[#This Row],[SISMED]],TblDisponibilidad[],11,FALSE), 0)</f>
        <v>0</v>
      </c>
      <c r="H160">
        <f>IFERROR(VLOOKUP(Tabla13[[#This Row],[SISMED]],TblDisponibilidad[],12,FALSE), 0)</f>
        <v>0</v>
      </c>
      <c r="I160">
        <f>IFERROR(VLOOKUP(Tabla13[[#This Row],[SISMED]],TblDisponibilidad[],13,FALSE), 0)</f>
        <v>0</v>
      </c>
      <c r="J160">
        <f>IFERROR(VLOOKUP(Tabla13[[#This Row],[SISMED]],TblDisponibilidad[],14,FALSE), 0)</f>
        <v>0</v>
      </c>
      <c r="K160">
        <f>IFERROR(VLOOKUP(Tabla13[[#This Row],[SISMED]],TblDisponibilidad[],15,FALSE), 0)</f>
        <v>0</v>
      </c>
      <c r="L160">
        <f>IFERROR(VLOOKUP(Tabla13[[#This Row],[SISMED]],TblDisponibilidad[],16,FALSE), 0)</f>
        <v>0</v>
      </c>
      <c r="M160">
        <f>IFERROR(VLOOKUP(Tabla13[[#This Row],[SISMED]],TblDisponibilidad[],17,FALSE), 0)</f>
        <v>0</v>
      </c>
      <c r="N160">
        <f>IFERROR(VLOOKUP(Tabla13[[#This Row],[SISMED]],TblDisponibilidad[],18,FALSE), 0)</f>
        <v>0</v>
      </c>
      <c r="O160">
        <f>IFERROR(VLOOKUP(Tabla13[[#This Row],[SISMED]],TblDisponibilidad[],19,FALSE), 0)</f>
        <v>0</v>
      </c>
      <c r="P160">
        <f>IFERROR(VLOOKUP(Tabla13[[#This Row],[SISMED]],TblDisponibilidad[],20,FALSE), 0)</f>
        <v>0</v>
      </c>
      <c r="Q160">
        <f>IFERROR(VLOOKUP(Tabla13[[#This Row],[SISMED]],TblDisponibilidad[],21,FALSE), 0)</f>
        <v>0</v>
      </c>
      <c r="R160">
        <f>IFERROR(VLOOKUP(Tabla13[[#This Row],[SISMED]],TblDisponibilidad[],22,FALSE), 0)</f>
        <v>0</v>
      </c>
      <c r="S160" s="15">
        <f>IFERROR(VLOOKUP(Tabla13[[#This Row],[SISMED]],TblDisponibilidad[],23,FALSE), 0)</f>
        <v>0</v>
      </c>
    </row>
    <row r="161" spans="1:19" x14ac:dyDescent="0.3">
      <c r="A161" s="15" t="s">
        <v>191</v>
      </c>
      <c r="B161" t="str">
        <f>IFERROR(VLOOKUP(Tabla13[[#This Row],[SISMED]],TblDisponibilidad[],2,FALSE), "")</f>
        <v/>
      </c>
      <c r="C161">
        <f>IFERROR(VLOOKUP(Tabla13[[#This Row],[SISMED]],TblDisponibilidad[],7,FALSE), 0)</f>
        <v>0</v>
      </c>
      <c r="D161">
        <f>IFERROR(VLOOKUP(Tabla13[[#This Row],[SISMED]],TblDisponibilidad[],8,FALSE), 0)</f>
        <v>0</v>
      </c>
      <c r="E161">
        <f>IFERROR(VLOOKUP(Tabla13[[#This Row],[SISMED]],TblDisponibilidad[],9,FALSE), 0)</f>
        <v>0</v>
      </c>
      <c r="F161">
        <f>IFERROR(VLOOKUP(Tabla13[[#This Row],[SISMED]],TblDisponibilidad[],10,FALSE), 0)</f>
        <v>0</v>
      </c>
      <c r="G161">
        <f>IFERROR(VLOOKUP(Tabla13[[#This Row],[SISMED]],TblDisponibilidad[],11,FALSE), 0)</f>
        <v>0</v>
      </c>
      <c r="H161">
        <f>IFERROR(VLOOKUP(Tabla13[[#This Row],[SISMED]],TblDisponibilidad[],12,FALSE), 0)</f>
        <v>0</v>
      </c>
      <c r="I161">
        <f>IFERROR(VLOOKUP(Tabla13[[#This Row],[SISMED]],TblDisponibilidad[],13,FALSE), 0)</f>
        <v>0</v>
      </c>
      <c r="J161">
        <f>IFERROR(VLOOKUP(Tabla13[[#This Row],[SISMED]],TblDisponibilidad[],14,FALSE), 0)</f>
        <v>0</v>
      </c>
      <c r="K161">
        <f>IFERROR(VLOOKUP(Tabla13[[#This Row],[SISMED]],TblDisponibilidad[],15,FALSE), 0)</f>
        <v>0</v>
      </c>
      <c r="L161">
        <f>IFERROR(VLOOKUP(Tabla13[[#This Row],[SISMED]],TblDisponibilidad[],16,FALSE), 0)</f>
        <v>0</v>
      </c>
      <c r="M161">
        <f>IFERROR(VLOOKUP(Tabla13[[#This Row],[SISMED]],TblDisponibilidad[],17,FALSE), 0)</f>
        <v>0</v>
      </c>
      <c r="N161">
        <f>IFERROR(VLOOKUP(Tabla13[[#This Row],[SISMED]],TblDisponibilidad[],18,FALSE), 0)</f>
        <v>0</v>
      </c>
      <c r="O161">
        <f>IFERROR(VLOOKUP(Tabla13[[#This Row],[SISMED]],TblDisponibilidad[],19,FALSE), 0)</f>
        <v>0</v>
      </c>
      <c r="P161">
        <f>IFERROR(VLOOKUP(Tabla13[[#This Row],[SISMED]],TblDisponibilidad[],20,FALSE), 0)</f>
        <v>0</v>
      </c>
      <c r="Q161">
        <f>IFERROR(VLOOKUP(Tabla13[[#This Row],[SISMED]],TblDisponibilidad[],21,FALSE), 0)</f>
        <v>0</v>
      </c>
      <c r="R161">
        <f>IFERROR(VLOOKUP(Tabla13[[#This Row],[SISMED]],TblDisponibilidad[],22,FALSE), 0)</f>
        <v>0</v>
      </c>
      <c r="S161" s="15">
        <f>IFERROR(VLOOKUP(Tabla13[[#This Row],[SISMED]],TblDisponibilidad[],23,FALSE), 0)</f>
        <v>0</v>
      </c>
    </row>
    <row r="162" spans="1:19" x14ac:dyDescent="0.3">
      <c r="A162" s="15" t="s">
        <v>192</v>
      </c>
      <c r="B162" t="str">
        <f>IFERROR(VLOOKUP(Tabla13[[#This Row],[SISMED]],TblDisponibilidad[],2,FALSE), "")</f>
        <v/>
      </c>
      <c r="C162">
        <f>IFERROR(VLOOKUP(Tabla13[[#This Row],[SISMED]],TblDisponibilidad[],7,FALSE), 0)</f>
        <v>0</v>
      </c>
      <c r="D162">
        <f>IFERROR(VLOOKUP(Tabla13[[#This Row],[SISMED]],TblDisponibilidad[],8,FALSE), 0)</f>
        <v>0</v>
      </c>
      <c r="E162">
        <f>IFERROR(VLOOKUP(Tabla13[[#This Row],[SISMED]],TblDisponibilidad[],9,FALSE), 0)</f>
        <v>0</v>
      </c>
      <c r="F162">
        <f>IFERROR(VLOOKUP(Tabla13[[#This Row],[SISMED]],TblDisponibilidad[],10,FALSE), 0)</f>
        <v>0</v>
      </c>
      <c r="G162">
        <f>IFERROR(VLOOKUP(Tabla13[[#This Row],[SISMED]],TblDisponibilidad[],11,FALSE), 0)</f>
        <v>0</v>
      </c>
      <c r="H162">
        <f>IFERROR(VLOOKUP(Tabla13[[#This Row],[SISMED]],TblDisponibilidad[],12,FALSE), 0)</f>
        <v>0</v>
      </c>
      <c r="I162">
        <f>IFERROR(VLOOKUP(Tabla13[[#This Row],[SISMED]],TblDisponibilidad[],13,FALSE), 0)</f>
        <v>0</v>
      </c>
      <c r="J162">
        <f>IFERROR(VLOOKUP(Tabla13[[#This Row],[SISMED]],TblDisponibilidad[],14,FALSE), 0)</f>
        <v>0</v>
      </c>
      <c r="K162">
        <f>IFERROR(VLOOKUP(Tabla13[[#This Row],[SISMED]],TblDisponibilidad[],15,FALSE), 0)</f>
        <v>0</v>
      </c>
      <c r="L162">
        <f>IFERROR(VLOOKUP(Tabla13[[#This Row],[SISMED]],TblDisponibilidad[],16,FALSE), 0)</f>
        <v>0</v>
      </c>
      <c r="M162">
        <f>IFERROR(VLOOKUP(Tabla13[[#This Row],[SISMED]],TblDisponibilidad[],17,FALSE), 0)</f>
        <v>0</v>
      </c>
      <c r="N162">
        <f>IFERROR(VLOOKUP(Tabla13[[#This Row],[SISMED]],TblDisponibilidad[],18,FALSE), 0)</f>
        <v>0</v>
      </c>
      <c r="O162">
        <f>IFERROR(VLOOKUP(Tabla13[[#This Row],[SISMED]],TblDisponibilidad[],19,FALSE), 0)</f>
        <v>0</v>
      </c>
      <c r="P162">
        <f>IFERROR(VLOOKUP(Tabla13[[#This Row],[SISMED]],TblDisponibilidad[],20,FALSE), 0)</f>
        <v>0</v>
      </c>
      <c r="Q162">
        <f>IFERROR(VLOOKUP(Tabla13[[#This Row],[SISMED]],TblDisponibilidad[],21,FALSE), 0)</f>
        <v>0</v>
      </c>
      <c r="R162">
        <f>IFERROR(VLOOKUP(Tabla13[[#This Row],[SISMED]],TblDisponibilidad[],22,FALSE), 0)</f>
        <v>0</v>
      </c>
      <c r="S162" s="15">
        <f>IFERROR(VLOOKUP(Tabla13[[#This Row],[SISMED]],TblDisponibilidad[],23,FALSE), 0)</f>
        <v>0</v>
      </c>
    </row>
    <row r="163" spans="1:19" x14ac:dyDescent="0.3">
      <c r="A163" s="15" t="s">
        <v>193</v>
      </c>
      <c r="B163" t="str">
        <f>IFERROR(VLOOKUP(Tabla13[[#This Row],[SISMED]],TblDisponibilidad[],2,FALSE), "")</f>
        <v/>
      </c>
      <c r="C163">
        <f>IFERROR(VLOOKUP(Tabla13[[#This Row],[SISMED]],TblDisponibilidad[],7,FALSE), 0)</f>
        <v>0</v>
      </c>
      <c r="D163">
        <f>IFERROR(VLOOKUP(Tabla13[[#This Row],[SISMED]],TblDisponibilidad[],8,FALSE), 0)</f>
        <v>0</v>
      </c>
      <c r="E163">
        <f>IFERROR(VLOOKUP(Tabla13[[#This Row],[SISMED]],TblDisponibilidad[],9,FALSE), 0)</f>
        <v>0</v>
      </c>
      <c r="F163">
        <f>IFERROR(VLOOKUP(Tabla13[[#This Row],[SISMED]],TblDisponibilidad[],10,FALSE), 0)</f>
        <v>0</v>
      </c>
      <c r="G163">
        <f>IFERROR(VLOOKUP(Tabla13[[#This Row],[SISMED]],TblDisponibilidad[],11,FALSE), 0)</f>
        <v>0</v>
      </c>
      <c r="H163">
        <f>IFERROR(VLOOKUP(Tabla13[[#This Row],[SISMED]],TblDisponibilidad[],12,FALSE), 0)</f>
        <v>0</v>
      </c>
      <c r="I163">
        <f>IFERROR(VLOOKUP(Tabla13[[#This Row],[SISMED]],TblDisponibilidad[],13,FALSE), 0)</f>
        <v>0</v>
      </c>
      <c r="J163">
        <f>IFERROR(VLOOKUP(Tabla13[[#This Row],[SISMED]],TblDisponibilidad[],14,FALSE), 0)</f>
        <v>0</v>
      </c>
      <c r="K163">
        <f>IFERROR(VLOOKUP(Tabla13[[#This Row],[SISMED]],TblDisponibilidad[],15,FALSE), 0)</f>
        <v>0</v>
      </c>
      <c r="L163">
        <f>IFERROR(VLOOKUP(Tabla13[[#This Row],[SISMED]],TblDisponibilidad[],16,FALSE), 0)</f>
        <v>0</v>
      </c>
      <c r="M163">
        <f>IFERROR(VLOOKUP(Tabla13[[#This Row],[SISMED]],TblDisponibilidad[],17,FALSE), 0)</f>
        <v>0</v>
      </c>
      <c r="N163">
        <f>IFERROR(VLOOKUP(Tabla13[[#This Row],[SISMED]],TblDisponibilidad[],18,FALSE), 0)</f>
        <v>0</v>
      </c>
      <c r="O163">
        <f>IFERROR(VLOOKUP(Tabla13[[#This Row],[SISMED]],TblDisponibilidad[],19,FALSE), 0)</f>
        <v>0</v>
      </c>
      <c r="P163">
        <f>IFERROR(VLOOKUP(Tabla13[[#This Row],[SISMED]],TblDisponibilidad[],20,FALSE), 0)</f>
        <v>0</v>
      </c>
      <c r="Q163">
        <f>IFERROR(VLOOKUP(Tabla13[[#This Row],[SISMED]],TblDisponibilidad[],21,FALSE), 0)</f>
        <v>0</v>
      </c>
      <c r="R163">
        <f>IFERROR(VLOOKUP(Tabla13[[#This Row],[SISMED]],TblDisponibilidad[],22,FALSE), 0)</f>
        <v>0</v>
      </c>
      <c r="S163" s="15">
        <f>IFERROR(VLOOKUP(Tabla13[[#This Row],[SISMED]],TblDisponibilidad[],23,FALSE), 0)</f>
        <v>0</v>
      </c>
    </row>
    <row r="164" spans="1:19" x14ac:dyDescent="0.3">
      <c r="A164" s="15" t="s">
        <v>194</v>
      </c>
      <c r="B164" t="str">
        <f>IFERROR(VLOOKUP(Tabla13[[#This Row],[SISMED]],TblDisponibilidad[],2,FALSE), "")</f>
        <v/>
      </c>
      <c r="C164">
        <f>IFERROR(VLOOKUP(Tabla13[[#This Row],[SISMED]],TblDisponibilidad[],7,FALSE), 0)</f>
        <v>0</v>
      </c>
      <c r="D164">
        <f>IFERROR(VLOOKUP(Tabla13[[#This Row],[SISMED]],TblDisponibilidad[],8,FALSE), 0)</f>
        <v>0</v>
      </c>
      <c r="E164">
        <f>IFERROR(VLOOKUP(Tabla13[[#This Row],[SISMED]],TblDisponibilidad[],9,FALSE), 0)</f>
        <v>0</v>
      </c>
      <c r="F164">
        <f>IFERROR(VLOOKUP(Tabla13[[#This Row],[SISMED]],TblDisponibilidad[],10,FALSE), 0)</f>
        <v>0</v>
      </c>
      <c r="G164">
        <f>IFERROR(VLOOKUP(Tabla13[[#This Row],[SISMED]],TblDisponibilidad[],11,FALSE), 0)</f>
        <v>0</v>
      </c>
      <c r="H164">
        <f>IFERROR(VLOOKUP(Tabla13[[#This Row],[SISMED]],TblDisponibilidad[],12,FALSE), 0)</f>
        <v>0</v>
      </c>
      <c r="I164">
        <f>IFERROR(VLOOKUP(Tabla13[[#This Row],[SISMED]],TblDisponibilidad[],13,FALSE), 0)</f>
        <v>0</v>
      </c>
      <c r="J164">
        <f>IFERROR(VLOOKUP(Tabla13[[#This Row],[SISMED]],TblDisponibilidad[],14,FALSE), 0)</f>
        <v>0</v>
      </c>
      <c r="K164">
        <f>IFERROR(VLOOKUP(Tabla13[[#This Row],[SISMED]],TblDisponibilidad[],15,FALSE), 0)</f>
        <v>0</v>
      </c>
      <c r="L164">
        <f>IFERROR(VLOOKUP(Tabla13[[#This Row],[SISMED]],TblDisponibilidad[],16,FALSE), 0)</f>
        <v>0</v>
      </c>
      <c r="M164">
        <f>IFERROR(VLOOKUP(Tabla13[[#This Row],[SISMED]],TblDisponibilidad[],17,FALSE), 0)</f>
        <v>0</v>
      </c>
      <c r="N164">
        <f>IFERROR(VLOOKUP(Tabla13[[#This Row],[SISMED]],TblDisponibilidad[],18,FALSE), 0)</f>
        <v>0</v>
      </c>
      <c r="O164">
        <f>IFERROR(VLOOKUP(Tabla13[[#This Row],[SISMED]],TblDisponibilidad[],19,FALSE), 0)</f>
        <v>0</v>
      </c>
      <c r="P164">
        <f>IFERROR(VLOOKUP(Tabla13[[#This Row],[SISMED]],TblDisponibilidad[],20,FALSE), 0)</f>
        <v>0</v>
      </c>
      <c r="Q164">
        <f>IFERROR(VLOOKUP(Tabla13[[#This Row],[SISMED]],TblDisponibilidad[],21,FALSE), 0)</f>
        <v>0</v>
      </c>
      <c r="R164">
        <f>IFERROR(VLOOKUP(Tabla13[[#This Row],[SISMED]],TblDisponibilidad[],22,FALSE), 0)</f>
        <v>0</v>
      </c>
      <c r="S164" s="15">
        <f>IFERROR(VLOOKUP(Tabla13[[#This Row],[SISMED]],TblDisponibilidad[],23,FALSE), 0)</f>
        <v>0</v>
      </c>
    </row>
    <row r="165" spans="1:19" x14ac:dyDescent="0.3">
      <c r="A165" s="15" t="s">
        <v>195</v>
      </c>
      <c r="B165" t="str">
        <f>IFERROR(VLOOKUP(Tabla13[[#This Row],[SISMED]],TblDisponibilidad[],2,FALSE), "")</f>
        <v/>
      </c>
      <c r="C165">
        <f>IFERROR(VLOOKUP(Tabla13[[#This Row],[SISMED]],TblDisponibilidad[],7,FALSE), 0)</f>
        <v>0</v>
      </c>
      <c r="D165">
        <f>IFERROR(VLOOKUP(Tabla13[[#This Row],[SISMED]],TblDisponibilidad[],8,FALSE), 0)</f>
        <v>0</v>
      </c>
      <c r="E165">
        <f>IFERROR(VLOOKUP(Tabla13[[#This Row],[SISMED]],TblDisponibilidad[],9,FALSE), 0)</f>
        <v>0</v>
      </c>
      <c r="F165">
        <f>IFERROR(VLOOKUP(Tabla13[[#This Row],[SISMED]],TblDisponibilidad[],10,FALSE), 0)</f>
        <v>0</v>
      </c>
      <c r="G165">
        <f>IFERROR(VLOOKUP(Tabla13[[#This Row],[SISMED]],TblDisponibilidad[],11,FALSE), 0)</f>
        <v>0</v>
      </c>
      <c r="H165">
        <f>IFERROR(VLOOKUP(Tabla13[[#This Row],[SISMED]],TblDisponibilidad[],12,FALSE), 0)</f>
        <v>0</v>
      </c>
      <c r="I165">
        <f>IFERROR(VLOOKUP(Tabla13[[#This Row],[SISMED]],TblDisponibilidad[],13,FALSE), 0)</f>
        <v>0</v>
      </c>
      <c r="J165">
        <f>IFERROR(VLOOKUP(Tabla13[[#This Row],[SISMED]],TblDisponibilidad[],14,FALSE), 0)</f>
        <v>0</v>
      </c>
      <c r="K165">
        <f>IFERROR(VLOOKUP(Tabla13[[#This Row],[SISMED]],TblDisponibilidad[],15,FALSE), 0)</f>
        <v>0</v>
      </c>
      <c r="L165">
        <f>IFERROR(VLOOKUP(Tabla13[[#This Row],[SISMED]],TblDisponibilidad[],16,FALSE), 0)</f>
        <v>0</v>
      </c>
      <c r="M165">
        <f>IFERROR(VLOOKUP(Tabla13[[#This Row],[SISMED]],TblDisponibilidad[],17,FALSE), 0)</f>
        <v>0</v>
      </c>
      <c r="N165">
        <f>IFERROR(VLOOKUP(Tabla13[[#This Row],[SISMED]],TblDisponibilidad[],18,FALSE), 0)</f>
        <v>0</v>
      </c>
      <c r="O165">
        <f>IFERROR(VLOOKUP(Tabla13[[#This Row],[SISMED]],TblDisponibilidad[],19,FALSE), 0)</f>
        <v>0</v>
      </c>
      <c r="P165">
        <f>IFERROR(VLOOKUP(Tabla13[[#This Row],[SISMED]],TblDisponibilidad[],20,FALSE), 0)</f>
        <v>0</v>
      </c>
      <c r="Q165">
        <f>IFERROR(VLOOKUP(Tabla13[[#This Row],[SISMED]],TblDisponibilidad[],21,FALSE), 0)</f>
        <v>0</v>
      </c>
      <c r="R165">
        <f>IFERROR(VLOOKUP(Tabla13[[#This Row],[SISMED]],TblDisponibilidad[],22,FALSE), 0)</f>
        <v>0</v>
      </c>
      <c r="S165" s="15">
        <f>IFERROR(VLOOKUP(Tabla13[[#This Row],[SISMED]],TblDisponibilidad[],23,FALSE), 0)</f>
        <v>0</v>
      </c>
    </row>
    <row r="166" spans="1:19" x14ac:dyDescent="0.3">
      <c r="A166" s="15" t="s">
        <v>196</v>
      </c>
      <c r="B166" t="str">
        <f>IFERROR(VLOOKUP(Tabla13[[#This Row],[SISMED]],TblDisponibilidad[],2,FALSE), "")</f>
        <v/>
      </c>
      <c r="C166">
        <f>IFERROR(VLOOKUP(Tabla13[[#This Row],[SISMED]],TblDisponibilidad[],7,FALSE), 0)</f>
        <v>0</v>
      </c>
      <c r="D166">
        <f>IFERROR(VLOOKUP(Tabla13[[#This Row],[SISMED]],TblDisponibilidad[],8,FALSE), 0)</f>
        <v>0</v>
      </c>
      <c r="E166">
        <f>IFERROR(VLOOKUP(Tabla13[[#This Row],[SISMED]],TblDisponibilidad[],9,FALSE), 0)</f>
        <v>0</v>
      </c>
      <c r="F166">
        <f>IFERROR(VLOOKUP(Tabla13[[#This Row],[SISMED]],TblDisponibilidad[],10,FALSE), 0)</f>
        <v>0</v>
      </c>
      <c r="G166">
        <f>IFERROR(VLOOKUP(Tabla13[[#This Row],[SISMED]],TblDisponibilidad[],11,FALSE), 0)</f>
        <v>0</v>
      </c>
      <c r="H166">
        <f>IFERROR(VLOOKUP(Tabla13[[#This Row],[SISMED]],TblDisponibilidad[],12,FALSE), 0)</f>
        <v>0</v>
      </c>
      <c r="I166">
        <f>IFERROR(VLOOKUP(Tabla13[[#This Row],[SISMED]],TblDisponibilidad[],13,FALSE), 0)</f>
        <v>0</v>
      </c>
      <c r="J166">
        <f>IFERROR(VLOOKUP(Tabla13[[#This Row],[SISMED]],TblDisponibilidad[],14,FALSE), 0)</f>
        <v>0</v>
      </c>
      <c r="K166">
        <f>IFERROR(VLOOKUP(Tabla13[[#This Row],[SISMED]],TblDisponibilidad[],15,FALSE), 0)</f>
        <v>0</v>
      </c>
      <c r="L166">
        <f>IFERROR(VLOOKUP(Tabla13[[#This Row],[SISMED]],TblDisponibilidad[],16,FALSE), 0)</f>
        <v>0</v>
      </c>
      <c r="M166">
        <f>IFERROR(VLOOKUP(Tabla13[[#This Row],[SISMED]],TblDisponibilidad[],17,FALSE), 0)</f>
        <v>0</v>
      </c>
      <c r="N166">
        <f>IFERROR(VLOOKUP(Tabla13[[#This Row],[SISMED]],TblDisponibilidad[],18,FALSE), 0)</f>
        <v>0</v>
      </c>
      <c r="O166">
        <f>IFERROR(VLOOKUP(Tabla13[[#This Row],[SISMED]],TblDisponibilidad[],19,FALSE), 0)</f>
        <v>0</v>
      </c>
      <c r="P166">
        <f>IFERROR(VLOOKUP(Tabla13[[#This Row],[SISMED]],TblDisponibilidad[],20,FALSE), 0)</f>
        <v>0</v>
      </c>
      <c r="Q166">
        <f>IFERROR(VLOOKUP(Tabla13[[#This Row],[SISMED]],TblDisponibilidad[],21,FALSE), 0)</f>
        <v>0</v>
      </c>
      <c r="R166">
        <f>IFERROR(VLOOKUP(Tabla13[[#This Row],[SISMED]],TblDisponibilidad[],22,FALSE), 0)</f>
        <v>0</v>
      </c>
      <c r="S166" s="15">
        <f>IFERROR(VLOOKUP(Tabla13[[#This Row],[SISMED]],TblDisponibilidad[],23,FALSE), 0)</f>
        <v>0</v>
      </c>
    </row>
    <row r="167" spans="1:19" x14ac:dyDescent="0.3">
      <c r="A167" s="15" t="s">
        <v>197</v>
      </c>
      <c r="B167" t="str">
        <f>IFERROR(VLOOKUP(Tabla13[[#This Row],[SISMED]],TblDisponibilidad[],2,FALSE), "")</f>
        <v/>
      </c>
      <c r="C167">
        <f>IFERROR(VLOOKUP(Tabla13[[#This Row],[SISMED]],TblDisponibilidad[],7,FALSE), 0)</f>
        <v>0</v>
      </c>
      <c r="D167">
        <f>IFERROR(VLOOKUP(Tabla13[[#This Row],[SISMED]],TblDisponibilidad[],8,FALSE), 0)</f>
        <v>0</v>
      </c>
      <c r="E167">
        <f>IFERROR(VLOOKUP(Tabla13[[#This Row],[SISMED]],TblDisponibilidad[],9,FALSE), 0)</f>
        <v>0</v>
      </c>
      <c r="F167">
        <f>IFERROR(VLOOKUP(Tabla13[[#This Row],[SISMED]],TblDisponibilidad[],10,FALSE), 0)</f>
        <v>0</v>
      </c>
      <c r="G167">
        <f>IFERROR(VLOOKUP(Tabla13[[#This Row],[SISMED]],TblDisponibilidad[],11,FALSE), 0)</f>
        <v>0</v>
      </c>
      <c r="H167">
        <f>IFERROR(VLOOKUP(Tabla13[[#This Row],[SISMED]],TblDisponibilidad[],12,FALSE), 0)</f>
        <v>0</v>
      </c>
      <c r="I167">
        <f>IFERROR(VLOOKUP(Tabla13[[#This Row],[SISMED]],TblDisponibilidad[],13,FALSE), 0)</f>
        <v>0</v>
      </c>
      <c r="J167">
        <f>IFERROR(VLOOKUP(Tabla13[[#This Row],[SISMED]],TblDisponibilidad[],14,FALSE), 0)</f>
        <v>0</v>
      </c>
      <c r="K167">
        <f>IFERROR(VLOOKUP(Tabla13[[#This Row],[SISMED]],TblDisponibilidad[],15,FALSE), 0)</f>
        <v>0</v>
      </c>
      <c r="L167">
        <f>IFERROR(VLOOKUP(Tabla13[[#This Row],[SISMED]],TblDisponibilidad[],16,FALSE), 0)</f>
        <v>0</v>
      </c>
      <c r="M167">
        <f>IFERROR(VLOOKUP(Tabla13[[#This Row],[SISMED]],TblDisponibilidad[],17,FALSE), 0)</f>
        <v>0</v>
      </c>
      <c r="N167">
        <f>IFERROR(VLOOKUP(Tabla13[[#This Row],[SISMED]],TblDisponibilidad[],18,FALSE), 0)</f>
        <v>0</v>
      </c>
      <c r="O167">
        <f>IFERROR(VLOOKUP(Tabla13[[#This Row],[SISMED]],TblDisponibilidad[],19,FALSE), 0)</f>
        <v>0</v>
      </c>
      <c r="P167">
        <f>IFERROR(VLOOKUP(Tabla13[[#This Row],[SISMED]],TblDisponibilidad[],20,FALSE), 0)</f>
        <v>0</v>
      </c>
      <c r="Q167">
        <f>IFERROR(VLOOKUP(Tabla13[[#This Row],[SISMED]],TblDisponibilidad[],21,FALSE), 0)</f>
        <v>0</v>
      </c>
      <c r="R167">
        <f>IFERROR(VLOOKUP(Tabla13[[#This Row],[SISMED]],TblDisponibilidad[],22,FALSE), 0)</f>
        <v>0</v>
      </c>
      <c r="S167" s="15">
        <f>IFERROR(VLOOKUP(Tabla13[[#This Row],[SISMED]],TblDisponibilidad[],23,FALSE), 0)</f>
        <v>0</v>
      </c>
    </row>
    <row r="168" spans="1:19" x14ac:dyDescent="0.3">
      <c r="A168" s="15" t="s">
        <v>198</v>
      </c>
      <c r="B168" t="str">
        <f>IFERROR(VLOOKUP(Tabla13[[#This Row],[SISMED]],TblDisponibilidad[],2,FALSE), "")</f>
        <v/>
      </c>
      <c r="C168">
        <f>IFERROR(VLOOKUP(Tabla13[[#This Row],[SISMED]],TblDisponibilidad[],7,FALSE), 0)</f>
        <v>0</v>
      </c>
      <c r="D168">
        <f>IFERROR(VLOOKUP(Tabla13[[#This Row],[SISMED]],TblDisponibilidad[],8,FALSE), 0)</f>
        <v>0</v>
      </c>
      <c r="E168">
        <f>IFERROR(VLOOKUP(Tabla13[[#This Row],[SISMED]],TblDisponibilidad[],9,FALSE), 0)</f>
        <v>0</v>
      </c>
      <c r="F168">
        <f>IFERROR(VLOOKUP(Tabla13[[#This Row],[SISMED]],TblDisponibilidad[],10,FALSE), 0)</f>
        <v>0</v>
      </c>
      <c r="G168">
        <f>IFERROR(VLOOKUP(Tabla13[[#This Row],[SISMED]],TblDisponibilidad[],11,FALSE), 0)</f>
        <v>0</v>
      </c>
      <c r="H168">
        <f>IFERROR(VLOOKUP(Tabla13[[#This Row],[SISMED]],TblDisponibilidad[],12,FALSE), 0)</f>
        <v>0</v>
      </c>
      <c r="I168">
        <f>IFERROR(VLOOKUP(Tabla13[[#This Row],[SISMED]],TblDisponibilidad[],13,FALSE), 0)</f>
        <v>0</v>
      </c>
      <c r="J168">
        <f>IFERROR(VLOOKUP(Tabla13[[#This Row],[SISMED]],TblDisponibilidad[],14,FALSE), 0)</f>
        <v>0</v>
      </c>
      <c r="K168">
        <f>IFERROR(VLOOKUP(Tabla13[[#This Row],[SISMED]],TblDisponibilidad[],15,FALSE), 0)</f>
        <v>0</v>
      </c>
      <c r="L168">
        <f>IFERROR(VLOOKUP(Tabla13[[#This Row],[SISMED]],TblDisponibilidad[],16,FALSE), 0)</f>
        <v>0</v>
      </c>
      <c r="M168">
        <f>IFERROR(VLOOKUP(Tabla13[[#This Row],[SISMED]],TblDisponibilidad[],17,FALSE), 0)</f>
        <v>0</v>
      </c>
      <c r="N168">
        <f>IFERROR(VLOOKUP(Tabla13[[#This Row],[SISMED]],TblDisponibilidad[],18,FALSE), 0)</f>
        <v>0</v>
      </c>
      <c r="O168">
        <f>IFERROR(VLOOKUP(Tabla13[[#This Row],[SISMED]],TblDisponibilidad[],19,FALSE), 0)</f>
        <v>0</v>
      </c>
      <c r="P168">
        <f>IFERROR(VLOOKUP(Tabla13[[#This Row],[SISMED]],TblDisponibilidad[],20,FALSE), 0)</f>
        <v>0</v>
      </c>
      <c r="Q168">
        <f>IFERROR(VLOOKUP(Tabla13[[#This Row],[SISMED]],TblDisponibilidad[],21,FALSE), 0)</f>
        <v>0</v>
      </c>
      <c r="R168">
        <f>IFERROR(VLOOKUP(Tabla13[[#This Row],[SISMED]],TblDisponibilidad[],22,FALSE), 0)</f>
        <v>0</v>
      </c>
      <c r="S168" s="15">
        <f>IFERROR(VLOOKUP(Tabla13[[#This Row],[SISMED]],TblDisponibilidad[],23,FALSE), 0)</f>
        <v>0</v>
      </c>
    </row>
    <row r="169" spans="1:19" x14ac:dyDescent="0.3">
      <c r="A169" s="15" t="s">
        <v>199</v>
      </c>
      <c r="B169" t="str">
        <f>IFERROR(VLOOKUP(Tabla13[[#This Row],[SISMED]],TblDisponibilidad[],2,FALSE), "")</f>
        <v/>
      </c>
      <c r="C169">
        <f>IFERROR(VLOOKUP(Tabla13[[#This Row],[SISMED]],TblDisponibilidad[],7,FALSE), 0)</f>
        <v>0</v>
      </c>
      <c r="D169">
        <f>IFERROR(VLOOKUP(Tabla13[[#This Row],[SISMED]],TblDisponibilidad[],8,FALSE), 0)</f>
        <v>0</v>
      </c>
      <c r="E169">
        <f>IFERROR(VLOOKUP(Tabla13[[#This Row],[SISMED]],TblDisponibilidad[],9,FALSE), 0)</f>
        <v>0</v>
      </c>
      <c r="F169">
        <f>IFERROR(VLOOKUP(Tabla13[[#This Row],[SISMED]],TblDisponibilidad[],10,FALSE), 0)</f>
        <v>0</v>
      </c>
      <c r="G169">
        <f>IFERROR(VLOOKUP(Tabla13[[#This Row],[SISMED]],TblDisponibilidad[],11,FALSE), 0)</f>
        <v>0</v>
      </c>
      <c r="H169">
        <f>IFERROR(VLOOKUP(Tabla13[[#This Row],[SISMED]],TblDisponibilidad[],12,FALSE), 0)</f>
        <v>0</v>
      </c>
      <c r="I169">
        <f>IFERROR(VLOOKUP(Tabla13[[#This Row],[SISMED]],TblDisponibilidad[],13,FALSE), 0)</f>
        <v>0</v>
      </c>
      <c r="J169">
        <f>IFERROR(VLOOKUP(Tabla13[[#This Row],[SISMED]],TblDisponibilidad[],14,FALSE), 0)</f>
        <v>0</v>
      </c>
      <c r="K169">
        <f>IFERROR(VLOOKUP(Tabla13[[#This Row],[SISMED]],TblDisponibilidad[],15,FALSE), 0)</f>
        <v>0</v>
      </c>
      <c r="L169">
        <f>IFERROR(VLOOKUP(Tabla13[[#This Row],[SISMED]],TblDisponibilidad[],16,FALSE), 0)</f>
        <v>0</v>
      </c>
      <c r="M169">
        <f>IFERROR(VLOOKUP(Tabla13[[#This Row],[SISMED]],TblDisponibilidad[],17,FALSE), 0)</f>
        <v>0</v>
      </c>
      <c r="N169">
        <f>IFERROR(VLOOKUP(Tabla13[[#This Row],[SISMED]],TblDisponibilidad[],18,FALSE), 0)</f>
        <v>0</v>
      </c>
      <c r="O169">
        <f>IFERROR(VLOOKUP(Tabla13[[#This Row],[SISMED]],TblDisponibilidad[],19,FALSE), 0)</f>
        <v>0</v>
      </c>
      <c r="P169">
        <f>IFERROR(VLOOKUP(Tabla13[[#This Row],[SISMED]],TblDisponibilidad[],20,FALSE), 0)</f>
        <v>0</v>
      </c>
      <c r="Q169">
        <f>IFERROR(VLOOKUP(Tabla13[[#This Row],[SISMED]],TblDisponibilidad[],21,FALSE), 0)</f>
        <v>0</v>
      </c>
      <c r="R169">
        <f>IFERROR(VLOOKUP(Tabla13[[#This Row],[SISMED]],TblDisponibilidad[],22,FALSE), 0)</f>
        <v>0</v>
      </c>
      <c r="S169" s="15">
        <f>IFERROR(VLOOKUP(Tabla13[[#This Row],[SISMED]],TblDisponibilidad[],23,FALSE), 0)</f>
        <v>0</v>
      </c>
    </row>
    <row r="170" spans="1:19" x14ac:dyDescent="0.3">
      <c r="A170" s="15" t="s">
        <v>200</v>
      </c>
      <c r="B170" t="str">
        <f>IFERROR(VLOOKUP(Tabla13[[#This Row],[SISMED]],TblDisponibilidad[],2,FALSE), "")</f>
        <v/>
      </c>
      <c r="C170">
        <f>IFERROR(VLOOKUP(Tabla13[[#This Row],[SISMED]],TblDisponibilidad[],7,FALSE), 0)</f>
        <v>0</v>
      </c>
      <c r="D170">
        <f>IFERROR(VLOOKUP(Tabla13[[#This Row],[SISMED]],TblDisponibilidad[],8,FALSE), 0)</f>
        <v>0</v>
      </c>
      <c r="E170">
        <f>IFERROR(VLOOKUP(Tabla13[[#This Row],[SISMED]],TblDisponibilidad[],9,FALSE), 0)</f>
        <v>0</v>
      </c>
      <c r="F170">
        <f>IFERROR(VLOOKUP(Tabla13[[#This Row],[SISMED]],TblDisponibilidad[],10,FALSE), 0)</f>
        <v>0</v>
      </c>
      <c r="G170">
        <f>IFERROR(VLOOKUP(Tabla13[[#This Row],[SISMED]],TblDisponibilidad[],11,FALSE), 0)</f>
        <v>0</v>
      </c>
      <c r="H170">
        <f>IFERROR(VLOOKUP(Tabla13[[#This Row],[SISMED]],TblDisponibilidad[],12,FALSE), 0)</f>
        <v>0</v>
      </c>
      <c r="I170">
        <f>IFERROR(VLOOKUP(Tabla13[[#This Row],[SISMED]],TblDisponibilidad[],13,FALSE), 0)</f>
        <v>0</v>
      </c>
      <c r="J170">
        <f>IFERROR(VLOOKUP(Tabla13[[#This Row],[SISMED]],TblDisponibilidad[],14,FALSE), 0)</f>
        <v>0</v>
      </c>
      <c r="K170">
        <f>IFERROR(VLOOKUP(Tabla13[[#This Row],[SISMED]],TblDisponibilidad[],15,FALSE), 0)</f>
        <v>0</v>
      </c>
      <c r="L170">
        <f>IFERROR(VLOOKUP(Tabla13[[#This Row],[SISMED]],TblDisponibilidad[],16,FALSE), 0)</f>
        <v>0</v>
      </c>
      <c r="M170">
        <f>IFERROR(VLOOKUP(Tabla13[[#This Row],[SISMED]],TblDisponibilidad[],17,FALSE), 0)</f>
        <v>0</v>
      </c>
      <c r="N170">
        <f>IFERROR(VLOOKUP(Tabla13[[#This Row],[SISMED]],TblDisponibilidad[],18,FALSE), 0)</f>
        <v>0</v>
      </c>
      <c r="O170">
        <f>IFERROR(VLOOKUP(Tabla13[[#This Row],[SISMED]],TblDisponibilidad[],19,FALSE), 0)</f>
        <v>0</v>
      </c>
      <c r="P170">
        <f>IFERROR(VLOOKUP(Tabla13[[#This Row],[SISMED]],TblDisponibilidad[],20,FALSE), 0)</f>
        <v>0</v>
      </c>
      <c r="Q170">
        <f>IFERROR(VLOOKUP(Tabla13[[#This Row],[SISMED]],TblDisponibilidad[],21,FALSE), 0)</f>
        <v>0</v>
      </c>
      <c r="R170">
        <f>IFERROR(VLOOKUP(Tabla13[[#This Row],[SISMED]],TblDisponibilidad[],22,FALSE), 0)</f>
        <v>0</v>
      </c>
      <c r="S170" s="15">
        <f>IFERROR(VLOOKUP(Tabla13[[#This Row],[SISMED]],TblDisponibilidad[],23,FALSE), 0)</f>
        <v>0</v>
      </c>
    </row>
    <row r="171" spans="1:19" x14ac:dyDescent="0.3">
      <c r="A171" s="15" t="s">
        <v>201</v>
      </c>
      <c r="B171" t="str">
        <f>IFERROR(VLOOKUP(Tabla13[[#This Row],[SISMED]],TblDisponibilidad[],2,FALSE), "")</f>
        <v/>
      </c>
      <c r="C171">
        <f>IFERROR(VLOOKUP(Tabla13[[#This Row],[SISMED]],TblDisponibilidad[],7,FALSE), 0)</f>
        <v>0</v>
      </c>
      <c r="D171">
        <f>IFERROR(VLOOKUP(Tabla13[[#This Row],[SISMED]],TblDisponibilidad[],8,FALSE), 0)</f>
        <v>0</v>
      </c>
      <c r="E171">
        <f>IFERROR(VLOOKUP(Tabla13[[#This Row],[SISMED]],TblDisponibilidad[],9,FALSE), 0)</f>
        <v>0</v>
      </c>
      <c r="F171">
        <f>IFERROR(VLOOKUP(Tabla13[[#This Row],[SISMED]],TblDisponibilidad[],10,FALSE), 0)</f>
        <v>0</v>
      </c>
      <c r="G171">
        <f>IFERROR(VLOOKUP(Tabla13[[#This Row],[SISMED]],TblDisponibilidad[],11,FALSE), 0)</f>
        <v>0</v>
      </c>
      <c r="H171">
        <f>IFERROR(VLOOKUP(Tabla13[[#This Row],[SISMED]],TblDisponibilidad[],12,FALSE), 0)</f>
        <v>0</v>
      </c>
      <c r="I171">
        <f>IFERROR(VLOOKUP(Tabla13[[#This Row],[SISMED]],TblDisponibilidad[],13,FALSE), 0)</f>
        <v>0</v>
      </c>
      <c r="J171">
        <f>IFERROR(VLOOKUP(Tabla13[[#This Row],[SISMED]],TblDisponibilidad[],14,FALSE), 0)</f>
        <v>0</v>
      </c>
      <c r="K171">
        <f>IFERROR(VLOOKUP(Tabla13[[#This Row],[SISMED]],TblDisponibilidad[],15,FALSE), 0)</f>
        <v>0</v>
      </c>
      <c r="L171">
        <f>IFERROR(VLOOKUP(Tabla13[[#This Row],[SISMED]],TblDisponibilidad[],16,FALSE), 0)</f>
        <v>0</v>
      </c>
      <c r="M171">
        <f>IFERROR(VLOOKUP(Tabla13[[#This Row],[SISMED]],TblDisponibilidad[],17,FALSE), 0)</f>
        <v>0</v>
      </c>
      <c r="N171">
        <f>IFERROR(VLOOKUP(Tabla13[[#This Row],[SISMED]],TblDisponibilidad[],18,FALSE), 0)</f>
        <v>0</v>
      </c>
      <c r="O171">
        <f>IFERROR(VLOOKUP(Tabla13[[#This Row],[SISMED]],TblDisponibilidad[],19,FALSE), 0)</f>
        <v>0</v>
      </c>
      <c r="P171">
        <f>IFERROR(VLOOKUP(Tabla13[[#This Row],[SISMED]],TblDisponibilidad[],20,FALSE), 0)</f>
        <v>0</v>
      </c>
      <c r="Q171">
        <f>IFERROR(VLOOKUP(Tabla13[[#This Row],[SISMED]],TblDisponibilidad[],21,FALSE), 0)</f>
        <v>0</v>
      </c>
      <c r="R171">
        <f>IFERROR(VLOOKUP(Tabla13[[#This Row],[SISMED]],TblDisponibilidad[],22,FALSE), 0)</f>
        <v>0</v>
      </c>
      <c r="S171" s="15">
        <f>IFERROR(VLOOKUP(Tabla13[[#This Row],[SISMED]],TblDisponibilidad[],23,FALSE), 0)</f>
        <v>0</v>
      </c>
    </row>
    <row r="172" spans="1:19" x14ac:dyDescent="0.3">
      <c r="A172" s="15" t="s">
        <v>202</v>
      </c>
      <c r="B172" t="str">
        <f>IFERROR(VLOOKUP(Tabla13[[#This Row],[SISMED]],TblDisponibilidad[],2,FALSE), "")</f>
        <v/>
      </c>
      <c r="C172">
        <f>IFERROR(VLOOKUP(Tabla13[[#This Row],[SISMED]],TblDisponibilidad[],7,FALSE), 0)</f>
        <v>0</v>
      </c>
      <c r="D172">
        <f>IFERROR(VLOOKUP(Tabla13[[#This Row],[SISMED]],TblDisponibilidad[],8,FALSE), 0)</f>
        <v>0</v>
      </c>
      <c r="E172">
        <f>IFERROR(VLOOKUP(Tabla13[[#This Row],[SISMED]],TblDisponibilidad[],9,FALSE), 0)</f>
        <v>0</v>
      </c>
      <c r="F172">
        <f>IFERROR(VLOOKUP(Tabla13[[#This Row],[SISMED]],TblDisponibilidad[],10,FALSE), 0)</f>
        <v>0</v>
      </c>
      <c r="G172">
        <f>IFERROR(VLOOKUP(Tabla13[[#This Row],[SISMED]],TblDisponibilidad[],11,FALSE), 0)</f>
        <v>0</v>
      </c>
      <c r="H172">
        <f>IFERROR(VLOOKUP(Tabla13[[#This Row],[SISMED]],TblDisponibilidad[],12,FALSE), 0)</f>
        <v>0</v>
      </c>
      <c r="I172">
        <f>IFERROR(VLOOKUP(Tabla13[[#This Row],[SISMED]],TblDisponibilidad[],13,FALSE), 0)</f>
        <v>0</v>
      </c>
      <c r="J172">
        <f>IFERROR(VLOOKUP(Tabla13[[#This Row],[SISMED]],TblDisponibilidad[],14,FALSE), 0)</f>
        <v>0</v>
      </c>
      <c r="K172">
        <f>IFERROR(VLOOKUP(Tabla13[[#This Row],[SISMED]],TblDisponibilidad[],15,FALSE), 0)</f>
        <v>0</v>
      </c>
      <c r="L172">
        <f>IFERROR(VLOOKUP(Tabla13[[#This Row],[SISMED]],TblDisponibilidad[],16,FALSE), 0)</f>
        <v>0</v>
      </c>
      <c r="M172">
        <f>IFERROR(VLOOKUP(Tabla13[[#This Row],[SISMED]],TblDisponibilidad[],17,FALSE), 0)</f>
        <v>0</v>
      </c>
      <c r="N172">
        <f>IFERROR(VLOOKUP(Tabla13[[#This Row],[SISMED]],TblDisponibilidad[],18,FALSE), 0)</f>
        <v>0</v>
      </c>
      <c r="O172">
        <f>IFERROR(VLOOKUP(Tabla13[[#This Row],[SISMED]],TblDisponibilidad[],19,FALSE), 0)</f>
        <v>0</v>
      </c>
      <c r="P172">
        <f>IFERROR(VLOOKUP(Tabla13[[#This Row],[SISMED]],TblDisponibilidad[],20,FALSE), 0)</f>
        <v>0</v>
      </c>
      <c r="Q172">
        <f>IFERROR(VLOOKUP(Tabla13[[#This Row],[SISMED]],TblDisponibilidad[],21,FALSE), 0)</f>
        <v>0</v>
      </c>
      <c r="R172">
        <f>IFERROR(VLOOKUP(Tabla13[[#This Row],[SISMED]],TblDisponibilidad[],22,FALSE), 0)</f>
        <v>0</v>
      </c>
      <c r="S172" s="15">
        <f>IFERROR(VLOOKUP(Tabla13[[#This Row],[SISMED]],TblDisponibilidad[],23,FALSE), 0)</f>
        <v>0</v>
      </c>
    </row>
    <row r="173" spans="1:19" x14ac:dyDescent="0.3">
      <c r="A173" s="15" t="s">
        <v>203</v>
      </c>
      <c r="B173" t="str">
        <f>IFERROR(VLOOKUP(Tabla13[[#This Row],[SISMED]],TblDisponibilidad[],2,FALSE), "")</f>
        <v/>
      </c>
      <c r="C173">
        <f>IFERROR(VLOOKUP(Tabla13[[#This Row],[SISMED]],TblDisponibilidad[],7,FALSE), 0)</f>
        <v>0</v>
      </c>
      <c r="D173">
        <f>IFERROR(VLOOKUP(Tabla13[[#This Row],[SISMED]],TblDisponibilidad[],8,FALSE), 0)</f>
        <v>0</v>
      </c>
      <c r="E173">
        <f>IFERROR(VLOOKUP(Tabla13[[#This Row],[SISMED]],TblDisponibilidad[],9,FALSE), 0)</f>
        <v>0</v>
      </c>
      <c r="F173">
        <f>IFERROR(VLOOKUP(Tabla13[[#This Row],[SISMED]],TblDisponibilidad[],10,FALSE), 0)</f>
        <v>0</v>
      </c>
      <c r="G173">
        <f>IFERROR(VLOOKUP(Tabla13[[#This Row],[SISMED]],TblDisponibilidad[],11,FALSE), 0)</f>
        <v>0</v>
      </c>
      <c r="H173">
        <f>IFERROR(VLOOKUP(Tabla13[[#This Row],[SISMED]],TblDisponibilidad[],12,FALSE), 0)</f>
        <v>0</v>
      </c>
      <c r="I173">
        <f>IFERROR(VLOOKUP(Tabla13[[#This Row],[SISMED]],TblDisponibilidad[],13,FALSE), 0)</f>
        <v>0</v>
      </c>
      <c r="J173">
        <f>IFERROR(VLOOKUP(Tabla13[[#This Row],[SISMED]],TblDisponibilidad[],14,FALSE), 0)</f>
        <v>0</v>
      </c>
      <c r="K173">
        <f>IFERROR(VLOOKUP(Tabla13[[#This Row],[SISMED]],TblDisponibilidad[],15,FALSE), 0)</f>
        <v>0</v>
      </c>
      <c r="L173">
        <f>IFERROR(VLOOKUP(Tabla13[[#This Row],[SISMED]],TblDisponibilidad[],16,FALSE), 0)</f>
        <v>0</v>
      </c>
      <c r="M173">
        <f>IFERROR(VLOOKUP(Tabla13[[#This Row],[SISMED]],TblDisponibilidad[],17,FALSE), 0)</f>
        <v>0</v>
      </c>
      <c r="N173">
        <f>IFERROR(VLOOKUP(Tabla13[[#This Row],[SISMED]],TblDisponibilidad[],18,FALSE), 0)</f>
        <v>0</v>
      </c>
      <c r="O173">
        <f>IFERROR(VLOOKUP(Tabla13[[#This Row],[SISMED]],TblDisponibilidad[],19,FALSE), 0)</f>
        <v>0</v>
      </c>
      <c r="P173">
        <f>IFERROR(VLOOKUP(Tabla13[[#This Row],[SISMED]],TblDisponibilidad[],20,FALSE), 0)</f>
        <v>0</v>
      </c>
      <c r="Q173">
        <f>IFERROR(VLOOKUP(Tabla13[[#This Row],[SISMED]],TblDisponibilidad[],21,FALSE), 0)</f>
        <v>0</v>
      </c>
      <c r="R173">
        <f>IFERROR(VLOOKUP(Tabla13[[#This Row],[SISMED]],TblDisponibilidad[],22,FALSE), 0)</f>
        <v>0</v>
      </c>
      <c r="S173" s="15">
        <f>IFERROR(VLOOKUP(Tabla13[[#This Row],[SISMED]],TblDisponibilidad[],23,FALSE), 0)</f>
        <v>0</v>
      </c>
    </row>
    <row r="174" spans="1:19" x14ac:dyDescent="0.3">
      <c r="A174" s="15" t="s">
        <v>204</v>
      </c>
      <c r="B174" t="str">
        <f>IFERROR(VLOOKUP(Tabla13[[#This Row],[SISMED]],TblDisponibilidad[],2,FALSE), "")</f>
        <v/>
      </c>
      <c r="C174">
        <f>IFERROR(VLOOKUP(Tabla13[[#This Row],[SISMED]],TblDisponibilidad[],7,FALSE), 0)</f>
        <v>0</v>
      </c>
      <c r="D174">
        <f>IFERROR(VLOOKUP(Tabla13[[#This Row],[SISMED]],TblDisponibilidad[],8,FALSE), 0)</f>
        <v>0</v>
      </c>
      <c r="E174">
        <f>IFERROR(VLOOKUP(Tabla13[[#This Row],[SISMED]],TblDisponibilidad[],9,FALSE), 0)</f>
        <v>0</v>
      </c>
      <c r="F174">
        <f>IFERROR(VLOOKUP(Tabla13[[#This Row],[SISMED]],TblDisponibilidad[],10,FALSE), 0)</f>
        <v>0</v>
      </c>
      <c r="G174">
        <f>IFERROR(VLOOKUP(Tabla13[[#This Row],[SISMED]],TblDisponibilidad[],11,FALSE), 0)</f>
        <v>0</v>
      </c>
      <c r="H174">
        <f>IFERROR(VLOOKUP(Tabla13[[#This Row],[SISMED]],TblDisponibilidad[],12,FALSE), 0)</f>
        <v>0</v>
      </c>
      <c r="I174">
        <f>IFERROR(VLOOKUP(Tabla13[[#This Row],[SISMED]],TblDisponibilidad[],13,FALSE), 0)</f>
        <v>0</v>
      </c>
      <c r="J174">
        <f>IFERROR(VLOOKUP(Tabla13[[#This Row],[SISMED]],TblDisponibilidad[],14,FALSE), 0)</f>
        <v>0</v>
      </c>
      <c r="K174">
        <f>IFERROR(VLOOKUP(Tabla13[[#This Row],[SISMED]],TblDisponibilidad[],15,FALSE), 0)</f>
        <v>0</v>
      </c>
      <c r="L174">
        <f>IFERROR(VLOOKUP(Tabla13[[#This Row],[SISMED]],TblDisponibilidad[],16,FALSE), 0)</f>
        <v>0</v>
      </c>
      <c r="M174">
        <f>IFERROR(VLOOKUP(Tabla13[[#This Row],[SISMED]],TblDisponibilidad[],17,FALSE), 0)</f>
        <v>0</v>
      </c>
      <c r="N174">
        <f>IFERROR(VLOOKUP(Tabla13[[#This Row],[SISMED]],TblDisponibilidad[],18,FALSE), 0)</f>
        <v>0</v>
      </c>
      <c r="O174">
        <f>IFERROR(VLOOKUP(Tabla13[[#This Row],[SISMED]],TblDisponibilidad[],19,FALSE), 0)</f>
        <v>0</v>
      </c>
      <c r="P174">
        <f>IFERROR(VLOOKUP(Tabla13[[#This Row],[SISMED]],TblDisponibilidad[],20,FALSE), 0)</f>
        <v>0</v>
      </c>
      <c r="Q174">
        <f>IFERROR(VLOOKUP(Tabla13[[#This Row],[SISMED]],TblDisponibilidad[],21,FALSE), 0)</f>
        <v>0</v>
      </c>
      <c r="R174">
        <f>IFERROR(VLOOKUP(Tabla13[[#This Row],[SISMED]],TblDisponibilidad[],22,FALSE), 0)</f>
        <v>0</v>
      </c>
      <c r="S174" s="15">
        <f>IFERROR(VLOOKUP(Tabla13[[#This Row],[SISMED]],TblDisponibilidad[],23,FALSE), 0)</f>
        <v>0</v>
      </c>
    </row>
    <row r="175" spans="1:19" x14ac:dyDescent="0.3">
      <c r="A175" s="15" t="s">
        <v>205</v>
      </c>
      <c r="B175" t="str">
        <f>IFERROR(VLOOKUP(Tabla13[[#This Row],[SISMED]],TblDisponibilidad[],2,FALSE), "")</f>
        <v/>
      </c>
      <c r="C175">
        <f>IFERROR(VLOOKUP(Tabla13[[#This Row],[SISMED]],TblDisponibilidad[],7,FALSE), 0)</f>
        <v>0</v>
      </c>
      <c r="D175">
        <f>IFERROR(VLOOKUP(Tabla13[[#This Row],[SISMED]],TblDisponibilidad[],8,FALSE), 0)</f>
        <v>0</v>
      </c>
      <c r="E175">
        <f>IFERROR(VLOOKUP(Tabla13[[#This Row],[SISMED]],TblDisponibilidad[],9,FALSE), 0)</f>
        <v>0</v>
      </c>
      <c r="F175">
        <f>IFERROR(VLOOKUP(Tabla13[[#This Row],[SISMED]],TblDisponibilidad[],10,FALSE), 0)</f>
        <v>0</v>
      </c>
      <c r="G175">
        <f>IFERROR(VLOOKUP(Tabla13[[#This Row],[SISMED]],TblDisponibilidad[],11,FALSE), 0)</f>
        <v>0</v>
      </c>
      <c r="H175">
        <f>IFERROR(VLOOKUP(Tabla13[[#This Row],[SISMED]],TblDisponibilidad[],12,FALSE), 0)</f>
        <v>0</v>
      </c>
      <c r="I175">
        <f>IFERROR(VLOOKUP(Tabla13[[#This Row],[SISMED]],TblDisponibilidad[],13,FALSE), 0)</f>
        <v>0</v>
      </c>
      <c r="J175">
        <f>IFERROR(VLOOKUP(Tabla13[[#This Row],[SISMED]],TblDisponibilidad[],14,FALSE), 0)</f>
        <v>0</v>
      </c>
      <c r="K175">
        <f>IFERROR(VLOOKUP(Tabla13[[#This Row],[SISMED]],TblDisponibilidad[],15,FALSE), 0)</f>
        <v>0</v>
      </c>
      <c r="L175">
        <f>IFERROR(VLOOKUP(Tabla13[[#This Row],[SISMED]],TblDisponibilidad[],16,FALSE), 0)</f>
        <v>0</v>
      </c>
      <c r="M175">
        <f>IFERROR(VLOOKUP(Tabla13[[#This Row],[SISMED]],TblDisponibilidad[],17,FALSE), 0)</f>
        <v>0</v>
      </c>
      <c r="N175">
        <f>IFERROR(VLOOKUP(Tabla13[[#This Row],[SISMED]],TblDisponibilidad[],18,FALSE), 0)</f>
        <v>0</v>
      </c>
      <c r="O175">
        <f>IFERROR(VLOOKUP(Tabla13[[#This Row],[SISMED]],TblDisponibilidad[],19,FALSE), 0)</f>
        <v>0</v>
      </c>
      <c r="P175">
        <f>IFERROR(VLOOKUP(Tabla13[[#This Row],[SISMED]],TblDisponibilidad[],20,FALSE), 0)</f>
        <v>0</v>
      </c>
      <c r="Q175">
        <f>IFERROR(VLOOKUP(Tabla13[[#This Row],[SISMED]],TblDisponibilidad[],21,FALSE), 0)</f>
        <v>0</v>
      </c>
      <c r="R175">
        <f>IFERROR(VLOOKUP(Tabla13[[#This Row],[SISMED]],TblDisponibilidad[],22,FALSE), 0)</f>
        <v>0</v>
      </c>
      <c r="S175" s="15">
        <f>IFERROR(VLOOKUP(Tabla13[[#This Row],[SISMED]],TblDisponibilidad[],23,FALSE), 0)</f>
        <v>0</v>
      </c>
    </row>
    <row r="176" spans="1:19" x14ac:dyDescent="0.3">
      <c r="A176" s="15" t="s">
        <v>206</v>
      </c>
      <c r="B176" t="str">
        <f>IFERROR(VLOOKUP(Tabla13[[#This Row],[SISMED]],TblDisponibilidad[],2,FALSE), "")</f>
        <v/>
      </c>
      <c r="C176">
        <f>IFERROR(VLOOKUP(Tabla13[[#This Row],[SISMED]],TblDisponibilidad[],7,FALSE), 0)</f>
        <v>0</v>
      </c>
      <c r="D176">
        <f>IFERROR(VLOOKUP(Tabla13[[#This Row],[SISMED]],TblDisponibilidad[],8,FALSE), 0)</f>
        <v>0</v>
      </c>
      <c r="E176">
        <f>IFERROR(VLOOKUP(Tabla13[[#This Row],[SISMED]],TblDisponibilidad[],9,FALSE), 0)</f>
        <v>0</v>
      </c>
      <c r="F176">
        <f>IFERROR(VLOOKUP(Tabla13[[#This Row],[SISMED]],TblDisponibilidad[],10,FALSE), 0)</f>
        <v>0</v>
      </c>
      <c r="G176">
        <f>IFERROR(VLOOKUP(Tabla13[[#This Row],[SISMED]],TblDisponibilidad[],11,FALSE), 0)</f>
        <v>0</v>
      </c>
      <c r="H176">
        <f>IFERROR(VLOOKUP(Tabla13[[#This Row],[SISMED]],TblDisponibilidad[],12,FALSE), 0)</f>
        <v>0</v>
      </c>
      <c r="I176">
        <f>IFERROR(VLOOKUP(Tabla13[[#This Row],[SISMED]],TblDisponibilidad[],13,FALSE), 0)</f>
        <v>0</v>
      </c>
      <c r="J176">
        <f>IFERROR(VLOOKUP(Tabla13[[#This Row],[SISMED]],TblDisponibilidad[],14,FALSE), 0)</f>
        <v>0</v>
      </c>
      <c r="K176">
        <f>IFERROR(VLOOKUP(Tabla13[[#This Row],[SISMED]],TblDisponibilidad[],15,FALSE), 0)</f>
        <v>0</v>
      </c>
      <c r="L176">
        <f>IFERROR(VLOOKUP(Tabla13[[#This Row],[SISMED]],TblDisponibilidad[],16,FALSE), 0)</f>
        <v>0</v>
      </c>
      <c r="M176">
        <f>IFERROR(VLOOKUP(Tabla13[[#This Row],[SISMED]],TblDisponibilidad[],17,FALSE), 0)</f>
        <v>0</v>
      </c>
      <c r="N176">
        <f>IFERROR(VLOOKUP(Tabla13[[#This Row],[SISMED]],TblDisponibilidad[],18,FALSE), 0)</f>
        <v>0</v>
      </c>
      <c r="O176">
        <f>IFERROR(VLOOKUP(Tabla13[[#This Row],[SISMED]],TblDisponibilidad[],19,FALSE), 0)</f>
        <v>0</v>
      </c>
      <c r="P176">
        <f>IFERROR(VLOOKUP(Tabla13[[#This Row],[SISMED]],TblDisponibilidad[],20,FALSE), 0)</f>
        <v>0</v>
      </c>
      <c r="Q176">
        <f>IFERROR(VLOOKUP(Tabla13[[#This Row],[SISMED]],TblDisponibilidad[],21,FALSE), 0)</f>
        <v>0</v>
      </c>
      <c r="R176">
        <f>IFERROR(VLOOKUP(Tabla13[[#This Row],[SISMED]],TblDisponibilidad[],22,FALSE), 0)</f>
        <v>0</v>
      </c>
      <c r="S176" s="15">
        <f>IFERROR(VLOOKUP(Tabla13[[#This Row],[SISMED]],TblDisponibilidad[],23,FALSE), 0)</f>
        <v>0</v>
      </c>
    </row>
    <row r="177" spans="1:19" x14ac:dyDescent="0.3">
      <c r="A177" s="15" t="s">
        <v>207</v>
      </c>
      <c r="B177" t="str">
        <f>IFERROR(VLOOKUP(Tabla13[[#This Row],[SISMED]],TblDisponibilidad[],2,FALSE), "")</f>
        <v/>
      </c>
      <c r="C177">
        <f>IFERROR(VLOOKUP(Tabla13[[#This Row],[SISMED]],TblDisponibilidad[],7,FALSE), 0)</f>
        <v>0</v>
      </c>
      <c r="D177">
        <f>IFERROR(VLOOKUP(Tabla13[[#This Row],[SISMED]],TblDisponibilidad[],8,FALSE), 0)</f>
        <v>0</v>
      </c>
      <c r="E177">
        <f>IFERROR(VLOOKUP(Tabla13[[#This Row],[SISMED]],TblDisponibilidad[],9,FALSE), 0)</f>
        <v>0</v>
      </c>
      <c r="F177">
        <f>IFERROR(VLOOKUP(Tabla13[[#This Row],[SISMED]],TblDisponibilidad[],10,FALSE), 0)</f>
        <v>0</v>
      </c>
      <c r="G177">
        <f>IFERROR(VLOOKUP(Tabla13[[#This Row],[SISMED]],TblDisponibilidad[],11,FALSE), 0)</f>
        <v>0</v>
      </c>
      <c r="H177">
        <f>IFERROR(VLOOKUP(Tabla13[[#This Row],[SISMED]],TblDisponibilidad[],12,FALSE), 0)</f>
        <v>0</v>
      </c>
      <c r="I177">
        <f>IFERROR(VLOOKUP(Tabla13[[#This Row],[SISMED]],TblDisponibilidad[],13,FALSE), 0)</f>
        <v>0</v>
      </c>
      <c r="J177">
        <f>IFERROR(VLOOKUP(Tabla13[[#This Row],[SISMED]],TblDisponibilidad[],14,FALSE), 0)</f>
        <v>0</v>
      </c>
      <c r="K177">
        <f>IFERROR(VLOOKUP(Tabla13[[#This Row],[SISMED]],TblDisponibilidad[],15,FALSE), 0)</f>
        <v>0</v>
      </c>
      <c r="L177">
        <f>IFERROR(VLOOKUP(Tabla13[[#This Row],[SISMED]],TblDisponibilidad[],16,FALSE), 0)</f>
        <v>0</v>
      </c>
      <c r="M177">
        <f>IFERROR(VLOOKUP(Tabla13[[#This Row],[SISMED]],TblDisponibilidad[],17,FALSE), 0)</f>
        <v>0</v>
      </c>
      <c r="N177">
        <f>IFERROR(VLOOKUP(Tabla13[[#This Row],[SISMED]],TblDisponibilidad[],18,FALSE), 0)</f>
        <v>0</v>
      </c>
      <c r="O177">
        <f>IFERROR(VLOOKUP(Tabla13[[#This Row],[SISMED]],TblDisponibilidad[],19,FALSE), 0)</f>
        <v>0</v>
      </c>
      <c r="P177">
        <f>IFERROR(VLOOKUP(Tabla13[[#This Row],[SISMED]],TblDisponibilidad[],20,FALSE), 0)</f>
        <v>0</v>
      </c>
      <c r="Q177">
        <f>IFERROR(VLOOKUP(Tabla13[[#This Row],[SISMED]],TblDisponibilidad[],21,FALSE), 0)</f>
        <v>0</v>
      </c>
      <c r="R177">
        <f>IFERROR(VLOOKUP(Tabla13[[#This Row],[SISMED]],TblDisponibilidad[],22,FALSE), 0)</f>
        <v>0</v>
      </c>
      <c r="S177" s="15">
        <f>IFERROR(VLOOKUP(Tabla13[[#This Row],[SISMED]],TblDisponibilidad[],23,FALSE), 0)</f>
        <v>0</v>
      </c>
    </row>
    <row r="178" spans="1:19" x14ac:dyDescent="0.3">
      <c r="A178" s="15" t="s">
        <v>208</v>
      </c>
      <c r="B178" t="str">
        <f>IFERROR(VLOOKUP(Tabla13[[#This Row],[SISMED]],TblDisponibilidad[],2,FALSE), "")</f>
        <v/>
      </c>
      <c r="C178">
        <f>IFERROR(VLOOKUP(Tabla13[[#This Row],[SISMED]],TblDisponibilidad[],7,FALSE), 0)</f>
        <v>0</v>
      </c>
      <c r="D178">
        <f>IFERROR(VLOOKUP(Tabla13[[#This Row],[SISMED]],TblDisponibilidad[],8,FALSE), 0)</f>
        <v>0</v>
      </c>
      <c r="E178">
        <f>IFERROR(VLOOKUP(Tabla13[[#This Row],[SISMED]],TblDisponibilidad[],9,FALSE), 0)</f>
        <v>0</v>
      </c>
      <c r="F178">
        <f>IFERROR(VLOOKUP(Tabla13[[#This Row],[SISMED]],TblDisponibilidad[],10,FALSE), 0)</f>
        <v>0</v>
      </c>
      <c r="G178">
        <f>IFERROR(VLOOKUP(Tabla13[[#This Row],[SISMED]],TblDisponibilidad[],11,FALSE), 0)</f>
        <v>0</v>
      </c>
      <c r="H178">
        <f>IFERROR(VLOOKUP(Tabla13[[#This Row],[SISMED]],TblDisponibilidad[],12,FALSE), 0)</f>
        <v>0</v>
      </c>
      <c r="I178">
        <f>IFERROR(VLOOKUP(Tabla13[[#This Row],[SISMED]],TblDisponibilidad[],13,FALSE), 0)</f>
        <v>0</v>
      </c>
      <c r="J178">
        <f>IFERROR(VLOOKUP(Tabla13[[#This Row],[SISMED]],TblDisponibilidad[],14,FALSE), 0)</f>
        <v>0</v>
      </c>
      <c r="K178">
        <f>IFERROR(VLOOKUP(Tabla13[[#This Row],[SISMED]],TblDisponibilidad[],15,FALSE), 0)</f>
        <v>0</v>
      </c>
      <c r="L178">
        <f>IFERROR(VLOOKUP(Tabla13[[#This Row],[SISMED]],TblDisponibilidad[],16,FALSE), 0)</f>
        <v>0</v>
      </c>
      <c r="M178">
        <f>IFERROR(VLOOKUP(Tabla13[[#This Row],[SISMED]],TblDisponibilidad[],17,FALSE), 0)</f>
        <v>0</v>
      </c>
      <c r="N178">
        <f>IFERROR(VLOOKUP(Tabla13[[#This Row],[SISMED]],TblDisponibilidad[],18,FALSE), 0)</f>
        <v>0</v>
      </c>
      <c r="O178">
        <f>IFERROR(VLOOKUP(Tabla13[[#This Row],[SISMED]],TblDisponibilidad[],19,FALSE), 0)</f>
        <v>0</v>
      </c>
      <c r="P178">
        <f>IFERROR(VLOOKUP(Tabla13[[#This Row],[SISMED]],TblDisponibilidad[],20,FALSE), 0)</f>
        <v>0</v>
      </c>
      <c r="Q178">
        <f>IFERROR(VLOOKUP(Tabla13[[#This Row],[SISMED]],TblDisponibilidad[],21,FALSE), 0)</f>
        <v>0</v>
      </c>
      <c r="R178">
        <f>IFERROR(VLOOKUP(Tabla13[[#This Row],[SISMED]],TblDisponibilidad[],22,FALSE), 0)</f>
        <v>0</v>
      </c>
      <c r="S178" s="15">
        <f>IFERROR(VLOOKUP(Tabla13[[#This Row],[SISMED]],TblDisponibilidad[],23,FALSE), 0)</f>
        <v>0</v>
      </c>
    </row>
    <row r="179" spans="1:19" x14ac:dyDescent="0.3">
      <c r="A179" s="15" t="s">
        <v>209</v>
      </c>
      <c r="B179" t="str">
        <f>IFERROR(VLOOKUP(Tabla13[[#This Row],[SISMED]],TblDisponibilidad[],2,FALSE), "")</f>
        <v/>
      </c>
      <c r="C179">
        <f>IFERROR(VLOOKUP(Tabla13[[#This Row],[SISMED]],TblDisponibilidad[],7,FALSE), 0)</f>
        <v>0</v>
      </c>
      <c r="D179">
        <f>IFERROR(VLOOKUP(Tabla13[[#This Row],[SISMED]],TblDisponibilidad[],8,FALSE), 0)</f>
        <v>0</v>
      </c>
      <c r="E179">
        <f>IFERROR(VLOOKUP(Tabla13[[#This Row],[SISMED]],TblDisponibilidad[],9,FALSE), 0)</f>
        <v>0</v>
      </c>
      <c r="F179">
        <f>IFERROR(VLOOKUP(Tabla13[[#This Row],[SISMED]],TblDisponibilidad[],10,FALSE), 0)</f>
        <v>0</v>
      </c>
      <c r="G179">
        <f>IFERROR(VLOOKUP(Tabla13[[#This Row],[SISMED]],TblDisponibilidad[],11,FALSE), 0)</f>
        <v>0</v>
      </c>
      <c r="H179">
        <f>IFERROR(VLOOKUP(Tabla13[[#This Row],[SISMED]],TblDisponibilidad[],12,FALSE), 0)</f>
        <v>0</v>
      </c>
      <c r="I179">
        <f>IFERROR(VLOOKUP(Tabla13[[#This Row],[SISMED]],TblDisponibilidad[],13,FALSE), 0)</f>
        <v>0</v>
      </c>
      <c r="J179">
        <f>IFERROR(VLOOKUP(Tabla13[[#This Row],[SISMED]],TblDisponibilidad[],14,FALSE), 0)</f>
        <v>0</v>
      </c>
      <c r="K179">
        <f>IFERROR(VLOOKUP(Tabla13[[#This Row],[SISMED]],TblDisponibilidad[],15,FALSE), 0)</f>
        <v>0</v>
      </c>
      <c r="L179">
        <f>IFERROR(VLOOKUP(Tabla13[[#This Row],[SISMED]],TblDisponibilidad[],16,FALSE), 0)</f>
        <v>0</v>
      </c>
      <c r="M179">
        <f>IFERROR(VLOOKUP(Tabla13[[#This Row],[SISMED]],TblDisponibilidad[],17,FALSE), 0)</f>
        <v>0</v>
      </c>
      <c r="N179">
        <f>IFERROR(VLOOKUP(Tabla13[[#This Row],[SISMED]],TblDisponibilidad[],18,FALSE), 0)</f>
        <v>0</v>
      </c>
      <c r="O179">
        <f>IFERROR(VLOOKUP(Tabla13[[#This Row],[SISMED]],TblDisponibilidad[],19,FALSE), 0)</f>
        <v>0</v>
      </c>
      <c r="P179">
        <f>IFERROR(VLOOKUP(Tabla13[[#This Row],[SISMED]],TblDisponibilidad[],20,FALSE), 0)</f>
        <v>0</v>
      </c>
      <c r="Q179">
        <f>IFERROR(VLOOKUP(Tabla13[[#This Row],[SISMED]],TblDisponibilidad[],21,FALSE), 0)</f>
        <v>0</v>
      </c>
      <c r="R179">
        <f>IFERROR(VLOOKUP(Tabla13[[#This Row],[SISMED]],TblDisponibilidad[],22,FALSE), 0)</f>
        <v>0</v>
      </c>
      <c r="S179" s="15">
        <f>IFERROR(VLOOKUP(Tabla13[[#This Row],[SISMED]],TblDisponibilidad[],23,FALSE), 0)</f>
        <v>0</v>
      </c>
    </row>
    <row r="180" spans="1:19" x14ac:dyDescent="0.3">
      <c r="A180" s="15" t="s">
        <v>210</v>
      </c>
      <c r="B180" t="str">
        <f>IFERROR(VLOOKUP(Tabla13[[#This Row],[SISMED]],TblDisponibilidad[],2,FALSE), "")</f>
        <v/>
      </c>
      <c r="C180">
        <f>IFERROR(VLOOKUP(Tabla13[[#This Row],[SISMED]],TblDisponibilidad[],7,FALSE), 0)</f>
        <v>0</v>
      </c>
      <c r="D180">
        <f>IFERROR(VLOOKUP(Tabla13[[#This Row],[SISMED]],TblDisponibilidad[],8,FALSE), 0)</f>
        <v>0</v>
      </c>
      <c r="E180">
        <f>IFERROR(VLOOKUP(Tabla13[[#This Row],[SISMED]],TblDisponibilidad[],9,FALSE), 0)</f>
        <v>0</v>
      </c>
      <c r="F180">
        <f>IFERROR(VLOOKUP(Tabla13[[#This Row],[SISMED]],TblDisponibilidad[],10,FALSE), 0)</f>
        <v>0</v>
      </c>
      <c r="G180">
        <f>IFERROR(VLOOKUP(Tabla13[[#This Row],[SISMED]],TblDisponibilidad[],11,FALSE), 0)</f>
        <v>0</v>
      </c>
      <c r="H180">
        <f>IFERROR(VLOOKUP(Tabla13[[#This Row],[SISMED]],TblDisponibilidad[],12,FALSE), 0)</f>
        <v>0</v>
      </c>
      <c r="I180">
        <f>IFERROR(VLOOKUP(Tabla13[[#This Row],[SISMED]],TblDisponibilidad[],13,FALSE), 0)</f>
        <v>0</v>
      </c>
      <c r="J180">
        <f>IFERROR(VLOOKUP(Tabla13[[#This Row],[SISMED]],TblDisponibilidad[],14,FALSE), 0)</f>
        <v>0</v>
      </c>
      <c r="K180">
        <f>IFERROR(VLOOKUP(Tabla13[[#This Row],[SISMED]],TblDisponibilidad[],15,FALSE), 0)</f>
        <v>0</v>
      </c>
      <c r="L180">
        <f>IFERROR(VLOOKUP(Tabla13[[#This Row],[SISMED]],TblDisponibilidad[],16,FALSE), 0)</f>
        <v>0</v>
      </c>
      <c r="M180">
        <f>IFERROR(VLOOKUP(Tabla13[[#This Row],[SISMED]],TblDisponibilidad[],17,FALSE), 0)</f>
        <v>0</v>
      </c>
      <c r="N180">
        <f>IFERROR(VLOOKUP(Tabla13[[#This Row],[SISMED]],TblDisponibilidad[],18,FALSE), 0)</f>
        <v>0</v>
      </c>
      <c r="O180">
        <f>IFERROR(VLOOKUP(Tabla13[[#This Row],[SISMED]],TblDisponibilidad[],19,FALSE), 0)</f>
        <v>0</v>
      </c>
      <c r="P180">
        <f>IFERROR(VLOOKUP(Tabla13[[#This Row],[SISMED]],TblDisponibilidad[],20,FALSE), 0)</f>
        <v>0</v>
      </c>
      <c r="Q180">
        <f>IFERROR(VLOOKUP(Tabla13[[#This Row],[SISMED]],TblDisponibilidad[],21,FALSE), 0)</f>
        <v>0</v>
      </c>
      <c r="R180">
        <f>IFERROR(VLOOKUP(Tabla13[[#This Row],[SISMED]],TblDisponibilidad[],22,FALSE), 0)</f>
        <v>0</v>
      </c>
      <c r="S180" s="15">
        <f>IFERROR(VLOOKUP(Tabla13[[#This Row],[SISMED]],TblDisponibilidad[],23,FALSE), 0)</f>
        <v>0</v>
      </c>
    </row>
    <row r="181" spans="1:19" x14ac:dyDescent="0.3">
      <c r="A181" s="15" t="s">
        <v>211</v>
      </c>
      <c r="B181" t="str">
        <f>IFERROR(VLOOKUP(Tabla13[[#This Row],[SISMED]],TblDisponibilidad[],2,FALSE), "")</f>
        <v/>
      </c>
      <c r="C181">
        <f>IFERROR(VLOOKUP(Tabla13[[#This Row],[SISMED]],TblDisponibilidad[],7,FALSE), 0)</f>
        <v>0</v>
      </c>
      <c r="D181">
        <f>IFERROR(VLOOKUP(Tabla13[[#This Row],[SISMED]],TblDisponibilidad[],8,FALSE), 0)</f>
        <v>0</v>
      </c>
      <c r="E181">
        <f>IFERROR(VLOOKUP(Tabla13[[#This Row],[SISMED]],TblDisponibilidad[],9,FALSE), 0)</f>
        <v>0</v>
      </c>
      <c r="F181">
        <f>IFERROR(VLOOKUP(Tabla13[[#This Row],[SISMED]],TblDisponibilidad[],10,FALSE), 0)</f>
        <v>0</v>
      </c>
      <c r="G181">
        <f>IFERROR(VLOOKUP(Tabla13[[#This Row],[SISMED]],TblDisponibilidad[],11,FALSE), 0)</f>
        <v>0</v>
      </c>
      <c r="H181">
        <f>IFERROR(VLOOKUP(Tabla13[[#This Row],[SISMED]],TblDisponibilidad[],12,FALSE), 0)</f>
        <v>0</v>
      </c>
      <c r="I181">
        <f>IFERROR(VLOOKUP(Tabla13[[#This Row],[SISMED]],TblDisponibilidad[],13,FALSE), 0)</f>
        <v>0</v>
      </c>
      <c r="J181">
        <f>IFERROR(VLOOKUP(Tabla13[[#This Row],[SISMED]],TblDisponibilidad[],14,FALSE), 0)</f>
        <v>0</v>
      </c>
      <c r="K181">
        <f>IFERROR(VLOOKUP(Tabla13[[#This Row],[SISMED]],TblDisponibilidad[],15,FALSE), 0)</f>
        <v>0</v>
      </c>
      <c r="L181">
        <f>IFERROR(VLOOKUP(Tabla13[[#This Row],[SISMED]],TblDisponibilidad[],16,FALSE), 0)</f>
        <v>0</v>
      </c>
      <c r="M181">
        <f>IFERROR(VLOOKUP(Tabla13[[#This Row],[SISMED]],TblDisponibilidad[],17,FALSE), 0)</f>
        <v>0</v>
      </c>
      <c r="N181">
        <f>IFERROR(VLOOKUP(Tabla13[[#This Row],[SISMED]],TblDisponibilidad[],18,FALSE), 0)</f>
        <v>0</v>
      </c>
      <c r="O181">
        <f>IFERROR(VLOOKUP(Tabla13[[#This Row],[SISMED]],TblDisponibilidad[],19,FALSE), 0)</f>
        <v>0</v>
      </c>
      <c r="P181">
        <f>IFERROR(VLOOKUP(Tabla13[[#This Row],[SISMED]],TblDisponibilidad[],20,FALSE), 0)</f>
        <v>0</v>
      </c>
      <c r="Q181">
        <f>IFERROR(VLOOKUP(Tabla13[[#This Row],[SISMED]],TblDisponibilidad[],21,FALSE), 0)</f>
        <v>0</v>
      </c>
      <c r="R181">
        <f>IFERROR(VLOOKUP(Tabla13[[#This Row],[SISMED]],TblDisponibilidad[],22,FALSE), 0)</f>
        <v>0</v>
      </c>
      <c r="S181" s="15">
        <f>IFERROR(VLOOKUP(Tabla13[[#This Row],[SISMED]],TblDisponibilidad[],23,FALSE), 0)</f>
        <v>0</v>
      </c>
    </row>
    <row r="182" spans="1:19" x14ac:dyDescent="0.3">
      <c r="A182" s="15" t="s">
        <v>212</v>
      </c>
      <c r="B182" t="str">
        <f>IFERROR(VLOOKUP(Tabla13[[#This Row],[SISMED]],TblDisponibilidad[],2,FALSE), "")</f>
        <v/>
      </c>
      <c r="C182">
        <f>IFERROR(VLOOKUP(Tabla13[[#This Row],[SISMED]],TblDisponibilidad[],7,FALSE), 0)</f>
        <v>0</v>
      </c>
      <c r="D182">
        <f>IFERROR(VLOOKUP(Tabla13[[#This Row],[SISMED]],TblDisponibilidad[],8,FALSE), 0)</f>
        <v>0</v>
      </c>
      <c r="E182">
        <f>IFERROR(VLOOKUP(Tabla13[[#This Row],[SISMED]],TblDisponibilidad[],9,FALSE), 0)</f>
        <v>0</v>
      </c>
      <c r="F182">
        <f>IFERROR(VLOOKUP(Tabla13[[#This Row],[SISMED]],TblDisponibilidad[],10,FALSE), 0)</f>
        <v>0</v>
      </c>
      <c r="G182">
        <f>IFERROR(VLOOKUP(Tabla13[[#This Row],[SISMED]],TblDisponibilidad[],11,FALSE), 0)</f>
        <v>0</v>
      </c>
      <c r="H182">
        <f>IFERROR(VLOOKUP(Tabla13[[#This Row],[SISMED]],TblDisponibilidad[],12,FALSE), 0)</f>
        <v>0</v>
      </c>
      <c r="I182">
        <f>IFERROR(VLOOKUP(Tabla13[[#This Row],[SISMED]],TblDisponibilidad[],13,FALSE), 0)</f>
        <v>0</v>
      </c>
      <c r="J182">
        <f>IFERROR(VLOOKUP(Tabla13[[#This Row],[SISMED]],TblDisponibilidad[],14,FALSE), 0)</f>
        <v>0</v>
      </c>
      <c r="K182">
        <f>IFERROR(VLOOKUP(Tabla13[[#This Row],[SISMED]],TblDisponibilidad[],15,FALSE), 0)</f>
        <v>0</v>
      </c>
      <c r="L182">
        <f>IFERROR(VLOOKUP(Tabla13[[#This Row],[SISMED]],TblDisponibilidad[],16,FALSE), 0)</f>
        <v>0</v>
      </c>
      <c r="M182">
        <f>IFERROR(VLOOKUP(Tabla13[[#This Row],[SISMED]],TblDisponibilidad[],17,FALSE), 0)</f>
        <v>0</v>
      </c>
      <c r="N182">
        <f>IFERROR(VLOOKUP(Tabla13[[#This Row],[SISMED]],TblDisponibilidad[],18,FALSE), 0)</f>
        <v>0</v>
      </c>
      <c r="O182">
        <f>IFERROR(VLOOKUP(Tabla13[[#This Row],[SISMED]],TblDisponibilidad[],19,FALSE), 0)</f>
        <v>0</v>
      </c>
      <c r="P182">
        <f>IFERROR(VLOOKUP(Tabla13[[#This Row],[SISMED]],TblDisponibilidad[],20,FALSE), 0)</f>
        <v>0</v>
      </c>
      <c r="Q182">
        <f>IFERROR(VLOOKUP(Tabla13[[#This Row],[SISMED]],TblDisponibilidad[],21,FALSE), 0)</f>
        <v>0</v>
      </c>
      <c r="R182">
        <f>IFERROR(VLOOKUP(Tabla13[[#This Row],[SISMED]],TblDisponibilidad[],22,FALSE), 0)</f>
        <v>0</v>
      </c>
      <c r="S182" s="15">
        <f>IFERROR(VLOOKUP(Tabla13[[#This Row],[SISMED]],TblDisponibilidad[],23,FALSE), 0)</f>
        <v>0</v>
      </c>
    </row>
    <row r="183" spans="1:19" x14ac:dyDescent="0.3">
      <c r="A183" s="15" t="s">
        <v>213</v>
      </c>
      <c r="B183" t="str">
        <f>IFERROR(VLOOKUP(Tabla13[[#This Row],[SISMED]],TblDisponibilidad[],2,FALSE), "")</f>
        <v/>
      </c>
      <c r="C183">
        <f>IFERROR(VLOOKUP(Tabla13[[#This Row],[SISMED]],TblDisponibilidad[],7,FALSE), 0)</f>
        <v>0</v>
      </c>
      <c r="D183">
        <f>IFERROR(VLOOKUP(Tabla13[[#This Row],[SISMED]],TblDisponibilidad[],8,FALSE), 0)</f>
        <v>0</v>
      </c>
      <c r="E183">
        <f>IFERROR(VLOOKUP(Tabla13[[#This Row],[SISMED]],TblDisponibilidad[],9,FALSE), 0)</f>
        <v>0</v>
      </c>
      <c r="F183">
        <f>IFERROR(VLOOKUP(Tabla13[[#This Row],[SISMED]],TblDisponibilidad[],10,FALSE), 0)</f>
        <v>0</v>
      </c>
      <c r="G183">
        <f>IFERROR(VLOOKUP(Tabla13[[#This Row],[SISMED]],TblDisponibilidad[],11,FALSE), 0)</f>
        <v>0</v>
      </c>
      <c r="H183">
        <f>IFERROR(VLOOKUP(Tabla13[[#This Row],[SISMED]],TblDisponibilidad[],12,FALSE), 0)</f>
        <v>0</v>
      </c>
      <c r="I183">
        <f>IFERROR(VLOOKUP(Tabla13[[#This Row],[SISMED]],TblDisponibilidad[],13,FALSE), 0)</f>
        <v>0</v>
      </c>
      <c r="J183">
        <f>IFERROR(VLOOKUP(Tabla13[[#This Row],[SISMED]],TblDisponibilidad[],14,FALSE), 0)</f>
        <v>0</v>
      </c>
      <c r="K183">
        <f>IFERROR(VLOOKUP(Tabla13[[#This Row],[SISMED]],TblDisponibilidad[],15,FALSE), 0)</f>
        <v>0</v>
      </c>
      <c r="L183">
        <f>IFERROR(VLOOKUP(Tabla13[[#This Row],[SISMED]],TblDisponibilidad[],16,FALSE), 0)</f>
        <v>0</v>
      </c>
      <c r="M183">
        <f>IFERROR(VLOOKUP(Tabla13[[#This Row],[SISMED]],TblDisponibilidad[],17,FALSE), 0)</f>
        <v>0</v>
      </c>
      <c r="N183">
        <f>IFERROR(VLOOKUP(Tabla13[[#This Row],[SISMED]],TblDisponibilidad[],18,FALSE), 0)</f>
        <v>0</v>
      </c>
      <c r="O183">
        <f>IFERROR(VLOOKUP(Tabla13[[#This Row],[SISMED]],TblDisponibilidad[],19,FALSE), 0)</f>
        <v>0</v>
      </c>
      <c r="P183">
        <f>IFERROR(VLOOKUP(Tabla13[[#This Row],[SISMED]],TblDisponibilidad[],20,FALSE), 0)</f>
        <v>0</v>
      </c>
      <c r="Q183">
        <f>IFERROR(VLOOKUP(Tabla13[[#This Row],[SISMED]],TblDisponibilidad[],21,FALSE), 0)</f>
        <v>0</v>
      </c>
      <c r="R183">
        <f>IFERROR(VLOOKUP(Tabla13[[#This Row],[SISMED]],TblDisponibilidad[],22,FALSE), 0)</f>
        <v>0</v>
      </c>
      <c r="S183" s="15">
        <f>IFERROR(VLOOKUP(Tabla13[[#This Row],[SISMED]],TblDisponibilidad[],23,FALSE), 0)</f>
        <v>0</v>
      </c>
    </row>
    <row r="184" spans="1:19" x14ac:dyDescent="0.3">
      <c r="A184" s="15" t="s">
        <v>214</v>
      </c>
      <c r="B184" t="str">
        <f>IFERROR(VLOOKUP(Tabla13[[#This Row],[SISMED]],TblDisponibilidad[],2,FALSE), "")</f>
        <v/>
      </c>
      <c r="C184">
        <f>IFERROR(VLOOKUP(Tabla13[[#This Row],[SISMED]],TblDisponibilidad[],7,FALSE), 0)</f>
        <v>0</v>
      </c>
      <c r="D184">
        <f>IFERROR(VLOOKUP(Tabla13[[#This Row],[SISMED]],TblDisponibilidad[],8,FALSE), 0)</f>
        <v>0</v>
      </c>
      <c r="E184">
        <f>IFERROR(VLOOKUP(Tabla13[[#This Row],[SISMED]],TblDisponibilidad[],9,FALSE), 0)</f>
        <v>0</v>
      </c>
      <c r="F184">
        <f>IFERROR(VLOOKUP(Tabla13[[#This Row],[SISMED]],TblDisponibilidad[],10,FALSE), 0)</f>
        <v>0</v>
      </c>
      <c r="G184">
        <f>IFERROR(VLOOKUP(Tabla13[[#This Row],[SISMED]],TblDisponibilidad[],11,FALSE), 0)</f>
        <v>0</v>
      </c>
      <c r="H184">
        <f>IFERROR(VLOOKUP(Tabla13[[#This Row],[SISMED]],TblDisponibilidad[],12,FALSE), 0)</f>
        <v>0</v>
      </c>
      <c r="I184">
        <f>IFERROR(VLOOKUP(Tabla13[[#This Row],[SISMED]],TblDisponibilidad[],13,FALSE), 0)</f>
        <v>0</v>
      </c>
      <c r="J184">
        <f>IFERROR(VLOOKUP(Tabla13[[#This Row],[SISMED]],TblDisponibilidad[],14,FALSE), 0)</f>
        <v>0</v>
      </c>
      <c r="K184">
        <f>IFERROR(VLOOKUP(Tabla13[[#This Row],[SISMED]],TblDisponibilidad[],15,FALSE), 0)</f>
        <v>0</v>
      </c>
      <c r="L184">
        <f>IFERROR(VLOOKUP(Tabla13[[#This Row],[SISMED]],TblDisponibilidad[],16,FALSE), 0)</f>
        <v>0</v>
      </c>
      <c r="M184">
        <f>IFERROR(VLOOKUP(Tabla13[[#This Row],[SISMED]],TblDisponibilidad[],17,FALSE), 0)</f>
        <v>0</v>
      </c>
      <c r="N184">
        <f>IFERROR(VLOOKUP(Tabla13[[#This Row],[SISMED]],TblDisponibilidad[],18,FALSE), 0)</f>
        <v>0</v>
      </c>
      <c r="O184">
        <f>IFERROR(VLOOKUP(Tabla13[[#This Row],[SISMED]],TblDisponibilidad[],19,FALSE), 0)</f>
        <v>0</v>
      </c>
      <c r="P184">
        <f>IFERROR(VLOOKUP(Tabla13[[#This Row],[SISMED]],TblDisponibilidad[],20,FALSE), 0)</f>
        <v>0</v>
      </c>
      <c r="Q184">
        <f>IFERROR(VLOOKUP(Tabla13[[#This Row],[SISMED]],TblDisponibilidad[],21,FALSE), 0)</f>
        <v>0</v>
      </c>
      <c r="R184">
        <f>IFERROR(VLOOKUP(Tabla13[[#This Row],[SISMED]],TblDisponibilidad[],22,FALSE), 0)</f>
        <v>0</v>
      </c>
      <c r="S184" s="15">
        <f>IFERROR(VLOOKUP(Tabla13[[#This Row],[SISMED]],TblDisponibilidad[],23,FALSE), 0)</f>
        <v>0</v>
      </c>
    </row>
    <row r="185" spans="1:19" x14ac:dyDescent="0.3">
      <c r="A185" s="15" t="s">
        <v>215</v>
      </c>
      <c r="B185" t="str">
        <f>IFERROR(VLOOKUP(Tabla13[[#This Row],[SISMED]],TblDisponibilidad[],2,FALSE), "")</f>
        <v/>
      </c>
      <c r="C185">
        <f>IFERROR(VLOOKUP(Tabla13[[#This Row],[SISMED]],TblDisponibilidad[],7,FALSE), 0)</f>
        <v>0</v>
      </c>
      <c r="D185">
        <f>IFERROR(VLOOKUP(Tabla13[[#This Row],[SISMED]],TblDisponibilidad[],8,FALSE), 0)</f>
        <v>0</v>
      </c>
      <c r="E185">
        <f>IFERROR(VLOOKUP(Tabla13[[#This Row],[SISMED]],TblDisponibilidad[],9,FALSE), 0)</f>
        <v>0</v>
      </c>
      <c r="F185">
        <f>IFERROR(VLOOKUP(Tabla13[[#This Row],[SISMED]],TblDisponibilidad[],10,FALSE), 0)</f>
        <v>0</v>
      </c>
      <c r="G185">
        <f>IFERROR(VLOOKUP(Tabla13[[#This Row],[SISMED]],TblDisponibilidad[],11,FALSE), 0)</f>
        <v>0</v>
      </c>
      <c r="H185">
        <f>IFERROR(VLOOKUP(Tabla13[[#This Row],[SISMED]],TblDisponibilidad[],12,FALSE), 0)</f>
        <v>0</v>
      </c>
      <c r="I185">
        <f>IFERROR(VLOOKUP(Tabla13[[#This Row],[SISMED]],TblDisponibilidad[],13,FALSE), 0)</f>
        <v>0</v>
      </c>
      <c r="J185">
        <f>IFERROR(VLOOKUP(Tabla13[[#This Row],[SISMED]],TblDisponibilidad[],14,FALSE), 0)</f>
        <v>0</v>
      </c>
      <c r="K185">
        <f>IFERROR(VLOOKUP(Tabla13[[#This Row],[SISMED]],TblDisponibilidad[],15,FALSE), 0)</f>
        <v>0</v>
      </c>
      <c r="L185">
        <f>IFERROR(VLOOKUP(Tabla13[[#This Row],[SISMED]],TblDisponibilidad[],16,FALSE), 0)</f>
        <v>0</v>
      </c>
      <c r="M185">
        <f>IFERROR(VLOOKUP(Tabla13[[#This Row],[SISMED]],TblDisponibilidad[],17,FALSE), 0)</f>
        <v>0</v>
      </c>
      <c r="N185">
        <f>IFERROR(VLOOKUP(Tabla13[[#This Row],[SISMED]],TblDisponibilidad[],18,FALSE), 0)</f>
        <v>0</v>
      </c>
      <c r="O185">
        <f>IFERROR(VLOOKUP(Tabla13[[#This Row],[SISMED]],TblDisponibilidad[],19,FALSE), 0)</f>
        <v>0</v>
      </c>
      <c r="P185">
        <f>IFERROR(VLOOKUP(Tabla13[[#This Row],[SISMED]],TblDisponibilidad[],20,FALSE), 0)</f>
        <v>0</v>
      </c>
      <c r="Q185">
        <f>IFERROR(VLOOKUP(Tabla13[[#This Row],[SISMED]],TblDisponibilidad[],21,FALSE), 0)</f>
        <v>0</v>
      </c>
      <c r="R185">
        <f>IFERROR(VLOOKUP(Tabla13[[#This Row],[SISMED]],TblDisponibilidad[],22,FALSE), 0)</f>
        <v>0</v>
      </c>
      <c r="S185" s="15">
        <f>IFERROR(VLOOKUP(Tabla13[[#This Row],[SISMED]],TblDisponibilidad[],23,FALSE), 0)</f>
        <v>0</v>
      </c>
    </row>
    <row r="186" spans="1:19" x14ac:dyDescent="0.3">
      <c r="A186" s="15" t="s">
        <v>216</v>
      </c>
      <c r="B186" t="str">
        <f>IFERROR(VLOOKUP(Tabla13[[#This Row],[SISMED]],TblDisponibilidad[],2,FALSE), "")</f>
        <v/>
      </c>
      <c r="C186">
        <f>IFERROR(VLOOKUP(Tabla13[[#This Row],[SISMED]],TblDisponibilidad[],7,FALSE), 0)</f>
        <v>0</v>
      </c>
      <c r="D186">
        <f>IFERROR(VLOOKUP(Tabla13[[#This Row],[SISMED]],TblDisponibilidad[],8,FALSE), 0)</f>
        <v>0</v>
      </c>
      <c r="E186">
        <f>IFERROR(VLOOKUP(Tabla13[[#This Row],[SISMED]],TblDisponibilidad[],9,FALSE), 0)</f>
        <v>0</v>
      </c>
      <c r="F186">
        <f>IFERROR(VLOOKUP(Tabla13[[#This Row],[SISMED]],TblDisponibilidad[],10,FALSE), 0)</f>
        <v>0</v>
      </c>
      <c r="G186">
        <f>IFERROR(VLOOKUP(Tabla13[[#This Row],[SISMED]],TblDisponibilidad[],11,FALSE), 0)</f>
        <v>0</v>
      </c>
      <c r="H186">
        <f>IFERROR(VLOOKUP(Tabla13[[#This Row],[SISMED]],TblDisponibilidad[],12,FALSE), 0)</f>
        <v>0</v>
      </c>
      <c r="I186">
        <f>IFERROR(VLOOKUP(Tabla13[[#This Row],[SISMED]],TblDisponibilidad[],13,FALSE), 0)</f>
        <v>0</v>
      </c>
      <c r="J186">
        <f>IFERROR(VLOOKUP(Tabla13[[#This Row],[SISMED]],TblDisponibilidad[],14,FALSE), 0)</f>
        <v>0</v>
      </c>
      <c r="K186">
        <f>IFERROR(VLOOKUP(Tabla13[[#This Row],[SISMED]],TblDisponibilidad[],15,FALSE), 0)</f>
        <v>0</v>
      </c>
      <c r="L186">
        <f>IFERROR(VLOOKUP(Tabla13[[#This Row],[SISMED]],TblDisponibilidad[],16,FALSE), 0)</f>
        <v>0</v>
      </c>
      <c r="M186">
        <f>IFERROR(VLOOKUP(Tabla13[[#This Row],[SISMED]],TblDisponibilidad[],17,FALSE), 0)</f>
        <v>0</v>
      </c>
      <c r="N186">
        <f>IFERROR(VLOOKUP(Tabla13[[#This Row],[SISMED]],TblDisponibilidad[],18,FALSE), 0)</f>
        <v>0</v>
      </c>
      <c r="O186">
        <f>IFERROR(VLOOKUP(Tabla13[[#This Row],[SISMED]],TblDisponibilidad[],19,FALSE), 0)</f>
        <v>0</v>
      </c>
      <c r="P186">
        <f>IFERROR(VLOOKUP(Tabla13[[#This Row],[SISMED]],TblDisponibilidad[],20,FALSE), 0)</f>
        <v>0</v>
      </c>
      <c r="Q186">
        <f>IFERROR(VLOOKUP(Tabla13[[#This Row],[SISMED]],TblDisponibilidad[],21,FALSE), 0)</f>
        <v>0</v>
      </c>
      <c r="R186">
        <f>IFERROR(VLOOKUP(Tabla13[[#This Row],[SISMED]],TblDisponibilidad[],22,FALSE), 0)</f>
        <v>0</v>
      </c>
      <c r="S186" s="15">
        <f>IFERROR(VLOOKUP(Tabla13[[#This Row],[SISMED]],TblDisponibilidad[],23,FALSE), 0)</f>
        <v>0</v>
      </c>
    </row>
    <row r="187" spans="1:19" x14ac:dyDescent="0.3">
      <c r="A187" s="15" t="s">
        <v>217</v>
      </c>
      <c r="B187" t="str">
        <f>IFERROR(VLOOKUP(Tabla13[[#This Row],[SISMED]],TblDisponibilidad[],2,FALSE), "")</f>
        <v/>
      </c>
      <c r="C187">
        <f>IFERROR(VLOOKUP(Tabla13[[#This Row],[SISMED]],TblDisponibilidad[],7,FALSE), 0)</f>
        <v>0</v>
      </c>
      <c r="D187">
        <f>IFERROR(VLOOKUP(Tabla13[[#This Row],[SISMED]],TblDisponibilidad[],8,FALSE), 0)</f>
        <v>0</v>
      </c>
      <c r="E187">
        <f>IFERROR(VLOOKUP(Tabla13[[#This Row],[SISMED]],TblDisponibilidad[],9,FALSE), 0)</f>
        <v>0</v>
      </c>
      <c r="F187">
        <f>IFERROR(VLOOKUP(Tabla13[[#This Row],[SISMED]],TblDisponibilidad[],10,FALSE), 0)</f>
        <v>0</v>
      </c>
      <c r="G187">
        <f>IFERROR(VLOOKUP(Tabla13[[#This Row],[SISMED]],TblDisponibilidad[],11,FALSE), 0)</f>
        <v>0</v>
      </c>
      <c r="H187">
        <f>IFERROR(VLOOKUP(Tabla13[[#This Row],[SISMED]],TblDisponibilidad[],12,FALSE), 0)</f>
        <v>0</v>
      </c>
      <c r="I187">
        <f>IFERROR(VLOOKUP(Tabla13[[#This Row],[SISMED]],TblDisponibilidad[],13,FALSE), 0)</f>
        <v>0</v>
      </c>
      <c r="J187">
        <f>IFERROR(VLOOKUP(Tabla13[[#This Row],[SISMED]],TblDisponibilidad[],14,FALSE), 0)</f>
        <v>0</v>
      </c>
      <c r="K187">
        <f>IFERROR(VLOOKUP(Tabla13[[#This Row],[SISMED]],TblDisponibilidad[],15,FALSE), 0)</f>
        <v>0</v>
      </c>
      <c r="L187">
        <f>IFERROR(VLOOKUP(Tabla13[[#This Row],[SISMED]],TblDisponibilidad[],16,FALSE), 0)</f>
        <v>0</v>
      </c>
      <c r="M187">
        <f>IFERROR(VLOOKUP(Tabla13[[#This Row],[SISMED]],TblDisponibilidad[],17,FALSE), 0)</f>
        <v>0</v>
      </c>
      <c r="N187">
        <f>IFERROR(VLOOKUP(Tabla13[[#This Row],[SISMED]],TblDisponibilidad[],18,FALSE), 0)</f>
        <v>0</v>
      </c>
      <c r="O187">
        <f>IFERROR(VLOOKUP(Tabla13[[#This Row],[SISMED]],TblDisponibilidad[],19,FALSE), 0)</f>
        <v>0</v>
      </c>
      <c r="P187">
        <f>IFERROR(VLOOKUP(Tabla13[[#This Row],[SISMED]],TblDisponibilidad[],20,FALSE), 0)</f>
        <v>0</v>
      </c>
      <c r="Q187">
        <f>IFERROR(VLOOKUP(Tabla13[[#This Row],[SISMED]],TblDisponibilidad[],21,FALSE), 0)</f>
        <v>0</v>
      </c>
      <c r="R187">
        <f>IFERROR(VLOOKUP(Tabla13[[#This Row],[SISMED]],TblDisponibilidad[],22,FALSE), 0)</f>
        <v>0</v>
      </c>
      <c r="S187" s="15">
        <f>IFERROR(VLOOKUP(Tabla13[[#This Row],[SISMED]],TblDisponibilidad[],23,FALSE), 0)</f>
        <v>0</v>
      </c>
    </row>
    <row r="188" spans="1:19" x14ac:dyDescent="0.3">
      <c r="A188" s="15" t="s">
        <v>218</v>
      </c>
      <c r="B188" t="str">
        <f>IFERROR(VLOOKUP(Tabla13[[#This Row],[SISMED]],TblDisponibilidad[],2,FALSE), "")</f>
        <v/>
      </c>
      <c r="C188">
        <f>IFERROR(VLOOKUP(Tabla13[[#This Row],[SISMED]],TblDisponibilidad[],7,FALSE), 0)</f>
        <v>0</v>
      </c>
      <c r="D188">
        <f>IFERROR(VLOOKUP(Tabla13[[#This Row],[SISMED]],TblDisponibilidad[],8,FALSE), 0)</f>
        <v>0</v>
      </c>
      <c r="E188">
        <f>IFERROR(VLOOKUP(Tabla13[[#This Row],[SISMED]],TblDisponibilidad[],9,FALSE), 0)</f>
        <v>0</v>
      </c>
      <c r="F188">
        <f>IFERROR(VLOOKUP(Tabla13[[#This Row],[SISMED]],TblDisponibilidad[],10,FALSE), 0)</f>
        <v>0</v>
      </c>
      <c r="G188">
        <f>IFERROR(VLOOKUP(Tabla13[[#This Row],[SISMED]],TblDisponibilidad[],11,FALSE), 0)</f>
        <v>0</v>
      </c>
      <c r="H188">
        <f>IFERROR(VLOOKUP(Tabla13[[#This Row],[SISMED]],TblDisponibilidad[],12,FALSE), 0)</f>
        <v>0</v>
      </c>
      <c r="I188">
        <f>IFERROR(VLOOKUP(Tabla13[[#This Row],[SISMED]],TblDisponibilidad[],13,FALSE), 0)</f>
        <v>0</v>
      </c>
      <c r="J188">
        <f>IFERROR(VLOOKUP(Tabla13[[#This Row],[SISMED]],TblDisponibilidad[],14,FALSE), 0)</f>
        <v>0</v>
      </c>
      <c r="K188">
        <f>IFERROR(VLOOKUP(Tabla13[[#This Row],[SISMED]],TblDisponibilidad[],15,FALSE), 0)</f>
        <v>0</v>
      </c>
      <c r="L188">
        <f>IFERROR(VLOOKUP(Tabla13[[#This Row],[SISMED]],TblDisponibilidad[],16,FALSE), 0)</f>
        <v>0</v>
      </c>
      <c r="M188">
        <f>IFERROR(VLOOKUP(Tabla13[[#This Row],[SISMED]],TblDisponibilidad[],17,FALSE), 0)</f>
        <v>0</v>
      </c>
      <c r="N188">
        <f>IFERROR(VLOOKUP(Tabla13[[#This Row],[SISMED]],TblDisponibilidad[],18,FALSE), 0)</f>
        <v>0</v>
      </c>
      <c r="O188">
        <f>IFERROR(VLOOKUP(Tabla13[[#This Row],[SISMED]],TblDisponibilidad[],19,FALSE), 0)</f>
        <v>0</v>
      </c>
      <c r="P188">
        <f>IFERROR(VLOOKUP(Tabla13[[#This Row],[SISMED]],TblDisponibilidad[],20,FALSE), 0)</f>
        <v>0</v>
      </c>
      <c r="Q188">
        <f>IFERROR(VLOOKUP(Tabla13[[#This Row],[SISMED]],TblDisponibilidad[],21,FALSE), 0)</f>
        <v>0</v>
      </c>
      <c r="R188">
        <f>IFERROR(VLOOKUP(Tabla13[[#This Row],[SISMED]],TblDisponibilidad[],22,FALSE), 0)</f>
        <v>0</v>
      </c>
      <c r="S188" s="15">
        <f>IFERROR(VLOOKUP(Tabla13[[#This Row],[SISMED]],TblDisponibilidad[],23,FALSE), 0)</f>
        <v>0</v>
      </c>
    </row>
    <row r="189" spans="1:19" x14ac:dyDescent="0.3">
      <c r="A189" s="15" t="s">
        <v>219</v>
      </c>
      <c r="B189" t="str">
        <f>IFERROR(VLOOKUP(Tabla13[[#This Row],[SISMED]],TblDisponibilidad[],2,FALSE), "")</f>
        <v/>
      </c>
      <c r="C189">
        <f>IFERROR(VLOOKUP(Tabla13[[#This Row],[SISMED]],TblDisponibilidad[],7,FALSE), 0)</f>
        <v>0</v>
      </c>
      <c r="D189">
        <f>IFERROR(VLOOKUP(Tabla13[[#This Row],[SISMED]],TblDisponibilidad[],8,FALSE), 0)</f>
        <v>0</v>
      </c>
      <c r="E189">
        <f>IFERROR(VLOOKUP(Tabla13[[#This Row],[SISMED]],TblDisponibilidad[],9,FALSE), 0)</f>
        <v>0</v>
      </c>
      <c r="F189">
        <f>IFERROR(VLOOKUP(Tabla13[[#This Row],[SISMED]],TblDisponibilidad[],10,FALSE), 0)</f>
        <v>0</v>
      </c>
      <c r="G189">
        <f>IFERROR(VLOOKUP(Tabla13[[#This Row],[SISMED]],TblDisponibilidad[],11,FALSE), 0)</f>
        <v>0</v>
      </c>
      <c r="H189">
        <f>IFERROR(VLOOKUP(Tabla13[[#This Row],[SISMED]],TblDisponibilidad[],12,FALSE), 0)</f>
        <v>0</v>
      </c>
      <c r="I189">
        <f>IFERROR(VLOOKUP(Tabla13[[#This Row],[SISMED]],TblDisponibilidad[],13,FALSE), 0)</f>
        <v>0</v>
      </c>
      <c r="J189">
        <f>IFERROR(VLOOKUP(Tabla13[[#This Row],[SISMED]],TblDisponibilidad[],14,FALSE), 0)</f>
        <v>0</v>
      </c>
      <c r="K189">
        <f>IFERROR(VLOOKUP(Tabla13[[#This Row],[SISMED]],TblDisponibilidad[],15,FALSE), 0)</f>
        <v>0</v>
      </c>
      <c r="L189">
        <f>IFERROR(VLOOKUP(Tabla13[[#This Row],[SISMED]],TblDisponibilidad[],16,FALSE), 0)</f>
        <v>0</v>
      </c>
      <c r="M189">
        <f>IFERROR(VLOOKUP(Tabla13[[#This Row],[SISMED]],TblDisponibilidad[],17,FALSE), 0)</f>
        <v>0</v>
      </c>
      <c r="N189">
        <f>IFERROR(VLOOKUP(Tabla13[[#This Row],[SISMED]],TblDisponibilidad[],18,FALSE), 0)</f>
        <v>0</v>
      </c>
      <c r="O189">
        <f>IFERROR(VLOOKUP(Tabla13[[#This Row],[SISMED]],TblDisponibilidad[],19,FALSE), 0)</f>
        <v>0</v>
      </c>
      <c r="P189">
        <f>IFERROR(VLOOKUP(Tabla13[[#This Row],[SISMED]],TblDisponibilidad[],20,FALSE), 0)</f>
        <v>0</v>
      </c>
      <c r="Q189">
        <f>IFERROR(VLOOKUP(Tabla13[[#This Row],[SISMED]],TblDisponibilidad[],21,FALSE), 0)</f>
        <v>0</v>
      </c>
      <c r="R189">
        <f>IFERROR(VLOOKUP(Tabla13[[#This Row],[SISMED]],TblDisponibilidad[],22,FALSE), 0)</f>
        <v>0</v>
      </c>
      <c r="S189" s="15">
        <f>IFERROR(VLOOKUP(Tabla13[[#This Row],[SISMED]],TblDisponibilidad[],23,FALSE), 0)</f>
        <v>0</v>
      </c>
    </row>
    <row r="190" spans="1:19" x14ac:dyDescent="0.3">
      <c r="A190" s="15" t="s">
        <v>220</v>
      </c>
      <c r="B190" t="str">
        <f>IFERROR(VLOOKUP(Tabla13[[#This Row],[SISMED]],TblDisponibilidad[],2,FALSE), "")</f>
        <v/>
      </c>
      <c r="C190">
        <f>IFERROR(VLOOKUP(Tabla13[[#This Row],[SISMED]],TblDisponibilidad[],7,FALSE), 0)</f>
        <v>0</v>
      </c>
      <c r="D190">
        <f>IFERROR(VLOOKUP(Tabla13[[#This Row],[SISMED]],TblDisponibilidad[],8,FALSE), 0)</f>
        <v>0</v>
      </c>
      <c r="E190">
        <f>IFERROR(VLOOKUP(Tabla13[[#This Row],[SISMED]],TblDisponibilidad[],9,FALSE), 0)</f>
        <v>0</v>
      </c>
      <c r="F190">
        <f>IFERROR(VLOOKUP(Tabla13[[#This Row],[SISMED]],TblDisponibilidad[],10,FALSE), 0)</f>
        <v>0</v>
      </c>
      <c r="G190">
        <f>IFERROR(VLOOKUP(Tabla13[[#This Row],[SISMED]],TblDisponibilidad[],11,FALSE), 0)</f>
        <v>0</v>
      </c>
      <c r="H190">
        <f>IFERROR(VLOOKUP(Tabla13[[#This Row],[SISMED]],TblDisponibilidad[],12,FALSE), 0)</f>
        <v>0</v>
      </c>
      <c r="I190">
        <f>IFERROR(VLOOKUP(Tabla13[[#This Row],[SISMED]],TblDisponibilidad[],13,FALSE), 0)</f>
        <v>0</v>
      </c>
      <c r="J190">
        <f>IFERROR(VLOOKUP(Tabla13[[#This Row],[SISMED]],TblDisponibilidad[],14,FALSE), 0)</f>
        <v>0</v>
      </c>
      <c r="K190">
        <f>IFERROR(VLOOKUP(Tabla13[[#This Row],[SISMED]],TblDisponibilidad[],15,FALSE), 0)</f>
        <v>0</v>
      </c>
      <c r="L190">
        <f>IFERROR(VLOOKUP(Tabla13[[#This Row],[SISMED]],TblDisponibilidad[],16,FALSE), 0)</f>
        <v>0</v>
      </c>
      <c r="M190">
        <f>IFERROR(VLOOKUP(Tabla13[[#This Row],[SISMED]],TblDisponibilidad[],17,FALSE), 0)</f>
        <v>0</v>
      </c>
      <c r="N190">
        <f>IFERROR(VLOOKUP(Tabla13[[#This Row],[SISMED]],TblDisponibilidad[],18,FALSE), 0)</f>
        <v>0</v>
      </c>
      <c r="O190">
        <f>IFERROR(VLOOKUP(Tabla13[[#This Row],[SISMED]],TblDisponibilidad[],19,FALSE), 0)</f>
        <v>0</v>
      </c>
      <c r="P190">
        <f>IFERROR(VLOOKUP(Tabla13[[#This Row],[SISMED]],TblDisponibilidad[],20,FALSE), 0)</f>
        <v>0</v>
      </c>
      <c r="Q190">
        <f>IFERROR(VLOOKUP(Tabla13[[#This Row],[SISMED]],TblDisponibilidad[],21,FALSE), 0)</f>
        <v>0</v>
      </c>
      <c r="R190">
        <f>IFERROR(VLOOKUP(Tabla13[[#This Row],[SISMED]],TblDisponibilidad[],22,FALSE), 0)</f>
        <v>0</v>
      </c>
      <c r="S190" s="15">
        <f>IFERROR(VLOOKUP(Tabla13[[#This Row],[SISMED]],TblDisponibilidad[],23,FALSE), 0)</f>
        <v>0</v>
      </c>
    </row>
    <row r="191" spans="1:19" x14ac:dyDescent="0.3">
      <c r="A191" s="15" t="s">
        <v>221</v>
      </c>
      <c r="B191" t="str">
        <f>IFERROR(VLOOKUP(Tabla13[[#This Row],[SISMED]],TblDisponibilidad[],2,FALSE), "")</f>
        <v/>
      </c>
      <c r="C191">
        <f>IFERROR(VLOOKUP(Tabla13[[#This Row],[SISMED]],TblDisponibilidad[],7,FALSE), 0)</f>
        <v>0</v>
      </c>
      <c r="D191">
        <f>IFERROR(VLOOKUP(Tabla13[[#This Row],[SISMED]],TblDisponibilidad[],8,FALSE), 0)</f>
        <v>0</v>
      </c>
      <c r="E191">
        <f>IFERROR(VLOOKUP(Tabla13[[#This Row],[SISMED]],TblDisponibilidad[],9,FALSE), 0)</f>
        <v>0</v>
      </c>
      <c r="F191">
        <f>IFERROR(VLOOKUP(Tabla13[[#This Row],[SISMED]],TblDisponibilidad[],10,FALSE), 0)</f>
        <v>0</v>
      </c>
      <c r="G191">
        <f>IFERROR(VLOOKUP(Tabla13[[#This Row],[SISMED]],TblDisponibilidad[],11,FALSE), 0)</f>
        <v>0</v>
      </c>
      <c r="H191">
        <f>IFERROR(VLOOKUP(Tabla13[[#This Row],[SISMED]],TblDisponibilidad[],12,FALSE), 0)</f>
        <v>0</v>
      </c>
      <c r="I191">
        <f>IFERROR(VLOOKUP(Tabla13[[#This Row],[SISMED]],TblDisponibilidad[],13,FALSE), 0)</f>
        <v>0</v>
      </c>
      <c r="J191">
        <f>IFERROR(VLOOKUP(Tabla13[[#This Row],[SISMED]],TblDisponibilidad[],14,FALSE), 0)</f>
        <v>0</v>
      </c>
      <c r="K191">
        <f>IFERROR(VLOOKUP(Tabla13[[#This Row],[SISMED]],TblDisponibilidad[],15,FALSE), 0)</f>
        <v>0</v>
      </c>
      <c r="L191">
        <f>IFERROR(VLOOKUP(Tabla13[[#This Row],[SISMED]],TblDisponibilidad[],16,FALSE), 0)</f>
        <v>0</v>
      </c>
      <c r="M191">
        <f>IFERROR(VLOOKUP(Tabla13[[#This Row],[SISMED]],TblDisponibilidad[],17,FALSE), 0)</f>
        <v>0</v>
      </c>
      <c r="N191">
        <f>IFERROR(VLOOKUP(Tabla13[[#This Row],[SISMED]],TblDisponibilidad[],18,FALSE), 0)</f>
        <v>0</v>
      </c>
      <c r="O191">
        <f>IFERROR(VLOOKUP(Tabla13[[#This Row],[SISMED]],TblDisponibilidad[],19,FALSE), 0)</f>
        <v>0</v>
      </c>
      <c r="P191">
        <f>IFERROR(VLOOKUP(Tabla13[[#This Row],[SISMED]],TblDisponibilidad[],20,FALSE), 0)</f>
        <v>0</v>
      </c>
      <c r="Q191">
        <f>IFERROR(VLOOKUP(Tabla13[[#This Row],[SISMED]],TblDisponibilidad[],21,FALSE), 0)</f>
        <v>0</v>
      </c>
      <c r="R191">
        <f>IFERROR(VLOOKUP(Tabla13[[#This Row],[SISMED]],TblDisponibilidad[],22,FALSE), 0)</f>
        <v>0</v>
      </c>
      <c r="S191" s="15">
        <f>IFERROR(VLOOKUP(Tabla13[[#This Row],[SISMED]],TblDisponibilidad[],23,FALSE), 0)</f>
        <v>0</v>
      </c>
    </row>
    <row r="192" spans="1:19" x14ac:dyDescent="0.3">
      <c r="A192" s="15" t="s">
        <v>222</v>
      </c>
      <c r="B192" t="str">
        <f>IFERROR(VLOOKUP(Tabla13[[#This Row],[SISMED]],TblDisponibilidad[],2,FALSE), "")</f>
        <v/>
      </c>
      <c r="C192">
        <f>IFERROR(VLOOKUP(Tabla13[[#This Row],[SISMED]],TblDisponibilidad[],7,FALSE), 0)</f>
        <v>0</v>
      </c>
      <c r="D192">
        <f>IFERROR(VLOOKUP(Tabla13[[#This Row],[SISMED]],TblDisponibilidad[],8,FALSE), 0)</f>
        <v>0</v>
      </c>
      <c r="E192">
        <f>IFERROR(VLOOKUP(Tabla13[[#This Row],[SISMED]],TblDisponibilidad[],9,FALSE), 0)</f>
        <v>0</v>
      </c>
      <c r="F192">
        <f>IFERROR(VLOOKUP(Tabla13[[#This Row],[SISMED]],TblDisponibilidad[],10,FALSE), 0)</f>
        <v>0</v>
      </c>
      <c r="G192">
        <f>IFERROR(VLOOKUP(Tabla13[[#This Row],[SISMED]],TblDisponibilidad[],11,FALSE), 0)</f>
        <v>0</v>
      </c>
      <c r="H192">
        <f>IFERROR(VLOOKUP(Tabla13[[#This Row],[SISMED]],TblDisponibilidad[],12,FALSE), 0)</f>
        <v>0</v>
      </c>
      <c r="I192">
        <f>IFERROR(VLOOKUP(Tabla13[[#This Row],[SISMED]],TblDisponibilidad[],13,FALSE), 0)</f>
        <v>0</v>
      </c>
      <c r="J192">
        <f>IFERROR(VLOOKUP(Tabla13[[#This Row],[SISMED]],TblDisponibilidad[],14,FALSE), 0)</f>
        <v>0</v>
      </c>
      <c r="K192">
        <f>IFERROR(VLOOKUP(Tabla13[[#This Row],[SISMED]],TblDisponibilidad[],15,FALSE), 0)</f>
        <v>0</v>
      </c>
      <c r="L192">
        <f>IFERROR(VLOOKUP(Tabla13[[#This Row],[SISMED]],TblDisponibilidad[],16,FALSE), 0)</f>
        <v>0</v>
      </c>
      <c r="M192">
        <f>IFERROR(VLOOKUP(Tabla13[[#This Row],[SISMED]],TblDisponibilidad[],17,FALSE), 0)</f>
        <v>0</v>
      </c>
      <c r="N192">
        <f>IFERROR(VLOOKUP(Tabla13[[#This Row],[SISMED]],TblDisponibilidad[],18,FALSE), 0)</f>
        <v>0</v>
      </c>
      <c r="O192">
        <f>IFERROR(VLOOKUP(Tabla13[[#This Row],[SISMED]],TblDisponibilidad[],19,FALSE), 0)</f>
        <v>0</v>
      </c>
      <c r="P192">
        <f>IFERROR(VLOOKUP(Tabla13[[#This Row],[SISMED]],TblDisponibilidad[],20,FALSE), 0)</f>
        <v>0</v>
      </c>
      <c r="Q192">
        <f>IFERROR(VLOOKUP(Tabla13[[#This Row],[SISMED]],TblDisponibilidad[],21,FALSE), 0)</f>
        <v>0</v>
      </c>
      <c r="R192">
        <f>IFERROR(VLOOKUP(Tabla13[[#This Row],[SISMED]],TblDisponibilidad[],22,FALSE), 0)</f>
        <v>0</v>
      </c>
      <c r="S192" s="15">
        <f>IFERROR(VLOOKUP(Tabla13[[#This Row],[SISMED]],TblDisponibilidad[],23,FALSE), 0)</f>
        <v>0</v>
      </c>
    </row>
    <row r="193" spans="1:19" x14ac:dyDescent="0.3">
      <c r="A193" s="15" t="s">
        <v>223</v>
      </c>
      <c r="B193" t="str">
        <f>IFERROR(VLOOKUP(Tabla13[[#This Row],[SISMED]],TblDisponibilidad[],2,FALSE), "")</f>
        <v/>
      </c>
      <c r="C193">
        <f>IFERROR(VLOOKUP(Tabla13[[#This Row],[SISMED]],TblDisponibilidad[],7,FALSE), 0)</f>
        <v>0</v>
      </c>
      <c r="D193">
        <f>IFERROR(VLOOKUP(Tabla13[[#This Row],[SISMED]],TblDisponibilidad[],8,FALSE), 0)</f>
        <v>0</v>
      </c>
      <c r="E193">
        <f>IFERROR(VLOOKUP(Tabla13[[#This Row],[SISMED]],TblDisponibilidad[],9,FALSE), 0)</f>
        <v>0</v>
      </c>
      <c r="F193">
        <f>IFERROR(VLOOKUP(Tabla13[[#This Row],[SISMED]],TblDisponibilidad[],10,FALSE), 0)</f>
        <v>0</v>
      </c>
      <c r="G193">
        <f>IFERROR(VLOOKUP(Tabla13[[#This Row],[SISMED]],TblDisponibilidad[],11,FALSE), 0)</f>
        <v>0</v>
      </c>
      <c r="H193">
        <f>IFERROR(VLOOKUP(Tabla13[[#This Row],[SISMED]],TblDisponibilidad[],12,FALSE), 0)</f>
        <v>0</v>
      </c>
      <c r="I193">
        <f>IFERROR(VLOOKUP(Tabla13[[#This Row],[SISMED]],TblDisponibilidad[],13,FALSE), 0)</f>
        <v>0</v>
      </c>
      <c r="J193">
        <f>IFERROR(VLOOKUP(Tabla13[[#This Row],[SISMED]],TblDisponibilidad[],14,FALSE), 0)</f>
        <v>0</v>
      </c>
      <c r="K193">
        <f>IFERROR(VLOOKUP(Tabla13[[#This Row],[SISMED]],TblDisponibilidad[],15,FALSE), 0)</f>
        <v>0</v>
      </c>
      <c r="L193">
        <f>IFERROR(VLOOKUP(Tabla13[[#This Row],[SISMED]],TblDisponibilidad[],16,FALSE), 0)</f>
        <v>0</v>
      </c>
      <c r="M193">
        <f>IFERROR(VLOOKUP(Tabla13[[#This Row],[SISMED]],TblDisponibilidad[],17,FALSE), 0)</f>
        <v>0</v>
      </c>
      <c r="N193">
        <f>IFERROR(VLOOKUP(Tabla13[[#This Row],[SISMED]],TblDisponibilidad[],18,FALSE), 0)</f>
        <v>0</v>
      </c>
      <c r="O193">
        <f>IFERROR(VLOOKUP(Tabla13[[#This Row],[SISMED]],TblDisponibilidad[],19,FALSE), 0)</f>
        <v>0</v>
      </c>
      <c r="P193">
        <f>IFERROR(VLOOKUP(Tabla13[[#This Row],[SISMED]],TblDisponibilidad[],20,FALSE), 0)</f>
        <v>0</v>
      </c>
      <c r="Q193">
        <f>IFERROR(VLOOKUP(Tabla13[[#This Row],[SISMED]],TblDisponibilidad[],21,FALSE), 0)</f>
        <v>0</v>
      </c>
      <c r="R193">
        <f>IFERROR(VLOOKUP(Tabla13[[#This Row],[SISMED]],TblDisponibilidad[],22,FALSE), 0)</f>
        <v>0</v>
      </c>
      <c r="S193" s="15">
        <f>IFERROR(VLOOKUP(Tabla13[[#This Row],[SISMED]],TblDisponibilidad[],23,FALSE), 0)</f>
        <v>0</v>
      </c>
    </row>
    <row r="194" spans="1:19" x14ac:dyDescent="0.3">
      <c r="A194" s="15" t="s">
        <v>224</v>
      </c>
      <c r="B194" t="str">
        <f>IFERROR(VLOOKUP(Tabla13[[#This Row],[SISMED]],TblDisponibilidad[],2,FALSE), "")</f>
        <v/>
      </c>
      <c r="C194">
        <f>IFERROR(VLOOKUP(Tabla13[[#This Row],[SISMED]],TblDisponibilidad[],7,FALSE), 0)</f>
        <v>0</v>
      </c>
      <c r="D194">
        <f>IFERROR(VLOOKUP(Tabla13[[#This Row],[SISMED]],TblDisponibilidad[],8,FALSE), 0)</f>
        <v>0</v>
      </c>
      <c r="E194">
        <f>IFERROR(VLOOKUP(Tabla13[[#This Row],[SISMED]],TblDisponibilidad[],9,FALSE), 0)</f>
        <v>0</v>
      </c>
      <c r="F194">
        <f>IFERROR(VLOOKUP(Tabla13[[#This Row],[SISMED]],TblDisponibilidad[],10,FALSE), 0)</f>
        <v>0</v>
      </c>
      <c r="G194">
        <f>IFERROR(VLOOKUP(Tabla13[[#This Row],[SISMED]],TblDisponibilidad[],11,FALSE), 0)</f>
        <v>0</v>
      </c>
      <c r="H194">
        <f>IFERROR(VLOOKUP(Tabla13[[#This Row],[SISMED]],TblDisponibilidad[],12,FALSE), 0)</f>
        <v>0</v>
      </c>
      <c r="I194">
        <f>IFERROR(VLOOKUP(Tabla13[[#This Row],[SISMED]],TblDisponibilidad[],13,FALSE), 0)</f>
        <v>0</v>
      </c>
      <c r="J194">
        <f>IFERROR(VLOOKUP(Tabla13[[#This Row],[SISMED]],TblDisponibilidad[],14,FALSE), 0)</f>
        <v>0</v>
      </c>
      <c r="K194">
        <f>IFERROR(VLOOKUP(Tabla13[[#This Row],[SISMED]],TblDisponibilidad[],15,FALSE), 0)</f>
        <v>0</v>
      </c>
      <c r="L194">
        <f>IFERROR(VLOOKUP(Tabla13[[#This Row],[SISMED]],TblDisponibilidad[],16,FALSE), 0)</f>
        <v>0</v>
      </c>
      <c r="M194">
        <f>IFERROR(VLOOKUP(Tabla13[[#This Row],[SISMED]],TblDisponibilidad[],17,FALSE), 0)</f>
        <v>0</v>
      </c>
      <c r="N194">
        <f>IFERROR(VLOOKUP(Tabla13[[#This Row],[SISMED]],TblDisponibilidad[],18,FALSE), 0)</f>
        <v>0</v>
      </c>
      <c r="O194">
        <f>IFERROR(VLOOKUP(Tabla13[[#This Row],[SISMED]],TblDisponibilidad[],19,FALSE), 0)</f>
        <v>0</v>
      </c>
      <c r="P194">
        <f>IFERROR(VLOOKUP(Tabla13[[#This Row],[SISMED]],TblDisponibilidad[],20,FALSE), 0)</f>
        <v>0</v>
      </c>
      <c r="Q194">
        <f>IFERROR(VLOOKUP(Tabla13[[#This Row],[SISMED]],TblDisponibilidad[],21,FALSE), 0)</f>
        <v>0</v>
      </c>
      <c r="R194">
        <f>IFERROR(VLOOKUP(Tabla13[[#This Row],[SISMED]],TblDisponibilidad[],22,FALSE), 0)</f>
        <v>0</v>
      </c>
      <c r="S194" s="15">
        <f>IFERROR(VLOOKUP(Tabla13[[#This Row],[SISMED]],TblDisponibilidad[],23,FALSE), 0)</f>
        <v>0</v>
      </c>
    </row>
    <row r="195" spans="1:19" x14ac:dyDescent="0.3">
      <c r="A195" s="15" t="s">
        <v>225</v>
      </c>
      <c r="B195" t="str">
        <f>IFERROR(VLOOKUP(Tabla13[[#This Row],[SISMED]],TblDisponibilidad[],2,FALSE), "")</f>
        <v/>
      </c>
      <c r="C195">
        <f>IFERROR(VLOOKUP(Tabla13[[#This Row],[SISMED]],TblDisponibilidad[],7,FALSE), 0)</f>
        <v>0</v>
      </c>
      <c r="D195">
        <f>IFERROR(VLOOKUP(Tabla13[[#This Row],[SISMED]],TblDisponibilidad[],8,FALSE), 0)</f>
        <v>0</v>
      </c>
      <c r="E195">
        <f>IFERROR(VLOOKUP(Tabla13[[#This Row],[SISMED]],TblDisponibilidad[],9,FALSE), 0)</f>
        <v>0</v>
      </c>
      <c r="F195">
        <f>IFERROR(VLOOKUP(Tabla13[[#This Row],[SISMED]],TblDisponibilidad[],10,FALSE), 0)</f>
        <v>0</v>
      </c>
      <c r="G195">
        <f>IFERROR(VLOOKUP(Tabla13[[#This Row],[SISMED]],TblDisponibilidad[],11,FALSE), 0)</f>
        <v>0</v>
      </c>
      <c r="H195">
        <f>IFERROR(VLOOKUP(Tabla13[[#This Row],[SISMED]],TblDisponibilidad[],12,FALSE), 0)</f>
        <v>0</v>
      </c>
      <c r="I195">
        <f>IFERROR(VLOOKUP(Tabla13[[#This Row],[SISMED]],TblDisponibilidad[],13,FALSE), 0)</f>
        <v>0</v>
      </c>
      <c r="J195">
        <f>IFERROR(VLOOKUP(Tabla13[[#This Row],[SISMED]],TblDisponibilidad[],14,FALSE), 0)</f>
        <v>0</v>
      </c>
      <c r="K195">
        <f>IFERROR(VLOOKUP(Tabla13[[#This Row],[SISMED]],TblDisponibilidad[],15,FALSE), 0)</f>
        <v>0</v>
      </c>
      <c r="L195">
        <f>IFERROR(VLOOKUP(Tabla13[[#This Row],[SISMED]],TblDisponibilidad[],16,FALSE), 0)</f>
        <v>0</v>
      </c>
      <c r="M195">
        <f>IFERROR(VLOOKUP(Tabla13[[#This Row],[SISMED]],TblDisponibilidad[],17,FALSE), 0)</f>
        <v>0</v>
      </c>
      <c r="N195">
        <f>IFERROR(VLOOKUP(Tabla13[[#This Row],[SISMED]],TblDisponibilidad[],18,FALSE), 0)</f>
        <v>0</v>
      </c>
      <c r="O195">
        <f>IFERROR(VLOOKUP(Tabla13[[#This Row],[SISMED]],TblDisponibilidad[],19,FALSE), 0)</f>
        <v>0</v>
      </c>
      <c r="P195">
        <f>IFERROR(VLOOKUP(Tabla13[[#This Row],[SISMED]],TblDisponibilidad[],20,FALSE), 0)</f>
        <v>0</v>
      </c>
      <c r="Q195">
        <f>IFERROR(VLOOKUP(Tabla13[[#This Row],[SISMED]],TblDisponibilidad[],21,FALSE), 0)</f>
        <v>0</v>
      </c>
      <c r="R195">
        <f>IFERROR(VLOOKUP(Tabla13[[#This Row],[SISMED]],TblDisponibilidad[],22,FALSE), 0)</f>
        <v>0</v>
      </c>
      <c r="S195" s="15">
        <f>IFERROR(VLOOKUP(Tabla13[[#This Row],[SISMED]],TblDisponibilidad[],23,FALSE), 0)</f>
        <v>0</v>
      </c>
    </row>
    <row r="196" spans="1:19" x14ac:dyDescent="0.3">
      <c r="A196" s="15" t="s">
        <v>226</v>
      </c>
      <c r="B196" t="str">
        <f>IFERROR(VLOOKUP(Tabla13[[#This Row],[SISMED]],TblDisponibilidad[],2,FALSE), "")</f>
        <v/>
      </c>
      <c r="C196">
        <f>IFERROR(VLOOKUP(Tabla13[[#This Row],[SISMED]],TblDisponibilidad[],7,FALSE), 0)</f>
        <v>0</v>
      </c>
      <c r="D196">
        <f>IFERROR(VLOOKUP(Tabla13[[#This Row],[SISMED]],TblDisponibilidad[],8,FALSE), 0)</f>
        <v>0</v>
      </c>
      <c r="E196">
        <f>IFERROR(VLOOKUP(Tabla13[[#This Row],[SISMED]],TblDisponibilidad[],9,FALSE), 0)</f>
        <v>0</v>
      </c>
      <c r="F196">
        <f>IFERROR(VLOOKUP(Tabla13[[#This Row],[SISMED]],TblDisponibilidad[],10,FALSE), 0)</f>
        <v>0</v>
      </c>
      <c r="G196">
        <f>IFERROR(VLOOKUP(Tabla13[[#This Row],[SISMED]],TblDisponibilidad[],11,FALSE), 0)</f>
        <v>0</v>
      </c>
      <c r="H196">
        <f>IFERROR(VLOOKUP(Tabla13[[#This Row],[SISMED]],TblDisponibilidad[],12,FALSE), 0)</f>
        <v>0</v>
      </c>
      <c r="I196">
        <f>IFERROR(VLOOKUP(Tabla13[[#This Row],[SISMED]],TblDisponibilidad[],13,FALSE), 0)</f>
        <v>0</v>
      </c>
      <c r="J196">
        <f>IFERROR(VLOOKUP(Tabla13[[#This Row],[SISMED]],TblDisponibilidad[],14,FALSE), 0)</f>
        <v>0</v>
      </c>
      <c r="K196">
        <f>IFERROR(VLOOKUP(Tabla13[[#This Row],[SISMED]],TblDisponibilidad[],15,FALSE), 0)</f>
        <v>0</v>
      </c>
      <c r="L196">
        <f>IFERROR(VLOOKUP(Tabla13[[#This Row],[SISMED]],TblDisponibilidad[],16,FALSE), 0)</f>
        <v>0</v>
      </c>
      <c r="M196">
        <f>IFERROR(VLOOKUP(Tabla13[[#This Row],[SISMED]],TblDisponibilidad[],17,FALSE), 0)</f>
        <v>0</v>
      </c>
      <c r="N196">
        <f>IFERROR(VLOOKUP(Tabla13[[#This Row],[SISMED]],TblDisponibilidad[],18,FALSE), 0)</f>
        <v>0</v>
      </c>
      <c r="O196">
        <f>IFERROR(VLOOKUP(Tabla13[[#This Row],[SISMED]],TblDisponibilidad[],19,FALSE), 0)</f>
        <v>0</v>
      </c>
      <c r="P196">
        <f>IFERROR(VLOOKUP(Tabla13[[#This Row],[SISMED]],TblDisponibilidad[],20,FALSE), 0)</f>
        <v>0</v>
      </c>
      <c r="Q196">
        <f>IFERROR(VLOOKUP(Tabla13[[#This Row],[SISMED]],TblDisponibilidad[],21,FALSE), 0)</f>
        <v>0</v>
      </c>
      <c r="R196">
        <f>IFERROR(VLOOKUP(Tabla13[[#This Row],[SISMED]],TblDisponibilidad[],22,FALSE), 0)</f>
        <v>0</v>
      </c>
      <c r="S196" s="15">
        <f>IFERROR(VLOOKUP(Tabla13[[#This Row],[SISMED]],TblDisponibilidad[],23,FALSE), 0)</f>
        <v>0</v>
      </c>
    </row>
    <row r="197" spans="1:19" x14ac:dyDescent="0.3">
      <c r="A197" s="15" t="s">
        <v>227</v>
      </c>
      <c r="B197" t="str">
        <f>IFERROR(VLOOKUP(Tabla13[[#This Row],[SISMED]],TblDisponibilidad[],2,FALSE), "")</f>
        <v/>
      </c>
      <c r="C197">
        <f>IFERROR(VLOOKUP(Tabla13[[#This Row],[SISMED]],TblDisponibilidad[],7,FALSE), 0)</f>
        <v>0</v>
      </c>
      <c r="D197">
        <f>IFERROR(VLOOKUP(Tabla13[[#This Row],[SISMED]],TblDisponibilidad[],8,FALSE), 0)</f>
        <v>0</v>
      </c>
      <c r="E197">
        <f>IFERROR(VLOOKUP(Tabla13[[#This Row],[SISMED]],TblDisponibilidad[],9,FALSE), 0)</f>
        <v>0</v>
      </c>
      <c r="F197">
        <f>IFERROR(VLOOKUP(Tabla13[[#This Row],[SISMED]],TblDisponibilidad[],10,FALSE), 0)</f>
        <v>0</v>
      </c>
      <c r="G197">
        <f>IFERROR(VLOOKUP(Tabla13[[#This Row],[SISMED]],TblDisponibilidad[],11,FALSE), 0)</f>
        <v>0</v>
      </c>
      <c r="H197">
        <f>IFERROR(VLOOKUP(Tabla13[[#This Row],[SISMED]],TblDisponibilidad[],12,FALSE), 0)</f>
        <v>0</v>
      </c>
      <c r="I197">
        <f>IFERROR(VLOOKUP(Tabla13[[#This Row],[SISMED]],TblDisponibilidad[],13,FALSE), 0)</f>
        <v>0</v>
      </c>
      <c r="J197">
        <f>IFERROR(VLOOKUP(Tabla13[[#This Row],[SISMED]],TblDisponibilidad[],14,FALSE), 0)</f>
        <v>0</v>
      </c>
      <c r="K197">
        <f>IFERROR(VLOOKUP(Tabla13[[#This Row],[SISMED]],TblDisponibilidad[],15,FALSE), 0)</f>
        <v>0</v>
      </c>
      <c r="L197">
        <f>IFERROR(VLOOKUP(Tabla13[[#This Row],[SISMED]],TblDisponibilidad[],16,FALSE), 0)</f>
        <v>0</v>
      </c>
      <c r="M197">
        <f>IFERROR(VLOOKUP(Tabla13[[#This Row],[SISMED]],TblDisponibilidad[],17,FALSE), 0)</f>
        <v>0</v>
      </c>
      <c r="N197">
        <f>IFERROR(VLOOKUP(Tabla13[[#This Row],[SISMED]],TblDisponibilidad[],18,FALSE), 0)</f>
        <v>0</v>
      </c>
      <c r="O197">
        <f>IFERROR(VLOOKUP(Tabla13[[#This Row],[SISMED]],TblDisponibilidad[],19,FALSE), 0)</f>
        <v>0</v>
      </c>
      <c r="P197">
        <f>IFERROR(VLOOKUP(Tabla13[[#This Row],[SISMED]],TblDisponibilidad[],20,FALSE), 0)</f>
        <v>0</v>
      </c>
      <c r="Q197">
        <f>IFERROR(VLOOKUP(Tabla13[[#This Row],[SISMED]],TblDisponibilidad[],21,FALSE), 0)</f>
        <v>0</v>
      </c>
      <c r="R197">
        <f>IFERROR(VLOOKUP(Tabla13[[#This Row],[SISMED]],TblDisponibilidad[],22,FALSE), 0)</f>
        <v>0</v>
      </c>
      <c r="S197" s="15">
        <f>IFERROR(VLOOKUP(Tabla13[[#This Row],[SISMED]],TblDisponibilidad[],23,FALSE), 0)</f>
        <v>0</v>
      </c>
    </row>
    <row r="198" spans="1:19" x14ac:dyDescent="0.3">
      <c r="A198" s="15" t="s">
        <v>228</v>
      </c>
      <c r="B198" t="str">
        <f>IFERROR(VLOOKUP(Tabla13[[#This Row],[SISMED]],TblDisponibilidad[],2,FALSE), "")</f>
        <v/>
      </c>
      <c r="C198">
        <f>IFERROR(VLOOKUP(Tabla13[[#This Row],[SISMED]],TblDisponibilidad[],7,FALSE), 0)</f>
        <v>0</v>
      </c>
      <c r="D198">
        <f>IFERROR(VLOOKUP(Tabla13[[#This Row],[SISMED]],TblDisponibilidad[],8,FALSE), 0)</f>
        <v>0</v>
      </c>
      <c r="E198">
        <f>IFERROR(VLOOKUP(Tabla13[[#This Row],[SISMED]],TblDisponibilidad[],9,FALSE), 0)</f>
        <v>0</v>
      </c>
      <c r="F198">
        <f>IFERROR(VLOOKUP(Tabla13[[#This Row],[SISMED]],TblDisponibilidad[],10,FALSE), 0)</f>
        <v>0</v>
      </c>
      <c r="G198">
        <f>IFERROR(VLOOKUP(Tabla13[[#This Row],[SISMED]],TblDisponibilidad[],11,FALSE), 0)</f>
        <v>0</v>
      </c>
      <c r="H198">
        <f>IFERROR(VLOOKUP(Tabla13[[#This Row],[SISMED]],TblDisponibilidad[],12,FALSE), 0)</f>
        <v>0</v>
      </c>
      <c r="I198">
        <f>IFERROR(VLOOKUP(Tabla13[[#This Row],[SISMED]],TblDisponibilidad[],13,FALSE), 0)</f>
        <v>0</v>
      </c>
      <c r="J198">
        <f>IFERROR(VLOOKUP(Tabla13[[#This Row],[SISMED]],TblDisponibilidad[],14,FALSE), 0)</f>
        <v>0</v>
      </c>
      <c r="K198">
        <f>IFERROR(VLOOKUP(Tabla13[[#This Row],[SISMED]],TblDisponibilidad[],15,FALSE), 0)</f>
        <v>0</v>
      </c>
      <c r="L198">
        <f>IFERROR(VLOOKUP(Tabla13[[#This Row],[SISMED]],TblDisponibilidad[],16,FALSE), 0)</f>
        <v>0</v>
      </c>
      <c r="M198">
        <f>IFERROR(VLOOKUP(Tabla13[[#This Row],[SISMED]],TblDisponibilidad[],17,FALSE), 0)</f>
        <v>0</v>
      </c>
      <c r="N198">
        <f>IFERROR(VLOOKUP(Tabla13[[#This Row],[SISMED]],TblDisponibilidad[],18,FALSE), 0)</f>
        <v>0</v>
      </c>
      <c r="O198">
        <f>IFERROR(VLOOKUP(Tabla13[[#This Row],[SISMED]],TblDisponibilidad[],19,FALSE), 0)</f>
        <v>0</v>
      </c>
      <c r="P198">
        <f>IFERROR(VLOOKUP(Tabla13[[#This Row],[SISMED]],TblDisponibilidad[],20,FALSE), 0)</f>
        <v>0</v>
      </c>
      <c r="Q198">
        <f>IFERROR(VLOOKUP(Tabla13[[#This Row],[SISMED]],TblDisponibilidad[],21,FALSE), 0)</f>
        <v>0</v>
      </c>
      <c r="R198">
        <f>IFERROR(VLOOKUP(Tabla13[[#This Row],[SISMED]],TblDisponibilidad[],22,FALSE), 0)</f>
        <v>0</v>
      </c>
      <c r="S198" s="15">
        <f>IFERROR(VLOOKUP(Tabla13[[#This Row],[SISMED]],TblDisponibilidad[],23,FALSE), 0)</f>
        <v>0</v>
      </c>
    </row>
    <row r="199" spans="1:19" x14ac:dyDescent="0.3">
      <c r="A199" s="15" t="s">
        <v>229</v>
      </c>
      <c r="B199" t="str">
        <f>IFERROR(VLOOKUP(Tabla13[[#This Row],[SISMED]],TblDisponibilidad[],2,FALSE), "")</f>
        <v/>
      </c>
      <c r="C199">
        <f>IFERROR(VLOOKUP(Tabla13[[#This Row],[SISMED]],TblDisponibilidad[],7,FALSE), 0)</f>
        <v>0</v>
      </c>
      <c r="D199">
        <f>IFERROR(VLOOKUP(Tabla13[[#This Row],[SISMED]],TblDisponibilidad[],8,FALSE), 0)</f>
        <v>0</v>
      </c>
      <c r="E199">
        <f>IFERROR(VLOOKUP(Tabla13[[#This Row],[SISMED]],TblDisponibilidad[],9,FALSE), 0)</f>
        <v>0</v>
      </c>
      <c r="F199">
        <f>IFERROR(VLOOKUP(Tabla13[[#This Row],[SISMED]],TblDisponibilidad[],10,FALSE), 0)</f>
        <v>0</v>
      </c>
      <c r="G199">
        <f>IFERROR(VLOOKUP(Tabla13[[#This Row],[SISMED]],TblDisponibilidad[],11,FALSE), 0)</f>
        <v>0</v>
      </c>
      <c r="H199">
        <f>IFERROR(VLOOKUP(Tabla13[[#This Row],[SISMED]],TblDisponibilidad[],12,FALSE), 0)</f>
        <v>0</v>
      </c>
      <c r="I199">
        <f>IFERROR(VLOOKUP(Tabla13[[#This Row],[SISMED]],TblDisponibilidad[],13,FALSE), 0)</f>
        <v>0</v>
      </c>
      <c r="J199">
        <f>IFERROR(VLOOKUP(Tabla13[[#This Row],[SISMED]],TblDisponibilidad[],14,FALSE), 0)</f>
        <v>0</v>
      </c>
      <c r="K199">
        <f>IFERROR(VLOOKUP(Tabla13[[#This Row],[SISMED]],TblDisponibilidad[],15,FALSE), 0)</f>
        <v>0</v>
      </c>
      <c r="L199">
        <f>IFERROR(VLOOKUP(Tabla13[[#This Row],[SISMED]],TblDisponibilidad[],16,FALSE), 0)</f>
        <v>0</v>
      </c>
      <c r="M199">
        <f>IFERROR(VLOOKUP(Tabla13[[#This Row],[SISMED]],TblDisponibilidad[],17,FALSE), 0)</f>
        <v>0</v>
      </c>
      <c r="N199">
        <f>IFERROR(VLOOKUP(Tabla13[[#This Row],[SISMED]],TblDisponibilidad[],18,FALSE), 0)</f>
        <v>0</v>
      </c>
      <c r="O199">
        <f>IFERROR(VLOOKUP(Tabla13[[#This Row],[SISMED]],TblDisponibilidad[],19,FALSE), 0)</f>
        <v>0</v>
      </c>
      <c r="P199">
        <f>IFERROR(VLOOKUP(Tabla13[[#This Row],[SISMED]],TblDisponibilidad[],20,FALSE), 0)</f>
        <v>0</v>
      </c>
      <c r="Q199">
        <f>IFERROR(VLOOKUP(Tabla13[[#This Row],[SISMED]],TblDisponibilidad[],21,FALSE), 0)</f>
        <v>0</v>
      </c>
      <c r="R199">
        <f>IFERROR(VLOOKUP(Tabla13[[#This Row],[SISMED]],TblDisponibilidad[],22,FALSE), 0)</f>
        <v>0</v>
      </c>
      <c r="S199" s="15">
        <f>IFERROR(VLOOKUP(Tabla13[[#This Row],[SISMED]],TblDisponibilidad[],23,FALSE), 0)</f>
        <v>0</v>
      </c>
    </row>
    <row r="200" spans="1:19" x14ac:dyDescent="0.3">
      <c r="A200" s="15" t="s">
        <v>230</v>
      </c>
      <c r="B200" t="str">
        <f>IFERROR(VLOOKUP(Tabla13[[#This Row],[SISMED]],TblDisponibilidad[],2,FALSE), "")</f>
        <v/>
      </c>
      <c r="C200">
        <f>IFERROR(VLOOKUP(Tabla13[[#This Row],[SISMED]],TblDisponibilidad[],7,FALSE), 0)</f>
        <v>0</v>
      </c>
      <c r="D200">
        <f>IFERROR(VLOOKUP(Tabla13[[#This Row],[SISMED]],TblDisponibilidad[],8,FALSE), 0)</f>
        <v>0</v>
      </c>
      <c r="E200">
        <f>IFERROR(VLOOKUP(Tabla13[[#This Row],[SISMED]],TblDisponibilidad[],9,FALSE), 0)</f>
        <v>0</v>
      </c>
      <c r="F200">
        <f>IFERROR(VLOOKUP(Tabla13[[#This Row],[SISMED]],TblDisponibilidad[],10,FALSE), 0)</f>
        <v>0</v>
      </c>
      <c r="G200">
        <f>IFERROR(VLOOKUP(Tabla13[[#This Row],[SISMED]],TblDisponibilidad[],11,FALSE), 0)</f>
        <v>0</v>
      </c>
      <c r="H200">
        <f>IFERROR(VLOOKUP(Tabla13[[#This Row],[SISMED]],TblDisponibilidad[],12,FALSE), 0)</f>
        <v>0</v>
      </c>
      <c r="I200">
        <f>IFERROR(VLOOKUP(Tabla13[[#This Row],[SISMED]],TblDisponibilidad[],13,FALSE), 0)</f>
        <v>0</v>
      </c>
      <c r="J200">
        <f>IFERROR(VLOOKUP(Tabla13[[#This Row],[SISMED]],TblDisponibilidad[],14,FALSE), 0)</f>
        <v>0</v>
      </c>
      <c r="K200">
        <f>IFERROR(VLOOKUP(Tabla13[[#This Row],[SISMED]],TblDisponibilidad[],15,FALSE), 0)</f>
        <v>0</v>
      </c>
      <c r="L200">
        <f>IFERROR(VLOOKUP(Tabla13[[#This Row],[SISMED]],TblDisponibilidad[],16,FALSE), 0)</f>
        <v>0</v>
      </c>
      <c r="M200">
        <f>IFERROR(VLOOKUP(Tabla13[[#This Row],[SISMED]],TblDisponibilidad[],17,FALSE), 0)</f>
        <v>0</v>
      </c>
      <c r="N200">
        <f>IFERROR(VLOOKUP(Tabla13[[#This Row],[SISMED]],TblDisponibilidad[],18,FALSE), 0)</f>
        <v>0</v>
      </c>
      <c r="O200">
        <f>IFERROR(VLOOKUP(Tabla13[[#This Row],[SISMED]],TblDisponibilidad[],19,FALSE), 0)</f>
        <v>0</v>
      </c>
      <c r="P200">
        <f>IFERROR(VLOOKUP(Tabla13[[#This Row],[SISMED]],TblDisponibilidad[],20,FALSE), 0)</f>
        <v>0</v>
      </c>
      <c r="Q200">
        <f>IFERROR(VLOOKUP(Tabla13[[#This Row],[SISMED]],TblDisponibilidad[],21,FALSE), 0)</f>
        <v>0</v>
      </c>
      <c r="R200">
        <f>IFERROR(VLOOKUP(Tabla13[[#This Row],[SISMED]],TblDisponibilidad[],22,FALSE), 0)</f>
        <v>0</v>
      </c>
      <c r="S200" s="15">
        <f>IFERROR(VLOOKUP(Tabla13[[#This Row],[SISMED]],TblDisponibilidad[],23,FALSE), 0)</f>
        <v>0</v>
      </c>
    </row>
    <row r="201" spans="1:19" x14ac:dyDescent="0.3">
      <c r="A201" s="15" t="s">
        <v>231</v>
      </c>
      <c r="B201" t="str">
        <f>IFERROR(VLOOKUP(Tabla13[[#This Row],[SISMED]],TblDisponibilidad[],2,FALSE), "")</f>
        <v/>
      </c>
      <c r="C201">
        <f>IFERROR(VLOOKUP(Tabla13[[#This Row],[SISMED]],TblDisponibilidad[],7,FALSE), 0)</f>
        <v>0</v>
      </c>
      <c r="D201">
        <f>IFERROR(VLOOKUP(Tabla13[[#This Row],[SISMED]],TblDisponibilidad[],8,FALSE), 0)</f>
        <v>0</v>
      </c>
      <c r="E201">
        <f>IFERROR(VLOOKUP(Tabla13[[#This Row],[SISMED]],TblDisponibilidad[],9,FALSE), 0)</f>
        <v>0</v>
      </c>
      <c r="F201">
        <f>IFERROR(VLOOKUP(Tabla13[[#This Row],[SISMED]],TblDisponibilidad[],10,FALSE), 0)</f>
        <v>0</v>
      </c>
      <c r="G201">
        <f>IFERROR(VLOOKUP(Tabla13[[#This Row],[SISMED]],TblDisponibilidad[],11,FALSE), 0)</f>
        <v>0</v>
      </c>
      <c r="H201">
        <f>IFERROR(VLOOKUP(Tabla13[[#This Row],[SISMED]],TblDisponibilidad[],12,FALSE), 0)</f>
        <v>0</v>
      </c>
      <c r="I201">
        <f>IFERROR(VLOOKUP(Tabla13[[#This Row],[SISMED]],TblDisponibilidad[],13,FALSE), 0)</f>
        <v>0</v>
      </c>
      <c r="J201">
        <f>IFERROR(VLOOKUP(Tabla13[[#This Row],[SISMED]],TblDisponibilidad[],14,FALSE), 0)</f>
        <v>0</v>
      </c>
      <c r="K201">
        <f>IFERROR(VLOOKUP(Tabla13[[#This Row],[SISMED]],TblDisponibilidad[],15,FALSE), 0)</f>
        <v>0</v>
      </c>
      <c r="L201">
        <f>IFERROR(VLOOKUP(Tabla13[[#This Row],[SISMED]],TblDisponibilidad[],16,FALSE), 0)</f>
        <v>0</v>
      </c>
      <c r="M201">
        <f>IFERROR(VLOOKUP(Tabla13[[#This Row],[SISMED]],TblDisponibilidad[],17,FALSE), 0)</f>
        <v>0</v>
      </c>
      <c r="N201">
        <f>IFERROR(VLOOKUP(Tabla13[[#This Row],[SISMED]],TblDisponibilidad[],18,FALSE), 0)</f>
        <v>0</v>
      </c>
      <c r="O201">
        <f>IFERROR(VLOOKUP(Tabla13[[#This Row],[SISMED]],TblDisponibilidad[],19,FALSE), 0)</f>
        <v>0</v>
      </c>
      <c r="P201">
        <f>IFERROR(VLOOKUP(Tabla13[[#This Row],[SISMED]],TblDisponibilidad[],20,FALSE), 0)</f>
        <v>0</v>
      </c>
      <c r="Q201">
        <f>IFERROR(VLOOKUP(Tabla13[[#This Row],[SISMED]],TblDisponibilidad[],21,FALSE), 0)</f>
        <v>0</v>
      </c>
      <c r="R201">
        <f>IFERROR(VLOOKUP(Tabla13[[#This Row],[SISMED]],TblDisponibilidad[],22,FALSE), 0)</f>
        <v>0</v>
      </c>
      <c r="S201" s="15">
        <f>IFERROR(VLOOKUP(Tabla13[[#This Row],[SISMED]],TblDisponibilidad[],23,FALSE), 0)</f>
        <v>0</v>
      </c>
    </row>
    <row r="202" spans="1:19" x14ac:dyDescent="0.3">
      <c r="A202" s="15" t="s">
        <v>232</v>
      </c>
      <c r="B202" t="str">
        <f>IFERROR(VLOOKUP(Tabla13[[#This Row],[SISMED]],TblDisponibilidad[],2,FALSE), "")</f>
        <v/>
      </c>
      <c r="C202">
        <f>IFERROR(VLOOKUP(Tabla13[[#This Row],[SISMED]],TblDisponibilidad[],7,FALSE), 0)</f>
        <v>0</v>
      </c>
      <c r="D202">
        <f>IFERROR(VLOOKUP(Tabla13[[#This Row],[SISMED]],TblDisponibilidad[],8,FALSE), 0)</f>
        <v>0</v>
      </c>
      <c r="E202">
        <f>IFERROR(VLOOKUP(Tabla13[[#This Row],[SISMED]],TblDisponibilidad[],9,FALSE), 0)</f>
        <v>0</v>
      </c>
      <c r="F202">
        <f>IFERROR(VLOOKUP(Tabla13[[#This Row],[SISMED]],TblDisponibilidad[],10,FALSE), 0)</f>
        <v>0</v>
      </c>
      <c r="G202">
        <f>IFERROR(VLOOKUP(Tabla13[[#This Row],[SISMED]],TblDisponibilidad[],11,FALSE), 0)</f>
        <v>0</v>
      </c>
      <c r="H202">
        <f>IFERROR(VLOOKUP(Tabla13[[#This Row],[SISMED]],TblDisponibilidad[],12,FALSE), 0)</f>
        <v>0</v>
      </c>
      <c r="I202">
        <f>IFERROR(VLOOKUP(Tabla13[[#This Row],[SISMED]],TblDisponibilidad[],13,FALSE), 0)</f>
        <v>0</v>
      </c>
      <c r="J202">
        <f>IFERROR(VLOOKUP(Tabla13[[#This Row],[SISMED]],TblDisponibilidad[],14,FALSE), 0)</f>
        <v>0</v>
      </c>
      <c r="K202">
        <f>IFERROR(VLOOKUP(Tabla13[[#This Row],[SISMED]],TblDisponibilidad[],15,FALSE), 0)</f>
        <v>0</v>
      </c>
      <c r="L202">
        <f>IFERROR(VLOOKUP(Tabla13[[#This Row],[SISMED]],TblDisponibilidad[],16,FALSE), 0)</f>
        <v>0</v>
      </c>
      <c r="M202">
        <f>IFERROR(VLOOKUP(Tabla13[[#This Row],[SISMED]],TblDisponibilidad[],17,FALSE), 0)</f>
        <v>0</v>
      </c>
      <c r="N202">
        <f>IFERROR(VLOOKUP(Tabla13[[#This Row],[SISMED]],TblDisponibilidad[],18,FALSE), 0)</f>
        <v>0</v>
      </c>
      <c r="O202">
        <f>IFERROR(VLOOKUP(Tabla13[[#This Row],[SISMED]],TblDisponibilidad[],19,FALSE), 0)</f>
        <v>0</v>
      </c>
      <c r="P202">
        <f>IFERROR(VLOOKUP(Tabla13[[#This Row],[SISMED]],TblDisponibilidad[],20,FALSE), 0)</f>
        <v>0</v>
      </c>
      <c r="Q202">
        <f>IFERROR(VLOOKUP(Tabla13[[#This Row],[SISMED]],TblDisponibilidad[],21,FALSE), 0)</f>
        <v>0</v>
      </c>
      <c r="R202">
        <f>IFERROR(VLOOKUP(Tabla13[[#This Row],[SISMED]],TblDisponibilidad[],22,FALSE), 0)</f>
        <v>0</v>
      </c>
      <c r="S202" s="15">
        <f>IFERROR(VLOOKUP(Tabla13[[#This Row],[SISMED]],TblDisponibilidad[],23,FALSE), 0)</f>
        <v>0</v>
      </c>
    </row>
    <row r="203" spans="1:19" x14ac:dyDescent="0.3">
      <c r="A203" s="15" t="s">
        <v>233</v>
      </c>
      <c r="B203" t="str">
        <f>IFERROR(VLOOKUP(Tabla13[[#This Row],[SISMED]],TblDisponibilidad[],2,FALSE), "")</f>
        <v/>
      </c>
      <c r="C203">
        <f>IFERROR(VLOOKUP(Tabla13[[#This Row],[SISMED]],TblDisponibilidad[],7,FALSE), 0)</f>
        <v>0</v>
      </c>
      <c r="D203">
        <f>IFERROR(VLOOKUP(Tabla13[[#This Row],[SISMED]],TblDisponibilidad[],8,FALSE), 0)</f>
        <v>0</v>
      </c>
      <c r="E203">
        <f>IFERROR(VLOOKUP(Tabla13[[#This Row],[SISMED]],TblDisponibilidad[],9,FALSE), 0)</f>
        <v>0</v>
      </c>
      <c r="F203">
        <f>IFERROR(VLOOKUP(Tabla13[[#This Row],[SISMED]],TblDisponibilidad[],10,FALSE), 0)</f>
        <v>0</v>
      </c>
      <c r="G203">
        <f>IFERROR(VLOOKUP(Tabla13[[#This Row],[SISMED]],TblDisponibilidad[],11,FALSE), 0)</f>
        <v>0</v>
      </c>
      <c r="H203">
        <f>IFERROR(VLOOKUP(Tabla13[[#This Row],[SISMED]],TblDisponibilidad[],12,FALSE), 0)</f>
        <v>0</v>
      </c>
      <c r="I203">
        <f>IFERROR(VLOOKUP(Tabla13[[#This Row],[SISMED]],TblDisponibilidad[],13,FALSE), 0)</f>
        <v>0</v>
      </c>
      <c r="J203">
        <f>IFERROR(VLOOKUP(Tabla13[[#This Row],[SISMED]],TblDisponibilidad[],14,FALSE), 0)</f>
        <v>0</v>
      </c>
      <c r="K203">
        <f>IFERROR(VLOOKUP(Tabla13[[#This Row],[SISMED]],TblDisponibilidad[],15,FALSE), 0)</f>
        <v>0</v>
      </c>
      <c r="L203">
        <f>IFERROR(VLOOKUP(Tabla13[[#This Row],[SISMED]],TblDisponibilidad[],16,FALSE), 0)</f>
        <v>0</v>
      </c>
      <c r="M203">
        <f>IFERROR(VLOOKUP(Tabla13[[#This Row],[SISMED]],TblDisponibilidad[],17,FALSE), 0)</f>
        <v>0</v>
      </c>
      <c r="N203">
        <f>IFERROR(VLOOKUP(Tabla13[[#This Row],[SISMED]],TblDisponibilidad[],18,FALSE), 0)</f>
        <v>0</v>
      </c>
      <c r="O203">
        <f>IFERROR(VLOOKUP(Tabla13[[#This Row],[SISMED]],TblDisponibilidad[],19,FALSE), 0)</f>
        <v>0</v>
      </c>
      <c r="P203">
        <f>IFERROR(VLOOKUP(Tabla13[[#This Row],[SISMED]],TblDisponibilidad[],20,FALSE), 0)</f>
        <v>0</v>
      </c>
      <c r="Q203">
        <f>IFERROR(VLOOKUP(Tabla13[[#This Row],[SISMED]],TblDisponibilidad[],21,FALSE), 0)</f>
        <v>0</v>
      </c>
      <c r="R203">
        <f>IFERROR(VLOOKUP(Tabla13[[#This Row],[SISMED]],TblDisponibilidad[],22,FALSE), 0)</f>
        <v>0</v>
      </c>
      <c r="S203" s="15">
        <f>IFERROR(VLOOKUP(Tabla13[[#This Row],[SISMED]],TblDisponibilidad[],23,FALSE), 0)</f>
        <v>0</v>
      </c>
    </row>
    <row r="204" spans="1:19" x14ac:dyDescent="0.3">
      <c r="A204" s="15" t="s">
        <v>234</v>
      </c>
      <c r="B204" t="str">
        <f>IFERROR(VLOOKUP(Tabla13[[#This Row],[SISMED]],TblDisponibilidad[],2,FALSE), "")</f>
        <v/>
      </c>
      <c r="C204">
        <f>IFERROR(VLOOKUP(Tabla13[[#This Row],[SISMED]],TblDisponibilidad[],7,FALSE), 0)</f>
        <v>0</v>
      </c>
      <c r="D204">
        <f>IFERROR(VLOOKUP(Tabla13[[#This Row],[SISMED]],TblDisponibilidad[],8,FALSE), 0)</f>
        <v>0</v>
      </c>
      <c r="E204">
        <f>IFERROR(VLOOKUP(Tabla13[[#This Row],[SISMED]],TblDisponibilidad[],9,FALSE), 0)</f>
        <v>0</v>
      </c>
      <c r="F204">
        <f>IFERROR(VLOOKUP(Tabla13[[#This Row],[SISMED]],TblDisponibilidad[],10,FALSE), 0)</f>
        <v>0</v>
      </c>
      <c r="G204">
        <f>IFERROR(VLOOKUP(Tabla13[[#This Row],[SISMED]],TblDisponibilidad[],11,FALSE), 0)</f>
        <v>0</v>
      </c>
      <c r="H204">
        <f>IFERROR(VLOOKUP(Tabla13[[#This Row],[SISMED]],TblDisponibilidad[],12,FALSE), 0)</f>
        <v>0</v>
      </c>
      <c r="I204">
        <f>IFERROR(VLOOKUP(Tabla13[[#This Row],[SISMED]],TblDisponibilidad[],13,FALSE), 0)</f>
        <v>0</v>
      </c>
      <c r="J204">
        <f>IFERROR(VLOOKUP(Tabla13[[#This Row],[SISMED]],TblDisponibilidad[],14,FALSE), 0)</f>
        <v>0</v>
      </c>
      <c r="K204">
        <f>IFERROR(VLOOKUP(Tabla13[[#This Row],[SISMED]],TblDisponibilidad[],15,FALSE), 0)</f>
        <v>0</v>
      </c>
      <c r="L204">
        <f>IFERROR(VLOOKUP(Tabla13[[#This Row],[SISMED]],TblDisponibilidad[],16,FALSE), 0)</f>
        <v>0</v>
      </c>
      <c r="M204">
        <f>IFERROR(VLOOKUP(Tabla13[[#This Row],[SISMED]],TblDisponibilidad[],17,FALSE), 0)</f>
        <v>0</v>
      </c>
      <c r="N204">
        <f>IFERROR(VLOOKUP(Tabla13[[#This Row],[SISMED]],TblDisponibilidad[],18,FALSE), 0)</f>
        <v>0</v>
      </c>
      <c r="O204">
        <f>IFERROR(VLOOKUP(Tabla13[[#This Row],[SISMED]],TblDisponibilidad[],19,FALSE), 0)</f>
        <v>0</v>
      </c>
      <c r="P204">
        <f>IFERROR(VLOOKUP(Tabla13[[#This Row],[SISMED]],TblDisponibilidad[],20,FALSE), 0)</f>
        <v>0</v>
      </c>
      <c r="Q204">
        <f>IFERROR(VLOOKUP(Tabla13[[#This Row],[SISMED]],TblDisponibilidad[],21,FALSE), 0)</f>
        <v>0</v>
      </c>
      <c r="R204">
        <f>IFERROR(VLOOKUP(Tabla13[[#This Row],[SISMED]],TblDisponibilidad[],22,FALSE), 0)</f>
        <v>0</v>
      </c>
      <c r="S204" s="15">
        <f>IFERROR(VLOOKUP(Tabla13[[#This Row],[SISMED]],TblDisponibilidad[],23,FALSE), 0)</f>
        <v>0</v>
      </c>
    </row>
    <row r="205" spans="1:19" x14ac:dyDescent="0.3">
      <c r="A205" s="15" t="s">
        <v>235</v>
      </c>
      <c r="B205" t="str">
        <f>IFERROR(VLOOKUP(Tabla13[[#This Row],[SISMED]],TblDisponibilidad[],2,FALSE), "")</f>
        <v/>
      </c>
      <c r="C205">
        <f>IFERROR(VLOOKUP(Tabla13[[#This Row],[SISMED]],TblDisponibilidad[],7,FALSE), 0)</f>
        <v>0</v>
      </c>
      <c r="D205">
        <f>IFERROR(VLOOKUP(Tabla13[[#This Row],[SISMED]],TblDisponibilidad[],8,FALSE), 0)</f>
        <v>0</v>
      </c>
      <c r="E205">
        <f>IFERROR(VLOOKUP(Tabla13[[#This Row],[SISMED]],TblDisponibilidad[],9,FALSE), 0)</f>
        <v>0</v>
      </c>
      <c r="F205">
        <f>IFERROR(VLOOKUP(Tabla13[[#This Row],[SISMED]],TblDisponibilidad[],10,FALSE), 0)</f>
        <v>0</v>
      </c>
      <c r="G205">
        <f>IFERROR(VLOOKUP(Tabla13[[#This Row],[SISMED]],TblDisponibilidad[],11,FALSE), 0)</f>
        <v>0</v>
      </c>
      <c r="H205">
        <f>IFERROR(VLOOKUP(Tabla13[[#This Row],[SISMED]],TblDisponibilidad[],12,FALSE), 0)</f>
        <v>0</v>
      </c>
      <c r="I205">
        <f>IFERROR(VLOOKUP(Tabla13[[#This Row],[SISMED]],TblDisponibilidad[],13,FALSE), 0)</f>
        <v>0</v>
      </c>
      <c r="J205">
        <f>IFERROR(VLOOKUP(Tabla13[[#This Row],[SISMED]],TblDisponibilidad[],14,FALSE), 0)</f>
        <v>0</v>
      </c>
      <c r="K205">
        <f>IFERROR(VLOOKUP(Tabla13[[#This Row],[SISMED]],TblDisponibilidad[],15,FALSE), 0)</f>
        <v>0</v>
      </c>
      <c r="L205">
        <f>IFERROR(VLOOKUP(Tabla13[[#This Row],[SISMED]],TblDisponibilidad[],16,FALSE), 0)</f>
        <v>0</v>
      </c>
      <c r="M205">
        <f>IFERROR(VLOOKUP(Tabla13[[#This Row],[SISMED]],TblDisponibilidad[],17,FALSE), 0)</f>
        <v>0</v>
      </c>
      <c r="N205">
        <f>IFERROR(VLOOKUP(Tabla13[[#This Row],[SISMED]],TblDisponibilidad[],18,FALSE), 0)</f>
        <v>0</v>
      </c>
      <c r="O205">
        <f>IFERROR(VLOOKUP(Tabla13[[#This Row],[SISMED]],TblDisponibilidad[],19,FALSE), 0)</f>
        <v>0</v>
      </c>
      <c r="P205">
        <f>IFERROR(VLOOKUP(Tabla13[[#This Row],[SISMED]],TblDisponibilidad[],20,FALSE), 0)</f>
        <v>0</v>
      </c>
      <c r="Q205">
        <f>IFERROR(VLOOKUP(Tabla13[[#This Row],[SISMED]],TblDisponibilidad[],21,FALSE), 0)</f>
        <v>0</v>
      </c>
      <c r="R205">
        <f>IFERROR(VLOOKUP(Tabla13[[#This Row],[SISMED]],TblDisponibilidad[],22,FALSE), 0)</f>
        <v>0</v>
      </c>
      <c r="S205" s="15">
        <f>IFERROR(VLOOKUP(Tabla13[[#This Row],[SISMED]],TblDisponibilidad[],23,FALSE), 0)</f>
        <v>0</v>
      </c>
    </row>
    <row r="206" spans="1:19" x14ac:dyDescent="0.3">
      <c r="A206" s="15" t="s">
        <v>236</v>
      </c>
      <c r="B206" t="str">
        <f>IFERROR(VLOOKUP(Tabla13[[#This Row],[SISMED]],TblDisponibilidad[],2,FALSE), "")</f>
        <v/>
      </c>
      <c r="C206">
        <f>IFERROR(VLOOKUP(Tabla13[[#This Row],[SISMED]],TblDisponibilidad[],7,FALSE), 0)</f>
        <v>0</v>
      </c>
      <c r="D206">
        <f>IFERROR(VLOOKUP(Tabla13[[#This Row],[SISMED]],TblDisponibilidad[],8,FALSE), 0)</f>
        <v>0</v>
      </c>
      <c r="E206">
        <f>IFERROR(VLOOKUP(Tabla13[[#This Row],[SISMED]],TblDisponibilidad[],9,FALSE), 0)</f>
        <v>0</v>
      </c>
      <c r="F206">
        <f>IFERROR(VLOOKUP(Tabla13[[#This Row],[SISMED]],TblDisponibilidad[],10,FALSE), 0)</f>
        <v>0</v>
      </c>
      <c r="G206">
        <f>IFERROR(VLOOKUP(Tabla13[[#This Row],[SISMED]],TblDisponibilidad[],11,FALSE), 0)</f>
        <v>0</v>
      </c>
      <c r="H206">
        <f>IFERROR(VLOOKUP(Tabla13[[#This Row],[SISMED]],TblDisponibilidad[],12,FALSE), 0)</f>
        <v>0</v>
      </c>
      <c r="I206">
        <f>IFERROR(VLOOKUP(Tabla13[[#This Row],[SISMED]],TblDisponibilidad[],13,FALSE), 0)</f>
        <v>0</v>
      </c>
      <c r="J206">
        <f>IFERROR(VLOOKUP(Tabla13[[#This Row],[SISMED]],TblDisponibilidad[],14,FALSE), 0)</f>
        <v>0</v>
      </c>
      <c r="K206">
        <f>IFERROR(VLOOKUP(Tabla13[[#This Row],[SISMED]],TblDisponibilidad[],15,FALSE), 0)</f>
        <v>0</v>
      </c>
      <c r="L206">
        <f>IFERROR(VLOOKUP(Tabla13[[#This Row],[SISMED]],TblDisponibilidad[],16,FALSE), 0)</f>
        <v>0</v>
      </c>
      <c r="M206">
        <f>IFERROR(VLOOKUP(Tabla13[[#This Row],[SISMED]],TblDisponibilidad[],17,FALSE), 0)</f>
        <v>0</v>
      </c>
      <c r="N206">
        <f>IFERROR(VLOOKUP(Tabla13[[#This Row],[SISMED]],TblDisponibilidad[],18,FALSE), 0)</f>
        <v>0</v>
      </c>
      <c r="O206">
        <f>IFERROR(VLOOKUP(Tabla13[[#This Row],[SISMED]],TblDisponibilidad[],19,FALSE), 0)</f>
        <v>0</v>
      </c>
      <c r="P206">
        <f>IFERROR(VLOOKUP(Tabla13[[#This Row],[SISMED]],TblDisponibilidad[],20,FALSE), 0)</f>
        <v>0</v>
      </c>
      <c r="Q206">
        <f>IFERROR(VLOOKUP(Tabla13[[#This Row],[SISMED]],TblDisponibilidad[],21,FALSE), 0)</f>
        <v>0</v>
      </c>
      <c r="R206">
        <f>IFERROR(VLOOKUP(Tabla13[[#This Row],[SISMED]],TblDisponibilidad[],22,FALSE), 0)</f>
        <v>0</v>
      </c>
      <c r="S206" s="15">
        <f>IFERROR(VLOOKUP(Tabla13[[#This Row],[SISMED]],TblDisponibilidad[],23,FALSE), 0)</f>
        <v>0</v>
      </c>
    </row>
    <row r="207" spans="1:19" x14ac:dyDescent="0.3">
      <c r="A207" s="15" t="s">
        <v>237</v>
      </c>
      <c r="B207" t="str">
        <f>IFERROR(VLOOKUP(Tabla13[[#This Row],[SISMED]],TblDisponibilidad[],2,FALSE), "")</f>
        <v/>
      </c>
      <c r="C207">
        <f>IFERROR(VLOOKUP(Tabla13[[#This Row],[SISMED]],TblDisponibilidad[],7,FALSE), 0)</f>
        <v>0</v>
      </c>
      <c r="D207">
        <f>IFERROR(VLOOKUP(Tabla13[[#This Row],[SISMED]],TblDisponibilidad[],8,FALSE), 0)</f>
        <v>0</v>
      </c>
      <c r="E207">
        <f>IFERROR(VLOOKUP(Tabla13[[#This Row],[SISMED]],TblDisponibilidad[],9,FALSE), 0)</f>
        <v>0</v>
      </c>
      <c r="F207">
        <f>IFERROR(VLOOKUP(Tabla13[[#This Row],[SISMED]],TblDisponibilidad[],10,FALSE), 0)</f>
        <v>0</v>
      </c>
      <c r="G207">
        <f>IFERROR(VLOOKUP(Tabla13[[#This Row],[SISMED]],TblDisponibilidad[],11,FALSE), 0)</f>
        <v>0</v>
      </c>
      <c r="H207">
        <f>IFERROR(VLOOKUP(Tabla13[[#This Row],[SISMED]],TblDisponibilidad[],12,FALSE), 0)</f>
        <v>0</v>
      </c>
      <c r="I207">
        <f>IFERROR(VLOOKUP(Tabla13[[#This Row],[SISMED]],TblDisponibilidad[],13,FALSE), 0)</f>
        <v>0</v>
      </c>
      <c r="J207">
        <f>IFERROR(VLOOKUP(Tabla13[[#This Row],[SISMED]],TblDisponibilidad[],14,FALSE), 0)</f>
        <v>0</v>
      </c>
      <c r="K207">
        <f>IFERROR(VLOOKUP(Tabla13[[#This Row],[SISMED]],TblDisponibilidad[],15,FALSE), 0)</f>
        <v>0</v>
      </c>
      <c r="L207">
        <f>IFERROR(VLOOKUP(Tabla13[[#This Row],[SISMED]],TblDisponibilidad[],16,FALSE), 0)</f>
        <v>0</v>
      </c>
      <c r="M207">
        <f>IFERROR(VLOOKUP(Tabla13[[#This Row],[SISMED]],TblDisponibilidad[],17,FALSE), 0)</f>
        <v>0</v>
      </c>
      <c r="N207">
        <f>IFERROR(VLOOKUP(Tabla13[[#This Row],[SISMED]],TblDisponibilidad[],18,FALSE), 0)</f>
        <v>0</v>
      </c>
      <c r="O207">
        <f>IFERROR(VLOOKUP(Tabla13[[#This Row],[SISMED]],TblDisponibilidad[],19,FALSE), 0)</f>
        <v>0</v>
      </c>
      <c r="P207">
        <f>IFERROR(VLOOKUP(Tabla13[[#This Row],[SISMED]],TblDisponibilidad[],20,FALSE), 0)</f>
        <v>0</v>
      </c>
      <c r="Q207">
        <f>IFERROR(VLOOKUP(Tabla13[[#This Row],[SISMED]],TblDisponibilidad[],21,FALSE), 0)</f>
        <v>0</v>
      </c>
      <c r="R207">
        <f>IFERROR(VLOOKUP(Tabla13[[#This Row],[SISMED]],TblDisponibilidad[],22,FALSE), 0)</f>
        <v>0</v>
      </c>
      <c r="S207" s="15">
        <f>IFERROR(VLOOKUP(Tabla13[[#This Row],[SISMED]],TblDisponibilidad[],23,FALSE), 0)</f>
        <v>0</v>
      </c>
    </row>
    <row r="208" spans="1:19" x14ac:dyDescent="0.3">
      <c r="A208" s="15" t="s">
        <v>238</v>
      </c>
      <c r="B208" t="str">
        <f>IFERROR(VLOOKUP(Tabla13[[#This Row],[SISMED]],TblDisponibilidad[],2,FALSE), "")</f>
        <v/>
      </c>
      <c r="C208">
        <f>IFERROR(VLOOKUP(Tabla13[[#This Row],[SISMED]],TblDisponibilidad[],7,FALSE), 0)</f>
        <v>0</v>
      </c>
      <c r="D208">
        <f>IFERROR(VLOOKUP(Tabla13[[#This Row],[SISMED]],TblDisponibilidad[],8,FALSE), 0)</f>
        <v>0</v>
      </c>
      <c r="E208">
        <f>IFERROR(VLOOKUP(Tabla13[[#This Row],[SISMED]],TblDisponibilidad[],9,FALSE), 0)</f>
        <v>0</v>
      </c>
      <c r="F208">
        <f>IFERROR(VLOOKUP(Tabla13[[#This Row],[SISMED]],TblDisponibilidad[],10,FALSE), 0)</f>
        <v>0</v>
      </c>
      <c r="G208">
        <f>IFERROR(VLOOKUP(Tabla13[[#This Row],[SISMED]],TblDisponibilidad[],11,FALSE), 0)</f>
        <v>0</v>
      </c>
      <c r="H208">
        <f>IFERROR(VLOOKUP(Tabla13[[#This Row],[SISMED]],TblDisponibilidad[],12,FALSE), 0)</f>
        <v>0</v>
      </c>
      <c r="I208">
        <f>IFERROR(VLOOKUP(Tabla13[[#This Row],[SISMED]],TblDisponibilidad[],13,FALSE), 0)</f>
        <v>0</v>
      </c>
      <c r="J208">
        <f>IFERROR(VLOOKUP(Tabla13[[#This Row],[SISMED]],TblDisponibilidad[],14,FALSE), 0)</f>
        <v>0</v>
      </c>
      <c r="K208">
        <f>IFERROR(VLOOKUP(Tabla13[[#This Row],[SISMED]],TblDisponibilidad[],15,FALSE), 0)</f>
        <v>0</v>
      </c>
      <c r="L208">
        <f>IFERROR(VLOOKUP(Tabla13[[#This Row],[SISMED]],TblDisponibilidad[],16,FALSE), 0)</f>
        <v>0</v>
      </c>
      <c r="M208">
        <f>IFERROR(VLOOKUP(Tabla13[[#This Row],[SISMED]],TblDisponibilidad[],17,FALSE), 0)</f>
        <v>0</v>
      </c>
      <c r="N208">
        <f>IFERROR(VLOOKUP(Tabla13[[#This Row],[SISMED]],TblDisponibilidad[],18,FALSE), 0)</f>
        <v>0</v>
      </c>
      <c r="O208">
        <f>IFERROR(VLOOKUP(Tabla13[[#This Row],[SISMED]],TblDisponibilidad[],19,FALSE), 0)</f>
        <v>0</v>
      </c>
      <c r="P208">
        <f>IFERROR(VLOOKUP(Tabla13[[#This Row],[SISMED]],TblDisponibilidad[],20,FALSE), 0)</f>
        <v>0</v>
      </c>
      <c r="Q208">
        <f>IFERROR(VLOOKUP(Tabla13[[#This Row],[SISMED]],TblDisponibilidad[],21,FALSE), 0)</f>
        <v>0</v>
      </c>
      <c r="R208">
        <f>IFERROR(VLOOKUP(Tabla13[[#This Row],[SISMED]],TblDisponibilidad[],22,FALSE), 0)</f>
        <v>0</v>
      </c>
      <c r="S208" s="15">
        <f>IFERROR(VLOOKUP(Tabla13[[#This Row],[SISMED]],TblDisponibilidad[],23,FALSE), 0)</f>
        <v>0</v>
      </c>
    </row>
    <row r="209" spans="1:19" x14ac:dyDescent="0.3">
      <c r="A209" s="15" t="s">
        <v>239</v>
      </c>
      <c r="B209" t="str">
        <f>IFERROR(VLOOKUP(Tabla13[[#This Row],[SISMED]],TblDisponibilidad[],2,FALSE), "")</f>
        <v/>
      </c>
      <c r="C209">
        <f>IFERROR(VLOOKUP(Tabla13[[#This Row],[SISMED]],TblDisponibilidad[],7,FALSE), 0)</f>
        <v>0</v>
      </c>
      <c r="D209">
        <f>IFERROR(VLOOKUP(Tabla13[[#This Row],[SISMED]],TblDisponibilidad[],8,FALSE), 0)</f>
        <v>0</v>
      </c>
      <c r="E209">
        <f>IFERROR(VLOOKUP(Tabla13[[#This Row],[SISMED]],TblDisponibilidad[],9,FALSE), 0)</f>
        <v>0</v>
      </c>
      <c r="F209">
        <f>IFERROR(VLOOKUP(Tabla13[[#This Row],[SISMED]],TblDisponibilidad[],10,FALSE), 0)</f>
        <v>0</v>
      </c>
      <c r="G209">
        <f>IFERROR(VLOOKUP(Tabla13[[#This Row],[SISMED]],TblDisponibilidad[],11,FALSE), 0)</f>
        <v>0</v>
      </c>
      <c r="H209">
        <f>IFERROR(VLOOKUP(Tabla13[[#This Row],[SISMED]],TblDisponibilidad[],12,FALSE), 0)</f>
        <v>0</v>
      </c>
      <c r="I209">
        <f>IFERROR(VLOOKUP(Tabla13[[#This Row],[SISMED]],TblDisponibilidad[],13,FALSE), 0)</f>
        <v>0</v>
      </c>
      <c r="J209">
        <f>IFERROR(VLOOKUP(Tabla13[[#This Row],[SISMED]],TblDisponibilidad[],14,FALSE), 0)</f>
        <v>0</v>
      </c>
      <c r="K209">
        <f>IFERROR(VLOOKUP(Tabla13[[#This Row],[SISMED]],TblDisponibilidad[],15,FALSE), 0)</f>
        <v>0</v>
      </c>
      <c r="L209">
        <f>IFERROR(VLOOKUP(Tabla13[[#This Row],[SISMED]],TblDisponibilidad[],16,FALSE), 0)</f>
        <v>0</v>
      </c>
      <c r="M209">
        <f>IFERROR(VLOOKUP(Tabla13[[#This Row],[SISMED]],TblDisponibilidad[],17,FALSE), 0)</f>
        <v>0</v>
      </c>
      <c r="N209">
        <f>IFERROR(VLOOKUP(Tabla13[[#This Row],[SISMED]],TblDisponibilidad[],18,FALSE), 0)</f>
        <v>0</v>
      </c>
      <c r="O209">
        <f>IFERROR(VLOOKUP(Tabla13[[#This Row],[SISMED]],TblDisponibilidad[],19,FALSE), 0)</f>
        <v>0</v>
      </c>
      <c r="P209">
        <f>IFERROR(VLOOKUP(Tabla13[[#This Row],[SISMED]],TblDisponibilidad[],20,FALSE), 0)</f>
        <v>0</v>
      </c>
      <c r="Q209">
        <f>IFERROR(VLOOKUP(Tabla13[[#This Row],[SISMED]],TblDisponibilidad[],21,FALSE), 0)</f>
        <v>0</v>
      </c>
      <c r="R209">
        <f>IFERROR(VLOOKUP(Tabla13[[#This Row],[SISMED]],TblDisponibilidad[],22,FALSE), 0)</f>
        <v>0</v>
      </c>
      <c r="S209" s="15">
        <f>IFERROR(VLOOKUP(Tabla13[[#This Row],[SISMED]],TblDisponibilidad[],23,FALSE), 0)</f>
        <v>0</v>
      </c>
    </row>
    <row r="210" spans="1:19" x14ac:dyDescent="0.3">
      <c r="A210" s="15" t="s">
        <v>240</v>
      </c>
      <c r="B210" t="str">
        <f>IFERROR(VLOOKUP(Tabla13[[#This Row],[SISMED]],TblDisponibilidad[],2,FALSE), "")</f>
        <v/>
      </c>
      <c r="C210">
        <f>IFERROR(VLOOKUP(Tabla13[[#This Row],[SISMED]],TblDisponibilidad[],7,FALSE), 0)</f>
        <v>0</v>
      </c>
      <c r="D210">
        <f>IFERROR(VLOOKUP(Tabla13[[#This Row],[SISMED]],TblDisponibilidad[],8,FALSE), 0)</f>
        <v>0</v>
      </c>
      <c r="E210">
        <f>IFERROR(VLOOKUP(Tabla13[[#This Row],[SISMED]],TblDisponibilidad[],9,FALSE), 0)</f>
        <v>0</v>
      </c>
      <c r="F210">
        <f>IFERROR(VLOOKUP(Tabla13[[#This Row],[SISMED]],TblDisponibilidad[],10,FALSE), 0)</f>
        <v>0</v>
      </c>
      <c r="G210">
        <f>IFERROR(VLOOKUP(Tabla13[[#This Row],[SISMED]],TblDisponibilidad[],11,FALSE), 0)</f>
        <v>0</v>
      </c>
      <c r="H210">
        <f>IFERROR(VLOOKUP(Tabla13[[#This Row],[SISMED]],TblDisponibilidad[],12,FALSE), 0)</f>
        <v>0</v>
      </c>
      <c r="I210">
        <f>IFERROR(VLOOKUP(Tabla13[[#This Row],[SISMED]],TblDisponibilidad[],13,FALSE), 0)</f>
        <v>0</v>
      </c>
      <c r="J210">
        <f>IFERROR(VLOOKUP(Tabla13[[#This Row],[SISMED]],TblDisponibilidad[],14,FALSE), 0)</f>
        <v>0</v>
      </c>
      <c r="K210">
        <f>IFERROR(VLOOKUP(Tabla13[[#This Row],[SISMED]],TblDisponibilidad[],15,FALSE), 0)</f>
        <v>0</v>
      </c>
      <c r="L210">
        <f>IFERROR(VLOOKUP(Tabla13[[#This Row],[SISMED]],TblDisponibilidad[],16,FALSE), 0)</f>
        <v>0</v>
      </c>
      <c r="M210">
        <f>IFERROR(VLOOKUP(Tabla13[[#This Row],[SISMED]],TblDisponibilidad[],17,FALSE), 0)</f>
        <v>0</v>
      </c>
      <c r="N210">
        <f>IFERROR(VLOOKUP(Tabla13[[#This Row],[SISMED]],TblDisponibilidad[],18,FALSE), 0)</f>
        <v>0</v>
      </c>
      <c r="O210">
        <f>IFERROR(VLOOKUP(Tabla13[[#This Row],[SISMED]],TblDisponibilidad[],19,FALSE), 0)</f>
        <v>0</v>
      </c>
      <c r="P210">
        <f>IFERROR(VLOOKUP(Tabla13[[#This Row],[SISMED]],TblDisponibilidad[],20,FALSE), 0)</f>
        <v>0</v>
      </c>
      <c r="Q210">
        <f>IFERROR(VLOOKUP(Tabla13[[#This Row],[SISMED]],TblDisponibilidad[],21,FALSE), 0)</f>
        <v>0</v>
      </c>
      <c r="R210">
        <f>IFERROR(VLOOKUP(Tabla13[[#This Row],[SISMED]],TblDisponibilidad[],22,FALSE), 0)</f>
        <v>0</v>
      </c>
      <c r="S210" s="15">
        <f>IFERROR(VLOOKUP(Tabla13[[#This Row],[SISMED]],TblDisponibilidad[],23,FALSE), 0)</f>
        <v>0</v>
      </c>
    </row>
    <row r="211" spans="1:19" x14ac:dyDescent="0.3">
      <c r="A211" s="15" t="s">
        <v>241</v>
      </c>
      <c r="B211" t="str">
        <f>IFERROR(VLOOKUP(Tabla13[[#This Row],[SISMED]],TblDisponibilidad[],2,FALSE), "")</f>
        <v/>
      </c>
      <c r="C211">
        <f>IFERROR(VLOOKUP(Tabla13[[#This Row],[SISMED]],TblDisponibilidad[],7,FALSE), 0)</f>
        <v>0</v>
      </c>
      <c r="D211">
        <f>IFERROR(VLOOKUP(Tabla13[[#This Row],[SISMED]],TblDisponibilidad[],8,FALSE), 0)</f>
        <v>0</v>
      </c>
      <c r="E211">
        <f>IFERROR(VLOOKUP(Tabla13[[#This Row],[SISMED]],TblDisponibilidad[],9,FALSE), 0)</f>
        <v>0</v>
      </c>
      <c r="F211">
        <f>IFERROR(VLOOKUP(Tabla13[[#This Row],[SISMED]],TblDisponibilidad[],10,FALSE), 0)</f>
        <v>0</v>
      </c>
      <c r="G211">
        <f>IFERROR(VLOOKUP(Tabla13[[#This Row],[SISMED]],TblDisponibilidad[],11,FALSE), 0)</f>
        <v>0</v>
      </c>
      <c r="H211">
        <f>IFERROR(VLOOKUP(Tabla13[[#This Row],[SISMED]],TblDisponibilidad[],12,FALSE), 0)</f>
        <v>0</v>
      </c>
      <c r="I211">
        <f>IFERROR(VLOOKUP(Tabla13[[#This Row],[SISMED]],TblDisponibilidad[],13,FALSE), 0)</f>
        <v>0</v>
      </c>
      <c r="J211">
        <f>IFERROR(VLOOKUP(Tabla13[[#This Row],[SISMED]],TblDisponibilidad[],14,FALSE), 0)</f>
        <v>0</v>
      </c>
      <c r="K211">
        <f>IFERROR(VLOOKUP(Tabla13[[#This Row],[SISMED]],TblDisponibilidad[],15,FALSE), 0)</f>
        <v>0</v>
      </c>
      <c r="L211">
        <f>IFERROR(VLOOKUP(Tabla13[[#This Row],[SISMED]],TblDisponibilidad[],16,FALSE), 0)</f>
        <v>0</v>
      </c>
      <c r="M211">
        <f>IFERROR(VLOOKUP(Tabla13[[#This Row],[SISMED]],TblDisponibilidad[],17,FALSE), 0)</f>
        <v>0</v>
      </c>
      <c r="N211">
        <f>IFERROR(VLOOKUP(Tabla13[[#This Row],[SISMED]],TblDisponibilidad[],18,FALSE), 0)</f>
        <v>0</v>
      </c>
      <c r="O211">
        <f>IFERROR(VLOOKUP(Tabla13[[#This Row],[SISMED]],TblDisponibilidad[],19,FALSE), 0)</f>
        <v>0</v>
      </c>
      <c r="P211">
        <f>IFERROR(VLOOKUP(Tabla13[[#This Row],[SISMED]],TblDisponibilidad[],20,FALSE), 0)</f>
        <v>0</v>
      </c>
      <c r="Q211">
        <f>IFERROR(VLOOKUP(Tabla13[[#This Row],[SISMED]],TblDisponibilidad[],21,FALSE), 0)</f>
        <v>0</v>
      </c>
      <c r="R211">
        <f>IFERROR(VLOOKUP(Tabla13[[#This Row],[SISMED]],TblDisponibilidad[],22,FALSE), 0)</f>
        <v>0</v>
      </c>
      <c r="S211" s="15">
        <f>IFERROR(VLOOKUP(Tabla13[[#This Row],[SISMED]],TblDisponibilidad[],23,FALSE), 0)</f>
        <v>0</v>
      </c>
    </row>
    <row r="212" spans="1:19" x14ac:dyDescent="0.3">
      <c r="A212" s="15" t="s">
        <v>242</v>
      </c>
      <c r="B212" t="str">
        <f>IFERROR(VLOOKUP(Tabla13[[#This Row],[SISMED]],TblDisponibilidad[],2,FALSE), "")</f>
        <v/>
      </c>
      <c r="C212">
        <f>IFERROR(VLOOKUP(Tabla13[[#This Row],[SISMED]],TblDisponibilidad[],7,FALSE), 0)</f>
        <v>0</v>
      </c>
      <c r="D212">
        <f>IFERROR(VLOOKUP(Tabla13[[#This Row],[SISMED]],TblDisponibilidad[],8,FALSE), 0)</f>
        <v>0</v>
      </c>
      <c r="E212">
        <f>IFERROR(VLOOKUP(Tabla13[[#This Row],[SISMED]],TblDisponibilidad[],9,FALSE), 0)</f>
        <v>0</v>
      </c>
      <c r="F212">
        <f>IFERROR(VLOOKUP(Tabla13[[#This Row],[SISMED]],TblDisponibilidad[],10,FALSE), 0)</f>
        <v>0</v>
      </c>
      <c r="G212">
        <f>IFERROR(VLOOKUP(Tabla13[[#This Row],[SISMED]],TblDisponibilidad[],11,FALSE), 0)</f>
        <v>0</v>
      </c>
      <c r="H212">
        <f>IFERROR(VLOOKUP(Tabla13[[#This Row],[SISMED]],TblDisponibilidad[],12,FALSE), 0)</f>
        <v>0</v>
      </c>
      <c r="I212">
        <f>IFERROR(VLOOKUP(Tabla13[[#This Row],[SISMED]],TblDisponibilidad[],13,FALSE), 0)</f>
        <v>0</v>
      </c>
      <c r="J212">
        <f>IFERROR(VLOOKUP(Tabla13[[#This Row],[SISMED]],TblDisponibilidad[],14,FALSE), 0)</f>
        <v>0</v>
      </c>
      <c r="K212">
        <f>IFERROR(VLOOKUP(Tabla13[[#This Row],[SISMED]],TblDisponibilidad[],15,FALSE), 0)</f>
        <v>0</v>
      </c>
      <c r="L212">
        <f>IFERROR(VLOOKUP(Tabla13[[#This Row],[SISMED]],TblDisponibilidad[],16,FALSE), 0)</f>
        <v>0</v>
      </c>
      <c r="M212">
        <f>IFERROR(VLOOKUP(Tabla13[[#This Row],[SISMED]],TblDisponibilidad[],17,FALSE), 0)</f>
        <v>0</v>
      </c>
      <c r="N212">
        <f>IFERROR(VLOOKUP(Tabla13[[#This Row],[SISMED]],TblDisponibilidad[],18,FALSE), 0)</f>
        <v>0</v>
      </c>
      <c r="O212">
        <f>IFERROR(VLOOKUP(Tabla13[[#This Row],[SISMED]],TblDisponibilidad[],19,FALSE), 0)</f>
        <v>0</v>
      </c>
      <c r="P212">
        <f>IFERROR(VLOOKUP(Tabla13[[#This Row],[SISMED]],TblDisponibilidad[],20,FALSE), 0)</f>
        <v>0</v>
      </c>
      <c r="Q212">
        <f>IFERROR(VLOOKUP(Tabla13[[#This Row],[SISMED]],TblDisponibilidad[],21,FALSE), 0)</f>
        <v>0</v>
      </c>
      <c r="R212">
        <f>IFERROR(VLOOKUP(Tabla13[[#This Row],[SISMED]],TblDisponibilidad[],22,FALSE), 0)</f>
        <v>0</v>
      </c>
      <c r="S212" s="15">
        <f>IFERROR(VLOOKUP(Tabla13[[#This Row],[SISMED]],TblDisponibilidad[],23,FALSE), 0)</f>
        <v>0</v>
      </c>
    </row>
    <row r="213" spans="1:19" x14ac:dyDescent="0.3">
      <c r="A213" s="15" t="s">
        <v>243</v>
      </c>
      <c r="B213" t="str">
        <f>IFERROR(VLOOKUP(Tabla13[[#This Row],[SISMED]],TblDisponibilidad[],2,FALSE), "")</f>
        <v/>
      </c>
      <c r="C213">
        <f>IFERROR(VLOOKUP(Tabla13[[#This Row],[SISMED]],TblDisponibilidad[],7,FALSE), 0)</f>
        <v>0</v>
      </c>
      <c r="D213">
        <f>IFERROR(VLOOKUP(Tabla13[[#This Row],[SISMED]],TblDisponibilidad[],8,FALSE), 0)</f>
        <v>0</v>
      </c>
      <c r="E213">
        <f>IFERROR(VLOOKUP(Tabla13[[#This Row],[SISMED]],TblDisponibilidad[],9,FALSE), 0)</f>
        <v>0</v>
      </c>
      <c r="F213">
        <f>IFERROR(VLOOKUP(Tabla13[[#This Row],[SISMED]],TblDisponibilidad[],10,FALSE), 0)</f>
        <v>0</v>
      </c>
      <c r="G213">
        <f>IFERROR(VLOOKUP(Tabla13[[#This Row],[SISMED]],TblDisponibilidad[],11,FALSE), 0)</f>
        <v>0</v>
      </c>
      <c r="H213">
        <f>IFERROR(VLOOKUP(Tabla13[[#This Row],[SISMED]],TblDisponibilidad[],12,FALSE), 0)</f>
        <v>0</v>
      </c>
      <c r="I213">
        <f>IFERROR(VLOOKUP(Tabla13[[#This Row],[SISMED]],TblDisponibilidad[],13,FALSE), 0)</f>
        <v>0</v>
      </c>
      <c r="J213">
        <f>IFERROR(VLOOKUP(Tabla13[[#This Row],[SISMED]],TblDisponibilidad[],14,FALSE), 0)</f>
        <v>0</v>
      </c>
      <c r="K213">
        <f>IFERROR(VLOOKUP(Tabla13[[#This Row],[SISMED]],TblDisponibilidad[],15,FALSE), 0)</f>
        <v>0</v>
      </c>
      <c r="L213">
        <f>IFERROR(VLOOKUP(Tabla13[[#This Row],[SISMED]],TblDisponibilidad[],16,FALSE), 0)</f>
        <v>0</v>
      </c>
      <c r="M213">
        <f>IFERROR(VLOOKUP(Tabla13[[#This Row],[SISMED]],TblDisponibilidad[],17,FALSE), 0)</f>
        <v>0</v>
      </c>
      <c r="N213">
        <f>IFERROR(VLOOKUP(Tabla13[[#This Row],[SISMED]],TblDisponibilidad[],18,FALSE), 0)</f>
        <v>0</v>
      </c>
      <c r="O213">
        <f>IFERROR(VLOOKUP(Tabla13[[#This Row],[SISMED]],TblDisponibilidad[],19,FALSE), 0)</f>
        <v>0</v>
      </c>
      <c r="P213">
        <f>IFERROR(VLOOKUP(Tabla13[[#This Row],[SISMED]],TblDisponibilidad[],20,FALSE), 0)</f>
        <v>0</v>
      </c>
      <c r="Q213">
        <f>IFERROR(VLOOKUP(Tabla13[[#This Row],[SISMED]],TblDisponibilidad[],21,FALSE), 0)</f>
        <v>0</v>
      </c>
      <c r="R213">
        <f>IFERROR(VLOOKUP(Tabla13[[#This Row],[SISMED]],TblDisponibilidad[],22,FALSE), 0)</f>
        <v>0</v>
      </c>
      <c r="S213" s="15">
        <f>IFERROR(VLOOKUP(Tabla13[[#This Row],[SISMED]],TblDisponibilidad[],23,FALSE), 0)</f>
        <v>0</v>
      </c>
    </row>
    <row r="214" spans="1:19" x14ac:dyDescent="0.3">
      <c r="A214" s="15" t="s">
        <v>244</v>
      </c>
      <c r="B214" t="str">
        <f>IFERROR(VLOOKUP(Tabla13[[#This Row],[SISMED]],TblDisponibilidad[],2,FALSE), "")</f>
        <v/>
      </c>
      <c r="C214">
        <f>IFERROR(VLOOKUP(Tabla13[[#This Row],[SISMED]],TblDisponibilidad[],7,FALSE), 0)</f>
        <v>0</v>
      </c>
      <c r="D214">
        <f>IFERROR(VLOOKUP(Tabla13[[#This Row],[SISMED]],TblDisponibilidad[],8,FALSE), 0)</f>
        <v>0</v>
      </c>
      <c r="E214">
        <f>IFERROR(VLOOKUP(Tabla13[[#This Row],[SISMED]],TblDisponibilidad[],9,FALSE), 0)</f>
        <v>0</v>
      </c>
      <c r="F214">
        <f>IFERROR(VLOOKUP(Tabla13[[#This Row],[SISMED]],TblDisponibilidad[],10,FALSE), 0)</f>
        <v>0</v>
      </c>
      <c r="G214">
        <f>IFERROR(VLOOKUP(Tabla13[[#This Row],[SISMED]],TblDisponibilidad[],11,FALSE), 0)</f>
        <v>0</v>
      </c>
      <c r="H214">
        <f>IFERROR(VLOOKUP(Tabla13[[#This Row],[SISMED]],TblDisponibilidad[],12,FALSE), 0)</f>
        <v>0</v>
      </c>
      <c r="I214">
        <f>IFERROR(VLOOKUP(Tabla13[[#This Row],[SISMED]],TblDisponibilidad[],13,FALSE), 0)</f>
        <v>0</v>
      </c>
      <c r="J214">
        <f>IFERROR(VLOOKUP(Tabla13[[#This Row],[SISMED]],TblDisponibilidad[],14,FALSE), 0)</f>
        <v>0</v>
      </c>
      <c r="K214">
        <f>IFERROR(VLOOKUP(Tabla13[[#This Row],[SISMED]],TblDisponibilidad[],15,FALSE), 0)</f>
        <v>0</v>
      </c>
      <c r="L214">
        <f>IFERROR(VLOOKUP(Tabla13[[#This Row],[SISMED]],TblDisponibilidad[],16,FALSE), 0)</f>
        <v>0</v>
      </c>
      <c r="M214">
        <f>IFERROR(VLOOKUP(Tabla13[[#This Row],[SISMED]],TblDisponibilidad[],17,FALSE), 0)</f>
        <v>0</v>
      </c>
      <c r="N214">
        <f>IFERROR(VLOOKUP(Tabla13[[#This Row],[SISMED]],TblDisponibilidad[],18,FALSE), 0)</f>
        <v>0</v>
      </c>
      <c r="O214">
        <f>IFERROR(VLOOKUP(Tabla13[[#This Row],[SISMED]],TblDisponibilidad[],19,FALSE), 0)</f>
        <v>0</v>
      </c>
      <c r="P214">
        <f>IFERROR(VLOOKUP(Tabla13[[#This Row],[SISMED]],TblDisponibilidad[],20,FALSE), 0)</f>
        <v>0</v>
      </c>
      <c r="Q214">
        <f>IFERROR(VLOOKUP(Tabla13[[#This Row],[SISMED]],TblDisponibilidad[],21,FALSE), 0)</f>
        <v>0</v>
      </c>
      <c r="R214">
        <f>IFERROR(VLOOKUP(Tabla13[[#This Row],[SISMED]],TblDisponibilidad[],22,FALSE), 0)</f>
        <v>0</v>
      </c>
      <c r="S214" s="15">
        <f>IFERROR(VLOOKUP(Tabla13[[#This Row],[SISMED]],TblDisponibilidad[],23,FALSE), 0)</f>
        <v>0</v>
      </c>
    </row>
    <row r="215" spans="1:19" x14ac:dyDescent="0.3">
      <c r="A215" s="15" t="s">
        <v>245</v>
      </c>
      <c r="B215" t="str">
        <f>IFERROR(VLOOKUP(Tabla13[[#This Row],[SISMED]],TblDisponibilidad[],2,FALSE), "")</f>
        <v/>
      </c>
      <c r="C215">
        <f>IFERROR(VLOOKUP(Tabla13[[#This Row],[SISMED]],TblDisponibilidad[],7,FALSE), 0)</f>
        <v>0</v>
      </c>
      <c r="D215">
        <f>IFERROR(VLOOKUP(Tabla13[[#This Row],[SISMED]],TblDisponibilidad[],8,FALSE), 0)</f>
        <v>0</v>
      </c>
      <c r="E215">
        <f>IFERROR(VLOOKUP(Tabla13[[#This Row],[SISMED]],TblDisponibilidad[],9,FALSE), 0)</f>
        <v>0</v>
      </c>
      <c r="F215">
        <f>IFERROR(VLOOKUP(Tabla13[[#This Row],[SISMED]],TblDisponibilidad[],10,FALSE), 0)</f>
        <v>0</v>
      </c>
      <c r="G215">
        <f>IFERROR(VLOOKUP(Tabla13[[#This Row],[SISMED]],TblDisponibilidad[],11,FALSE), 0)</f>
        <v>0</v>
      </c>
      <c r="H215">
        <f>IFERROR(VLOOKUP(Tabla13[[#This Row],[SISMED]],TblDisponibilidad[],12,FALSE), 0)</f>
        <v>0</v>
      </c>
      <c r="I215">
        <f>IFERROR(VLOOKUP(Tabla13[[#This Row],[SISMED]],TblDisponibilidad[],13,FALSE), 0)</f>
        <v>0</v>
      </c>
      <c r="J215">
        <f>IFERROR(VLOOKUP(Tabla13[[#This Row],[SISMED]],TblDisponibilidad[],14,FALSE), 0)</f>
        <v>0</v>
      </c>
      <c r="K215">
        <f>IFERROR(VLOOKUP(Tabla13[[#This Row],[SISMED]],TblDisponibilidad[],15,FALSE), 0)</f>
        <v>0</v>
      </c>
      <c r="L215">
        <f>IFERROR(VLOOKUP(Tabla13[[#This Row],[SISMED]],TblDisponibilidad[],16,FALSE), 0)</f>
        <v>0</v>
      </c>
      <c r="M215">
        <f>IFERROR(VLOOKUP(Tabla13[[#This Row],[SISMED]],TblDisponibilidad[],17,FALSE), 0)</f>
        <v>0</v>
      </c>
      <c r="N215">
        <f>IFERROR(VLOOKUP(Tabla13[[#This Row],[SISMED]],TblDisponibilidad[],18,FALSE), 0)</f>
        <v>0</v>
      </c>
      <c r="O215">
        <f>IFERROR(VLOOKUP(Tabla13[[#This Row],[SISMED]],TblDisponibilidad[],19,FALSE), 0)</f>
        <v>0</v>
      </c>
      <c r="P215">
        <f>IFERROR(VLOOKUP(Tabla13[[#This Row],[SISMED]],TblDisponibilidad[],20,FALSE), 0)</f>
        <v>0</v>
      </c>
      <c r="Q215">
        <f>IFERROR(VLOOKUP(Tabla13[[#This Row],[SISMED]],TblDisponibilidad[],21,FALSE), 0)</f>
        <v>0</v>
      </c>
      <c r="R215">
        <f>IFERROR(VLOOKUP(Tabla13[[#This Row],[SISMED]],TblDisponibilidad[],22,FALSE), 0)</f>
        <v>0</v>
      </c>
      <c r="S215" s="15">
        <f>IFERROR(VLOOKUP(Tabla13[[#This Row],[SISMED]],TblDisponibilidad[],23,FALSE), 0)</f>
        <v>0</v>
      </c>
    </row>
    <row r="216" spans="1:19" x14ac:dyDescent="0.3">
      <c r="A216" s="15" t="s">
        <v>246</v>
      </c>
      <c r="B216" t="str">
        <f>IFERROR(VLOOKUP(Tabla13[[#This Row],[SISMED]],TblDisponibilidad[],2,FALSE), "")</f>
        <v/>
      </c>
      <c r="C216">
        <f>IFERROR(VLOOKUP(Tabla13[[#This Row],[SISMED]],TblDisponibilidad[],7,FALSE), 0)</f>
        <v>0</v>
      </c>
      <c r="D216">
        <f>IFERROR(VLOOKUP(Tabla13[[#This Row],[SISMED]],TblDisponibilidad[],8,FALSE), 0)</f>
        <v>0</v>
      </c>
      <c r="E216">
        <f>IFERROR(VLOOKUP(Tabla13[[#This Row],[SISMED]],TblDisponibilidad[],9,FALSE), 0)</f>
        <v>0</v>
      </c>
      <c r="F216">
        <f>IFERROR(VLOOKUP(Tabla13[[#This Row],[SISMED]],TblDisponibilidad[],10,FALSE), 0)</f>
        <v>0</v>
      </c>
      <c r="G216">
        <f>IFERROR(VLOOKUP(Tabla13[[#This Row],[SISMED]],TblDisponibilidad[],11,FALSE), 0)</f>
        <v>0</v>
      </c>
      <c r="H216">
        <f>IFERROR(VLOOKUP(Tabla13[[#This Row],[SISMED]],TblDisponibilidad[],12,FALSE), 0)</f>
        <v>0</v>
      </c>
      <c r="I216">
        <f>IFERROR(VLOOKUP(Tabla13[[#This Row],[SISMED]],TblDisponibilidad[],13,FALSE), 0)</f>
        <v>0</v>
      </c>
      <c r="J216">
        <f>IFERROR(VLOOKUP(Tabla13[[#This Row],[SISMED]],TblDisponibilidad[],14,FALSE), 0)</f>
        <v>0</v>
      </c>
      <c r="K216">
        <f>IFERROR(VLOOKUP(Tabla13[[#This Row],[SISMED]],TblDisponibilidad[],15,FALSE), 0)</f>
        <v>0</v>
      </c>
      <c r="L216">
        <f>IFERROR(VLOOKUP(Tabla13[[#This Row],[SISMED]],TblDisponibilidad[],16,FALSE), 0)</f>
        <v>0</v>
      </c>
      <c r="M216">
        <f>IFERROR(VLOOKUP(Tabla13[[#This Row],[SISMED]],TblDisponibilidad[],17,FALSE), 0)</f>
        <v>0</v>
      </c>
      <c r="N216">
        <f>IFERROR(VLOOKUP(Tabla13[[#This Row],[SISMED]],TblDisponibilidad[],18,FALSE), 0)</f>
        <v>0</v>
      </c>
      <c r="O216">
        <f>IFERROR(VLOOKUP(Tabla13[[#This Row],[SISMED]],TblDisponibilidad[],19,FALSE), 0)</f>
        <v>0</v>
      </c>
      <c r="P216">
        <f>IFERROR(VLOOKUP(Tabla13[[#This Row],[SISMED]],TblDisponibilidad[],20,FALSE), 0)</f>
        <v>0</v>
      </c>
      <c r="Q216">
        <f>IFERROR(VLOOKUP(Tabla13[[#This Row],[SISMED]],TblDisponibilidad[],21,FALSE), 0)</f>
        <v>0</v>
      </c>
      <c r="R216">
        <f>IFERROR(VLOOKUP(Tabla13[[#This Row],[SISMED]],TblDisponibilidad[],22,FALSE), 0)</f>
        <v>0</v>
      </c>
      <c r="S216" s="15">
        <f>IFERROR(VLOOKUP(Tabla13[[#This Row],[SISMED]],TblDisponibilidad[],23,FALSE), 0)</f>
        <v>0</v>
      </c>
    </row>
    <row r="217" spans="1:19" x14ac:dyDescent="0.3">
      <c r="A217" s="15" t="s">
        <v>247</v>
      </c>
      <c r="B217" t="str">
        <f>IFERROR(VLOOKUP(Tabla13[[#This Row],[SISMED]],TblDisponibilidad[],2,FALSE), "")</f>
        <v/>
      </c>
      <c r="C217">
        <f>IFERROR(VLOOKUP(Tabla13[[#This Row],[SISMED]],TblDisponibilidad[],7,FALSE), 0)</f>
        <v>0</v>
      </c>
      <c r="D217">
        <f>IFERROR(VLOOKUP(Tabla13[[#This Row],[SISMED]],TblDisponibilidad[],8,FALSE), 0)</f>
        <v>0</v>
      </c>
      <c r="E217">
        <f>IFERROR(VLOOKUP(Tabla13[[#This Row],[SISMED]],TblDisponibilidad[],9,FALSE), 0)</f>
        <v>0</v>
      </c>
      <c r="F217">
        <f>IFERROR(VLOOKUP(Tabla13[[#This Row],[SISMED]],TblDisponibilidad[],10,FALSE), 0)</f>
        <v>0</v>
      </c>
      <c r="G217">
        <f>IFERROR(VLOOKUP(Tabla13[[#This Row],[SISMED]],TblDisponibilidad[],11,FALSE), 0)</f>
        <v>0</v>
      </c>
      <c r="H217">
        <f>IFERROR(VLOOKUP(Tabla13[[#This Row],[SISMED]],TblDisponibilidad[],12,FALSE), 0)</f>
        <v>0</v>
      </c>
      <c r="I217">
        <f>IFERROR(VLOOKUP(Tabla13[[#This Row],[SISMED]],TblDisponibilidad[],13,FALSE), 0)</f>
        <v>0</v>
      </c>
      <c r="J217">
        <f>IFERROR(VLOOKUP(Tabla13[[#This Row],[SISMED]],TblDisponibilidad[],14,FALSE), 0)</f>
        <v>0</v>
      </c>
      <c r="K217">
        <f>IFERROR(VLOOKUP(Tabla13[[#This Row],[SISMED]],TblDisponibilidad[],15,FALSE), 0)</f>
        <v>0</v>
      </c>
      <c r="L217">
        <f>IFERROR(VLOOKUP(Tabla13[[#This Row],[SISMED]],TblDisponibilidad[],16,FALSE), 0)</f>
        <v>0</v>
      </c>
      <c r="M217">
        <f>IFERROR(VLOOKUP(Tabla13[[#This Row],[SISMED]],TblDisponibilidad[],17,FALSE), 0)</f>
        <v>0</v>
      </c>
      <c r="N217">
        <f>IFERROR(VLOOKUP(Tabla13[[#This Row],[SISMED]],TblDisponibilidad[],18,FALSE), 0)</f>
        <v>0</v>
      </c>
      <c r="O217">
        <f>IFERROR(VLOOKUP(Tabla13[[#This Row],[SISMED]],TblDisponibilidad[],19,FALSE), 0)</f>
        <v>0</v>
      </c>
      <c r="P217">
        <f>IFERROR(VLOOKUP(Tabla13[[#This Row],[SISMED]],TblDisponibilidad[],20,FALSE), 0)</f>
        <v>0</v>
      </c>
      <c r="Q217">
        <f>IFERROR(VLOOKUP(Tabla13[[#This Row],[SISMED]],TblDisponibilidad[],21,FALSE), 0)</f>
        <v>0</v>
      </c>
      <c r="R217">
        <f>IFERROR(VLOOKUP(Tabla13[[#This Row],[SISMED]],TblDisponibilidad[],22,FALSE), 0)</f>
        <v>0</v>
      </c>
      <c r="S217" s="15">
        <f>IFERROR(VLOOKUP(Tabla13[[#This Row],[SISMED]],TblDisponibilidad[],23,FALSE), 0)</f>
        <v>0</v>
      </c>
    </row>
    <row r="218" spans="1:19" x14ac:dyDescent="0.3">
      <c r="A218" s="15" t="s">
        <v>248</v>
      </c>
      <c r="B218" t="str">
        <f>IFERROR(VLOOKUP(Tabla13[[#This Row],[SISMED]],TblDisponibilidad[],2,FALSE), "")</f>
        <v/>
      </c>
      <c r="C218">
        <f>IFERROR(VLOOKUP(Tabla13[[#This Row],[SISMED]],TblDisponibilidad[],7,FALSE), 0)</f>
        <v>0</v>
      </c>
      <c r="D218">
        <f>IFERROR(VLOOKUP(Tabla13[[#This Row],[SISMED]],TblDisponibilidad[],8,FALSE), 0)</f>
        <v>0</v>
      </c>
      <c r="E218">
        <f>IFERROR(VLOOKUP(Tabla13[[#This Row],[SISMED]],TblDisponibilidad[],9,FALSE), 0)</f>
        <v>0</v>
      </c>
      <c r="F218">
        <f>IFERROR(VLOOKUP(Tabla13[[#This Row],[SISMED]],TblDisponibilidad[],10,FALSE), 0)</f>
        <v>0</v>
      </c>
      <c r="G218">
        <f>IFERROR(VLOOKUP(Tabla13[[#This Row],[SISMED]],TblDisponibilidad[],11,FALSE), 0)</f>
        <v>0</v>
      </c>
      <c r="H218">
        <f>IFERROR(VLOOKUP(Tabla13[[#This Row],[SISMED]],TblDisponibilidad[],12,FALSE), 0)</f>
        <v>0</v>
      </c>
      <c r="I218">
        <f>IFERROR(VLOOKUP(Tabla13[[#This Row],[SISMED]],TblDisponibilidad[],13,FALSE), 0)</f>
        <v>0</v>
      </c>
      <c r="J218">
        <f>IFERROR(VLOOKUP(Tabla13[[#This Row],[SISMED]],TblDisponibilidad[],14,FALSE), 0)</f>
        <v>0</v>
      </c>
      <c r="K218">
        <f>IFERROR(VLOOKUP(Tabla13[[#This Row],[SISMED]],TblDisponibilidad[],15,FALSE), 0)</f>
        <v>0</v>
      </c>
      <c r="L218">
        <f>IFERROR(VLOOKUP(Tabla13[[#This Row],[SISMED]],TblDisponibilidad[],16,FALSE), 0)</f>
        <v>0</v>
      </c>
      <c r="M218">
        <f>IFERROR(VLOOKUP(Tabla13[[#This Row],[SISMED]],TblDisponibilidad[],17,FALSE), 0)</f>
        <v>0</v>
      </c>
      <c r="N218">
        <f>IFERROR(VLOOKUP(Tabla13[[#This Row],[SISMED]],TblDisponibilidad[],18,FALSE), 0)</f>
        <v>0</v>
      </c>
      <c r="O218">
        <f>IFERROR(VLOOKUP(Tabla13[[#This Row],[SISMED]],TblDisponibilidad[],19,FALSE), 0)</f>
        <v>0</v>
      </c>
      <c r="P218">
        <f>IFERROR(VLOOKUP(Tabla13[[#This Row],[SISMED]],TblDisponibilidad[],20,FALSE), 0)</f>
        <v>0</v>
      </c>
      <c r="Q218">
        <f>IFERROR(VLOOKUP(Tabla13[[#This Row],[SISMED]],TblDisponibilidad[],21,FALSE), 0)</f>
        <v>0</v>
      </c>
      <c r="R218">
        <f>IFERROR(VLOOKUP(Tabla13[[#This Row],[SISMED]],TblDisponibilidad[],22,FALSE), 0)</f>
        <v>0</v>
      </c>
      <c r="S218" s="15">
        <f>IFERROR(VLOOKUP(Tabla13[[#This Row],[SISMED]],TblDisponibilidad[],23,FALSE), 0)</f>
        <v>0</v>
      </c>
    </row>
    <row r="219" spans="1:19" x14ac:dyDescent="0.3">
      <c r="A219" s="15" t="s">
        <v>249</v>
      </c>
      <c r="B219" t="str">
        <f>IFERROR(VLOOKUP(Tabla13[[#This Row],[SISMED]],TblDisponibilidad[],2,FALSE), "")</f>
        <v/>
      </c>
      <c r="C219">
        <f>IFERROR(VLOOKUP(Tabla13[[#This Row],[SISMED]],TblDisponibilidad[],7,FALSE), 0)</f>
        <v>0</v>
      </c>
      <c r="D219">
        <f>IFERROR(VLOOKUP(Tabla13[[#This Row],[SISMED]],TblDisponibilidad[],8,FALSE), 0)</f>
        <v>0</v>
      </c>
      <c r="E219">
        <f>IFERROR(VLOOKUP(Tabla13[[#This Row],[SISMED]],TblDisponibilidad[],9,FALSE), 0)</f>
        <v>0</v>
      </c>
      <c r="F219">
        <f>IFERROR(VLOOKUP(Tabla13[[#This Row],[SISMED]],TblDisponibilidad[],10,FALSE), 0)</f>
        <v>0</v>
      </c>
      <c r="G219">
        <f>IFERROR(VLOOKUP(Tabla13[[#This Row],[SISMED]],TblDisponibilidad[],11,FALSE), 0)</f>
        <v>0</v>
      </c>
      <c r="H219">
        <f>IFERROR(VLOOKUP(Tabla13[[#This Row],[SISMED]],TblDisponibilidad[],12,FALSE), 0)</f>
        <v>0</v>
      </c>
      <c r="I219">
        <f>IFERROR(VLOOKUP(Tabla13[[#This Row],[SISMED]],TblDisponibilidad[],13,FALSE), 0)</f>
        <v>0</v>
      </c>
      <c r="J219">
        <f>IFERROR(VLOOKUP(Tabla13[[#This Row],[SISMED]],TblDisponibilidad[],14,FALSE), 0)</f>
        <v>0</v>
      </c>
      <c r="K219">
        <f>IFERROR(VLOOKUP(Tabla13[[#This Row],[SISMED]],TblDisponibilidad[],15,FALSE), 0)</f>
        <v>0</v>
      </c>
      <c r="L219">
        <f>IFERROR(VLOOKUP(Tabla13[[#This Row],[SISMED]],TblDisponibilidad[],16,FALSE), 0)</f>
        <v>0</v>
      </c>
      <c r="M219">
        <f>IFERROR(VLOOKUP(Tabla13[[#This Row],[SISMED]],TblDisponibilidad[],17,FALSE), 0)</f>
        <v>0</v>
      </c>
      <c r="N219">
        <f>IFERROR(VLOOKUP(Tabla13[[#This Row],[SISMED]],TblDisponibilidad[],18,FALSE), 0)</f>
        <v>0</v>
      </c>
      <c r="O219">
        <f>IFERROR(VLOOKUP(Tabla13[[#This Row],[SISMED]],TblDisponibilidad[],19,FALSE), 0)</f>
        <v>0</v>
      </c>
      <c r="P219">
        <f>IFERROR(VLOOKUP(Tabla13[[#This Row],[SISMED]],TblDisponibilidad[],20,FALSE), 0)</f>
        <v>0</v>
      </c>
      <c r="Q219">
        <f>IFERROR(VLOOKUP(Tabla13[[#This Row],[SISMED]],TblDisponibilidad[],21,FALSE), 0)</f>
        <v>0</v>
      </c>
      <c r="R219">
        <f>IFERROR(VLOOKUP(Tabla13[[#This Row],[SISMED]],TblDisponibilidad[],22,FALSE), 0)</f>
        <v>0</v>
      </c>
      <c r="S219" s="15">
        <f>IFERROR(VLOOKUP(Tabla13[[#This Row],[SISMED]],TblDisponibilidad[],23,FALSE), 0)</f>
        <v>0</v>
      </c>
    </row>
    <row r="220" spans="1:19" x14ac:dyDescent="0.3">
      <c r="A220" s="15" t="s">
        <v>250</v>
      </c>
      <c r="B220" t="str">
        <f>IFERROR(VLOOKUP(Tabla13[[#This Row],[SISMED]],TblDisponibilidad[],2,FALSE), "")</f>
        <v/>
      </c>
      <c r="C220">
        <f>IFERROR(VLOOKUP(Tabla13[[#This Row],[SISMED]],TblDisponibilidad[],7,FALSE), 0)</f>
        <v>0</v>
      </c>
      <c r="D220">
        <f>IFERROR(VLOOKUP(Tabla13[[#This Row],[SISMED]],TblDisponibilidad[],8,FALSE), 0)</f>
        <v>0</v>
      </c>
      <c r="E220">
        <f>IFERROR(VLOOKUP(Tabla13[[#This Row],[SISMED]],TblDisponibilidad[],9,FALSE), 0)</f>
        <v>0</v>
      </c>
      <c r="F220">
        <f>IFERROR(VLOOKUP(Tabla13[[#This Row],[SISMED]],TblDisponibilidad[],10,FALSE), 0)</f>
        <v>0</v>
      </c>
      <c r="G220">
        <f>IFERROR(VLOOKUP(Tabla13[[#This Row],[SISMED]],TblDisponibilidad[],11,FALSE), 0)</f>
        <v>0</v>
      </c>
      <c r="H220">
        <f>IFERROR(VLOOKUP(Tabla13[[#This Row],[SISMED]],TblDisponibilidad[],12,FALSE), 0)</f>
        <v>0</v>
      </c>
      <c r="I220">
        <f>IFERROR(VLOOKUP(Tabla13[[#This Row],[SISMED]],TblDisponibilidad[],13,FALSE), 0)</f>
        <v>0</v>
      </c>
      <c r="J220">
        <f>IFERROR(VLOOKUP(Tabla13[[#This Row],[SISMED]],TblDisponibilidad[],14,FALSE), 0)</f>
        <v>0</v>
      </c>
      <c r="K220">
        <f>IFERROR(VLOOKUP(Tabla13[[#This Row],[SISMED]],TblDisponibilidad[],15,FALSE), 0)</f>
        <v>0</v>
      </c>
      <c r="L220">
        <f>IFERROR(VLOOKUP(Tabla13[[#This Row],[SISMED]],TblDisponibilidad[],16,FALSE), 0)</f>
        <v>0</v>
      </c>
      <c r="M220">
        <f>IFERROR(VLOOKUP(Tabla13[[#This Row],[SISMED]],TblDisponibilidad[],17,FALSE), 0)</f>
        <v>0</v>
      </c>
      <c r="N220">
        <f>IFERROR(VLOOKUP(Tabla13[[#This Row],[SISMED]],TblDisponibilidad[],18,FALSE), 0)</f>
        <v>0</v>
      </c>
      <c r="O220">
        <f>IFERROR(VLOOKUP(Tabla13[[#This Row],[SISMED]],TblDisponibilidad[],19,FALSE), 0)</f>
        <v>0</v>
      </c>
      <c r="P220">
        <f>IFERROR(VLOOKUP(Tabla13[[#This Row],[SISMED]],TblDisponibilidad[],20,FALSE), 0)</f>
        <v>0</v>
      </c>
      <c r="Q220">
        <f>IFERROR(VLOOKUP(Tabla13[[#This Row],[SISMED]],TblDisponibilidad[],21,FALSE), 0)</f>
        <v>0</v>
      </c>
      <c r="R220">
        <f>IFERROR(VLOOKUP(Tabla13[[#This Row],[SISMED]],TblDisponibilidad[],22,FALSE), 0)</f>
        <v>0</v>
      </c>
      <c r="S220" s="15">
        <f>IFERROR(VLOOKUP(Tabla13[[#This Row],[SISMED]],TblDisponibilidad[],23,FALSE), 0)</f>
        <v>0</v>
      </c>
    </row>
    <row r="221" spans="1:19" x14ac:dyDescent="0.3">
      <c r="A221" s="15" t="s">
        <v>251</v>
      </c>
      <c r="B221" t="str">
        <f>IFERROR(VLOOKUP(Tabla13[[#This Row],[SISMED]],TblDisponibilidad[],2,FALSE), "")</f>
        <v/>
      </c>
      <c r="C221">
        <f>IFERROR(VLOOKUP(Tabla13[[#This Row],[SISMED]],TblDisponibilidad[],7,FALSE), 0)</f>
        <v>0</v>
      </c>
      <c r="D221">
        <f>IFERROR(VLOOKUP(Tabla13[[#This Row],[SISMED]],TblDisponibilidad[],8,FALSE), 0)</f>
        <v>0</v>
      </c>
      <c r="E221">
        <f>IFERROR(VLOOKUP(Tabla13[[#This Row],[SISMED]],TblDisponibilidad[],9,FALSE), 0)</f>
        <v>0</v>
      </c>
      <c r="F221">
        <f>IFERROR(VLOOKUP(Tabla13[[#This Row],[SISMED]],TblDisponibilidad[],10,FALSE), 0)</f>
        <v>0</v>
      </c>
      <c r="G221">
        <f>IFERROR(VLOOKUP(Tabla13[[#This Row],[SISMED]],TblDisponibilidad[],11,FALSE), 0)</f>
        <v>0</v>
      </c>
      <c r="H221">
        <f>IFERROR(VLOOKUP(Tabla13[[#This Row],[SISMED]],TblDisponibilidad[],12,FALSE), 0)</f>
        <v>0</v>
      </c>
      <c r="I221">
        <f>IFERROR(VLOOKUP(Tabla13[[#This Row],[SISMED]],TblDisponibilidad[],13,FALSE), 0)</f>
        <v>0</v>
      </c>
      <c r="J221">
        <f>IFERROR(VLOOKUP(Tabla13[[#This Row],[SISMED]],TblDisponibilidad[],14,FALSE), 0)</f>
        <v>0</v>
      </c>
      <c r="K221">
        <f>IFERROR(VLOOKUP(Tabla13[[#This Row],[SISMED]],TblDisponibilidad[],15,FALSE), 0)</f>
        <v>0</v>
      </c>
      <c r="L221">
        <f>IFERROR(VLOOKUP(Tabla13[[#This Row],[SISMED]],TblDisponibilidad[],16,FALSE), 0)</f>
        <v>0</v>
      </c>
      <c r="M221">
        <f>IFERROR(VLOOKUP(Tabla13[[#This Row],[SISMED]],TblDisponibilidad[],17,FALSE), 0)</f>
        <v>0</v>
      </c>
      <c r="N221">
        <f>IFERROR(VLOOKUP(Tabla13[[#This Row],[SISMED]],TblDisponibilidad[],18,FALSE), 0)</f>
        <v>0</v>
      </c>
      <c r="O221">
        <f>IFERROR(VLOOKUP(Tabla13[[#This Row],[SISMED]],TblDisponibilidad[],19,FALSE), 0)</f>
        <v>0</v>
      </c>
      <c r="P221">
        <f>IFERROR(VLOOKUP(Tabla13[[#This Row],[SISMED]],TblDisponibilidad[],20,FALSE), 0)</f>
        <v>0</v>
      </c>
      <c r="Q221">
        <f>IFERROR(VLOOKUP(Tabla13[[#This Row],[SISMED]],TblDisponibilidad[],21,FALSE), 0)</f>
        <v>0</v>
      </c>
      <c r="R221">
        <f>IFERROR(VLOOKUP(Tabla13[[#This Row],[SISMED]],TblDisponibilidad[],22,FALSE), 0)</f>
        <v>0</v>
      </c>
      <c r="S221" s="15">
        <f>IFERROR(VLOOKUP(Tabla13[[#This Row],[SISMED]],TblDisponibilidad[],23,FALSE), 0)</f>
        <v>0</v>
      </c>
    </row>
    <row r="222" spans="1:19" x14ac:dyDescent="0.3">
      <c r="A222" s="15" t="s">
        <v>252</v>
      </c>
      <c r="B222" t="str">
        <f>IFERROR(VLOOKUP(Tabla13[[#This Row],[SISMED]],TblDisponibilidad[],2,FALSE), "")</f>
        <v/>
      </c>
      <c r="C222">
        <f>IFERROR(VLOOKUP(Tabla13[[#This Row],[SISMED]],TblDisponibilidad[],7,FALSE), 0)</f>
        <v>0</v>
      </c>
      <c r="D222">
        <f>IFERROR(VLOOKUP(Tabla13[[#This Row],[SISMED]],TblDisponibilidad[],8,FALSE), 0)</f>
        <v>0</v>
      </c>
      <c r="E222">
        <f>IFERROR(VLOOKUP(Tabla13[[#This Row],[SISMED]],TblDisponibilidad[],9,FALSE), 0)</f>
        <v>0</v>
      </c>
      <c r="F222">
        <f>IFERROR(VLOOKUP(Tabla13[[#This Row],[SISMED]],TblDisponibilidad[],10,FALSE), 0)</f>
        <v>0</v>
      </c>
      <c r="G222">
        <f>IFERROR(VLOOKUP(Tabla13[[#This Row],[SISMED]],TblDisponibilidad[],11,FALSE), 0)</f>
        <v>0</v>
      </c>
      <c r="H222">
        <f>IFERROR(VLOOKUP(Tabla13[[#This Row],[SISMED]],TblDisponibilidad[],12,FALSE), 0)</f>
        <v>0</v>
      </c>
      <c r="I222">
        <f>IFERROR(VLOOKUP(Tabla13[[#This Row],[SISMED]],TblDisponibilidad[],13,FALSE), 0)</f>
        <v>0</v>
      </c>
      <c r="J222">
        <f>IFERROR(VLOOKUP(Tabla13[[#This Row],[SISMED]],TblDisponibilidad[],14,FALSE), 0)</f>
        <v>0</v>
      </c>
      <c r="K222">
        <f>IFERROR(VLOOKUP(Tabla13[[#This Row],[SISMED]],TblDisponibilidad[],15,FALSE), 0)</f>
        <v>0</v>
      </c>
      <c r="L222">
        <f>IFERROR(VLOOKUP(Tabla13[[#This Row],[SISMED]],TblDisponibilidad[],16,FALSE), 0)</f>
        <v>0</v>
      </c>
      <c r="M222">
        <f>IFERROR(VLOOKUP(Tabla13[[#This Row],[SISMED]],TblDisponibilidad[],17,FALSE), 0)</f>
        <v>0</v>
      </c>
      <c r="N222">
        <f>IFERROR(VLOOKUP(Tabla13[[#This Row],[SISMED]],TblDisponibilidad[],18,FALSE), 0)</f>
        <v>0</v>
      </c>
      <c r="O222">
        <f>IFERROR(VLOOKUP(Tabla13[[#This Row],[SISMED]],TblDisponibilidad[],19,FALSE), 0)</f>
        <v>0</v>
      </c>
      <c r="P222">
        <f>IFERROR(VLOOKUP(Tabla13[[#This Row],[SISMED]],TblDisponibilidad[],20,FALSE), 0)</f>
        <v>0</v>
      </c>
      <c r="Q222">
        <f>IFERROR(VLOOKUP(Tabla13[[#This Row],[SISMED]],TblDisponibilidad[],21,FALSE), 0)</f>
        <v>0</v>
      </c>
      <c r="R222">
        <f>IFERROR(VLOOKUP(Tabla13[[#This Row],[SISMED]],TblDisponibilidad[],22,FALSE), 0)</f>
        <v>0</v>
      </c>
      <c r="S222" s="15">
        <f>IFERROR(VLOOKUP(Tabla13[[#This Row],[SISMED]],TblDisponibilidad[],23,FALSE), 0)</f>
        <v>0</v>
      </c>
    </row>
    <row r="223" spans="1:19" x14ac:dyDescent="0.3">
      <c r="A223" s="15" t="s">
        <v>253</v>
      </c>
      <c r="B223" t="str">
        <f>IFERROR(VLOOKUP(Tabla13[[#This Row],[SISMED]],TblDisponibilidad[],2,FALSE), "")</f>
        <v/>
      </c>
      <c r="C223">
        <f>IFERROR(VLOOKUP(Tabla13[[#This Row],[SISMED]],TblDisponibilidad[],7,FALSE), 0)</f>
        <v>0</v>
      </c>
      <c r="D223">
        <f>IFERROR(VLOOKUP(Tabla13[[#This Row],[SISMED]],TblDisponibilidad[],8,FALSE), 0)</f>
        <v>0</v>
      </c>
      <c r="E223">
        <f>IFERROR(VLOOKUP(Tabla13[[#This Row],[SISMED]],TblDisponibilidad[],9,FALSE), 0)</f>
        <v>0</v>
      </c>
      <c r="F223">
        <f>IFERROR(VLOOKUP(Tabla13[[#This Row],[SISMED]],TblDisponibilidad[],10,FALSE), 0)</f>
        <v>0</v>
      </c>
      <c r="G223">
        <f>IFERROR(VLOOKUP(Tabla13[[#This Row],[SISMED]],TblDisponibilidad[],11,FALSE), 0)</f>
        <v>0</v>
      </c>
      <c r="H223">
        <f>IFERROR(VLOOKUP(Tabla13[[#This Row],[SISMED]],TblDisponibilidad[],12,FALSE), 0)</f>
        <v>0</v>
      </c>
      <c r="I223">
        <f>IFERROR(VLOOKUP(Tabla13[[#This Row],[SISMED]],TblDisponibilidad[],13,FALSE), 0)</f>
        <v>0</v>
      </c>
      <c r="J223">
        <f>IFERROR(VLOOKUP(Tabla13[[#This Row],[SISMED]],TblDisponibilidad[],14,FALSE), 0)</f>
        <v>0</v>
      </c>
      <c r="K223">
        <f>IFERROR(VLOOKUP(Tabla13[[#This Row],[SISMED]],TblDisponibilidad[],15,FALSE), 0)</f>
        <v>0</v>
      </c>
      <c r="L223">
        <f>IFERROR(VLOOKUP(Tabla13[[#This Row],[SISMED]],TblDisponibilidad[],16,FALSE), 0)</f>
        <v>0</v>
      </c>
      <c r="M223">
        <f>IFERROR(VLOOKUP(Tabla13[[#This Row],[SISMED]],TblDisponibilidad[],17,FALSE), 0)</f>
        <v>0</v>
      </c>
      <c r="N223">
        <f>IFERROR(VLOOKUP(Tabla13[[#This Row],[SISMED]],TblDisponibilidad[],18,FALSE), 0)</f>
        <v>0</v>
      </c>
      <c r="O223">
        <f>IFERROR(VLOOKUP(Tabla13[[#This Row],[SISMED]],TblDisponibilidad[],19,FALSE), 0)</f>
        <v>0</v>
      </c>
      <c r="P223">
        <f>IFERROR(VLOOKUP(Tabla13[[#This Row],[SISMED]],TblDisponibilidad[],20,FALSE), 0)</f>
        <v>0</v>
      </c>
      <c r="Q223">
        <f>IFERROR(VLOOKUP(Tabla13[[#This Row],[SISMED]],TblDisponibilidad[],21,FALSE), 0)</f>
        <v>0</v>
      </c>
      <c r="R223">
        <f>IFERROR(VLOOKUP(Tabla13[[#This Row],[SISMED]],TblDisponibilidad[],22,FALSE), 0)</f>
        <v>0</v>
      </c>
      <c r="S223" s="15">
        <f>IFERROR(VLOOKUP(Tabla13[[#This Row],[SISMED]],TblDisponibilidad[],23,FALSE), 0)</f>
        <v>0</v>
      </c>
    </row>
    <row r="224" spans="1:19" x14ac:dyDescent="0.3">
      <c r="A224" s="15" t="s">
        <v>254</v>
      </c>
      <c r="B224" t="str">
        <f>IFERROR(VLOOKUP(Tabla13[[#This Row],[SISMED]],TblDisponibilidad[],2,FALSE), "")</f>
        <v/>
      </c>
      <c r="C224">
        <f>IFERROR(VLOOKUP(Tabla13[[#This Row],[SISMED]],TblDisponibilidad[],7,FALSE), 0)</f>
        <v>0</v>
      </c>
      <c r="D224">
        <f>IFERROR(VLOOKUP(Tabla13[[#This Row],[SISMED]],TblDisponibilidad[],8,FALSE), 0)</f>
        <v>0</v>
      </c>
      <c r="E224">
        <f>IFERROR(VLOOKUP(Tabla13[[#This Row],[SISMED]],TblDisponibilidad[],9,FALSE), 0)</f>
        <v>0</v>
      </c>
      <c r="F224">
        <f>IFERROR(VLOOKUP(Tabla13[[#This Row],[SISMED]],TblDisponibilidad[],10,FALSE), 0)</f>
        <v>0</v>
      </c>
      <c r="G224">
        <f>IFERROR(VLOOKUP(Tabla13[[#This Row],[SISMED]],TblDisponibilidad[],11,FALSE), 0)</f>
        <v>0</v>
      </c>
      <c r="H224">
        <f>IFERROR(VLOOKUP(Tabla13[[#This Row],[SISMED]],TblDisponibilidad[],12,FALSE), 0)</f>
        <v>0</v>
      </c>
      <c r="I224">
        <f>IFERROR(VLOOKUP(Tabla13[[#This Row],[SISMED]],TblDisponibilidad[],13,FALSE), 0)</f>
        <v>0</v>
      </c>
      <c r="J224">
        <f>IFERROR(VLOOKUP(Tabla13[[#This Row],[SISMED]],TblDisponibilidad[],14,FALSE), 0)</f>
        <v>0</v>
      </c>
      <c r="K224">
        <f>IFERROR(VLOOKUP(Tabla13[[#This Row],[SISMED]],TblDisponibilidad[],15,FALSE), 0)</f>
        <v>0</v>
      </c>
      <c r="L224">
        <f>IFERROR(VLOOKUP(Tabla13[[#This Row],[SISMED]],TblDisponibilidad[],16,FALSE), 0)</f>
        <v>0</v>
      </c>
      <c r="M224">
        <f>IFERROR(VLOOKUP(Tabla13[[#This Row],[SISMED]],TblDisponibilidad[],17,FALSE), 0)</f>
        <v>0</v>
      </c>
      <c r="N224">
        <f>IFERROR(VLOOKUP(Tabla13[[#This Row],[SISMED]],TblDisponibilidad[],18,FALSE), 0)</f>
        <v>0</v>
      </c>
      <c r="O224">
        <f>IFERROR(VLOOKUP(Tabla13[[#This Row],[SISMED]],TblDisponibilidad[],19,FALSE), 0)</f>
        <v>0</v>
      </c>
      <c r="P224">
        <f>IFERROR(VLOOKUP(Tabla13[[#This Row],[SISMED]],TblDisponibilidad[],20,FALSE), 0)</f>
        <v>0</v>
      </c>
      <c r="Q224">
        <f>IFERROR(VLOOKUP(Tabla13[[#This Row],[SISMED]],TblDisponibilidad[],21,FALSE), 0)</f>
        <v>0</v>
      </c>
      <c r="R224">
        <f>IFERROR(VLOOKUP(Tabla13[[#This Row],[SISMED]],TblDisponibilidad[],22,FALSE), 0)</f>
        <v>0</v>
      </c>
      <c r="S224" s="15">
        <f>IFERROR(VLOOKUP(Tabla13[[#This Row],[SISMED]],TblDisponibilidad[],23,FALSE), 0)</f>
        <v>0</v>
      </c>
    </row>
    <row r="225" spans="1:19" x14ac:dyDescent="0.3">
      <c r="A225" s="15" t="s">
        <v>255</v>
      </c>
      <c r="B225" t="str">
        <f>IFERROR(VLOOKUP(Tabla13[[#This Row],[SISMED]],TblDisponibilidad[],2,FALSE), "")</f>
        <v/>
      </c>
      <c r="C225">
        <f>IFERROR(VLOOKUP(Tabla13[[#This Row],[SISMED]],TblDisponibilidad[],7,FALSE), 0)</f>
        <v>0</v>
      </c>
      <c r="D225">
        <f>IFERROR(VLOOKUP(Tabla13[[#This Row],[SISMED]],TblDisponibilidad[],8,FALSE), 0)</f>
        <v>0</v>
      </c>
      <c r="E225">
        <f>IFERROR(VLOOKUP(Tabla13[[#This Row],[SISMED]],TblDisponibilidad[],9,FALSE), 0)</f>
        <v>0</v>
      </c>
      <c r="F225">
        <f>IFERROR(VLOOKUP(Tabla13[[#This Row],[SISMED]],TblDisponibilidad[],10,FALSE), 0)</f>
        <v>0</v>
      </c>
      <c r="G225">
        <f>IFERROR(VLOOKUP(Tabla13[[#This Row],[SISMED]],TblDisponibilidad[],11,FALSE), 0)</f>
        <v>0</v>
      </c>
      <c r="H225">
        <f>IFERROR(VLOOKUP(Tabla13[[#This Row],[SISMED]],TblDisponibilidad[],12,FALSE), 0)</f>
        <v>0</v>
      </c>
      <c r="I225">
        <f>IFERROR(VLOOKUP(Tabla13[[#This Row],[SISMED]],TblDisponibilidad[],13,FALSE), 0)</f>
        <v>0</v>
      </c>
      <c r="J225">
        <f>IFERROR(VLOOKUP(Tabla13[[#This Row],[SISMED]],TblDisponibilidad[],14,FALSE), 0)</f>
        <v>0</v>
      </c>
      <c r="K225">
        <f>IFERROR(VLOOKUP(Tabla13[[#This Row],[SISMED]],TblDisponibilidad[],15,FALSE), 0)</f>
        <v>0</v>
      </c>
      <c r="L225">
        <f>IFERROR(VLOOKUP(Tabla13[[#This Row],[SISMED]],TblDisponibilidad[],16,FALSE), 0)</f>
        <v>0</v>
      </c>
      <c r="M225">
        <f>IFERROR(VLOOKUP(Tabla13[[#This Row],[SISMED]],TblDisponibilidad[],17,FALSE), 0)</f>
        <v>0</v>
      </c>
      <c r="N225">
        <f>IFERROR(VLOOKUP(Tabla13[[#This Row],[SISMED]],TblDisponibilidad[],18,FALSE), 0)</f>
        <v>0</v>
      </c>
      <c r="O225">
        <f>IFERROR(VLOOKUP(Tabla13[[#This Row],[SISMED]],TblDisponibilidad[],19,FALSE), 0)</f>
        <v>0</v>
      </c>
      <c r="P225">
        <f>IFERROR(VLOOKUP(Tabla13[[#This Row],[SISMED]],TblDisponibilidad[],20,FALSE), 0)</f>
        <v>0</v>
      </c>
      <c r="Q225">
        <f>IFERROR(VLOOKUP(Tabla13[[#This Row],[SISMED]],TblDisponibilidad[],21,FALSE), 0)</f>
        <v>0</v>
      </c>
      <c r="R225">
        <f>IFERROR(VLOOKUP(Tabla13[[#This Row],[SISMED]],TblDisponibilidad[],22,FALSE), 0)</f>
        <v>0</v>
      </c>
      <c r="S225" s="15">
        <f>IFERROR(VLOOKUP(Tabla13[[#This Row],[SISMED]],TblDisponibilidad[],23,FALSE), 0)</f>
        <v>0</v>
      </c>
    </row>
    <row r="226" spans="1:19" x14ac:dyDescent="0.3">
      <c r="A226" s="15" t="s">
        <v>256</v>
      </c>
      <c r="B226" t="str">
        <f>IFERROR(VLOOKUP(Tabla13[[#This Row],[SISMED]],TblDisponibilidad[],2,FALSE), "")</f>
        <v/>
      </c>
      <c r="C226">
        <f>IFERROR(VLOOKUP(Tabla13[[#This Row],[SISMED]],TblDisponibilidad[],7,FALSE), 0)</f>
        <v>0</v>
      </c>
      <c r="D226">
        <f>IFERROR(VLOOKUP(Tabla13[[#This Row],[SISMED]],TblDisponibilidad[],8,FALSE), 0)</f>
        <v>0</v>
      </c>
      <c r="E226">
        <f>IFERROR(VLOOKUP(Tabla13[[#This Row],[SISMED]],TblDisponibilidad[],9,FALSE), 0)</f>
        <v>0</v>
      </c>
      <c r="F226">
        <f>IFERROR(VLOOKUP(Tabla13[[#This Row],[SISMED]],TblDisponibilidad[],10,FALSE), 0)</f>
        <v>0</v>
      </c>
      <c r="G226">
        <f>IFERROR(VLOOKUP(Tabla13[[#This Row],[SISMED]],TblDisponibilidad[],11,FALSE), 0)</f>
        <v>0</v>
      </c>
      <c r="H226">
        <f>IFERROR(VLOOKUP(Tabla13[[#This Row],[SISMED]],TblDisponibilidad[],12,FALSE), 0)</f>
        <v>0</v>
      </c>
      <c r="I226">
        <f>IFERROR(VLOOKUP(Tabla13[[#This Row],[SISMED]],TblDisponibilidad[],13,FALSE), 0)</f>
        <v>0</v>
      </c>
      <c r="J226">
        <f>IFERROR(VLOOKUP(Tabla13[[#This Row],[SISMED]],TblDisponibilidad[],14,FALSE), 0)</f>
        <v>0</v>
      </c>
      <c r="K226">
        <f>IFERROR(VLOOKUP(Tabla13[[#This Row],[SISMED]],TblDisponibilidad[],15,FALSE), 0)</f>
        <v>0</v>
      </c>
      <c r="L226">
        <f>IFERROR(VLOOKUP(Tabla13[[#This Row],[SISMED]],TblDisponibilidad[],16,FALSE), 0)</f>
        <v>0</v>
      </c>
      <c r="M226">
        <f>IFERROR(VLOOKUP(Tabla13[[#This Row],[SISMED]],TblDisponibilidad[],17,FALSE), 0)</f>
        <v>0</v>
      </c>
      <c r="N226">
        <f>IFERROR(VLOOKUP(Tabla13[[#This Row],[SISMED]],TblDisponibilidad[],18,FALSE), 0)</f>
        <v>0</v>
      </c>
      <c r="O226">
        <f>IFERROR(VLOOKUP(Tabla13[[#This Row],[SISMED]],TblDisponibilidad[],19,FALSE), 0)</f>
        <v>0</v>
      </c>
      <c r="P226">
        <f>IFERROR(VLOOKUP(Tabla13[[#This Row],[SISMED]],TblDisponibilidad[],20,FALSE), 0)</f>
        <v>0</v>
      </c>
      <c r="Q226">
        <f>IFERROR(VLOOKUP(Tabla13[[#This Row],[SISMED]],TblDisponibilidad[],21,FALSE), 0)</f>
        <v>0</v>
      </c>
      <c r="R226">
        <f>IFERROR(VLOOKUP(Tabla13[[#This Row],[SISMED]],TblDisponibilidad[],22,FALSE), 0)</f>
        <v>0</v>
      </c>
      <c r="S226" s="15">
        <f>IFERROR(VLOOKUP(Tabla13[[#This Row],[SISMED]],TblDisponibilidad[],23,FALSE), 0)</f>
        <v>0</v>
      </c>
    </row>
    <row r="227" spans="1:19" x14ac:dyDescent="0.3">
      <c r="A227" s="15" t="s">
        <v>257</v>
      </c>
      <c r="B227" t="str">
        <f>IFERROR(VLOOKUP(Tabla13[[#This Row],[SISMED]],TblDisponibilidad[],2,FALSE), "")</f>
        <v/>
      </c>
      <c r="C227">
        <f>IFERROR(VLOOKUP(Tabla13[[#This Row],[SISMED]],TblDisponibilidad[],7,FALSE), 0)</f>
        <v>0</v>
      </c>
      <c r="D227">
        <f>IFERROR(VLOOKUP(Tabla13[[#This Row],[SISMED]],TblDisponibilidad[],8,FALSE), 0)</f>
        <v>0</v>
      </c>
      <c r="E227">
        <f>IFERROR(VLOOKUP(Tabla13[[#This Row],[SISMED]],TblDisponibilidad[],9,FALSE), 0)</f>
        <v>0</v>
      </c>
      <c r="F227">
        <f>IFERROR(VLOOKUP(Tabla13[[#This Row],[SISMED]],TblDisponibilidad[],10,FALSE), 0)</f>
        <v>0</v>
      </c>
      <c r="G227">
        <f>IFERROR(VLOOKUP(Tabla13[[#This Row],[SISMED]],TblDisponibilidad[],11,FALSE), 0)</f>
        <v>0</v>
      </c>
      <c r="H227">
        <f>IFERROR(VLOOKUP(Tabla13[[#This Row],[SISMED]],TblDisponibilidad[],12,FALSE), 0)</f>
        <v>0</v>
      </c>
      <c r="I227">
        <f>IFERROR(VLOOKUP(Tabla13[[#This Row],[SISMED]],TblDisponibilidad[],13,FALSE), 0)</f>
        <v>0</v>
      </c>
      <c r="J227">
        <f>IFERROR(VLOOKUP(Tabla13[[#This Row],[SISMED]],TblDisponibilidad[],14,FALSE), 0)</f>
        <v>0</v>
      </c>
      <c r="K227">
        <f>IFERROR(VLOOKUP(Tabla13[[#This Row],[SISMED]],TblDisponibilidad[],15,FALSE), 0)</f>
        <v>0</v>
      </c>
      <c r="L227">
        <f>IFERROR(VLOOKUP(Tabla13[[#This Row],[SISMED]],TblDisponibilidad[],16,FALSE), 0)</f>
        <v>0</v>
      </c>
      <c r="M227">
        <f>IFERROR(VLOOKUP(Tabla13[[#This Row],[SISMED]],TblDisponibilidad[],17,FALSE), 0)</f>
        <v>0</v>
      </c>
      <c r="N227">
        <f>IFERROR(VLOOKUP(Tabla13[[#This Row],[SISMED]],TblDisponibilidad[],18,FALSE), 0)</f>
        <v>0</v>
      </c>
      <c r="O227">
        <f>IFERROR(VLOOKUP(Tabla13[[#This Row],[SISMED]],TblDisponibilidad[],19,FALSE), 0)</f>
        <v>0</v>
      </c>
      <c r="P227">
        <f>IFERROR(VLOOKUP(Tabla13[[#This Row],[SISMED]],TblDisponibilidad[],20,FALSE), 0)</f>
        <v>0</v>
      </c>
      <c r="Q227">
        <f>IFERROR(VLOOKUP(Tabla13[[#This Row],[SISMED]],TblDisponibilidad[],21,FALSE), 0)</f>
        <v>0</v>
      </c>
      <c r="R227">
        <f>IFERROR(VLOOKUP(Tabla13[[#This Row],[SISMED]],TblDisponibilidad[],22,FALSE), 0)</f>
        <v>0</v>
      </c>
      <c r="S227" s="15">
        <f>IFERROR(VLOOKUP(Tabla13[[#This Row],[SISMED]],TblDisponibilidad[],23,FALSE), 0)</f>
        <v>0</v>
      </c>
    </row>
    <row r="228" spans="1:19" x14ac:dyDescent="0.3">
      <c r="A228" s="15" t="s">
        <v>258</v>
      </c>
      <c r="B228" t="str">
        <f>IFERROR(VLOOKUP(Tabla13[[#This Row],[SISMED]],TblDisponibilidad[],2,FALSE), "")</f>
        <v/>
      </c>
      <c r="C228">
        <f>IFERROR(VLOOKUP(Tabla13[[#This Row],[SISMED]],TblDisponibilidad[],7,FALSE), 0)</f>
        <v>0</v>
      </c>
      <c r="D228">
        <f>IFERROR(VLOOKUP(Tabla13[[#This Row],[SISMED]],TblDisponibilidad[],8,FALSE), 0)</f>
        <v>0</v>
      </c>
      <c r="E228">
        <f>IFERROR(VLOOKUP(Tabla13[[#This Row],[SISMED]],TblDisponibilidad[],9,FALSE), 0)</f>
        <v>0</v>
      </c>
      <c r="F228">
        <f>IFERROR(VLOOKUP(Tabla13[[#This Row],[SISMED]],TblDisponibilidad[],10,FALSE), 0)</f>
        <v>0</v>
      </c>
      <c r="G228">
        <f>IFERROR(VLOOKUP(Tabla13[[#This Row],[SISMED]],TblDisponibilidad[],11,FALSE), 0)</f>
        <v>0</v>
      </c>
      <c r="H228">
        <f>IFERROR(VLOOKUP(Tabla13[[#This Row],[SISMED]],TblDisponibilidad[],12,FALSE), 0)</f>
        <v>0</v>
      </c>
      <c r="I228">
        <f>IFERROR(VLOOKUP(Tabla13[[#This Row],[SISMED]],TblDisponibilidad[],13,FALSE), 0)</f>
        <v>0</v>
      </c>
      <c r="J228">
        <f>IFERROR(VLOOKUP(Tabla13[[#This Row],[SISMED]],TblDisponibilidad[],14,FALSE), 0)</f>
        <v>0</v>
      </c>
      <c r="K228">
        <f>IFERROR(VLOOKUP(Tabla13[[#This Row],[SISMED]],TblDisponibilidad[],15,FALSE), 0)</f>
        <v>0</v>
      </c>
      <c r="L228">
        <f>IFERROR(VLOOKUP(Tabla13[[#This Row],[SISMED]],TblDisponibilidad[],16,FALSE), 0)</f>
        <v>0</v>
      </c>
      <c r="M228">
        <f>IFERROR(VLOOKUP(Tabla13[[#This Row],[SISMED]],TblDisponibilidad[],17,FALSE), 0)</f>
        <v>0</v>
      </c>
      <c r="N228">
        <f>IFERROR(VLOOKUP(Tabla13[[#This Row],[SISMED]],TblDisponibilidad[],18,FALSE), 0)</f>
        <v>0</v>
      </c>
      <c r="O228">
        <f>IFERROR(VLOOKUP(Tabla13[[#This Row],[SISMED]],TblDisponibilidad[],19,FALSE), 0)</f>
        <v>0</v>
      </c>
      <c r="P228">
        <f>IFERROR(VLOOKUP(Tabla13[[#This Row],[SISMED]],TblDisponibilidad[],20,FALSE), 0)</f>
        <v>0</v>
      </c>
      <c r="Q228">
        <f>IFERROR(VLOOKUP(Tabla13[[#This Row],[SISMED]],TblDisponibilidad[],21,FALSE), 0)</f>
        <v>0</v>
      </c>
      <c r="R228">
        <f>IFERROR(VLOOKUP(Tabla13[[#This Row],[SISMED]],TblDisponibilidad[],22,FALSE), 0)</f>
        <v>0</v>
      </c>
      <c r="S228" s="15">
        <f>IFERROR(VLOOKUP(Tabla13[[#This Row],[SISMED]],TblDisponibilidad[],23,FALSE), 0)</f>
        <v>0</v>
      </c>
    </row>
    <row r="229" spans="1:19" x14ac:dyDescent="0.3">
      <c r="A229" s="15" t="s">
        <v>259</v>
      </c>
      <c r="B229" t="str">
        <f>IFERROR(VLOOKUP(Tabla13[[#This Row],[SISMED]],TblDisponibilidad[],2,FALSE), "")</f>
        <v/>
      </c>
      <c r="C229">
        <f>IFERROR(VLOOKUP(Tabla13[[#This Row],[SISMED]],TblDisponibilidad[],7,FALSE), 0)</f>
        <v>0</v>
      </c>
      <c r="D229">
        <f>IFERROR(VLOOKUP(Tabla13[[#This Row],[SISMED]],TblDisponibilidad[],8,FALSE), 0)</f>
        <v>0</v>
      </c>
      <c r="E229">
        <f>IFERROR(VLOOKUP(Tabla13[[#This Row],[SISMED]],TblDisponibilidad[],9,FALSE), 0)</f>
        <v>0</v>
      </c>
      <c r="F229">
        <f>IFERROR(VLOOKUP(Tabla13[[#This Row],[SISMED]],TblDisponibilidad[],10,FALSE), 0)</f>
        <v>0</v>
      </c>
      <c r="G229">
        <f>IFERROR(VLOOKUP(Tabla13[[#This Row],[SISMED]],TblDisponibilidad[],11,FALSE), 0)</f>
        <v>0</v>
      </c>
      <c r="H229">
        <f>IFERROR(VLOOKUP(Tabla13[[#This Row],[SISMED]],TblDisponibilidad[],12,FALSE), 0)</f>
        <v>0</v>
      </c>
      <c r="I229">
        <f>IFERROR(VLOOKUP(Tabla13[[#This Row],[SISMED]],TblDisponibilidad[],13,FALSE), 0)</f>
        <v>0</v>
      </c>
      <c r="J229">
        <f>IFERROR(VLOOKUP(Tabla13[[#This Row],[SISMED]],TblDisponibilidad[],14,FALSE), 0)</f>
        <v>0</v>
      </c>
      <c r="K229">
        <f>IFERROR(VLOOKUP(Tabla13[[#This Row],[SISMED]],TblDisponibilidad[],15,FALSE), 0)</f>
        <v>0</v>
      </c>
      <c r="L229">
        <f>IFERROR(VLOOKUP(Tabla13[[#This Row],[SISMED]],TblDisponibilidad[],16,FALSE), 0)</f>
        <v>0</v>
      </c>
      <c r="M229">
        <f>IFERROR(VLOOKUP(Tabla13[[#This Row],[SISMED]],TblDisponibilidad[],17,FALSE), 0)</f>
        <v>0</v>
      </c>
      <c r="N229">
        <f>IFERROR(VLOOKUP(Tabla13[[#This Row],[SISMED]],TblDisponibilidad[],18,FALSE), 0)</f>
        <v>0</v>
      </c>
      <c r="O229">
        <f>IFERROR(VLOOKUP(Tabla13[[#This Row],[SISMED]],TblDisponibilidad[],19,FALSE), 0)</f>
        <v>0</v>
      </c>
      <c r="P229">
        <f>IFERROR(VLOOKUP(Tabla13[[#This Row],[SISMED]],TblDisponibilidad[],20,FALSE), 0)</f>
        <v>0</v>
      </c>
      <c r="Q229">
        <f>IFERROR(VLOOKUP(Tabla13[[#This Row],[SISMED]],TblDisponibilidad[],21,FALSE), 0)</f>
        <v>0</v>
      </c>
      <c r="R229">
        <f>IFERROR(VLOOKUP(Tabla13[[#This Row],[SISMED]],TblDisponibilidad[],22,FALSE), 0)</f>
        <v>0</v>
      </c>
      <c r="S229" s="15">
        <f>IFERROR(VLOOKUP(Tabla13[[#This Row],[SISMED]],TblDisponibilidad[],23,FALSE), 0)</f>
        <v>0</v>
      </c>
    </row>
    <row r="230" spans="1:19" x14ac:dyDescent="0.3">
      <c r="A230" s="15" t="s">
        <v>260</v>
      </c>
      <c r="B230" t="str">
        <f>IFERROR(VLOOKUP(Tabla13[[#This Row],[SISMED]],TblDisponibilidad[],2,FALSE), "")</f>
        <v/>
      </c>
      <c r="C230">
        <f>IFERROR(VLOOKUP(Tabla13[[#This Row],[SISMED]],TblDisponibilidad[],7,FALSE), 0)</f>
        <v>0</v>
      </c>
      <c r="D230">
        <f>IFERROR(VLOOKUP(Tabla13[[#This Row],[SISMED]],TblDisponibilidad[],8,FALSE), 0)</f>
        <v>0</v>
      </c>
      <c r="E230">
        <f>IFERROR(VLOOKUP(Tabla13[[#This Row],[SISMED]],TblDisponibilidad[],9,FALSE), 0)</f>
        <v>0</v>
      </c>
      <c r="F230">
        <f>IFERROR(VLOOKUP(Tabla13[[#This Row],[SISMED]],TblDisponibilidad[],10,FALSE), 0)</f>
        <v>0</v>
      </c>
      <c r="G230">
        <f>IFERROR(VLOOKUP(Tabla13[[#This Row],[SISMED]],TblDisponibilidad[],11,FALSE), 0)</f>
        <v>0</v>
      </c>
      <c r="H230">
        <f>IFERROR(VLOOKUP(Tabla13[[#This Row],[SISMED]],TblDisponibilidad[],12,FALSE), 0)</f>
        <v>0</v>
      </c>
      <c r="I230">
        <f>IFERROR(VLOOKUP(Tabla13[[#This Row],[SISMED]],TblDisponibilidad[],13,FALSE), 0)</f>
        <v>0</v>
      </c>
      <c r="J230">
        <f>IFERROR(VLOOKUP(Tabla13[[#This Row],[SISMED]],TblDisponibilidad[],14,FALSE), 0)</f>
        <v>0</v>
      </c>
      <c r="K230">
        <f>IFERROR(VLOOKUP(Tabla13[[#This Row],[SISMED]],TblDisponibilidad[],15,FALSE), 0)</f>
        <v>0</v>
      </c>
      <c r="L230">
        <f>IFERROR(VLOOKUP(Tabla13[[#This Row],[SISMED]],TblDisponibilidad[],16,FALSE), 0)</f>
        <v>0</v>
      </c>
      <c r="M230">
        <f>IFERROR(VLOOKUP(Tabla13[[#This Row],[SISMED]],TblDisponibilidad[],17,FALSE), 0)</f>
        <v>0</v>
      </c>
      <c r="N230">
        <f>IFERROR(VLOOKUP(Tabla13[[#This Row],[SISMED]],TblDisponibilidad[],18,FALSE), 0)</f>
        <v>0</v>
      </c>
      <c r="O230">
        <f>IFERROR(VLOOKUP(Tabla13[[#This Row],[SISMED]],TblDisponibilidad[],19,FALSE), 0)</f>
        <v>0</v>
      </c>
      <c r="P230">
        <f>IFERROR(VLOOKUP(Tabla13[[#This Row],[SISMED]],TblDisponibilidad[],20,FALSE), 0)</f>
        <v>0</v>
      </c>
      <c r="Q230">
        <f>IFERROR(VLOOKUP(Tabla13[[#This Row],[SISMED]],TblDisponibilidad[],21,FALSE), 0)</f>
        <v>0</v>
      </c>
      <c r="R230">
        <f>IFERROR(VLOOKUP(Tabla13[[#This Row],[SISMED]],TblDisponibilidad[],22,FALSE), 0)</f>
        <v>0</v>
      </c>
      <c r="S230" s="15">
        <f>IFERROR(VLOOKUP(Tabla13[[#This Row],[SISMED]],TblDisponibilidad[],23,FALSE), 0)</f>
        <v>0</v>
      </c>
    </row>
    <row r="231" spans="1:19" x14ac:dyDescent="0.3">
      <c r="A231" s="15" t="s">
        <v>261</v>
      </c>
      <c r="B231" t="str">
        <f>IFERROR(VLOOKUP(Tabla13[[#This Row],[SISMED]],TblDisponibilidad[],2,FALSE), "")</f>
        <v/>
      </c>
      <c r="C231">
        <f>IFERROR(VLOOKUP(Tabla13[[#This Row],[SISMED]],TblDisponibilidad[],7,FALSE), 0)</f>
        <v>0</v>
      </c>
      <c r="D231">
        <f>IFERROR(VLOOKUP(Tabla13[[#This Row],[SISMED]],TblDisponibilidad[],8,FALSE), 0)</f>
        <v>0</v>
      </c>
      <c r="E231">
        <f>IFERROR(VLOOKUP(Tabla13[[#This Row],[SISMED]],TblDisponibilidad[],9,FALSE), 0)</f>
        <v>0</v>
      </c>
      <c r="F231">
        <f>IFERROR(VLOOKUP(Tabla13[[#This Row],[SISMED]],TblDisponibilidad[],10,FALSE), 0)</f>
        <v>0</v>
      </c>
      <c r="G231">
        <f>IFERROR(VLOOKUP(Tabla13[[#This Row],[SISMED]],TblDisponibilidad[],11,FALSE), 0)</f>
        <v>0</v>
      </c>
      <c r="H231">
        <f>IFERROR(VLOOKUP(Tabla13[[#This Row],[SISMED]],TblDisponibilidad[],12,FALSE), 0)</f>
        <v>0</v>
      </c>
      <c r="I231">
        <f>IFERROR(VLOOKUP(Tabla13[[#This Row],[SISMED]],TblDisponibilidad[],13,FALSE), 0)</f>
        <v>0</v>
      </c>
      <c r="J231">
        <f>IFERROR(VLOOKUP(Tabla13[[#This Row],[SISMED]],TblDisponibilidad[],14,FALSE), 0)</f>
        <v>0</v>
      </c>
      <c r="K231">
        <f>IFERROR(VLOOKUP(Tabla13[[#This Row],[SISMED]],TblDisponibilidad[],15,FALSE), 0)</f>
        <v>0</v>
      </c>
      <c r="L231">
        <f>IFERROR(VLOOKUP(Tabla13[[#This Row],[SISMED]],TblDisponibilidad[],16,FALSE), 0)</f>
        <v>0</v>
      </c>
      <c r="M231">
        <f>IFERROR(VLOOKUP(Tabla13[[#This Row],[SISMED]],TblDisponibilidad[],17,FALSE), 0)</f>
        <v>0</v>
      </c>
      <c r="N231">
        <f>IFERROR(VLOOKUP(Tabla13[[#This Row],[SISMED]],TblDisponibilidad[],18,FALSE), 0)</f>
        <v>0</v>
      </c>
      <c r="O231">
        <f>IFERROR(VLOOKUP(Tabla13[[#This Row],[SISMED]],TblDisponibilidad[],19,FALSE), 0)</f>
        <v>0</v>
      </c>
      <c r="P231">
        <f>IFERROR(VLOOKUP(Tabla13[[#This Row],[SISMED]],TblDisponibilidad[],20,FALSE), 0)</f>
        <v>0</v>
      </c>
      <c r="Q231">
        <f>IFERROR(VLOOKUP(Tabla13[[#This Row],[SISMED]],TblDisponibilidad[],21,FALSE), 0)</f>
        <v>0</v>
      </c>
      <c r="R231">
        <f>IFERROR(VLOOKUP(Tabla13[[#This Row],[SISMED]],TblDisponibilidad[],22,FALSE), 0)</f>
        <v>0</v>
      </c>
      <c r="S231" s="15">
        <f>IFERROR(VLOOKUP(Tabla13[[#This Row],[SISMED]],TblDisponibilidad[],23,FALSE), 0)</f>
        <v>0</v>
      </c>
    </row>
    <row r="232" spans="1:19" x14ac:dyDescent="0.3">
      <c r="A232" s="15" t="s">
        <v>262</v>
      </c>
      <c r="B232" t="str">
        <f>IFERROR(VLOOKUP(Tabla13[[#This Row],[SISMED]],TblDisponibilidad[],2,FALSE), "")</f>
        <v/>
      </c>
      <c r="C232">
        <f>IFERROR(VLOOKUP(Tabla13[[#This Row],[SISMED]],TblDisponibilidad[],7,FALSE), 0)</f>
        <v>0</v>
      </c>
      <c r="D232">
        <f>IFERROR(VLOOKUP(Tabla13[[#This Row],[SISMED]],TblDisponibilidad[],8,FALSE), 0)</f>
        <v>0</v>
      </c>
      <c r="E232">
        <f>IFERROR(VLOOKUP(Tabla13[[#This Row],[SISMED]],TblDisponibilidad[],9,FALSE), 0)</f>
        <v>0</v>
      </c>
      <c r="F232">
        <f>IFERROR(VLOOKUP(Tabla13[[#This Row],[SISMED]],TblDisponibilidad[],10,FALSE), 0)</f>
        <v>0</v>
      </c>
      <c r="G232">
        <f>IFERROR(VLOOKUP(Tabla13[[#This Row],[SISMED]],TblDisponibilidad[],11,FALSE), 0)</f>
        <v>0</v>
      </c>
      <c r="H232">
        <f>IFERROR(VLOOKUP(Tabla13[[#This Row],[SISMED]],TblDisponibilidad[],12,FALSE), 0)</f>
        <v>0</v>
      </c>
      <c r="I232">
        <f>IFERROR(VLOOKUP(Tabla13[[#This Row],[SISMED]],TblDisponibilidad[],13,FALSE), 0)</f>
        <v>0</v>
      </c>
      <c r="J232">
        <f>IFERROR(VLOOKUP(Tabla13[[#This Row],[SISMED]],TblDisponibilidad[],14,FALSE), 0)</f>
        <v>0</v>
      </c>
      <c r="K232">
        <f>IFERROR(VLOOKUP(Tabla13[[#This Row],[SISMED]],TblDisponibilidad[],15,FALSE), 0)</f>
        <v>0</v>
      </c>
      <c r="L232">
        <f>IFERROR(VLOOKUP(Tabla13[[#This Row],[SISMED]],TblDisponibilidad[],16,FALSE), 0)</f>
        <v>0</v>
      </c>
      <c r="M232">
        <f>IFERROR(VLOOKUP(Tabla13[[#This Row],[SISMED]],TblDisponibilidad[],17,FALSE), 0)</f>
        <v>0</v>
      </c>
      <c r="N232">
        <f>IFERROR(VLOOKUP(Tabla13[[#This Row],[SISMED]],TblDisponibilidad[],18,FALSE), 0)</f>
        <v>0</v>
      </c>
      <c r="O232">
        <f>IFERROR(VLOOKUP(Tabla13[[#This Row],[SISMED]],TblDisponibilidad[],19,FALSE), 0)</f>
        <v>0</v>
      </c>
      <c r="P232">
        <f>IFERROR(VLOOKUP(Tabla13[[#This Row],[SISMED]],TblDisponibilidad[],20,FALSE), 0)</f>
        <v>0</v>
      </c>
      <c r="Q232">
        <f>IFERROR(VLOOKUP(Tabla13[[#This Row],[SISMED]],TblDisponibilidad[],21,FALSE), 0)</f>
        <v>0</v>
      </c>
      <c r="R232">
        <f>IFERROR(VLOOKUP(Tabla13[[#This Row],[SISMED]],TblDisponibilidad[],22,FALSE), 0)</f>
        <v>0</v>
      </c>
      <c r="S232" s="15">
        <f>IFERROR(VLOOKUP(Tabla13[[#This Row],[SISMED]],TblDisponibilidad[],23,FALSE), 0)</f>
        <v>0</v>
      </c>
    </row>
    <row r="233" spans="1:19" x14ac:dyDescent="0.3">
      <c r="A233" s="15" t="s">
        <v>263</v>
      </c>
      <c r="B233" t="str">
        <f>IFERROR(VLOOKUP(Tabla13[[#This Row],[SISMED]],TblDisponibilidad[],2,FALSE), "")</f>
        <v/>
      </c>
      <c r="C233">
        <f>IFERROR(VLOOKUP(Tabla13[[#This Row],[SISMED]],TblDisponibilidad[],7,FALSE), 0)</f>
        <v>0</v>
      </c>
      <c r="D233">
        <f>IFERROR(VLOOKUP(Tabla13[[#This Row],[SISMED]],TblDisponibilidad[],8,FALSE), 0)</f>
        <v>0</v>
      </c>
      <c r="E233">
        <f>IFERROR(VLOOKUP(Tabla13[[#This Row],[SISMED]],TblDisponibilidad[],9,FALSE), 0)</f>
        <v>0</v>
      </c>
      <c r="F233">
        <f>IFERROR(VLOOKUP(Tabla13[[#This Row],[SISMED]],TblDisponibilidad[],10,FALSE), 0)</f>
        <v>0</v>
      </c>
      <c r="G233">
        <f>IFERROR(VLOOKUP(Tabla13[[#This Row],[SISMED]],TblDisponibilidad[],11,FALSE), 0)</f>
        <v>0</v>
      </c>
      <c r="H233">
        <f>IFERROR(VLOOKUP(Tabla13[[#This Row],[SISMED]],TblDisponibilidad[],12,FALSE), 0)</f>
        <v>0</v>
      </c>
      <c r="I233">
        <f>IFERROR(VLOOKUP(Tabla13[[#This Row],[SISMED]],TblDisponibilidad[],13,FALSE), 0)</f>
        <v>0</v>
      </c>
      <c r="J233">
        <f>IFERROR(VLOOKUP(Tabla13[[#This Row],[SISMED]],TblDisponibilidad[],14,FALSE), 0)</f>
        <v>0</v>
      </c>
      <c r="K233">
        <f>IFERROR(VLOOKUP(Tabla13[[#This Row],[SISMED]],TblDisponibilidad[],15,FALSE), 0)</f>
        <v>0</v>
      </c>
      <c r="L233">
        <f>IFERROR(VLOOKUP(Tabla13[[#This Row],[SISMED]],TblDisponibilidad[],16,FALSE), 0)</f>
        <v>0</v>
      </c>
      <c r="M233">
        <f>IFERROR(VLOOKUP(Tabla13[[#This Row],[SISMED]],TblDisponibilidad[],17,FALSE), 0)</f>
        <v>0</v>
      </c>
      <c r="N233">
        <f>IFERROR(VLOOKUP(Tabla13[[#This Row],[SISMED]],TblDisponibilidad[],18,FALSE), 0)</f>
        <v>0</v>
      </c>
      <c r="O233">
        <f>IFERROR(VLOOKUP(Tabla13[[#This Row],[SISMED]],TblDisponibilidad[],19,FALSE), 0)</f>
        <v>0</v>
      </c>
      <c r="P233">
        <f>IFERROR(VLOOKUP(Tabla13[[#This Row],[SISMED]],TblDisponibilidad[],20,FALSE), 0)</f>
        <v>0</v>
      </c>
      <c r="Q233">
        <f>IFERROR(VLOOKUP(Tabla13[[#This Row],[SISMED]],TblDisponibilidad[],21,FALSE), 0)</f>
        <v>0</v>
      </c>
      <c r="R233">
        <f>IFERROR(VLOOKUP(Tabla13[[#This Row],[SISMED]],TblDisponibilidad[],22,FALSE), 0)</f>
        <v>0</v>
      </c>
      <c r="S233" s="15">
        <f>IFERROR(VLOOKUP(Tabla13[[#This Row],[SISMED]],TblDisponibilidad[],23,FALSE), 0)</f>
        <v>0</v>
      </c>
    </row>
    <row r="234" spans="1:19" x14ac:dyDescent="0.3">
      <c r="A234" s="15" t="s">
        <v>264</v>
      </c>
      <c r="B234" t="str">
        <f>IFERROR(VLOOKUP(Tabla13[[#This Row],[SISMED]],TblDisponibilidad[],2,FALSE), "")</f>
        <v/>
      </c>
      <c r="C234">
        <f>IFERROR(VLOOKUP(Tabla13[[#This Row],[SISMED]],TblDisponibilidad[],7,FALSE), 0)</f>
        <v>0</v>
      </c>
      <c r="D234">
        <f>IFERROR(VLOOKUP(Tabla13[[#This Row],[SISMED]],TblDisponibilidad[],8,FALSE), 0)</f>
        <v>0</v>
      </c>
      <c r="E234">
        <f>IFERROR(VLOOKUP(Tabla13[[#This Row],[SISMED]],TblDisponibilidad[],9,FALSE), 0)</f>
        <v>0</v>
      </c>
      <c r="F234">
        <f>IFERROR(VLOOKUP(Tabla13[[#This Row],[SISMED]],TblDisponibilidad[],10,FALSE), 0)</f>
        <v>0</v>
      </c>
      <c r="G234">
        <f>IFERROR(VLOOKUP(Tabla13[[#This Row],[SISMED]],TblDisponibilidad[],11,FALSE), 0)</f>
        <v>0</v>
      </c>
      <c r="H234">
        <f>IFERROR(VLOOKUP(Tabla13[[#This Row],[SISMED]],TblDisponibilidad[],12,FALSE), 0)</f>
        <v>0</v>
      </c>
      <c r="I234">
        <f>IFERROR(VLOOKUP(Tabla13[[#This Row],[SISMED]],TblDisponibilidad[],13,FALSE), 0)</f>
        <v>0</v>
      </c>
      <c r="J234">
        <f>IFERROR(VLOOKUP(Tabla13[[#This Row],[SISMED]],TblDisponibilidad[],14,FALSE), 0)</f>
        <v>0</v>
      </c>
      <c r="K234">
        <f>IFERROR(VLOOKUP(Tabla13[[#This Row],[SISMED]],TblDisponibilidad[],15,FALSE), 0)</f>
        <v>0</v>
      </c>
      <c r="L234">
        <f>IFERROR(VLOOKUP(Tabla13[[#This Row],[SISMED]],TblDisponibilidad[],16,FALSE), 0)</f>
        <v>0</v>
      </c>
      <c r="M234">
        <f>IFERROR(VLOOKUP(Tabla13[[#This Row],[SISMED]],TblDisponibilidad[],17,FALSE), 0)</f>
        <v>0</v>
      </c>
      <c r="N234">
        <f>IFERROR(VLOOKUP(Tabla13[[#This Row],[SISMED]],TblDisponibilidad[],18,FALSE), 0)</f>
        <v>0</v>
      </c>
      <c r="O234">
        <f>IFERROR(VLOOKUP(Tabla13[[#This Row],[SISMED]],TblDisponibilidad[],19,FALSE), 0)</f>
        <v>0</v>
      </c>
      <c r="P234">
        <f>IFERROR(VLOOKUP(Tabla13[[#This Row],[SISMED]],TblDisponibilidad[],20,FALSE), 0)</f>
        <v>0</v>
      </c>
      <c r="Q234">
        <f>IFERROR(VLOOKUP(Tabla13[[#This Row],[SISMED]],TblDisponibilidad[],21,FALSE), 0)</f>
        <v>0</v>
      </c>
      <c r="R234">
        <f>IFERROR(VLOOKUP(Tabla13[[#This Row],[SISMED]],TblDisponibilidad[],22,FALSE), 0)</f>
        <v>0</v>
      </c>
      <c r="S234" s="15">
        <f>IFERROR(VLOOKUP(Tabla13[[#This Row],[SISMED]],TblDisponibilidad[],23,FALSE), 0)</f>
        <v>0</v>
      </c>
    </row>
    <row r="235" spans="1:19" x14ac:dyDescent="0.3">
      <c r="A235" s="15" t="s">
        <v>265</v>
      </c>
      <c r="B235" t="str">
        <f>IFERROR(VLOOKUP(Tabla13[[#This Row],[SISMED]],TblDisponibilidad[],2,FALSE), "")</f>
        <v/>
      </c>
      <c r="C235">
        <f>IFERROR(VLOOKUP(Tabla13[[#This Row],[SISMED]],TblDisponibilidad[],7,FALSE), 0)</f>
        <v>0</v>
      </c>
      <c r="D235">
        <f>IFERROR(VLOOKUP(Tabla13[[#This Row],[SISMED]],TblDisponibilidad[],8,FALSE), 0)</f>
        <v>0</v>
      </c>
      <c r="E235">
        <f>IFERROR(VLOOKUP(Tabla13[[#This Row],[SISMED]],TblDisponibilidad[],9,FALSE), 0)</f>
        <v>0</v>
      </c>
      <c r="F235">
        <f>IFERROR(VLOOKUP(Tabla13[[#This Row],[SISMED]],TblDisponibilidad[],10,FALSE), 0)</f>
        <v>0</v>
      </c>
      <c r="G235">
        <f>IFERROR(VLOOKUP(Tabla13[[#This Row],[SISMED]],TblDisponibilidad[],11,FALSE), 0)</f>
        <v>0</v>
      </c>
      <c r="H235">
        <f>IFERROR(VLOOKUP(Tabla13[[#This Row],[SISMED]],TblDisponibilidad[],12,FALSE), 0)</f>
        <v>0</v>
      </c>
      <c r="I235">
        <f>IFERROR(VLOOKUP(Tabla13[[#This Row],[SISMED]],TblDisponibilidad[],13,FALSE), 0)</f>
        <v>0</v>
      </c>
      <c r="J235">
        <f>IFERROR(VLOOKUP(Tabla13[[#This Row],[SISMED]],TblDisponibilidad[],14,FALSE), 0)</f>
        <v>0</v>
      </c>
      <c r="K235">
        <f>IFERROR(VLOOKUP(Tabla13[[#This Row],[SISMED]],TblDisponibilidad[],15,FALSE), 0)</f>
        <v>0</v>
      </c>
      <c r="L235">
        <f>IFERROR(VLOOKUP(Tabla13[[#This Row],[SISMED]],TblDisponibilidad[],16,FALSE), 0)</f>
        <v>0</v>
      </c>
      <c r="M235">
        <f>IFERROR(VLOOKUP(Tabla13[[#This Row],[SISMED]],TblDisponibilidad[],17,FALSE), 0)</f>
        <v>0</v>
      </c>
      <c r="N235">
        <f>IFERROR(VLOOKUP(Tabla13[[#This Row],[SISMED]],TblDisponibilidad[],18,FALSE), 0)</f>
        <v>0</v>
      </c>
      <c r="O235">
        <f>IFERROR(VLOOKUP(Tabla13[[#This Row],[SISMED]],TblDisponibilidad[],19,FALSE), 0)</f>
        <v>0</v>
      </c>
      <c r="P235">
        <f>IFERROR(VLOOKUP(Tabla13[[#This Row],[SISMED]],TblDisponibilidad[],20,FALSE), 0)</f>
        <v>0</v>
      </c>
      <c r="Q235">
        <f>IFERROR(VLOOKUP(Tabla13[[#This Row],[SISMED]],TblDisponibilidad[],21,FALSE), 0)</f>
        <v>0</v>
      </c>
      <c r="R235">
        <f>IFERROR(VLOOKUP(Tabla13[[#This Row],[SISMED]],TblDisponibilidad[],22,FALSE), 0)</f>
        <v>0</v>
      </c>
      <c r="S235" s="15">
        <f>IFERROR(VLOOKUP(Tabla13[[#This Row],[SISMED]],TblDisponibilidad[],23,FALSE), 0)</f>
        <v>0</v>
      </c>
    </row>
    <row r="236" spans="1:19" x14ac:dyDescent="0.3">
      <c r="A236" s="15" t="s">
        <v>266</v>
      </c>
      <c r="B236" t="str">
        <f>IFERROR(VLOOKUP(Tabla13[[#This Row],[SISMED]],TblDisponibilidad[],2,FALSE), "")</f>
        <v/>
      </c>
      <c r="C236">
        <f>IFERROR(VLOOKUP(Tabla13[[#This Row],[SISMED]],TblDisponibilidad[],7,FALSE), 0)</f>
        <v>0</v>
      </c>
      <c r="D236">
        <f>IFERROR(VLOOKUP(Tabla13[[#This Row],[SISMED]],TblDisponibilidad[],8,FALSE), 0)</f>
        <v>0</v>
      </c>
      <c r="E236">
        <f>IFERROR(VLOOKUP(Tabla13[[#This Row],[SISMED]],TblDisponibilidad[],9,FALSE), 0)</f>
        <v>0</v>
      </c>
      <c r="F236">
        <f>IFERROR(VLOOKUP(Tabla13[[#This Row],[SISMED]],TblDisponibilidad[],10,FALSE), 0)</f>
        <v>0</v>
      </c>
      <c r="G236">
        <f>IFERROR(VLOOKUP(Tabla13[[#This Row],[SISMED]],TblDisponibilidad[],11,FALSE), 0)</f>
        <v>0</v>
      </c>
      <c r="H236">
        <f>IFERROR(VLOOKUP(Tabla13[[#This Row],[SISMED]],TblDisponibilidad[],12,FALSE), 0)</f>
        <v>0</v>
      </c>
      <c r="I236">
        <f>IFERROR(VLOOKUP(Tabla13[[#This Row],[SISMED]],TblDisponibilidad[],13,FALSE), 0)</f>
        <v>0</v>
      </c>
      <c r="J236">
        <f>IFERROR(VLOOKUP(Tabla13[[#This Row],[SISMED]],TblDisponibilidad[],14,FALSE), 0)</f>
        <v>0</v>
      </c>
      <c r="K236">
        <f>IFERROR(VLOOKUP(Tabla13[[#This Row],[SISMED]],TblDisponibilidad[],15,FALSE), 0)</f>
        <v>0</v>
      </c>
      <c r="L236">
        <f>IFERROR(VLOOKUP(Tabla13[[#This Row],[SISMED]],TblDisponibilidad[],16,FALSE), 0)</f>
        <v>0</v>
      </c>
      <c r="M236">
        <f>IFERROR(VLOOKUP(Tabla13[[#This Row],[SISMED]],TblDisponibilidad[],17,FALSE), 0)</f>
        <v>0</v>
      </c>
      <c r="N236">
        <f>IFERROR(VLOOKUP(Tabla13[[#This Row],[SISMED]],TblDisponibilidad[],18,FALSE), 0)</f>
        <v>0</v>
      </c>
      <c r="O236">
        <f>IFERROR(VLOOKUP(Tabla13[[#This Row],[SISMED]],TblDisponibilidad[],19,FALSE), 0)</f>
        <v>0</v>
      </c>
      <c r="P236">
        <f>IFERROR(VLOOKUP(Tabla13[[#This Row],[SISMED]],TblDisponibilidad[],20,FALSE), 0)</f>
        <v>0</v>
      </c>
      <c r="Q236">
        <f>IFERROR(VLOOKUP(Tabla13[[#This Row],[SISMED]],TblDisponibilidad[],21,FALSE), 0)</f>
        <v>0</v>
      </c>
      <c r="R236">
        <f>IFERROR(VLOOKUP(Tabla13[[#This Row],[SISMED]],TblDisponibilidad[],22,FALSE), 0)</f>
        <v>0</v>
      </c>
      <c r="S236" s="15">
        <f>IFERROR(VLOOKUP(Tabla13[[#This Row],[SISMED]],TblDisponibilidad[],23,FALSE), 0)</f>
        <v>0</v>
      </c>
    </row>
    <row r="237" spans="1:19" x14ac:dyDescent="0.3">
      <c r="A237" s="15" t="s">
        <v>267</v>
      </c>
      <c r="B237" t="str">
        <f>IFERROR(VLOOKUP(Tabla13[[#This Row],[SISMED]],TblDisponibilidad[],2,FALSE), "")</f>
        <v/>
      </c>
      <c r="C237">
        <f>IFERROR(VLOOKUP(Tabla13[[#This Row],[SISMED]],TblDisponibilidad[],7,FALSE), 0)</f>
        <v>0</v>
      </c>
      <c r="D237">
        <f>IFERROR(VLOOKUP(Tabla13[[#This Row],[SISMED]],TblDisponibilidad[],8,FALSE), 0)</f>
        <v>0</v>
      </c>
      <c r="E237">
        <f>IFERROR(VLOOKUP(Tabla13[[#This Row],[SISMED]],TblDisponibilidad[],9,FALSE), 0)</f>
        <v>0</v>
      </c>
      <c r="F237">
        <f>IFERROR(VLOOKUP(Tabla13[[#This Row],[SISMED]],TblDisponibilidad[],10,FALSE), 0)</f>
        <v>0</v>
      </c>
      <c r="G237">
        <f>IFERROR(VLOOKUP(Tabla13[[#This Row],[SISMED]],TblDisponibilidad[],11,FALSE), 0)</f>
        <v>0</v>
      </c>
      <c r="H237">
        <f>IFERROR(VLOOKUP(Tabla13[[#This Row],[SISMED]],TblDisponibilidad[],12,FALSE), 0)</f>
        <v>0</v>
      </c>
      <c r="I237">
        <f>IFERROR(VLOOKUP(Tabla13[[#This Row],[SISMED]],TblDisponibilidad[],13,FALSE), 0)</f>
        <v>0</v>
      </c>
      <c r="J237">
        <f>IFERROR(VLOOKUP(Tabla13[[#This Row],[SISMED]],TblDisponibilidad[],14,FALSE), 0)</f>
        <v>0</v>
      </c>
      <c r="K237">
        <f>IFERROR(VLOOKUP(Tabla13[[#This Row],[SISMED]],TblDisponibilidad[],15,FALSE), 0)</f>
        <v>0</v>
      </c>
      <c r="L237">
        <f>IFERROR(VLOOKUP(Tabla13[[#This Row],[SISMED]],TblDisponibilidad[],16,FALSE), 0)</f>
        <v>0</v>
      </c>
      <c r="M237">
        <f>IFERROR(VLOOKUP(Tabla13[[#This Row],[SISMED]],TblDisponibilidad[],17,FALSE), 0)</f>
        <v>0</v>
      </c>
      <c r="N237">
        <f>IFERROR(VLOOKUP(Tabla13[[#This Row],[SISMED]],TblDisponibilidad[],18,FALSE), 0)</f>
        <v>0</v>
      </c>
      <c r="O237">
        <f>IFERROR(VLOOKUP(Tabla13[[#This Row],[SISMED]],TblDisponibilidad[],19,FALSE), 0)</f>
        <v>0</v>
      </c>
      <c r="P237">
        <f>IFERROR(VLOOKUP(Tabla13[[#This Row],[SISMED]],TblDisponibilidad[],20,FALSE), 0)</f>
        <v>0</v>
      </c>
      <c r="Q237">
        <f>IFERROR(VLOOKUP(Tabla13[[#This Row],[SISMED]],TblDisponibilidad[],21,FALSE), 0)</f>
        <v>0</v>
      </c>
      <c r="R237">
        <f>IFERROR(VLOOKUP(Tabla13[[#This Row],[SISMED]],TblDisponibilidad[],22,FALSE), 0)</f>
        <v>0</v>
      </c>
      <c r="S237" s="15">
        <f>IFERROR(VLOOKUP(Tabla13[[#This Row],[SISMED]],TblDisponibilidad[],23,FALSE), 0)</f>
        <v>0</v>
      </c>
    </row>
    <row r="238" spans="1:19" x14ac:dyDescent="0.3">
      <c r="A238" s="15" t="s">
        <v>268</v>
      </c>
      <c r="B238" t="str">
        <f>IFERROR(VLOOKUP(Tabla13[[#This Row],[SISMED]],TblDisponibilidad[],2,FALSE), "")</f>
        <v/>
      </c>
      <c r="C238">
        <f>IFERROR(VLOOKUP(Tabla13[[#This Row],[SISMED]],TblDisponibilidad[],7,FALSE), 0)</f>
        <v>0</v>
      </c>
      <c r="D238">
        <f>IFERROR(VLOOKUP(Tabla13[[#This Row],[SISMED]],TblDisponibilidad[],8,FALSE), 0)</f>
        <v>0</v>
      </c>
      <c r="E238">
        <f>IFERROR(VLOOKUP(Tabla13[[#This Row],[SISMED]],TblDisponibilidad[],9,FALSE), 0)</f>
        <v>0</v>
      </c>
      <c r="F238">
        <f>IFERROR(VLOOKUP(Tabla13[[#This Row],[SISMED]],TblDisponibilidad[],10,FALSE), 0)</f>
        <v>0</v>
      </c>
      <c r="G238">
        <f>IFERROR(VLOOKUP(Tabla13[[#This Row],[SISMED]],TblDisponibilidad[],11,FALSE), 0)</f>
        <v>0</v>
      </c>
      <c r="H238">
        <f>IFERROR(VLOOKUP(Tabla13[[#This Row],[SISMED]],TblDisponibilidad[],12,FALSE), 0)</f>
        <v>0</v>
      </c>
      <c r="I238">
        <f>IFERROR(VLOOKUP(Tabla13[[#This Row],[SISMED]],TblDisponibilidad[],13,FALSE), 0)</f>
        <v>0</v>
      </c>
      <c r="J238">
        <f>IFERROR(VLOOKUP(Tabla13[[#This Row],[SISMED]],TblDisponibilidad[],14,FALSE), 0)</f>
        <v>0</v>
      </c>
      <c r="K238">
        <f>IFERROR(VLOOKUP(Tabla13[[#This Row],[SISMED]],TblDisponibilidad[],15,FALSE), 0)</f>
        <v>0</v>
      </c>
      <c r="L238">
        <f>IFERROR(VLOOKUP(Tabla13[[#This Row],[SISMED]],TblDisponibilidad[],16,FALSE), 0)</f>
        <v>0</v>
      </c>
      <c r="M238">
        <f>IFERROR(VLOOKUP(Tabla13[[#This Row],[SISMED]],TblDisponibilidad[],17,FALSE), 0)</f>
        <v>0</v>
      </c>
      <c r="N238">
        <f>IFERROR(VLOOKUP(Tabla13[[#This Row],[SISMED]],TblDisponibilidad[],18,FALSE), 0)</f>
        <v>0</v>
      </c>
      <c r="O238">
        <f>IFERROR(VLOOKUP(Tabla13[[#This Row],[SISMED]],TblDisponibilidad[],19,FALSE), 0)</f>
        <v>0</v>
      </c>
      <c r="P238">
        <f>IFERROR(VLOOKUP(Tabla13[[#This Row],[SISMED]],TblDisponibilidad[],20,FALSE), 0)</f>
        <v>0</v>
      </c>
      <c r="Q238">
        <f>IFERROR(VLOOKUP(Tabla13[[#This Row],[SISMED]],TblDisponibilidad[],21,FALSE), 0)</f>
        <v>0</v>
      </c>
      <c r="R238">
        <f>IFERROR(VLOOKUP(Tabla13[[#This Row],[SISMED]],TblDisponibilidad[],22,FALSE), 0)</f>
        <v>0</v>
      </c>
      <c r="S238" s="15">
        <f>IFERROR(VLOOKUP(Tabla13[[#This Row],[SISMED]],TblDisponibilidad[],23,FALSE), 0)</f>
        <v>0</v>
      </c>
    </row>
    <row r="239" spans="1:19" x14ac:dyDescent="0.3">
      <c r="A239" s="15" t="s">
        <v>269</v>
      </c>
      <c r="B239" t="str">
        <f>IFERROR(VLOOKUP(Tabla13[[#This Row],[SISMED]],TblDisponibilidad[],2,FALSE), "")</f>
        <v/>
      </c>
      <c r="C239">
        <f>IFERROR(VLOOKUP(Tabla13[[#This Row],[SISMED]],TblDisponibilidad[],7,FALSE), 0)</f>
        <v>0</v>
      </c>
      <c r="D239">
        <f>IFERROR(VLOOKUP(Tabla13[[#This Row],[SISMED]],TblDisponibilidad[],8,FALSE), 0)</f>
        <v>0</v>
      </c>
      <c r="E239">
        <f>IFERROR(VLOOKUP(Tabla13[[#This Row],[SISMED]],TblDisponibilidad[],9,FALSE), 0)</f>
        <v>0</v>
      </c>
      <c r="F239">
        <f>IFERROR(VLOOKUP(Tabla13[[#This Row],[SISMED]],TblDisponibilidad[],10,FALSE), 0)</f>
        <v>0</v>
      </c>
      <c r="G239">
        <f>IFERROR(VLOOKUP(Tabla13[[#This Row],[SISMED]],TblDisponibilidad[],11,FALSE), 0)</f>
        <v>0</v>
      </c>
      <c r="H239">
        <f>IFERROR(VLOOKUP(Tabla13[[#This Row],[SISMED]],TblDisponibilidad[],12,FALSE), 0)</f>
        <v>0</v>
      </c>
      <c r="I239">
        <f>IFERROR(VLOOKUP(Tabla13[[#This Row],[SISMED]],TblDisponibilidad[],13,FALSE), 0)</f>
        <v>0</v>
      </c>
      <c r="J239">
        <f>IFERROR(VLOOKUP(Tabla13[[#This Row],[SISMED]],TblDisponibilidad[],14,FALSE), 0)</f>
        <v>0</v>
      </c>
      <c r="K239">
        <f>IFERROR(VLOOKUP(Tabla13[[#This Row],[SISMED]],TblDisponibilidad[],15,FALSE), 0)</f>
        <v>0</v>
      </c>
      <c r="L239">
        <f>IFERROR(VLOOKUP(Tabla13[[#This Row],[SISMED]],TblDisponibilidad[],16,FALSE), 0)</f>
        <v>0</v>
      </c>
      <c r="M239">
        <f>IFERROR(VLOOKUP(Tabla13[[#This Row],[SISMED]],TblDisponibilidad[],17,FALSE), 0)</f>
        <v>0</v>
      </c>
      <c r="N239">
        <f>IFERROR(VLOOKUP(Tabla13[[#This Row],[SISMED]],TblDisponibilidad[],18,FALSE), 0)</f>
        <v>0</v>
      </c>
      <c r="O239">
        <f>IFERROR(VLOOKUP(Tabla13[[#This Row],[SISMED]],TblDisponibilidad[],19,FALSE), 0)</f>
        <v>0</v>
      </c>
      <c r="P239">
        <f>IFERROR(VLOOKUP(Tabla13[[#This Row],[SISMED]],TblDisponibilidad[],20,FALSE), 0)</f>
        <v>0</v>
      </c>
      <c r="Q239">
        <f>IFERROR(VLOOKUP(Tabla13[[#This Row],[SISMED]],TblDisponibilidad[],21,FALSE), 0)</f>
        <v>0</v>
      </c>
      <c r="R239">
        <f>IFERROR(VLOOKUP(Tabla13[[#This Row],[SISMED]],TblDisponibilidad[],22,FALSE), 0)</f>
        <v>0</v>
      </c>
      <c r="S239" s="15">
        <f>IFERROR(VLOOKUP(Tabla13[[#This Row],[SISMED]],TblDisponibilidad[],23,FALSE), 0)</f>
        <v>0</v>
      </c>
    </row>
    <row r="240" spans="1:19" x14ac:dyDescent="0.3">
      <c r="A240" s="15" t="s">
        <v>270</v>
      </c>
      <c r="B240" t="str">
        <f>IFERROR(VLOOKUP(Tabla13[[#This Row],[SISMED]],TblDisponibilidad[],2,FALSE), "")</f>
        <v/>
      </c>
      <c r="C240">
        <f>IFERROR(VLOOKUP(Tabla13[[#This Row],[SISMED]],TblDisponibilidad[],7,FALSE), 0)</f>
        <v>0</v>
      </c>
      <c r="D240">
        <f>IFERROR(VLOOKUP(Tabla13[[#This Row],[SISMED]],TblDisponibilidad[],8,FALSE), 0)</f>
        <v>0</v>
      </c>
      <c r="E240">
        <f>IFERROR(VLOOKUP(Tabla13[[#This Row],[SISMED]],TblDisponibilidad[],9,FALSE), 0)</f>
        <v>0</v>
      </c>
      <c r="F240">
        <f>IFERROR(VLOOKUP(Tabla13[[#This Row],[SISMED]],TblDisponibilidad[],10,FALSE), 0)</f>
        <v>0</v>
      </c>
      <c r="G240">
        <f>IFERROR(VLOOKUP(Tabla13[[#This Row],[SISMED]],TblDisponibilidad[],11,FALSE), 0)</f>
        <v>0</v>
      </c>
      <c r="H240">
        <f>IFERROR(VLOOKUP(Tabla13[[#This Row],[SISMED]],TblDisponibilidad[],12,FALSE), 0)</f>
        <v>0</v>
      </c>
      <c r="I240">
        <f>IFERROR(VLOOKUP(Tabla13[[#This Row],[SISMED]],TblDisponibilidad[],13,FALSE), 0)</f>
        <v>0</v>
      </c>
      <c r="J240">
        <f>IFERROR(VLOOKUP(Tabla13[[#This Row],[SISMED]],TblDisponibilidad[],14,FALSE), 0)</f>
        <v>0</v>
      </c>
      <c r="K240">
        <f>IFERROR(VLOOKUP(Tabla13[[#This Row],[SISMED]],TblDisponibilidad[],15,FALSE), 0)</f>
        <v>0</v>
      </c>
      <c r="L240">
        <f>IFERROR(VLOOKUP(Tabla13[[#This Row],[SISMED]],TblDisponibilidad[],16,FALSE), 0)</f>
        <v>0</v>
      </c>
      <c r="M240">
        <f>IFERROR(VLOOKUP(Tabla13[[#This Row],[SISMED]],TblDisponibilidad[],17,FALSE), 0)</f>
        <v>0</v>
      </c>
      <c r="N240">
        <f>IFERROR(VLOOKUP(Tabla13[[#This Row],[SISMED]],TblDisponibilidad[],18,FALSE), 0)</f>
        <v>0</v>
      </c>
      <c r="O240">
        <f>IFERROR(VLOOKUP(Tabla13[[#This Row],[SISMED]],TblDisponibilidad[],19,FALSE), 0)</f>
        <v>0</v>
      </c>
      <c r="P240">
        <f>IFERROR(VLOOKUP(Tabla13[[#This Row],[SISMED]],TblDisponibilidad[],20,FALSE), 0)</f>
        <v>0</v>
      </c>
      <c r="Q240">
        <f>IFERROR(VLOOKUP(Tabla13[[#This Row],[SISMED]],TblDisponibilidad[],21,FALSE), 0)</f>
        <v>0</v>
      </c>
      <c r="R240">
        <f>IFERROR(VLOOKUP(Tabla13[[#This Row],[SISMED]],TblDisponibilidad[],22,FALSE), 0)</f>
        <v>0</v>
      </c>
      <c r="S240" s="15">
        <f>IFERROR(VLOOKUP(Tabla13[[#This Row],[SISMED]],TblDisponibilidad[],23,FALSE), 0)</f>
        <v>0</v>
      </c>
    </row>
    <row r="241" spans="1:19" x14ac:dyDescent="0.3">
      <c r="A241" s="15" t="s">
        <v>271</v>
      </c>
      <c r="B241" t="str">
        <f>IFERROR(VLOOKUP(Tabla13[[#This Row],[SISMED]],TblDisponibilidad[],2,FALSE), "")</f>
        <v/>
      </c>
      <c r="C241">
        <f>IFERROR(VLOOKUP(Tabla13[[#This Row],[SISMED]],TblDisponibilidad[],7,FALSE), 0)</f>
        <v>0</v>
      </c>
      <c r="D241">
        <f>IFERROR(VLOOKUP(Tabla13[[#This Row],[SISMED]],TblDisponibilidad[],8,FALSE), 0)</f>
        <v>0</v>
      </c>
      <c r="E241">
        <f>IFERROR(VLOOKUP(Tabla13[[#This Row],[SISMED]],TblDisponibilidad[],9,FALSE), 0)</f>
        <v>0</v>
      </c>
      <c r="F241">
        <f>IFERROR(VLOOKUP(Tabla13[[#This Row],[SISMED]],TblDisponibilidad[],10,FALSE), 0)</f>
        <v>0</v>
      </c>
      <c r="G241">
        <f>IFERROR(VLOOKUP(Tabla13[[#This Row],[SISMED]],TblDisponibilidad[],11,FALSE), 0)</f>
        <v>0</v>
      </c>
      <c r="H241">
        <f>IFERROR(VLOOKUP(Tabla13[[#This Row],[SISMED]],TblDisponibilidad[],12,FALSE), 0)</f>
        <v>0</v>
      </c>
      <c r="I241">
        <f>IFERROR(VLOOKUP(Tabla13[[#This Row],[SISMED]],TblDisponibilidad[],13,FALSE), 0)</f>
        <v>0</v>
      </c>
      <c r="J241">
        <f>IFERROR(VLOOKUP(Tabla13[[#This Row],[SISMED]],TblDisponibilidad[],14,FALSE), 0)</f>
        <v>0</v>
      </c>
      <c r="K241">
        <f>IFERROR(VLOOKUP(Tabla13[[#This Row],[SISMED]],TblDisponibilidad[],15,FALSE), 0)</f>
        <v>0</v>
      </c>
      <c r="L241">
        <f>IFERROR(VLOOKUP(Tabla13[[#This Row],[SISMED]],TblDisponibilidad[],16,FALSE), 0)</f>
        <v>0</v>
      </c>
      <c r="M241">
        <f>IFERROR(VLOOKUP(Tabla13[[#This Row],[SISMED]],TblDisponibilidad[],17,FALSE), 0)</f>
        <v>0</v>
      </c>
      <c r="N241">
        <f>IFERROR(VLOOKUP(Tabla13[[#This Row],[SISMED]],TblDisponibilidad[],18,FALSE), 0)</f>
        <v>0</v>
      </c>
      <c r="O241">
        <f>IFERROR(VLOOKUP(Tabla13[[#This Row],[SISMED]],TblDisponibilidad[],19,FALSE), 0)</f>
        <v>0</v>
      </c>
      <c r="P241">
        <f>IFERROR(VLOOKUP(Tabla13[[#This Row],[SISMED]],TblDisponibilidad[],20,FALSE), 0)</f>
        <v>0</v>
      </c>
      <c r="Q241">
        <f>IFERROR(VLOOKUP(Tabla13[[#This Row],[SISMED]],TblDisponibilidad[],21,FALSE), 0)</f>
        <v>0</v>
      </c>
      <c r="R241">
        <f>IFERROR(VLOOKUP(Tabla13[[#This Row],[SISMED]],TblDisponibilidad[],22,FALSE), 0)</f>
        <v>0</v>
      </c>
      <c r="S241" s="15">
        <f>IFERROR(VLOOKUP(Tabla13[[#This Row],[SISMED]],TblDisponibilidad[],23,FALSE), 0)</f>
        <v>0</v>
      </c>
    </row>
    <row r="242" spans="1:19" x14ac:dyDescent="0.3">
      <c r="A242" s="15" t="s">
        <v>272</v>
      </c>
      <c r="B242" t="str">
        <f>IFERROR(VLOOKUP(Tabla13[[#This Row],[SISMED]],TblDisponibilidad[],2,FALSE), "")</f>
        <v/>
      </c>
      <c r="C242">
        <f>IFERROR(VLOOKUP(Tabla13[[#This Row],[SISMED]],TblDisponibilidad[],7,FALSE), 0)</f>
        <v>0</v>
      </c>
      <c r="D242">
        <f>IFERROR(VLOOKUP(Tabla13[[#This Row],[SISMED]],TblDisponibilidad[],8,FALSE), 0)</f>
        <v>0</v>
      </c>
      <c r="E242">
        <f>IFERROR(VLOOKUP(Tabla13[[#This Row],[SISMED]],TblDisponibilidad[],9,FALSE), 0)</f>
        <v>0</v>
      </c>
      <c r="F242">
        <f>IFERROR(VLOOKUP(Tabla13[[#This Row],[SISMED]],TblDisponibilidad[],10,FALSE), 0)</f>
        <v>0</v>
      </c>
      <c r="G242">
        <f>IFERROR(VLOOKUP(Tabla13[[#This Row],[SISMED]],TblDisponibilidad[],11,FALSE), 0)</f>
        <v>0</v>
      </c>
      <c r="H242">
        <f>IFERROR(VLOOKUP(Tabla13[[#This Row],[SISMED]],TblDisponibilidad[],12,FALSE), 0)</f>
        <v>0</v>
      </c>
      <c r="I242">
        <f>IFERROR(VLOOKUP(Tabla13[[#This Row],[SISMED]],TblDisponibilidad[],13,FALSE), 0)</f>
        <v>0</v>
      </c>
      <c r="J242">
        <f>IFERROR(VLOOKUP(Tabla13[[#This Row],[SISMED]],TblDisponibilidad[],14,FALSE), 0)</f>
        <v>0</v>
      </c>
      <c r="K242">
        <f>IFERROR(VLOOKUP(Tabla13[[#This Row],[SISMED]],TblDisponibilidad[],15,FALSE), 0)</f>
        <v>0</v>
      </c>
      <c r="L242">
        <f>IFERROR(VLOOKUP(Tabla13[[#This Row],[SISMED]],TblDisponibilidad[],16,FALSE), 0)</f>
        <v>0</v>
      </c>
      <c r="M242">
        <f>IFERROR(VLOOKUP(Tabla13[[#This Row],[SISMED]],TblDisponibilidad[],17,FALSE), 0)</f>
        <v>0</v>
      </c>
      <c r="N242">
        <f>IFERROR(VLOOKUP(Tabla13[[#This Row],[SISMED]],TblDisponibilidad[],18,FALSE), 0)</f>
        <v>0</v>
      </c>
      <c r="O242">
        <f>IFERROR(VLOOKUP(Tabla13[[#This Row],[SISMED]],TblDisponibilidad[],19,FALSE), 0)</f>
        <v>0</v>
      </c>
      <c r="P242">
        <f>IFERROR(VLOOKUP(Tabla13[[#This Row],[SISMED]],TblDisponibilidad[],20,FALSE), 0)</f>
        <v>0</v>
      </c>
      <c r="Q242">
        <f>IFERROR(VLOOKUP(Tabla13[[#This Row],[SISMED]],TblDisponibilidad[],21,FALSE), 0)</f>
        <v>0</v>
      </c>
      <c r="R242">
        <f>IFERROR(VLOOKUP(Tabla13[[#This Row],[SISMED]],TblDisponibilidad[],22,FALSE), 0)</f>
        <v>0</v>
      </c>
      <c r="S242" s="15">
        <f>IFERROR(VLOOKUP(Tabla13[[#This Row],[SISMED]],TblDisponibilidad[],23,FALSE), 0)</f>
        <v>0</v>
      </c>
    </row>
    <row r="243" spans="1:19" x14ac:dyDescent="0.3">
      <c r="A243" s="15" t="s">
        <v>273</v>
      </c>
      <c r="B243" t="str">
        <f>IFERROR(VLOOKUP(Tabla13[[#This Row],[SISMED]],TblDisponibilidad[],2,FALSE), "")</f>
        <v/>
      </c>
      <c r="C243">
        <f>IFERROR(VLOOKUP(Tabla13[[#This Row],[SISMED]],TblDisponibilidad[],7,FALSE), 0)</f>
        <v>0</v>
      </c>
      <c r="D243">
        <f>IFERROR(VLOOKUP(Tabla13[[#This Row],[SISMED]],TblDisponibilidad[],8,FALSE), 0)</f>
        <v>0</v>
      </c>
      <c r="E243">
        <f>IFERROR(VLOOKUP(Tabla13[[#This Row],[SISMED]],TblDisponibilidad[],9,FALSE), 0)</f>
        <v>0</v>
      </c>
      <c r="F243">
        <f>IFERROR(VLOOKUP(Tabla13[[#This Row],[SISMED]],TblDisponibilidad[],10,FALSE), 0)</f>
        <v>0</v>
      </c>
      <c r="G243">
        <f>IFERROR(VLOOKUP(Tabla13[[#This Row],[SISMED]],TblDisponibilidad[],11,FALSE), 0)</f>
        <v>0</v>
      </c>
      <c r="H243">
        <f>IFERROR(VLOOKUP(Tabla13[[#This Row],[SISMED]],TblDisponibilidad[],12,FALSE), 0)</f>
        <v>0</v>
      </c>
      <c r="I243">
        <f>IFERROR(VLOOKUP(Tabla13[[#This Row],[SISMED]],TblDisponibilidad[],13,FALSE), 0)</f>
        <v>0</v>
      </c>
      <c r="J243">
        <f>IFERROR(VLOOKUP(Tabla13[[#This Row],[SISMED]],TblDisponibilidad[],14,FALSE), 0)</f>
        <v>0</v>
      </c>
      <c r="K243">
        <f>IFERROR(VLOOKUP(Tabla13[[#This Row],[SISMED]],TblDisponibilidad[],15,FALSE), 0)</f>
        <v>0</v>
      </c>
      <c r="L243">
        <f>IFERROR(VLOOKUP(Tabla13[[#This Row],[SISMED]],TblDisponibilidad[],16,FALSE), 0)</f>
        <v>0</v>
      </c>
      <c r="M243">
        <f>IFERROR(VLOOKUP(Tabla13[[#This Row],[SISMED]],TblDisponibilidad[],17,FALSE), 0)</f>
        <v>0</v>
      </c>
      <c r="N243">
        <f>IFERROR(VLOOKUP(Tabla13[[#This Row],[SISMED]],TblDisponibilidad[],18,FALSE), 0)</f>
        <v>0</v>
      </c>
      <c r="O243">
        <f>IFERROR(VLOOKUP(Tabla13[[#This Row],[SISMED]],TblDisponibilidad[],19,FALSE), 0)</f>
        <v>0</v>
      </c>
      <c r="P243">
        <f>IFERROR(VLOOKUP(Tabla13[[#This Row],[SISMED]],TblDisponibilidad[],20,FALSE), 0)</f>
        <v>0</v>
      </c>
      <c r="Q243">
        <f>IFERROR(VLOOKUP(Tabla13[[#This Row],[SISMED]],TblDisponibilidad[],21,FALSE), 0)</f>
        <v>0</v>
      </c>
      <c r="R243">
        <f>IFERROR(VLOOKUP(Tabla13[[#This Row],[SISMED]],TblDisponibilidad[],22,FALSE), 0)</f>
        <v>0</v>
      </c>
      <c r="S243" s="15">
        <f>IFERROR(VLOOKUP(Tabla13[[#This Row],[SISMED]],TblDisponibilidad[],23,FALSE), 0)</f>
        <v>0</v>
      </c>
    </row>
    <row r="244" spans="1:19" x14ac:dyDescent="0.3">
      <c r="A244" s="15" t="s">
        <v>274</v>
      </c>
      <c r="B244" t="str">
        <f>IFERROR(VLOOKUP(Tabla13[[#This Row],[SISMED]],TblDisponibilidad[],2,FALSE), "")</f>
        <v/>
      </c>
      <c r="C244">
        <f>IFERROR(VLOOKUP(Tabla13[[#This Row],[SISMED]],TblDisponibilidad[],7,FALSE), 0)</f>
        <v>0</v>
      </c>
      <c r="D244">
        <f>IFERROR(VLOOKUP(Tabla13[[#This Row],[SISMED]],TblDisponibilidad[],8,FALSE), 0)</f>
        <v>0</v>
      </c>
      <c r="E244">
        <f>IFERROR(VLOOKUP(Tabla13[[#This Row],[SISMED]],TblDisponibilidad[],9,FALSE), 0)</f>
        <v>0</v>
      </c>
      <c r="F244">
        <f>IFERROR(VLOOKUP(Tabla13[[#This Row],[SISMED]],TblDisponibilidad[],10,FALSE), 0)</f>
        <v>0</v>
      </c>
      <c r="G244">
        <f>IFERROR(VLOOKUP(Tabla13[[#This Row],[SISMED]],TblDisponibilidad[],11,FALSE), 0)</f>
        <v>0</v>
      </c>
      <c r="H244">
        <f>IFERROR(VLOOKUP(Tabla13[[#This Row],[SISMED]],TblDisponibilidad[],12,FALSE), 0)</f>
        <v>0</v>
      </c>
      <c r="I244">
        <f>IFERROR(VLOOKUP(Tabla13[[#This Row],[SISMED]],TblDisponibilidad[],13,FALSE), 0)</f>
        <v>0</v>
      </c>
      <c r="J244">
        <f>IFERROR(VLOOKUP(Tabla13[[#This Row],[SISMED]],TblDisponibilidad[],14,FALSE), 0)</f>
        <v>0</v>
      </c>
      <c r="K244">
        <f>IFERROR(VLOOKUP(Tabla13[[#This Row],[SISMED]],TblDisponibilidad[],15,FALSE), 0)</f>
        <v>0</v>
      </c>
      <c r="L244">
        <f>IFERROR(VLOOKUP(Tabla13[[#This Row],[SISMED]],TblDisponibilidad[],16,FALSE), 0)</f>
        <v>0</v>
      </c>
      <c r="M244">
        <f>IFERROR(VLOOKUP(Tabla13[[#This Row],[SISMED]],TblDisponibilidad[],17,FALSE), 0)</f>
        <v>0</v>
      </c>
      <c r="N244">
        <f>IFERROR(VLOOKUP(Tabla13[[#This Row],[SISMED]],TblDisponibilidad[],18,FALSE), 0)</f>
        <v>0</v>
      </c>
      <c r="O244">
        <f>IFERROR(VLOOKUP(Tabla13[[#This Row],[SISMED]],TblDisponibilidad[],19,FALSE), 0)</f>
        <v>0</v>
      </c>
      <c r="P244">
        <f>IFERROR(VLOOKUP(Tabla13[[#This Row],[SISMED]],TblDisponibilidad[],20,FALSE), 0)</f>
        <v>0</v>
      </c>
      <c r="Q244">
        <f>IFERROR(VLOOKUP(Tabla13[[#This Row],[SISMED]],TblDisponibilidad[],21,FALSE), 0)</f>
        <v>0</v>
      </c>
      <c r="R244">
        <f>IFERROR(VLOOKUP(Tabla13[[#This Row],[SISMED]],TblDisponibilidad[],22,FALSE), 0)</f>
        <v>0</v>
      </c>
      <c r="S244" s="15">
        <f>IFERROR(VLOOKUP(Tabla13[[#This Row],[SISMED]],TblDisponibilidad[],23,FALSE), 0)</f>
        <v>0</v>
      </c>
    </row>
    <row r="245" spans="1:19" x14ac:dyDescent="0.3">
      <c r="A245" s="15" t="s">
        <v>275</v>
      </c>
      <c r="B245" t="str">
        <f>IFERROR(VLOOKUP(Tabla13[[#This Row],[SISMED]],TblDisponibilidad[],2,FALSE), "")</f>
        <v/>
      </c>
      <c r="C245">
        <f>IFERROR(VLOOKUP(Tabla13[[#This Row],[SISMED]],TblDisponibilidad[],7,FALSE), 0)</f>
        <v>0</v>
      </c>
      <c r="D245">
        <f>IFERROR(VLOOKUP(Tabla13[[#This Row],[SISMED]],TblDisponibilidad[],8,FALSE), 0)</f>
        <v>0</v>
      </c>
      <c r="E245">
        <f>IFERROR(VLOOKUP(Tabla13[[#This Row],[SISMED]],TblDisponibilidad[],9,FALSE), 0)</f>
        <v>0</v>
      </c>
      <c r="F245">
        <f>IFERROR(VLOOKUP(Tabla13[[#This Row],[SISMED]],TblDisponibilidad[],10,FALSE), 0)</f>
        <v>0</v>
      </c>
      <c r="G245">
        <f>IFERROR(VLOOKUP(Tabla13[[#This Row],[SISMED]],TblDisponibilidad[],11,FALSE), 0)</f>
        <v>0</v>
      </c>
      <c r="H245">
        <f>IFERROR(VLOOKUP(Tabla13[[#This Row],[SISMED]],TblDisponibilidad[],12,FALSE), 0)</f>
        <v>0</v>
      </c>
      <c r="I245">
        <f>IFERROR(VLOOKUP(Tabla13[[#This Row],[SISMED]],TblDisponibilidad[],13,FALSE), 0)</f>
        <v>0</v>
      </c>
      <c r="J245">
        <f>IFERROR(VLOOKUP(Tabla13[[#This Row],[SISMED]],TblDisponibilidad[],14,FALSE), 0)</f>
        <v>0</v>
      </c>
      <c r="K245">
        <f>IFERROR(VLOOKUP(Tabla13[[#This Row],[SISMED]],TblDisponibilidad[],15,FALSE), 0)</f>
        <v>0</v>
      </c>
      <c r="L245">
        <f>IFERROR(VLOOKUP(Tabla13[[#This Row],[SISMED]],TblDisponibilidad[],16,FALSE), 0)</f>
        <v>0</v>
      </c>
      <c r="M245">
        <f>IFERROR(VLOOKUP(Tabla13[[#This Row],[SISMED]],TblDisponibilidad[],17,FALSE), 0)</f>
        <v>0</v>
      </c>
      <c r="N245">
        <f>IFERROR(VLOOKUP(Tabla13[[#This Row],[SISMED]],TblDisponibilidad[],18,FALSE), 0)</f>
        <v>0</v>
      </c>
      <c r="O245">
        <f>IFERROR(VLOOKUP(Tabla13[[#This Row],[SISMED]],TblDisponibilidad[],19,FALSE), 0)</f>
        <v>0</v>
      </c>
      <c r="P245">
        <f>IFERROR(VLOOKUP(Tabla13[[#This Row],[SISMED]],TblDisponibilidad[],20,FALSE), 0)</f>
        <v>0</v>
      </c>
      <c r="Q245">
        <f>IFERROR(VLOOKUP(Tabla13[[#This Row],[SISMED]],TblDisponibilidad[],21,FALSE), 0)</f>
        <v>0</v>
      </c>
      <c r="R245">
        <f>IFERROR(VLOOKUP(Tabla13[[#This Row],[SISMED]],TblDisponibilidad[],22,FALSE), 0)</f>
        <v>0</v>
      </c>
      <c r="S245" s="15">
        <f>IFERROR(VLOOKUP(Tabla13[[#This Row],[SISMED]],TblDisponibilidad[],23,FALSE), 0)</f>
        <v>0</v>
      </c>
    </row>
    <row r="246" spans="1:19" x14ac:dyDescent="0.3">
      <c r="A246" s="15" t="s">
        <v>276</v>
      </c>
      <c r="B246" t="str">
        <f>IFERROR(VLOOKUP(Tabla13[[#This Row],[SISMED]],TblDisponibilidad[],2,FALSE), "")</f>
        <v/>
      </c>
      <c r="C246">
        <f>IFERROR(VLOOKUP(Tabla13[[#This Row],[SISMED]],TblDisponibilidad[],7,FALSE), 0)</f>
        <v>0</v>
      </c>
      <c r="D246">
        <f>IFERROR(VLOOKUP(Tabla13[[#This Row],[SISMED]],TblDisponibilidad[],8,FALSE), 0)</f>
        <v>0</v>
      </c>
      <c r="E246">
        <f>IFERROR(VLOOKUP(Tabla13[[#This Row],[SISMED]],TblDisponibilidad[],9,FALSE), 0)</f>
        <v>0</v>
      </c>
      <c r="F246">
        <f>IFERROR(VLOOKUP(Tabla13[[#This Row],[SISMED]],TblDisponibilidad[],10,FALSE), 0)</f>
        <v>0</v>
      </c>
      <c r="G246">
        <f>IFERROR(VLOOKUP(Tabla13[[#This Row],[SISMED]],TblDisponibilidad[],11,FALSE), 0)</f>
        <v>0</v>
      </c>
      <c r="H246">
        <f>IFERROR(VLOOKUP(Tabla13[[#This Row],[SISMED]],TblDisponibilidad[],12,FALSE), 0)</f>
        <v>0</v>
      </c>
      <c r="I246">
        <f>IFERROR(VLOOKUP(Tabla13[[#This Row],[SISMED]],TblDisponibilidad[],13,FALSE), 0)</f>
        <v>0</v>
      </c>
      <c r="J246">
        <f>IFERROR(VLOOKUP(Tabla13[[#This Row],[SISMED]],TblDisponibilidad[],14,FALSE), 0)</f>
        <v>0</v>
      </c>
      <c r="K246">
        <f>IFERROR(VLOOKUP(Tabla13[[#This Row],[SISMED]],TblDisponibilidad[],15,FALSE), 0)</f>
        <v>0</v>
      </c>
      <c r="L246">
        <f>IFERROR(VLOOKUP(Tabla13[[#This Row],[SISMED]],TblDisponibilidad[],16,FALSE), 0)</f>
        <v>0</v>
      </c>
      <c r="M246">
        <f>IFERROR(VLOOKUP(Tabla13[[#This Row],[SISMED]],TblDisponibilidad[],17,FALSE), 0)</f>
        <v>0</v>
      </c>
      <c r="N246">
        <f>IFERROR(VLOOKUP(Tabla13[[#This Row],[SISMED]],TblDisponibilidad[],18,FALSE), 0)</f>
        <v>0</v>
      </c>
      <c r="O246">
        <f>IFERROR(VLOOKUP(Tabla13[[#This Row],[SISMED]],TblDisponibilidad[],19,FALSE), 0)</f>
        <v>0</v>
      </c>
      <c r="P246">
        <f>IFERROR(VLOOKUP(Tabla13[[#This Row],[SISMED]],TblDisponibilidad[],20,FALSE), 0)</f>
        <v>0</v>
      </c>
      <c r="Q246">
        <f>IFERROR(VLOOKUP(Tabla13[[#This Row],[SISMED]],TblDisponibilidad[],21,FALSE), 0)</f>
        <v>0</v>
      </c>
      <c r="R246">
        <f>IFERROR(VLOOKUP(Tabla13[[#This Row],[SISMED]],TblDisponibilidad[],22,FALSE), 0)</f>
        <v>0</v>
      </c>
      <c r="S246" s="15">
        <f>IFERROR(VLOOKUP(Tabla13[[#This Row],[SISMED]],TblDisponibilidad[],23,FALSE), 0)</f>
        <v>0</v>
      </c>
    </row>
    <row r="247" spans="1:19" x14ac:dyDescent="0.3">
      <c r="A247" s="15" t="s">
        <v>277</v>
      </c>
      <c r="B247" t="str">
        <f>IFERROR(VLOOKUP(Tabla13[[#This Row],[SISMED]],TblDisponibilidad[],2,FALSE), "")</f>
        <v/>
      </c>
      <c r="C247">
        <f>IFERROR(VLOOKUP(Tabla13[[#This Row],[SISMED]],TblDisponibilidad[],7,FALSE), 0)</f>
        <v>0</v>
      </c>
      <c r="D247">
        <f>IFERROR(VLOOKUP(Tabla13[[#This Row],[SISMED]],TblDisponibilidad[],8,FALSE), 0)</f>
        <v>0</v>
      </c>
      <c r="E247">
        <f>IFERROR(VLOOKUP(Tabla13[[#This Row],[SISMED]],TblDisponibilidad[],9,FALSE), 0)</f>
        <v>0</v>
      </c>
      <c r="F247">
        <f>IFERROR(VLOOKUP(Tabla13[[#This Row],[SISMED]],TblDisponibilidad[],10,FALSE), 0)</f>
        <v>0</v>
      </c>
      <c r="G247">
        <f>IFERROR(VLOOKUP(Tabla13[[#This Row],[SISMED]],TblDisponibilidad[],11,FALSE), 0)</f>
        <v>0</v>
      </c>
      <c r="H247">
        <f>IFERROR(VLOOKUP(Tabla13[[#This Row],[SISMED]],TblDisponibilidad[],12,FALSE), 0)</f>
        <v>0</v>
      </c>
      <c r="I247">
        <f>IFERROR(VLOOKUP(Tabla13[[#This Row],[SISMED]],TblDisponibilidad[],13,FALSE), 0)</f>
        <v>0</v>
      </c>
      <c r="J247">
        <f>IFERROR(VLOOKUP(Tabla13[[#This Row],[SISMED]],TblDisponibilidad[],14,FALSE), 0)</f>
        <v>0</v>
      </c>
      <c r="K247">
        <f>IFERROR(VLOOKUP(Tabla13[[#This Row],[SISMED]],TblDisponibilidad[],15,FALSE), 0)</f>
        <v>0</v>
      </c>
      <c r="L247">
        <f>IFERROR(VLOOKUP(Tabla13[[#This Row],[SISMED]],TblDisponibilidad[],16,FALSE), 0)</f>
        <v>0</v>
      </c>
      <c r="M247">
        <f>IFERROR(VLOOKUP(Tabla13[[#This Row],[SISMED]],TblDisponibilidad[],17,FALSE), 0)</f>
        <v>0</v>
      </c>
      <c r="N247">
        <f>IFERROR(VLOOKUP(Tabla13[[#This Row],[SISMED]],TblDisponibilidad[],18,FALSE), 0)</f>
        <v>0</v>
      </c>
      <c r="O247">
        <f>IFERROR(VLOOKUP(Tabla13[[#This Row],[SISMED]],TblDisponibilidad[],19,FALSE), 0)</f>
        <v>0</v>
      </c>
      <c r="P247">
        <f>IFERROR(VLOOKUP(Tabla13[[#This Row],[SISMED]],TblDisponibilidad[],20,FALSE), 0)</f>
        <v>0</v>
      </c>
      <c r="Q247">
        <f>IFERROR(VLOOKUP(Tabla13[[#This Row],[SISMED]],TblDisponibilidad[],21,FALSE), 0)</f>
        <v>0</v>
      </c>
      <c r="R247">
        <f>IFERROR(VLOOKUP(Tabla13[[#This Row],[SISMED]],TblDisponibilidad[],22,FALSE), 0)</f>
        <v>0</v>
      </c>
      <c r="S247" s="15">
        <f>IFERROR(VLOOKUP(Tabla13[[#This Row],[SISMED]],TblDisponibilidad[],23,FALSE), 0)</f>
        <v>0</v>
      </c>
    </row>
    <row r="248" spans="1:19" x14ac:dyDescent="0.3">
      <c r="A248" s="15" t="s">
        <v>278</v>
      </c>
      <c r="B248" t="str">
        <f>IFERROR(VLOOKUP(Tabla13[[#This Row],[SISMED]],TblDisponibilidad[],2,FALSE), "")</f>
        <v/>
      </c>
      <c r="C248">
        <f>IFERROR(VLOOKUP(Tabla13[[#This Row],[SISMED]],TblDisponibilidad[],7,FALSE), 0)</f>
        <v>0</v>
      </c>
      <c r="D248">
        <f>IFERROR(VLOOKUP(Tabla13[[#This Row],[SISMED]],TblDisponibilidad[],8,FALSE), 0)</f>
        <v>0</v>
      </c>
      <c r="E248">
        <f>IFERROR(VLOOKUP(Tabla13[[#This Row],[SISMED]],TblDisponibilidad[],9,FALSE), 0)</f>
        <v>0</v>
      </c>
      <c r="F248">
        <f>IFERROR(VLOOKUP(Tabla13[[#This Row],[SISMED]],TblDisponibilidad[],10,FALSE), 0)</f>
        <v>0</v>
      </c>
      <c r="G248">
        <f>IFERROR(VLOOKUP(Tabla13[[#This Row],[SISMED]],TblDisponibilidad[],11,FALSE), 0)</f>
        <v>0</v>
      </c>
      <c r="H248">
        <f>IFERROR(VLOOKUP(Tabla13[[#This Row],[SISMED]],TblDisponibilidad[],12,FALSE), 0)</f>
        <v>0</v>
      </c>
      <c r="I248">
        <f>IFERROR(VLOOKUP(Tabla13[[#This Row],[SISMED]],TblDisponibilidad[],13,FALSE), 0)</f>
        <v>0</v>
      </c>
      <c r="J248">
        <f>IFERROR(VLOOKUP(Tabla13[[#This Row],[SISMED]],TblDisponibilidad[],14,FALSE), 0)</f>
        <v>0</v>
      </c>
      <c r="K248">
        <f>IFERROR(VLOOKUP(Tabla13[[#This Row],[SISMED]],TblDisponibilidad[],15,FALSE), 0)</f>
        <v>0</v>
      </c>
      <c r="L248">
        <f>IFERROR(VLOOKUP(Tabla13[[#This Row],[SISMED]],TblDisponibilidad[],16,FALSE), 0)</f>
        <v>0</v>
      </c>
      <c r="M248">
        <f>IFERROR(VLOOKUP(Tabla13[[#This Row],[SISMED]],TblDisponibilidad[],17,FALSE), 0)</f>
        <v>0</v>
      </c>
      <c r="N248">
        <f>IFERROR(VLOOKUP(Tabla13[[#This Row],[SISMED]],TblDisponibilidad[],18,FALSE), 0)</f>
        <v>0</v>
      </c>
      <c r="O248">
        <f>IFERROR(VLOOKUP(Tabla13[[#This Row],[SISMED]],TblDisponibilidad[],19,FALSE), 0)</f>
        <v>0</v>
      </c>
      <c r="P248">
        <f>IFERROR(VLOOKUP(Tabla13[[#This Row],[SISMED]],TblDisponibilidad[],20,FALSE), 0)</f>
        <v>0</v>
      </c>
      <c r="Q248">
        <f>IFERROR(VLOOKUP(Tabla13[[#This Row],[SISMED]],TblDisponibilidad[],21,FALSE), 0)</f>
        <v>0</v>
      </c>
      <c r="R248">
        <f>IFERROR(VLOOKUP(Tabla13[[#This Row],[SISMED]],TblDisponibilidad[],22,FALSE), 0)</f>
        <v>0</v>
      </c>
      <c r="S248" s="15">
        <f>IFERROR(VLOOKUP(Tabla13[[#This Row],[SISMED]],TblDisponibilidad[],23,FALSE), 0)</f>
        <v>0</v>
      </c>
    </row>
    <row r="249" spans="1:19" x14ac:dyDescent="0.3">
      <c r="A249" s="15" t="s">
        <v>279</v>
      </c>
      <c r="B249" t="str">
        <f>IFERROR(VLOOKUP(Tabla13[[#This Row],[SISMED]],TblDisponibilidad[],2,FALSE), "")</f>
        <v/>
      </c>
      <c r="C249">
        <f>IFERROR(VLOOKUP(Tabla13[[#This Row],[SISMED]],TblDisponibilidad[],7,FALSE), 0)</f>
        <v>0</v>
      </c>
      <c r="D249">
        <f>IFERROR(VLOOKUP(Tabla13[[#This Row],[SISMED]],TblDisponibilidad[],8,FALSE), 0)</f>
        <v>0</v>
      </c>
      <c r="E249">
        <f>IFERROR(VLOOKUP(Tabla13[[#This Row],[SISMED]],TblDisponibilidad[],9,FALSE), 0)</f>
        <v>0</v>
      </c>
      <c r="F249">
        <f>IFERROR(VLOOKUP(Tabla13[[#This Row],[SISMED]],TblDisponibilidad[],10,FALSE), 0)</f>
        <v>0</v>
      </c>
      <c r="G249">
        <f>IFERROR(VLOOKUP(Tabla13[[#This Row],[SISMED]],TblDisponibilidad[],11,FALSE), 0)</f>
        <v>0</v>
      </c>
      <c r="H249">
        <f>IFERROR(VLOOKUP(Tabla13[[#This Row],[SISMED]],TblDisponibilidad[],12,FALSE), 0)</f>
        <v>0</v>
      </c>
      <c r="I249">
        <f>IFERROR(VLOOKUP(Tabla13[[#This Row],[SISMED]],TblDisponibilidad[],13,FALSE), 0)</f>
        <v>0</v>
      </c>
      <c r="J249">
        <f>IFERROR(VLOOKUP(Tabla13[[#This Row],[SISMED]],TblDisponibilidad[],14,FALSE), 0)</f>
        <v>0</v>
      </c>
      <c r="K249">
        <f>IFERROR(VLOOKUP(Tabla13[[#This Row],[SISMED]],TblDisponibilidad[],15,FALSE), 0)</f>
        <v>0</v>
      </c>
      <c r="L249">
        <f>IFERROR(VLOOKUP(Tabla13[[#This Row],[SISMED]],TblDisponibilidad[],16,FALSE), 0)</f>
        <v>0</v>
      </c>
      <c r="M249">
        <f>IFERROR(VLOOKUP(Tabla13[[#This Row],[SISMED]],TblDisponibilidad[],17,FALSE), 0)</f>
        <v>0</v>
      </c>
      <c r="N249">
        <f>IFERROR(VLOOKUP(Tabla13[[#This Row],[SISMED]],TblDisponibilidad[],18,FALSE), 0)</f>
        <v>0</v>
      </c>
      <c r="O249">
        <f>IFERROR(VLOOKUP(Tabla13[[#This Row],[SISMED]],TblDisponibilidad[],19,FALSE), 0)</f>
        <v>0</v>
      </c>
      <c r="P249">
        <f>IFERROR(VLOOKUP(Tabla13[[#This Row],[SISMED]],TblDisponibilidad[],20,FALSE), 0)</f>
        <v>0</v>
      </c>
      <c r="Q249">
        <f>IFERROR(VLOOKUP(Tabla13[[#This Row],[SISMED]],TblDisponibilidad[],21,FALSE), 0)</f>
        <v>0</v>
      </c>
      <c r="R249">
        <f>IFERROR(VLOOKUP(Tabla13[[#This Row],[SISMED]],TblDisponibilidad[],22,FALSE), 0)</f>
        <v>0</v>
      </c>
      <c r="S249" s="15">
        <f>IFERROR(VLOOKUP(Tabla13[[#This Row],[SISMED]],TblDisponibilidad[],23,FALSE), 0)</f>
        <v>0</v>
      </c>
    </row>
    <row r="250" spans="1:19" x14ac:dyDescent="0.3">
      <c r="A250" s="15" t="s">
        <v>280</v>
      </c>
      <c r="B250" t="str">
        <f>IFERROR(VLOOKUP(Tabla13[[#This Row],[SISMED]],TblDisponibilidad[],2,FALSE), "")</f>
        <v/>
      </c>
      <c r="C250">
        <f>IFERROR(VLOOKUP(Tabla13[[#This Row],[SISMED]],TblDisponibilidad[],7,FALSE), 0)</f>
        <v>0</v>
      </c>
      <c r="D250">
        <f>IFERROR(VLOOKUP(Tabla13[[#This Row],[SISMED]],TblDisponibilidad[],8,FALSE), 0)</f>
        <v>0</v>
      </c>
      <c r="E250">
        <f>IFERROR(VLOOKUP(Tabla13[[#This Row],[SISMED]],TblDisponibilidad[],9,FALSE), 0)</f>
        <v>0</v>
      </c>
      <c r="F250">
        <f>IFERROR(VLOOKUP(Tabla13[[#This Row],[SISMED]],TblDisponibilidad[],10,FALSE), 0)</f>
        <v>0</v>
      </c>
      <c r="G250">
        <f>IFERROR(VLOOKUP(Tabla13[[#This Row],[SISMED]],TblDisponibilidad[],11,FALSE), 0)</f>
        <v>0</v>
      </c>
      <c r="H250">
        <f>IFERROR(VLOOKUP(Tabla13[[#This Row],[SISMED]],TblDisponibilidad[],12,FALSE), 0)</f>
        <v>0</v>
      </c>
      <c r="I250">
        <f>IFERROR(VLOOKUP(Tabla13[[#This Row],[SISMED]],TblDisponibilidad[],13,FALSE), 0)</f>
        <v>0</v>
      </c>
      <c r="J250">
        <f>IFERROR(VLOOKUP(Tabla13[[#This Row],[SISMED]],TblDisponibilidad[],14,FALSE), 0)</f>
        <v>0</v>
      </c>
      <c r="K250">
        <f>IFERROR(VLOOKUP(Tabla13[[#This Row],[SISMED]],TblDisponibilidad[],15,FALSE), 0)</f>
        <v>0</v>
      </c>
      <c r="L250">
        <f>IFERROR(VLOOKUP(Tabla13[[#This Row],[SISMED]],TblDisponibilidad[],16,FALSE), 0)</f>
        <v>0</v>
      </c>
      <c r="M250">
        <f>IFERROR(VLOOKUP(Tabla13[[#This Row],[SISMED]],TblDisponibilidad[],17,FALSE), 0)</f>
        <v>0</v>
      </c>
      <c r="N250">
        <f>IFERROR(VLOOKUP(Tabla13[[#This Row],[SISMED]],TblDisponibilidad[],18,FALSE), 0)</f>
        <v>0</v>
      </c>
      <c r="O250">
        <f>IFERROR(VLOOKUP(Tabla13[[#This Row],[SISMED]],TblDisponibilidad[],19,FALSE), 0)</f>
        <v>0</v>
      </c>
      <c r="P250">
        <f>IFERROR(VLOOKUP(Tabla13[[#This Row],[SISMED]],TblDisponibilidad[],20,FALSE), 0)</f>
        <v>0</v>
      </c>
      <c r="Q250">
        <f>IFERROR(VLOOKUP(Tabla13[[#This Row],[SISMED]],TblDisponibilidad[],21,FALSE), 0)</f>
        <v>0</v>
      </c>
      <c r="R250">
        <f>IFERROR(VLOOKUP(Tabla13[[#This Row],[SISMED]],TblDisponibilidad[],22,FALSE), 0)</f>
        <v>0</v>
      </c>
      <c r="S250" s="15">
        <f>IFERROR(VLOOKUP(Tabla13[[#This Row],[SISMED]],TblDisponibilidad[],23,FALSE), 0)</f>
        <v>0</v>
      </c>
    </row>
    <row r="251" spans="1:19" x14ac:dyDescent="0.3">
      <c r="A251" s="15" t="s">
        <v>281</v>
      </c>
      <c r="B251" t="str">
        <f>IFERROR(VLOOKUP(Tabla13[[#This Row],[SISMED]],TblDisponibilidad[],2,FALSE), "")</f>
        <v/>
      </c>
      <c r="C251">
        <f>IFERROR(VLOOKUP(Tabla13[[#This Row],[SISMED]],TblDisponibilidad[],7,FALSE), 0)</f>
        <v>0</v>
      </c>
      <c r="D251">
        <f>IFERROR(VLOOKUP(Tabla13[[#This Row],[SISMED]],TblDisponibilidad[],8,FALSE), 0)</f>
        <v>0</v>
      </c>
      <c r="E251">
        <f>IFERROR(VLOOKUP(Tabla13[[#This Row],[SISMED]],TblDisponibilidad[],9,FALSE), 0)</f>
        <v>0</v>
      </c>
      <c r="F251">
        <f>IFERROR(VLOOKUP(Tabla13[[#This Row],[SISMED]],TblDisponibilidad[],10,FALSE), 0)</f>
        <v>0</v>
      </c>
      <c r="G251">
        <f>IFERROR(VLOOKUP(Tabla13[[#This Row],[SISMED]],TblDisponibilidad[],11,FALSE), 0)</f>
        <v>0</v>
      </c>
      <c r="H251">
        <f>IFERROR(VLOOKUP(Tabla13[[#This Row],[SISMED]],TblDisponibilidad[],12,FALSE), 0)</f>
        <v>0</v>
      </c>
      <c r="I251">
        <f>IFERROR(VLOOKUP(Tabla13[[#This Row],[SISMED]],TblDisponibilidad[],13,FALSE), 0)</f>
        <v>0</v>
      </c>
      <c r="J251">
        <f>IFERROR(VLOOKUP(Tabla13[[#This Row],[SISMED]],TblDisponibilidad[],14,FALSE), 0)</f>
        <v>0</v>
      </c>
      <c r="K251">
        <f>IFERROR(VLOOKUP(Tabla13[[#This Row],[SISMED]],TblDisponibilidad[],15,FALSE), 0)</f>
        <v>0</v>
      </c>
      <c r="L251">
        <f>IFERROR(VLOOKUP(Tabla13[[#This Row],[SISMED]],TblDisponibilidad[],16,FALSE), 0)</f>
        <v>0</v>
      </c>
      <c r="M251">
        <f>IFERROR(VLOOKUP(Tabla13[[#This Row],[SISMED]],TblDisponibilidad[],17,FALSE), 0)</f>
        <v>0</v>
      </c>
      <c r="N251">
        <f>IFERROR(VLOOKUP(Tabla13[[#This Row],[SISMED]],TblDisponibilidad[],18,FALSE), 0)</f>
        <v>0</v>
      </c>
      <c r="O251">
        <f>IFERROR(VLOOKUP(Tabla13[[#This Row],[SISMED]],TblDisponibilidad[],19,FALSE), 0)</f>
        <v>0</v>
      </c>
      <c r="P251">
        <f>IFERROR(VLOOKUP(Tabla13[[#This Row],[SISMED]],TblDisponibilidad[],20,FALSE), 0)</f>
        <v>0</v>
      </c>
      <c r="Q251">
        <f>IFERROR(VLOOKUP(Tabla13[[#This Row],[SISMED]],TblDisponibilidad[],21,FALSE), 0)</f>
        <v>0</v>
      </c>
      <c r="R251">
        <f>IFERROR(VLOOKUP(Tabla13[[#This Row],[SISMED]],TblDisponibilidad[],22,FALSE), 0)</f>
        <v>0</v>
      </c>
      <c r="S251" s="15">
        <f>IFERROR(VLOOKUP(Tabla13[[#This Row],[SISMED]],TblDisponibilidad[],23,FALSE), 0)</f>
        <v>0</v>
      </c>
    </row>
    <row r="252" spans="1:19" x14ac:dyDescent="0.3">
      <c r="A252" s="15" t="s">
        <v>282</v>
      </c>
      <c r="B252" t="str">
        <f>IFERROR(VLOOKUP(Tabla13[[#This Row],[SISMED]],TblDisponibilidad[],2,FALSE), "")</f>
        <v/>
      </c>
      <c r="C252">
        <f>IFERROR(VLOOKUP(Tabla13[[#This Row],[SISMED]],TblDisponibilidad[],7,FALSE), 0)</f>
        <v>0</v>
      </c>
      <c r="D252">
        <f>IFERROR(VLOOKUP(Tabla13[[#This Row],[SISMED]],TblDisponibilidad[],8,FALSE), 0)</f>
        <v>0</v>
      </c>
      <c r="E252">
        <f>IFERROR(VLOOKUP(Tabla13[[#This Row],[SISMED]],TblDisponibilidad[],9,FALSE), 0)</f>
        <v>0</v>
      </c>
      <c r="F252">
        <f>IFERROR(VLOOKUP(Tabla13[[#This Row],[SISMED]],TblDisponibilidad[],10,FALSE), 0)</f>
        <v>0</v>
      </c>
      <c r="G252">
        <f>IFERROR(VLOOKUP(Tabla13[[#This Row],[SISMED]],TblDisponibilidad[],11,FALSE), 0)</f>
        <v>0</v>
      </c>
      <c r="H252">
        <f>IFERROR(VLOOKUP(Tabla13[[#This Row],[SISMED]],TblDisponibilidad[],12,FALSE), 0)</f>
        <v>0</v>
      </c>
      <c r="I252">
        <f>IFERROR(VLOOKUP(Tabla13[[#This Row],[SISMED]],TblDisponibilidad[],13,FALSE), 0)</f>
        <v>0</v>
      </c>
      <c r="J252">
        <f>IFERROR(VLOOKUP(Tabla13[[#This Row],[SISMED]],TblDisponibilidad[],14,FALSE), 0)</f>
        <v>0</v>
      </c>
      <c r="K252">
        <f>IFERROR(VLOOKUP(Tabla13[[#This Row],[SISMED]],TblDisponibilidad[],15,FALSE), 0)</f>
        <v>0</v>
      </c>
      <c r="L252">
        <f>IFERROR(VLOOKUP(Tabla13[[#This Row],[SISMED]],TblDisponibilidad[],16,FALSE), 0)</f>
        <v>0</v>
      </c>
      <c r="M252">
        <f>IFERROR(VLOOKUP(Tabla13[[#This Row],[SISMED]],TblDisponibilidad[],17,FALSE), 0)</f>
        <v>0</v>
      </c>
      <c r="N252">
        <f>IFERROR(VLOOKUP(Tabla13[[#This Row],[SISMED]],TblDisponibilidad[],18,FALSE), 0)</f>
        <v>0</v>
      </c>
      <c r="O252">
        <f>IFERROR(VLOOKUP(Tabla13[[#This Row],[SISMED]],TblDisponibilidad[],19,FALSE), 0)</f>
        <v>0</v>
      </c>
      <c r="P252">
        <f>IFERROR(VLOOKUP(Tabla13[[#This Row],[SISMED]],TblDisponibilidad[],20,FALSE), 0)</f>
        <v>0</v>
      </c>
      <c r="Q252">
        <f>IFERROR(VLOOKUP(Tabla13[[#This Row],[SISMED]],TblDisponibilidad[],21,FALSE), 0)</f>
        <v>0</v>
      </c>
      <c r="R252">
        <f>IFERROR(VLOOKUP(Tabla13[[#This Row],[SISMED]],TblDisponibilidad[],22,FALSE), 0)</f>
        <v>0</v>
      </c>
      <c r="S252" s="15">
        <f>IFERROR(VLOOKUP(Tabla13[[#This Row],[SISMED]],TblDisponibilidad[],23,FALSE), 0)</f>
        <v>0</v>
      </c>
    </row>
    <row r="253" spans="1:19" x14ac:dyDescent="0.3">
      <c r="A253" s="15" t="s">
        <v>283</v>
      </c>
      <c r="B253" t="str">
        <f>IFERROR(VLOOKUP(Tabla13[[#This Row],[SISMED]],TblDisponibilidad[],2,FALSE), "")</f>
        <v/>
      </c>
      <c r="C253">
        <f>IFERROR(VLOOKUP(Tabla13[[#This Row],[SISMED]],TblDisponibilidad[],7,FALSE), 0)</f>
        <v>0</v>
      </c>
      <c r="D253">
        <f>IFERROR(VLOOKUP(Tabla13[[#This Row],[SISMED]],TblDisponibilidad[],8,FALSE), 0)</f>
        <v>0</v>
      </c>
      <c r="E253">
        <f>IFERROR(VLOOKUP(Tabla13[[#This Row],[SISMED]],TblDisponibilidad[],9,FALSE), 0)</f>
        <v>0</v>
      </c>
      <c r="F253">
        <f>IFERROR(VLOOKUP(Tabla13[[#This Row],[SISMED]],TblDisponibilidad[],10,FALSE), 0)</f>
        <v>0</v>
      </c>
      <c r="G253">
        <f>IFERROR(VLOOKUP(Tabla13[[#This Row],[SISMED]],TblDisponibilidad[],11,FALSE), 0)</f>
        <v>0</v>
      </c>
      <c r="H253">
        <f>IFERROR(VLOOKUP(Tabla13[[#This Row],[SISMED]],TblDisponibilidad[],12,FALSE), 0)</f>
        <v>0</v>
      </c>
      <c r="I253">
        <f>IFERROR(VLOOKUP(Tabla13[[#This Row],[SISMED]],TblDisponibilidad[],13,FALSE), 0)</f>
        <v>0</v>
      </c>
      <c r="J253">
        <f>IFERROR(VLOOKUP(Tabla13[[#This Row],[SISMED]],TblDisponibilidad[],14,FALSE), 0)</f>
        <v>0</v>
      </c>
      <c r="K253">
        <f>IFERROR(VLOOKUP(Tabla13[[#This Row],[SISMED]],TblDisponibilidad[],15,FALSE), 0)</f>
        <v>0</v>
      </c>
      <c r="L253">
        <f>IFERROR(VLOOKUP(Tabla13[[#This Row],[SISMED]],TblDisponibilidad[],16,FALSE), 0)</f>
        <v>0</v>
      </c>
      <c r="M253">
        <f>IFERROR(VLOOKUP(Tabla13[[#This Row],[SISMED]],TblDisponibilidad[],17,FALSE), 0)</f>
        <v>0</v>
      </c>
      <c r="N253">
        <f>IFERROR(VLOOKUP(Tabla13[[#This Row],[SISMED]],TblDisponibilidad[],18,FALSE), 0)</f>
        <v>0</v>
      </c>
      <c r="O253">
        <f>IFERROR(VLOOKUP(Tabla13[[#This Row],[SISMED]],TblDisponibilidad[],19,FALSE), 0)</f>
        <v>0</v>
      </c>
      <c r="P253">
        <f>IFERROR(VLOOKUP(Tabla13[[#This Row],[SISMED]],TblDisponibilidad[],20,FALSE), 0)</f>
        <v>0</v>
      </c>
      <c r="Q253">
        <f>IFERROR(VLOOKUP(Tabla13[[#This Row],[SISMED]],TblDisponibilidad[],21,FALSE), 0)</f>
        <v>0</v>
      </c>
      <c r="R253">
        <f>IFERROR(VLOOKUP(Tabla13[[#This Row],[SISMED]],TblDisponibilidad[],22,FALSE), 0)</f>
        <v>0</v>
      </c>
      <c r="S253" s="15">
        <f>IFERROR(VLOOKUP(Tabla13[[#This Row],[SISMED]],TblDisponibilidad[],23,FALSE), 0)</f>
        <v>0</v>
      </c>
    </row>
    <row r="254" spans="1:19" x14ac:dyDescent="0.3">
      <c r="A254" s="15" t="s">
        <v>284</v>
      </c>
      <c r="B254" t="str">
        <f>IFERROR(VLOOKUP(Tabla13[[#This Row],[SISMED]],TblDisponibilidad[],2,FALSE), "")</f>
        <v/>
      </c>
      <c r="C254">
        <f>IFERROR(VLOOKUP(Tabla13[[#This Row],[SISMED]],TblDisponibilidad[],7,FALSE), 0)</f>
        <v>0</v>
      </c>
      <c r="D254">
        <f>IFERROR(VLOOKUP(Tabla13[[#This Row],[SISMED]],TblDisponibilidad[],8,FALSE), 0)</f>
        <v>0</v>
      </c>
      <c r="E254">
        <f>IFERROR(VLOOKUP(Tabla13[[#This Row],[SISMED]],TblDisponibilidad[],9,FALSE), 0)</f>
        <v>0</v>
      </c>
      <c r="F254">
        <f>IFERROR(VLOOKUP(Tabla13[[#This Row],[SISMED]],TblDisponibilidad[],10,FALSE), 0)</f>
        <v>0</v>
      </c>
      <c r="G254">
        <f>IFERROR(VLOOKUP(Tabla13[[#This Row],[SISMED]],TblDisponibilidad[],11,FALSE), 0)</f>
        <v>0</v>
      </c>
      <c r="H254">
        <f>IFERROR(VLOOKUP(Tabla13[[#This Row],[SISMED]],TblDisponibilidad[],12,FALSE), 0)</f>
        <v>0</v>
      </c>
      <c r="I254">
        <f>IFERROR(VLOOKUP(Tabla13[[#This Row],[SISMED]],TblDisponibilidad[],13,FALSE), 0)</f>
        <v>0</v>
      </c>
      <c r="J254">
        <f>IFERROR(VLOOKUP(Tabla13[[#This Row],[SISMED]],TblDisponibilidad[],14,FALSE), 0)</f>
        <v>0</v>
      </c>
      <c r="K254">
        <f>IFERROR(VLOOKUP(Tabla13[[#This Row],[SISMED]],TblDisponibilidad[],15,FALSE), 0)</f>
        <v>0</v>
      </c>
      <c r="L254">
        <f>IFERROR(VLOOKUP(Tabla13[[#This Row],[SISMED]],TblDisponibilidad[],16,FALSE), 0)</f>
        <v>0</v>
      </c>
      <c r="M254">
        <f>IFERROR(VLOOKUP(Tabla13[[#This Row],[SISMED]],TblDisponibilidad[],17,FALSE), 0)</f>
        <v>0</v>
      </c>
      <c r="N254">
        <f>IFERROR(VLOOKUP(Tabla13[[#This Row],[SISMED]],TblDisponibilidad[],18,FALSE), 0)</f>
        <v>0</v>
      </c>
      <c r="O254">
        <f>IFERROR(VLOOKUP(Tabla13[[#This Row],[SISMED]],TblDisponibilidad[],19,FALSE), 0)</f>
        <v>0</v>
      </c>
      <c r="P254">
        <f>IFERROR(VLOOKUP(Tabla13[[#This Row],[SISMED]],TblDisponibilidad[],20,FALSE), 0)</f>
        <v>0</v>
      </c>
      <c r="Q254">
        <f>IFERROR(VLOOKUP(Tabla13[[#This Row],[SISMED]],TblDisponibilidad[],21,FALSE), 0)</f>
        <v>0</v>
      </c>
      <c r="R254">
        <f>IFERROR(VLOOKUP(Tabla13[[#This Row],[SISMED]],TblDisponibilidad[],22,FALSE), 0)</f>
        <v>0</v>
      </c>
      <c r="S254" s="15">
        <f>IFERROR(VLOOKUP(Tabla13[[#This Row],[SISMED]],TblDisponibilidad[],23,FALSE), 0)</f>
        <v>0</v>
      </c>
    </row>
    <row r="255" spans="1:19" x14ac:dyDescent="0.3">
      <c r="A255" s="15" t="s">
        <v>285</v>
      </c>
      <c r="B255" t="str">
        <f>IFERROR(VLOOKUP(Tabla13[[#This Row],[SISMED]],TblDisponibilidad[],2,FALSE), "")</f>
        <v/>
      </c>
      <c r="C255">
        <f>IFERROR(VLOOKUP(Tabla13[[#This Row],[SISMED]],TblDisponibilidad[],7,FALSE), 0)</f>
        <v>0</v>
      </c>
      <c r="D255">
        <f>IFERROR(VLOOKUP(Tabla13[[#This Row],[SISMED]],TblDisponibilidad[],8,FALSE), 0)</f>
        <v>0</v>
      </c>
      <c r="E255">
        <f>IFERROR(VLOOKUP(Tabla13[[#This Row],[SISMED]],TblDisponibilidad[],9,FALSE), 0)</f>
        <v>0</v>
      </c>
      <c r="F255">
        <f>IFERROR(VLOOKUP(Tabla13[[#This Row],[SISMED]],TblDisponibilidad[],10,FALSE), 0)</f>
        <v>0</v>
      </c>
      <c r="G255">
        <f>IFERROR(VLOOKUP(Tabla13[[#This Row],[SISMED]],TblDisponibilidad[],11,FALSE), 0)</f>
        <v>0</v>
      </c>
      <c r="H255">
        <f>IFERROR(VLOOKUP(Tabla13[[#This Row],[SISMED]],TblDisponibilidad[],12,FALSE), 0)</f>
        <v>0</v>
      </c>
      <c r="I255">
        <f>IFERROR(VLOOKUP(Tabla13[[#This Row],[SISMED]],TblDisponibilidad[],13,FALSE), 0)</f>
        <v>0</v>
      </c>
      <c r="J255">
        <f>IFERROR(VLOOKUP(Tabla13[[#This Row],[SISMED]],TblDisponibilidad[],14,FALSE), 0)</f>
        <v>0</v>
      </c>
      <c r="K255">
        <f>IFERROR(VLOOKUP(Tabla13[[#This Row],[SISMED]],TblDisponibilidad[],15,FALSE), 0)</f>
        <v>0</v>
      </c>
      <c r="L255">
        <f>IFERROR(VLOOKUP(Tabla13[[#This Row],[SISMED]],TblDisponibilidad[],16,FALSE), 0)</f>
        <v>0</v>
      </c>
      <c r="M255">
        <f>IFERROR(VLOOKUP(Tabla13[[#This Row],[SISMED]],TblDisponibilidad[],17,FALSE), 0)</f>
        <v>0</v>
      </c>
      <c r="N255">
        <f>IFERROR(VLOOKUP(Tabla13[[#This Row],[SISMED]],TblDisponibilidad[],18,FALSE), 0)</f>
        <v>0</v>
      </c>
      <c r="O255">
        <f>IFERROR(VLOOKUP(Tabla13[[#This Row],[SISMED]],TblDisponibilidad[],19,FALSE), 0)</f>
        <v>0</v>
      </c>
      <c r="P255">
        <f>IFERROR(VLOOKUP(Tabla13[[#This Row],[SISMED]],TblDisponibilidad[],20,FALSE), 0)</f>
        <v>0</v>
      </c>
      <c r="Q255">
        <f>IFERROR(VLOOKUP(Tabla13[[#This Row],[SISMED]],TblDisponibilidad[],21,FALSE), 0)</f>
        <v>0</v>
      </c>
      <c r="R255">
        <f>IFERROR(VLOOKUP(Tabla13[[#This Row],[SISMED]],TblDisponibilidad[],22,FALSE), 0)</f>
        <v>0</v>
      </c>
      <c r="S255" s="15">
        <f>IFERROR(VLOOKUP(Tabla13[[#This Row],[SISMED]],TblDisponibilidad[],23,FALSE), 0)</f>
        <v>0</v>
      </c>
    </row>
    <row r="256" spans="1:19" x14ac:dyDescent="0.3">
      <c r="A256" s="15" t="s">
        <v>286</v>
      </c>
      <c r="B256" t="str">
        <f>IFERROR(VLOOKUP(Tabla13[[#This Row],[SISMED]],TblDisponibilidad[],2,FALSE), "")</f>
        <v/>
      </c>
      <c r="C256">
        <f>IFERROR(VLOOKUP(Tabla13[[#This Row],[SISMED]],TblDisponibilidad[],7,FALSE), 0)</f>
        <v>0</v>
      </c>
      <c r="D256">
        <f>IFERROR(VLOOKUP(Tabla13[[#This Row],[SISMED]],TblDisponibilidad[],8,FALSE), 0)</f>
        <v>0</v>
      </c>
      <c r="E256">
        <f>IFERROR(VLOOKUP(Tabla13[[#This Row],[SISMED]],TblDisponibilidad[],9,FALSE), 0)</f>
        <v>0</v>
      </c>
      <c r="F256">
        <f>IFERROR(VLOOKUP(Tabla13[[#This Row],[SISMED]],TblDisponibilidad[],10,FALSE), 0)</f>
        <v>0</v>
      </c>
      <c r="G256">
        <f>IFERROR(VLOOKUP(Tabla13[[#This Row],[SISMED]],TblDisponibilidad[],11,FALSE), 0)</f>
        <v>0</v>
      </c>
      <c r="H256">
        <f>IFERROR(VLOOKUP(Tabla13[[#This Row],[SISMED]],TblDisponibilidad[],12,FALSE), 0)</f>
        <v>0</v>
      </c>
      <c r="I256">
        <f>IFERROR(VLOOKUP(Tabla13[[#This Row],[SISMED]],TblDisponibilidad[],13,FALSE), 0)</f>
        <v>0</v>
      </c>
      <c r="J256">
        <f>IFERROR(VLOOKUP(Tabla13[[#This Row],[SISMED]],TblDisponibilidad[],14,FALSE), 0)</f>
        <v>0</v>
      </c>
      <c r="K256">
        <f>IFERROR(VLOOKUP(Tabla13[[#This Row],[SISMED]],TblDisponibilidad[],15,FALSE), 0)</f>
        <v>0</v>
      </c>
      <c r="L256">
        <f>IFERROR(VLOOKUP(Tabla13[[#This Row],[SISMED]],TblDisponibilidad[],16,FALSE), 0)</f>
        <v>0</v>
      </c>
      <c r="M256">
        <f>IFERROR(VLOOKUP(Tabla13[[#This Row],[SISMED]],TblDisponibilidad[],17,FALSE), 0)</f>
        <v>0</v>
      </c>
      <c r="N256">
        <f>IFERROR(VLOOKUP(Tabla13[[#This Row],[SISMED]],TblDisponibilidad[],18,FALSE), 0)</f>
        <v>0</v>
      </c>
      <c r="O256">
        <f>IFERROR(VLOOKUP(Tabla13[[#This Row],[SISMED]],TblDisponibilidad[],19,FALSE), 0)</f>
        <v>0</v>
      </c>
      <c r="P256">
        <f>IFERROR(VLOOKUP(Tabla13[[#This Row],[SISMED]],TblDisponibilidad[],20,FALSE), 0)</f>
        <v>0</v>
      </c>
      <c r="Q256">
        <f>IFERROR(VLOOKUP(Tabla13[[#This Row],[SISMED]],TblDisponibilidad[],21,FALSE), 0)</f>
        <v>0</v>
      </c>
      <c r="R256">
        <f>IFERROR(VLOOKUP(Tabla13[[#This Row],[SISMED]],TblDisponibilidad[],22,FALSE), 0)</f>
        <v>0</v>
      </c>
      <c r="S256" s="15">
        <f>IFERROR(VLOOKUP(Tabla13[[#This Row],[SISMED]],TblDisponibilidad[],23,FALSE), 0)</f>
        <v>0</v>
      </c>
    </row>
    <row r="257" spans="1:19" x14ac:dyDescent="0.3">
      <c r="A257" s="15" t="s">
        <v>287</v>
      </c>
      <c r="B257" t="str">
        <f>IFERROR(VLOOKUP(Tabla13[[#This Row],[SISMED]],TblDisponibilidad[],2,FALSE), "")</f>
        <v/>
      </c>
      <c r="C257">
        <f>IFERROR(VLOOKUP(Tabla13[[#This Row],[SISMED]],TblDisponibilidad[],7,FALSE), 0)</f>
        <v>0</v>
      </c>
      <c r="D257">
        <f>IFERROR(VLOOKUP(Tabla13[[#This Row],[SISMED]],TblDisponibilidad[],8,FALSE), 0)</f>
        <v>0</v>
      </c>
      <c r="E257">
        <f>IFERROR(VLOOKUP(Tabla13[[#This Row],[SISMED]],TblDisponibilidad[],9,FALSE), 0)</f>
        <v>0</v>
      </c>
      <c r="F257">
        <f>IFERROR(VLOOKUP(Tabla13[[#This Row],[SISMED]],TblDisponibilidad[],10,FALSE), 0)</f>
        <v>0</v>
      </c>
      <c r="G257">
        <f>IFERROR(VLOOKUP(Tabla13[[#This Row],[SISMED]],TblDisponibilidad[],11,FALSE), 0)</f>
        <v>0</v>
      </c>
      <c r="H257">
        <f>IFERROR(VLOOKUP(Tabla13[[#This Row],[SISMED]],TblDisponibilidad[],12,FALSE), 0)</f>
        <v>0</v>
      </c>
      <c r="I257">
        <f>IFERROR(VLOOKUP(Tabla13[[#This Row],[SISMED]],TblDisponibilidad[],13,FALSE), 0)</f>
        <v>0</v>
      </c>
      <c r="J257">
        <f>IFERROR(VLOOKUP(Tabla13[[#This Row],[SISMED]],TblDisponibilidad[],14,FALSE), 0)</f>
        <v>0</v>
      </c>
      <c r="K257">
        <f>IFERROR(VLOOKUP(Tabla13[[#This Row],[SISMED]],TblDisponibilidad[],15,FALSE), 0)</f>
        <v>0</v>
      </c>
      <c r="L257">
        <f>IFERROR(VLOOKUP(Tabla13[[#This Row],[SISMED]],TblDisponibilidad[],16,FALSE), 0)</f>
        <v>0</v>
      </c>
      <c r="M257">
        <f>IFERROR(VLOOKUP(Tabla13[[#This Row],[SISMED]],TblDisponibilidad[],17,FALSE), 0)</f>
        <v>0</v>
      </c>
      <c r="N257">
        <f>IFERROR(VLOOKUP(Tabla13[[#This Row],[SISMED]],TblDisponibilidad[],18,FALSE), 0)</f>
        <v>0</v>
      </c>
      <c r="O257">
        <f>IFERROR(VLOOKUP(Tabla13[[#This Row],[SISMED]],TblDisponibilidad[],19,FALSE), 0)</f>
        <v>0</v>
      </c>
      <c r="P257">
        <f>IFERROR(VLOOKUP(Tabla13[[#This Row],[SISMED]],TblDisponibilidad[],20,FALSE), 0)</f>
        <v>0</v>
      </c>
      <c r="Q257">
        <f>IFERROR(VLOOKUP(Tabla13[[#This Row],[SISMED]],TblDisponibilidad[],21,FALSE), 0)</f>
        <v>0</v>
      </c>
      <c r="R257">
        <f>IFERROR(VLOOKUP(Tabla13[[#This Row],[SISMED]],TblDisponibilidad[],22,FALSE), 0)</f>
        <v>0</v>
      </c>
      <c r="S257" s="15">
        <f>IFERROR(VLOOKUP(Tabla13[[#This Row],[SISMED]],TblDisponibilidad[],23,FALSE), 0)</f>
        <v>0</v>
      </c>
    </row>
    <row r="258" spans="1:19" x14ac:dyDescent="0.3">
      <c r="A258" s="15" t="s">
        <v>288</v>
      </c>
      <c r="B258" t="str">
        <f>IFERROR(VLOOKUP(Tabla13[[#This Row],[SISMED]],TblDisponibilidad[],2,FALSE), "")</f>
        <v/>
      </c>
      <c r="C258">
        <f>IFERROR(VLOOKUP(Tabla13[[#This Row],[SISMED]],TblDisponibilidad[],7,FALSE), 0)</f>
        <v>0</v>
      </c>
      <c r="D258">
        <f>IFERROR(VLOOKUP(Tabla13[[#This Row],[SISMED]],TblDisponibilidad[],8,FALSE), 0)</f>
        <v>0</v>
      </c>
      <c r="E258">
        <f>IFERROR(VLOOKUP(Tabla13[[#This Row],[SISMED]],TblDisponibilidad[],9,FALSE), 0)</f>
        <v>0</v>
      </c>
      <c r="F258">
        <f>IFERROR(VLOOKUP(Tabla13[[#This Row],[SISMED]],TblDisponibilidad[],10,FALSE), 0)</f>
        <v>0</v>
      </c>
      <c r="G258">
        <f>IFERROR(VLOOKUP(Tabla13[[#This Row],[SISMED]],TblDisponibilidad[],11,FALSE), 0)</f>
        <v>0</v>
      </c>
      <c r="H258">
        <f>IFERROR(VLOOKUP(Tabla13[[#This Row],[SISMED]],TblDisponibilidad[],12,FALSE), 0)</f>
        <v>0</v>
      </c>
      <c r="I258">
        <f>IFERROR(VLOOKUP(Tabla13[[#This Row],[SISMED]],TblDisponibilidad[],13,FALSE), 0)</f>
        <v>0</v>
      </c>
      <c r="J258">
        <f>IFERROR(VLOOKUP(Tabla13[[#This Row],[SISMED]],TblDisponibilidad[],14,FALSE), 0)</f>
        <v>0</v>
      </c>
      <c r="K258">
        <f>IFERROR(VLOOKUP(Tabla13[[#This Row],[SISMED]],TblDisponibilidad[],15,FALSE), 0)</f>
        <v>0</v>
      </c>
      <c r="L258">
        <f>IFERROR(VLOOKUP(Tabla13[[#This Row],[SISMED]],TblDisponibilidad[],16,FALSE), 0)</f>
        <v>0</v>
      </c>
      <c r="M258">
        <f>IFERROR(VLOOKUP(Tabla13[[#This Row],[SISMED]],TblDisponibilidad[],17,FALSE), 0)</f>
        <v>0</v>
      </c>
      <c r="N258">
        <f>IFERROR(VLOOKUP(Tabla13[[#This Row],[SISMED]],TblDisponibilidad[],18,FALSE), 0)</f>
        <v>0</v>
      </c>
      <c r="O258">
        <f>IFERROR(VLOOKUP(Tabla13[[#This Row],[SISMED]],TblDisponibilidad[],19,FALSE), 0)</f>
        <v>0</v>
      </c>
      <c r="P258">
        <f>IFERROR(VLOOKUP(Tabla13[[#This Row],[SISMED]],TblDisponibilidad[],20,FALSE), 0)</f>
        <v>0</v>
      </c>
      <c r="Q258">
        <f>IFERROR(VLOOKUP(Tabla13[[#This Row],[SISMED]],TblDisponibilidad[],21,FALSE), 0)</f>
        <v>0</v>
      </c>
      <c r="R258">
        <f>IFERROR(VLOOKUP(Tabla13[[#This Row],[SISMED]],TblDisponibilidad[],22,FALSE), 0)</f>
        <v>0</v>
      </c>
      <c r="S258" s="15">
        <f>IFERROR(VLOOKUP(Tabla13[[#This Row],[SISMED]],TblDisponibilidad[],23,FALSE), 0)</f>
        <v>0</v>
      </c>
    </row>
    <row r="259" spans="1:19" x14ac:dyDescent="0.3">
      <c r="A259" s="15" t="s">
        <v>289</v>
      </c>
      <c r="B259" t="str">
        <f>IFERROR(VLOOKUP(Tabla13[[#This Row],[SISMED]],TblDisponibilidad[],2,FALSE), "")</f>
        <v/>
      </c>
      <c r="C259">
        <f>IFERROR(VLOOKUP(Tabla13[[#This Row],[SISMED]],TblDisponibilidad[],7,FALSE), 0)</f>
        <v>0</v>
      </c>
      <c r="D259">
        <f>IFERROR(VLOOKUP(Tabla13[[#This Row],[SISMED]],TblDisponibilidad[],8,FALSE), 0)</f>
        <v>0</v>
      </c>
      <c r="E259">
        <f>IFERROR(VLOOKUP(Tabla13[[#This Row],[SISMED]],TblDisponibilidad[],9,FALSE), 0)</f>
        <v>0</v>
      </c>
      <c r="F259">
        <f>IFERROR(VLOOKUP(Tabla13[[#This Row],[SISMED]],TblDisponibilidad[],10,FALSE), 0)</f>
        <v>0</v>
      </c>
      <c r="G259">
        <f>IFERROR(VLOOKUP(Tabla13[[#This Row],[SISMED]],TblDisponibilidad[],11,FALSE), 0)</f>
        <v>0</v>
      </c>
      <c r="H259">
        <f>IFERROR(VLOOKUP(Tabla13[[#This Row],[SISMED]],TblDisponibilidad[],12,FALSE), 0)</f>
        <v>0</v>
      </c>
      <c r="I259">
        <f>IFERROR(VLOOKUP(Tabla13[[#This Row],[SISMED]],TblDisponibilidad[],13,FALSE), 0)</f>
        <v>0</v>
      </c>
      <c r="J259">
        <f>IFERROR(VLOOKUP(Tabla13[[#This Row],[SISMED]],TblDisponibilidad[],14,FALSE), 0)</f>
        <v>0</v>
      </c>
      <c r="K259">
        <f>IFERROR(VLOOKUP(Tabla13[[#This Row],[SISMED]],TblDisponibilidad[],15,FALSE), 0)</f>
        <v>0</v>
      </c>
      <c r="L259">
        <f>IFERROR(VLOOKUP(Tabla13[[#This Row],[SISMED]],TblDisponibilidad[],16,FALSE), 0)</f>
        <v>0</v>
      </c>
      <c r="M259">
        <f>IFERROR(VLOOKUP(Tabla13[[#This Row],[SISMED]],TblDisponibilidad[],17,FALSE), 0)</f>
        <v>0</v>
      </c>
      <c r="N259">
        <f>IFERROR(VLOOKUP(Tabla13[[#This Row],[SISMED]],TblDisponibilidad[],18,FALSE), 0)</f>
        <v>0</v>
      </c>
      <c r="O259">
        <f>IFERROR(VLOOKUP(Tabla13[[#This Row],[SISMED]],TblDisponibilidad[],19,FALSE), 0)</f>
        <v>0</v>
      </c>
      <c r="P259">
        <f>IFERROR(VLOOKUP(Tabla13[[#This Row],[SISMED]],TblDisponibilidad[],20,FALSE), 0)</f>
        <v>0</v>
      </c>
      <c r="Q259">
        <f>IFERROR(VLOOKUP(Tabla13[[#This Row],[SISMED]],TblDisponibilidad[],21,FALSE), 0)</f>
        <v>0</v>
      </c>
      <c r="R259">
        <f>IFERROR(VLOOKUP(Tabla13[[#This Row],[SISMED]],TblDisponibilidad[],22,FALSE), 0)</f>
        <v>0</v>
      </c>
      <c r="S259" s="15">
        <f>IFERROR(VLOOKUP(Tabla13[[#This Row],[SISMED]],TblDisponibilidad[],23,FALSE), 0)</f>
        <v>0</v>
      </c>
    </row>
    <row r="260" spans="1:19" x14ac:dyDescent="0.3">
      <c r="A260" s="15" t="s">
        <v>290</v>
      </c>
      <c r="B260" t="str">
        <f>IFERROR(VLOOKUP(Tabla13[[#This Row],[SISMED]],TblDisponibilidad[],2,FALSE), "")</f>
        <v/>
      </c>
      <c r="C260">
        <f>IFERROR(VLOOKUP(Tabla13[[#This Row],[SISMED]],TblDisponibilidad[],7,FALSE), 0)</f>
        <v>0</v>
      </c>
      <c r="D260">
        <f>IFERROR(VLOOKUP(Tabla13[[#This Row],[SISMED]],TblDisponibilidad[],8,FALSE), 0)</f>
        <v>0</v>
      </c>
      <c r="E260">
        <f>IFERROR(VLOOKUP(Tabla13[[#This Row],[SISMED]],TblDisponibilidad[],9,FALSE), 0)</f>
        <v>0</v>
      </c>
      <c r="F260">
        <f>IFERROR(VLOOKUP(Tabla13[[#This Row],[SISMED]],TblDisponibilidad[],10,FALSE), 0)</f>
        <v>0</v>
      </c>
      <c r="G260">
        <f>IFERROR(VLOOKUP(Tabla13[[#This Row],[SISMED]],TblDisponibilidad[],11,FALSE), 0)</f>
        <v>0</v>
      </c>
      <c r="H260">
        <f>IFERROR(VLOOKUP(Tabla13[[#This Row],[SISMED]],TblDisponibilidad[],12,FALSE), 0)</f>
        <v>0</v>
      </c>
      <c r="I260">
        <f>IFERROR(VLOOKUP(Tabla13[[#This Row],[SISMED]],TblDisponibilidad[],13,FALSE), 0)</f>
        <v>0</v>
      </c>
      <c r="J260">
        <f>IFERROR(VLOOKUP(Tabla13[[#This Row],[SISMED]],TblDisponibilidad[],14,FALSE), 0)</f>
        <v>0</v>
      </c>
      <c r="K260">
        <f>IFERROR(VLOOKUP(Tabla13[[#This Row],[SISMED]],TblDisponibilidad[],15,FALSE), 0)</f>
        <v>0</v>
      </c>
      <c r="L260">
        <f>IFERROR(VLOOKUP(Tabla13[[#This Row],[SISMED]],TblDisponibilidad[],16,FALSE), 0)</f>
        <v>0</v>
      </c>
      <c r="M260">
        <f>IFERROR(VLOOKUP(Tabla13[[#This Row],[SISMED]],TblDisponibilidad[],17,FALSE), 0)</f>
        <v>0</v>
      </c>
      <c r="N260">
        <f>IFERROR(VLOOKUP(Tabla13[[#This Row],[SISMED]],TblDisponibilidad[],18,FALSE), 0)</f>
        <v>0</v>
      </c>
      <c r="O260">
        <f>IFERROR(VLOOKUP(Tabla13[[#This Row],[SISMED]],TblDisponibilidad[],19,FALSE), 0)</f>
        <v>0</v>
      </c>
      <c r="P260">
        <f>IFERROR(VLOOKUP(Tabla13[[#This Row],[SISMED]],TblDisponibilidad[],20,FALSE), 0)</f>
        <v>0</v>
      </c>
      <c r="Q260">
        <f>IFERROR(VLOOKUP(Tabla13[[#This Row],[SISMED]],TblDisponibilidad[],21,FALSE), 0)</f>
        <v>0</v>
      </c>
      <c r="R260">
        <f>IFERROR(VLOOKUP(Tabla13[[#This Row],[SISMED]],TblDisponibilidad[],22,FALSE), 0)</f>
        <v>0</v>
      </c>
      <c r="S260" s="15">
        <f>IFERROR(VLOOKUP(Tabla13[[#This Row],[SISMED]],TblDisponibilidad[],23,FALSE), 0)</f>
        <v>0</v>
      </c>
    </row>
    <row r="261" spans="1:19" x14ac:dyDescent="0.3">
      <c r="A261" s="15" t="s">
        <v>291</v>
      </c>
      <c r="B261" t="str">
        <f>IFERROR(VLOOKUP(Tabla13[[#This Row],[SISMED]],TblDisponibilidad[],2,FALSE), "")</f>
        <v/>
      </c>
      <c r="C261">
        <f>IFERROR(VLOOKUP(Tabla13[[#This Row],[SISMED]],TblDisponibilidad[],7,FALSE), 0)</f>
        <v>0</v>
      </c>
      <c r="D261">
        <f>IFERROR(VLOOKUP(Tabla13[[#This Row],[SISMED]],TblDisponibilidad[],8,FALSE), 0)</f>
        <v>0</v>
      </c>
      <c r="E261">
        <f>IFERROR(VLOOKUP(Tabla13[[#This Row],[SISMED]],TblDisponibilidad[],9,FALSE), 0)</f>
        <v>0</v>
      </c>
      <c r="F261">
        <f>IFERROR(VLOOKUP(Tabla13[[#This Row],[SISMED]],TblDisponibilidad[],10,FALSE), 0)</f>
        <v>0</v>
      </c>
      <c r="G261">
        <f>IFERROR(VLOOKUP(Tabla13[[#This Row],[SISMED]],TblDisponibilidad[],11,FALSE), 0)</f>
        <v>0</v>
      </c>
      <c r="H261">
        <f>IFERROR(VLOOKUP(Tabla13[[#This Row],[SISMED]],TblDisponibilidad[],12,FALSE), 0)</f>
        <v>0</v>
      </c>
      <c r="I261">
        <f>IFERROR(VLOOKUP(Tabla13[[#This Row],[SISMED]],TblDisponibilidad[],13,FALSE), 0)</f>
        <v>0</v>
      </c>
      <c r="J261">
        <f>IFERROR(VLOOKUP(Tabla13[[#This Row],[SISMED]],TblDisponibilidad[],14,FALSE), 0)</f>
        <v>0</v>
      </c>
      <c r="K261">
        <f>IFERROR(VLOOKUP(Tabla13[[#This Row],[SISMED]],TblDisponibilidad[],15,FALSE), 0)</f>
        <v>0</v>
      </c>
      <c r="L261">
        <f>IFERROR(VLOOKUP(Tabla13[[#This Row],[SISMED]],TblDisponibilidad[],16,FALSE), 0)</f>
        <v>0</v>
      </c>
      <c r="M261">
        <f>IFERROR(VLOOKUP(Tabla13[[#This Row],[SISMED]],TblDisponibilidad[],17,FALSE), 0)</f>
        <v>0</v>
      </c>
      <c r="N261">
        <f>IFERROR(VLOOKUP(Tabla13[[#This Row],[SISMED]],TblDisponibilidad[],18,FALSE), 0)</f>
        <v>0</v>
      </c>
      <c r="O261">
        <f>IFERROR(VLOOKUP(Tabla13[[#This Row],[SISMED]],TblDisponibilidad[],19,FALSE), 0)</f>
        <v>0</v>
      </c>
      <c r="P261">
        <f>IFERROR(VLOOKUP(Tabla13[[#This Row],[SISMED]],TblDisponibilidad[],20,FALSE), 0)</f>
        <v>0</v>
      </c>
      <c r="Q261">
        <f>IFERROR(VLOOKUP(Tabla13[[#This Row],[SISMED]],TblDisponibilidad[],21,FALSE), 0)</f>
        <v>0</v>
      </c>
      <c r="R261">
        <f>IFERROR(VLOOKUP(Tabla13[[#This Row],[SISMED]],TblDisponibilidad[],22,FALSE), 0)</f>
        <v>0</v>
      </c>
      <c r="S261" s="15">
        <f>IFERROR(VLOOKUP(Tabla13[[#This Row],[SISMED]],TblDisponibilidad[],23,FALSE), 0)</f>
        <v>0</v>
      </c>
    </row>
    <row r="262" spans="1:19" x14ac:dyDescent="0.3">
      <c r="A262" s="15" t="s">
        <v>292</v>
      </c>
      <c r="B262" t="str">
        <f>IFERROR(VLOOKUP(Tabla13[[#This Row],[SISMED]],TblDisponibilidad[],2,FALSE), "")</f>
        <v/>
      </c>
      <c r="C262">
        <f>IFERROR(VLOOKUP(Tabla13[[#This Row],[SISMED]],TblDisponibilidad[],7,FALSE), 0)</f>
        <v>0</v>
      </c>
      <c r="D262">
        <f>IFERROR(VLOOKUP(Tabla13[[#This Row],[SISMED]],TblDisponibilidad[],8,FALSE), 0)</f>
        <v>0</v>
      </c>
      <c r="E262">
        <f>IFERROR(VLOOKUP(Tabla13[[#This Row],[SISMED]],TblDisponibilidad[],9,FALSE), 0)</f>
        <v>0</v>
      </c>
      <c r="F262">
        <f>IFERROR(VLOOKUP(Tabla13[[#This Row],[SISMED]],TblDisponibilidad[],10,FALSE), 0)</f>
        <v>0</v>
      </c>
      <c r="G262">
        <f>IFERROR(VLOOKUP(Tabla13[[#This Row],[SISMED]],TblDisponibilidad[],11,FALSE), 0)</f>
        <v>0</v>
      </c>
      <c r="H262">
        <f>IFERROR(VLOOKUP(Tabla13[[#This Row],[SISMED]],TblDisponibilidad[],12,FALSE), 0)</f>
        <v>0</v>
      </c>
      <c r="I262">
        <f>IFERROR(VLOOKUP(Tabla13[[#This Row],[SISMED]],TblDisponibilidad[],13,FALSE), 0)</f>
        <v>0</v>
      </c>
      <c r="J262">
        <f>IFERROR(VLOOKUP(Tabla13[[#This Row],[SISMED]],TblDisponibilidad[],14,FALSE), 0)</f>
        <v>0</v>
      </c>
      <c r="K262">
        <f>IFERROR(VLOOKUP(Tabla13[[#This Row],[SISMED]],TblDisponibilidad[],15,FALSE), 0)</f>
        <v>0</v>
      </c>
      <c r="L262">
        <f>IFERROR(VLOOKUP(Tabla13[[#This Row],[SISMED]],TblDisponibilidad[],16,FALSE), 0)</f>
        <v>0</v>
      </c>
      <c r="M262">
        <f>IFERROR(VLOOKUP(Tabla13[[#This Row],[SISMED]],TblDisponibilidad[],17,FALSE), 0)</f>
        <v>0</v>
      </c>
      <c r="N262">
        <f>IFERROR(VLOOKUP(Tabla13[[#This Row],[SISMED]],TblDisponibilidad[],18,FALSE), 0)</f>
        <v>0</v>
      </c>
      <c r="O262">
        <f>IFERROR(VLOOKUP(Tabla13[[#This Row],[SISMED]],TblDisponibilidad[],19,FALSE), 0)</f>
        <v>0</v>
      </c>
      <c r="P262">
        <f>IFERROR(VLOOKUP(Tabla13[[#This Row],[SISMED]],TblDisponibilidad[],20,FALSE), 0)</f>
        <v>0</v>
      </c>
      <c r="Q262">
        <f>IFERROR(VLOOKUP(Tabla13[[#This Row],[SISMED]],TblDisponibilidad[],21,FALSE), 0)</f>
        <v>0</v>
      </c>
      <c r="R262">
        <f>IFERROR(VLOOKUP(Tabla13[[#This Row],[SISMED]],TblDisponibilidad[],22,FALSE), 0)</f>
        <v>0</v>
      </c>
      <c r="S262" s="15">
        <f>IFERROR(VLOOKUP(Tabla13[[#This Row],[SISMED]],TblDisponibilidad[],23,FALSE), 0)</f>
        <v>0</v>
      </c>
    </row>
    <row r="263" spans="1:19" x14ac:dyDescent="0.3">
      <c r="A263" s="15" t="s">
        <v>293</v>
      </c>
      <c r="B263" t="str">
        <f>IFERROR(VLOOKUP(Tabla13[[#This Row],[SISMED]],TblDisponibilidad[],2,FALSE), "")</f>
        <v/>
      </c>
      <c r="C263">
        <f>IFERROR(VLOOKUP(Tabla13[[#This Row],[SISMED]],TblDisponibilidad[],7,FALSE), 0)</f>
        <v>0</v>
      </c>
      <c r="D263">
        <f>IFERROR(VLOOKUP(Tabla13[[#This Row],[SISMED]],TblDisponibilidad[],8,FALSE), 0)</f>
        <v>0</v>
      </c>
      <c r="E263">
        <f>IFERROR(VLOOKUP(Tabla13[[#This Row],[SISMED]],TblDisponibilidad[],9,FALSE), 0)</f>
        <v>0</v>
      </c>
      <c r="F263">
        <f>IFERROR(VLOOKUP(Tabla13[[#This Row],[SISMED]],TblDisponibilidad[],10,FALSE), 0)</f>
        <v>0</v>
      </c>
      <c r="G263">
        <f>IFERROR(VLOOKUP(Tabla13[[#This Row],[SISMED]],TblDisponibilidad[],11,FALSE), 0)</f>
        <v>0</v>
      </c>
      <c r="H263">
        <f>IFERROR(VLOOKUP(Tabla13[[#This Row],[SISMED]],TblDisponibilidad[],12,FALSE), 0)</f>
        <v>0</v>
      </c>
      <c r="I263">
        <f>IFERROR(VLOOKUP(Tabla13[[#This Row],[SISMED]],TblDisponibilidad[],13,FALSE), 0)</f>
        <v>0</v>
      </c>
      <c r="J263">
        <f>IFERROR(VLOOKUP(Tabla13[[#This Row],[SISMED]],TblDisponibilidad[],14,FALSE), 0)</f>
        <v>0</v>
      </c>
      <c r="K263">
        <f>IFERROR(VLOOKUP(Tabla13[[#This Row],[SISMED]],TblDisponibilidad[],15,FALSE), 0)</f>
        <v>0</v>
      </c>
      <c r="L263">
        <f>IFERROR(VLOOKUP(Tabla13[[#This Row],[SISMED]],TblDisponibilidad[],16,FALSE), 0)</f>
        <v>0</v>
      </c>
      <c r="M263">
        <f>IFERROR(VLOOKUP(Tabla13[[#This Row],[SISMED]],TblDisponibilidad[],17,FALSE), 0)</f>
        <v>0</v>
      </c>
      <c r="N263">
        <f>IFERROR(VLOOKUP(Tabla13[[#This Row],[SISMED]],TblDisponibilidad[],18,FALSE), 0)</f>
        <v>0</v>
      </c>
      <c r="O263">
        <f>IFERROR(VLOOKUP(Tabla13[[#This Row],[SISMED]],TblDisponibilidad[],19,FALSE), 0)</f>
        <v>0</v>
      </c>
      <c r="P263">
        <f>IFERROR(VLOOKUP(Tabla13[[#This Row],[SISMED]],TblDisponibilidad[],20,FALSE), 0)</f>
        <v>0</v>
      </c>
      <c r="Q263">
        <f>IFERROR(VLOOKUP(Tabla13[[#This Row],[SISMED]],TblDisponibilidad[],21,FALSE), 0)</f>
        <v>0</v>
      </c>
      <c r="R263">
        <f>IFERROR(VLOOKUP(Tabla13[[#This Row],[SISMED]],TblDisponibilidad[],22,FALSE), 0)</f>
        <v>0</v>
      </c>
      <c r="S263" s="15">
        <f>IFERROR(VLOOKUP(Tabla13[[#This Row],[SISMED]],TblDisponibilidad[],23,FALSE), 0)</f>
        <v>0</v>
      </c>
    </row>
    <row r="264" spans="1:19" x14ac:dyDescent="0.3">
      <c r="A264" s="15" t="s">
        <v>294</v>
      </c>
      <c r="B264" t="str">
        <f>IFERROR(VLOOKUP(Tabla13[[#This Row],[SISMED]],TblDisponibilidad[],2,FALSE), "")</f>
        <v/>
      </c>
      <c r="C264">
        <f>IFERROR(VLOOKUP(Tabla13[[#This Row],[SISMED]],TblDisponibilidad[],7,FALSE), 0)</f>
        <v>0</v>
      </c>
      <c r="D264">
        <f>IFERROR(VLOOKUP(Tabla13[[#This Row],[SISMED]],TblDisponibilidad[],8,FALSE), 0)</f>
        <v>0</v>
      </c>
      <c r="E264">
        <f>IFERROR(VLOOKUP(Tabla13[[#This Row],[SISMED]],TblDisponibilidad[],9,FALSE), 0)</f>
        <v>0</v>
      </c>
      <c r="F264">
        <f>IFERROR(VLOOKUP(Tabla13[[#This Row],[SISMED]],TblDisponibilidad[],10,FALSE), 0)</f>
        <v>0</v>
      </c>
      <c r="G264">
        <f>IFERROR(VLOOKUP(Tabla13[[#This Row],[SISMED]],TblDisponibilidad[],11,FALSE), 0)</f>
        <v>0</v>
      </c>
      <c r="H264">
        <f>IFERROR(VLOOKUP(Tabla13[[#This Row],[SISMED]],TblDisponibilidad[],12,FALSE), 0)</f>
        <v>0</v>
      </c>
      <c r="I264">
        <f>IFERROR(VLOOKUP(Tabla13[[#This Row],[SISMED]],TblDisponibilidad[],13,FALSE), 0)</f>
        <v>0</v>
      </c>
      <c r="J264">
        <f>IFERROR(VLOOKUP(Tabla13[[#This Row],[SISMED]],TblDisponibilidad[],14,FALSE), 0)</f>
        <v>0</v>
      </c>
      <c r="K264">
        <f>IFERROR(VLOOKUP(Tabla13[[#This Row],[SISMED]],TblDisponibilidad[],15,FALSE), 0)</f>
        <v>0</v>
      </c>
      <c r="L264">
        <f>IFERROR(VLOOKUP(Tabla13[[#This Row],[SISMED]],TblDisponibilidad[],16,FALSE), 0)</f>
        <v>0</v>
      </c>
      <c r="M264">
        <f>IFERROR(VLOOKUP(Tabla13[[#This Row],[SISMED]],TblDisponibilidad[],17,FALSE), 0)</f>
        <v>0</v>
      </c>
      <c r="N264">
        <f>IFERROR(VLOOKUP(Tabla13[[#This Row],[SISMED]],TblDisponibilidad[],18,FALSE), 0)</f>
        <v>0</v>
      </c>
      <c r="O264">
        <f>IFERROR(VLOOKUP(Tabla13[[#This Row],[SISMED]],TblDisponibilidad[],19,FALSE), 0)</f>
        <v>0</v>
      </c>
      <c r="P264">
        <f>IFERROR(VLOOKUP(Tabla13[[#This Row],[SISMED]],TblDisponibilidad[],20,FALSE), 0)</f>
        <v>0</v>
      </c>
      <c r="Q264">
        <f>IFERROR(VLOOKUP(Tabla13[[#This Row],[SISMED]],TblDisponibilidad[],21,FALSE), 0)</f>
        <v>0</v>
      </c>
      <c r="R264">
        <f>IFERROR(VLOOKUP(Tabla13[[#This Row],[SISMED]],TblDisponibilidad[],22,FALSE), 0)</f>
        <v>0</v>
      </c>
      <c r="S264" s="15">
        <f>IFERROR(VLOOKUP(Tabla13[[#This Row],[SISMED]],TblDisponibilidad[],23,FALSE), 0)</f>
        <v>0</v>
      </c>
    </row>
    <row r="265" spans="1:19" x14ac:dyDescent="0.3">
      <c r="A265" s="15" t="s">
        <v>295</v>
      </c>
      <c r="B265" t="str">
        <f>IFERROR(VLOOKUP(Tabla13[[#This Row],[SISMED]],TblDisponibilidad[],2,FALSE), "")</f>
        <v/>
      </c>
      <c r="C265">
        <f>IFERROR(VLOOKUP(Tabla13[[#This Row],[SISMED]],TblDisponibilidad[],7,FALSE), 0)</f>
        <v>0</v>
      </c>
      <c r="D265">
        <f>IFERROR(VLOOKUP(Tabla13[[#This Row],[SISMED]],TblDisponibilidad[],8,FALSE), 0)</f>
        <v>0</v>
      </c>
      <c r="E265">
        <f>IFERROR(VLOOKUP(Tabla13[[#This Row],[SISMED]],TblDisponibilidad[],9,FALSE), 0)</f>
        <v>0</v>
      </c>
      <c r="F265">
        <f>IFERROR(VLOOKUP(Tabla13[[#This Row],[SISMED]],TblDisponibilidad[],10,FALSE), 0)</f>
        <v>0</v>
      </c>
      <c r="G265">
        <f>IFERROR(VLOOKUP(Tabla13[[#This Row],[SISMED]],TblDisponibilidad[],11,FALSE), 0)</f>
        <v>0</v>
      </c>
      <c r="H265">
        <f>IFERROR(VLOOKUP(Tabla13[[#This Row],[SISMED]],TblDisponibilidad[],12,FALSE), 0)</f>
        <v>0</v>
      </c>
      <c r="I265">
        <f>IFERROR(VLOOKUP(Tabla13[[#This Row],[SISMED]],TblDisponibilidad[],13,FALSE), 0)</f>
        <v>0</v>
      </c>
      <c r="J265">
        <f>IFERROR(VLOOKUP(Tabla13[[#This Row],[SISMED]],TblDisponibilidad[],14,FALSE), 0)</f>
        <v>0</v>
      </c>
      <c r="K265">
        <f>IFERROR(VLOOKUP(Tabla13[[#This Row],[SISMED]],TblDisponibilidad[],15,FALSE), 0)</f>
        <v>0</v>
      </c>
      <c r="L265">
        <f>IFERROR(VLOOKUP(Tabla13[[#This Row],[SISMED]],TblDisponibilidad[],16,FALSE), 0)</f>
        <v>0</v>
      </c>
      <c r="M265">
        <f>IFERROR(VLOOKUP(Tabla13[[#This Row],[SISMED]],TblDisponibilidad[],17,FALSE), 0)</f>
        <v>0</v>
      </c>
      <c r="N265">
        <f>IFERROR(VLOOKUP(Tabla13[[#This Row],[SISMED]],TblDisponibilidad[],18,FALSE), 0)</f>
        <v>0</v>
      </c>
      <c r="O265">
        <f>IFERROR(VLOOKUP(Tabla13[[#This Row],[SISMED]],TblDisponibilidad[],19,FALSE), 0)</f>
        <v>0</v>
      </c>
      <c r="P265">
        <f>IFERROR(VLOOKUP(Tabla13[[#This Row],[SISMED]],TblDisponibilidad[],20,FALSE), 0)</f>
        <v>0</v>
      </c>
      <c r="Q265">
        <f>IFERROR(VLOOKUP(Tabla13[[#This Row],[SISMED]],TblDisponibilidad[],21,FALSE), 0)</f>
        <v>0</v>
      </c>
      <c r="R265">
        <f>IFERROR(VLOOKUP(Tabla13[[#This Row],[SISMED]],TblDisponibilidad[],22,FALSE), 0)</f>
        <v>0</v>
      </c>
      <c r="S265" s="15">
        <f>IFERROR(VLOOKUP(Tabla13[[#This Row],[SISMED]],TblDisponibilidad[],23,FALSE), 0)</f>
        <v>0</v>
      </c>
    </row>
    <row r="266" spans="1:19" x14ac:dyDescent="0.3">
      <c r="A266" s="15" t="s">
        <v>296</v>
      </c>
      <c r="B266" t="str">
        <f>IFERROR(VLOOKUP(Tabla13[[#This Row],[SISMED]],TblDisponibilidad[],2,FALSE), "")</f>
        <v/>
      </c>
      <c r="C266">
        <f>IFERROR(VLOOKUP(Tabla13[[#This Row],[SISMED]],TblDisponibilidad[],7,FALSE), 0)</f>
        <v>0</v>
      </c>
      <c r="D266">
        <f>IFERROR(VLOOKUP(Tabla13[[#This Row],[SISMED]],TblDisponibilidad[],8,FALSE), 0)</f>
        <v>0</v>
      </c>
      <c r="E266">
        <f>IFERROR(VLOOKUP(Tabla13[[#This Row],[SISMED]],TblDisponibilidad[],9,FALSE), 0)</f>
        <v>0</v>
      </c>
      <c r="F266">
        <f>IFERROR(VLOOKUP(Tabla13[[#This Row],[SISMED]],TblDisponibilidad[],10,FALSE), 0)</f>
        <v>0</v>
      </c>
      <c r="G266">
        <f>IFERROR(VLOOKUP(Tabla13[[#This Row],[SISMED]],TblDisponibilidad[],11,FALSE), 0)</f>
        <v>0</v>
      </c>
      <c r="H266">
        <f>IFERROR(VLOOKUP(Tabla13[[#This Row],[SISMED]],TblDisponibilidad[],12,FALSE), 0)</f>
        <v>0</v>
      </c>
      <c r="I266">
        <f>IFERROR(VLOOKUP(Tabla13[[#This Row],[SISMED]],TblDisponibilidad[],13,FALSE), 0)</f>
        <v>0</v>
      </c>
      <c r="J266">
        <f>IFERROR(VLOOKUP(Tabla13[[#This Row],[SISMED]],TblDisponibilidad[],14,FALSE), 0)</f>
        <v>0</v>
      </c>
      <c r="K266">
        <f>IFERROR(VLOOKUP(Tabla13[[#This Row],[SISMED]],TblDisponibilidad[],15,FALSE), 0)</f>
        <v>0</v>
      </c>
      <c r="L266">
        <f>IFERROR(VLOOKUP(Tabla13[[#This Row],[SISMED]],TblDisponibilidad[],16,FALSE), 0)</f>
        <v>0</v>
      </c>
      <c r="M266">
        <f>IFERROR(VLOOKUP(Tabla13[[#This Row],[SISMED]],TblDisponibilidad[],17,FALSE), 0)</f>
        <v>0</v>
      </c>
      <c r="N266">
        <f>IFERROR(VLOOKUP(Tabla13[[#This Row],[SISMED]],TblDisponibilidad[],18,FALSE), 0)</f>
        <v>0</v>
      </c>
      <c r="O266">
        <f>IFERROR(VLOOKUP(Tabla13[[#This Row],[SISMED]],TblDisponibilidad[],19,FALSE), 0)</f>
        <v>0</v>
      </c>
      <c r="P266">
        <f>IFERROR(VLOOKUP(Tabla13[[#This Row],[SISMED]],TblDisponibilidad[],20,FALSE), 0)</f>
        <v>0</v>
      </c>
      <c r="Q266">
        <f>IFERROR(VLOOKUP(Tabla13[[#This Row],[SISMED]],TblDisponibilidad[],21,FALSE), 0)</f>
        <v>0</v>
      </c>
      <c r="R266">
        <f>IFERROR(VLOOKUP(Tabla13[[#This Row],[SISMED]],TblDisponibilidad[],22,FALSE), 0)</f>
        <v>0</v>
      </c>
      <c r="S266" s="15">
        <f>IFERROR(VLOOKUP(Tabla13[[#This Row],[SISMED]],TblDisponibilidad[],23,FALSE), 0)</f>
        <v>0</v>
      </c>
    </row>
    <row r="267" spans="1:19" x14ac:dyDescent="0.3">
      <c r="A267" s="15" t="s">
        <v>297</v>
      </c>
      <c r="B267" t="str">
        <f>IFERROR(VLOOKUP(Tabla13[[#This Row],[SISMED]],TblDisponibilidad[],2,FALSE), "")</f>
        <v/>
      </c>
      <c r="C267">
        <f>IFERROR(VLOOKUP(Tabla13[[#This Row],[SISMED]],TblDisponibilidad[],7,FALSE), 0)</f>
        <v>0</v>
      </c>
      <c r="D267">
        <f>IFERROR(VLOOKUP(Tabla13[[#This Row],[SISMED]],TblDisponibilidad[],8,FALSE), 0)</f>
        <v>0</v>
      </c>
      <c r="E267">
        <f>IFERROR(VLOOKUP(Tabla13[[#This Row],[SISMED]],TblDisponibilidad[],9,FALSE), 0)</f>
        <v>0</v>
      </c>
      <c r="F267">
        <f>IFERROR(VLOOKUP(Tabla13[[#This Row],[SISMED]],TblDisponibilidad[],10,FALSE), 0)</f>
        <v>0</v>
      </c>
      <c r="G267">
        <f>IFERROR(VLOOKUP(Tabla13[[#This Row],[SISMED]],TblDisponibilidad[],11,FALSE), 0)</f>
        <v>0</v>
      </c>
      <c r="H267">
        <f>IFERROR(VLOOKUP(Tabla13[[#This Row],[SISMED]],TblDisponibilidad[],12,FALSE), 0)</f>
        <v>0</v>
      </c>
      <c r="I267">
        <f>IFERROR(VLOOKUP(Tabla13[[#This Row],[SISMED]],TblDisponibilidad[],13,FALSE), 0)</f>
        <v>0</v>
      </c>
      <c r="J267">
        <f>IFERROR(VLOOKUP(Tabla13[[#This Row],[SISMED]],TblDisponibilidad[],14,FALSE), 0)</f>
        <v>0</v>
      </c>
      <c r="K267">
        <f>IFERROR(VLOOKUP(Tabla13[[#This Row],[SISMED]],TblDisponibilidad[],15,FALSE), 0)</f>
        <v>0</v>
      </c>
      <c r="L267">
        <f>IFERROR(VLOOKUP(Tabla13[[#This Row],[SISMED]],TblDisponibilidad[],16,FALSE), 0)</f>
        <v>0</v>
      </c>
      <c r="M267">
        <f>IFERROR(VLOOKUP(Tabla13[[#This Row],[SISMED]],TblDisponibilidad[],17,FALSE), 0)</f>
        <v>0</v>
      </c>
      <c r="N267">
        <f>IFERROR(VLOOKUP(Tabla13[[#This Row],[SISMED]],TblDisponibilidad[],18,FALSE), 0)</f>
        <v>0</v>
      </c>
      <c r="O267">
        <f>IFERROR(VLOOKUP(Tabla13[[#This Row],[SISMED]],TblDisponibilidad[],19,FALSE), 0)</f>
        <v>0</v>
      </c>
      <c r="P267">
        <f>IFERROR(VLOOKUP(Tabla13[[#This Row],[SISMED]],TblDisponibilidad[],20,FALSE), 0)</f>
        <v>0</v>
      </c>
      <c r="Q267">
        <f>IFERROR(VLOOKUP(Tabla13[[#This Row],[SISMED]],TblDisponibilidad[],21,FALSE), 0)</f>
        <v>0</v>
      </c>
      <c r="R267">
        <f>IFERROR(VLOOKUP(Tabla13[[#This Row],[SISMED]],TblDisponibilidad[],22,FALSE), 0)</f>
        <v>0</v>
      </c>
      <c r="S267" s="15">
        <f>IFERROR(VLOOKUP(Tabla13[[#This Row],[SISMED]],TblDisponibilidad[],23,FALSE), 0)</f>
        <v>0</v>
      </c>
    </row>
    <row r="268" spans="1:19" x14ac:dyDescent="0.3">
      <c r="A268" s="15" t="s">
        <v>298</v>
      </c>
      <c r="B268" t="str">
        <f>IFERROR(VLOOKUP(Tabla13[[#This Row],[SISMED]],TblDisponibilidad[],2,FALSE), "")</f>
        <v/>
      </c>
      <c r="C268">
        <f>IFERROR(VLOOKUP(Tabla13[[#This Row],[SISMED]],TblDisponibilidad[],7,FALSE), 0)</f>
        <v>0</v>
      </c>
      <c r="D268">
        <f>IFERROR(VLOOKUP(Tabla13[[#This Row],[SISMED]],TblDisponibilidad[],8,FALSE), 0)</f>
        <v>0</v>
      </c>
      <c r="E268">
        <f>IFERROR(VLOOKUP(Tabla13[[#This Row],[SISMED]],TblDisponibilidad[],9,FALSE), 0)</f>
        <v>0</v>
      </c>
      <c r="F268">
        <f>IFERROR(VLOOKUP(Tabla13[[#This Row],[SISMED]],TblDisponibilidad[],10,FALSE), 0)</f>
        <v>0</v>
      </c>
      <c r="G268">
        <f>IFERROR(VLOOKUP(Tabla13[[#This Row],[SISMED]],TblDisponibilidad[],11,FALSE), 0)</f>
        <v>0</v>
      </c>
      <c r="H268">
        <f>IFERROR(VLOOKUP(Tabla13[[#This Row],[SISMED]],TblDisponibilidad[],12,FALSE), 0)</f>
        <v>0</v>
      </c>
      <c r="I268">
        <f>IFERROR(VLOOKUP(Tabla13[[#This Row],[SISMED]],TblDisponibilidad[],13,FALSE), 0)</f>
        <v>0</v>
      </c>
      <c r="J268">
        <f>IFERROR(VLOOKUP(Tabla13[[#This Row],[SISMED]],TblDisponibilidad[],14,FALSE), 0)</f>
        <v>0</v>
      </c>
      <c r="K268">
        <f>IFERROR(VLOOKUP(Tabla13[[#This Row],[SISMED]],TblDisponibilidad[],15,FALSE), 0)</f>
        <v>0</v>
      </c>
      <c r="L268">
        <f>IFERROR(VLOOKUP(Tabla13[[#This Row],[SISMED]],TblDisponibilidad[],16,FALSE), 0)</f>
        <v>0</v>
      </c>
      <c r="M268">
        <f>IFERROR(VLOOKUP(Tabla13[[#This Row],[SISMED]],TblDisponibilidad[],17,FALSE), 0)</f>
        <v>0</v>
      </c>
      <c r="N268">
        <f>IFERROR(VLOOKUP(Tabla13[[#This Row],[SISMED]],TblDisponibilidad[],18,FALSE), 0)</f>
        <v>0</v>
      </c>
      <c r="O268">
        <f>IFERROR(VLOOKUP(Tabla13[[#This Row],[SISMED]],TblDisponibilidad[],19,FALSE), 0)</f>
        <v>0</v>
      </c>
      <c r="P268">
        <f>IFERROR(VLOOKUP(Tabla13[[#This Row],[SISMED]],TblDisponibilidad[],20,FALSE), 0)</f>
        <v>0</v>
      </c>
      <c r="Q268">
        <f>IFERROR(VLOOKUP(Tabla13[[#This Row],[SISMED]],TblDisponibilidad[],21,FALSE), 0)</f>
        <v>0</v>
      </c>
      <c r="R268">
        <f>IFERROR(VLOOKUP(Tabla13[[#This Row],[SISMED]],TblDisponibilidad[],22,FALSE), 0)</f>
        <v>0</v>
      </c>
      <c r="S268" s="15">
        <f>IFERROR(VLOOKUP(Tabla13[[#This Row],[SISMED]],TblDisponibilidad[],23,FALSE), 0)</f>
        <v>0</v>
      </c>
    </row>
    <row r="269" spans="1:19" x14ac:dyDescent="0.3">
      <c r="A269" s="15" t="s">
        <v>299</v>
      </c>
      <c r="B269" t="str">
        <f>IFERROR(VLOOKUP(Tabla13[[#This Row],[SISMED]],TblDisponibilidad[],2,FALSE), "")</f>
        <v/>
      </c>
      <c r="C269">
        <f>IFERROR(VLOOKUP(Tabla13[[#This Row],[SISMED]],TblDisponibilidad[],7,FALSE), 0)</f>
        <v>0</v>
      </c>
      <c r="D269">
        <f>IFERROR(VLOOKUP(Tabla13[[#This Row],[SISMED]],TblDisponibilidad[],8,FALSE), 0)</f>
        <v>0</v>
      </c>
      <c r="E269">
        <f>IFERROR(VLOOKUP(Tabla13[[#This Row],[SISMED]],TblDisponibilidad[],9,FALSE), 0)</f>
        <v>0</v>
      </c>
      <c r="F269">
        <f>IFERROR(VLOOKUP(Tabla13[[#This Row],[SISMED]],TblDisponibilidad[],10,FALSE), 0)</f>
        <v>0</v>
      </c>
      <c r="G269">
        <f>IFERROR(VLOOKUP(Tabla13[[#This Row],[SISMED]],TblDisponibilidad[],11,FALSE), 0)</f>
        <v>0</v>
      </c>
      <c r="H269">
        <f>IFERROR(VLOOKUP(Tabla13[[#This Row],[SISMED]],TblDisponibilidad[],12,FALSE), 0)</f>
        <v>0</v>
      </c>
      <c r="I269">
        <f>IFERROR(VLOOKUP(Tabla13[[#This Row],[SISMED]],TblDisponibilidad[],13,FALSE), 0)</f>
        <v>0</v>
      </c>
      <c r="J269">
        <f>IFERROR(VLOOKUP(Tabla13[[#This Row],[SISMED]],TblDisponibilidad[],14,FALSE), 0)</f>
        <v>0</v>
      </c>
      <c r="K269">
        <f>IFERROR(VLOOKUP(Tabla13[[#This Row],[SISMED]],TblDisponibilidad[],15,FALSE), 0)</f>
        <v>0</v>
      </c>
      <c r="L269">
        <f>IFERROR(VLOOKUP(Tabla13[[#This Row],[SISMED]],TblDisponibilidad[],16,FALSE), 0)</f>
        <v>0</v>
      </c>
      <c r="M269">
        <f>IFERROR(VLOOKUP(Tabla13[[#This Row],[SISMED]],TblDisponibilidad[],17,FALSE), 0)</f>
        <v>0</v>
      </c>
      <c r="N269">
        <f>IFERROR(VLOOKUP(Tabla13[[#This Row],[SISMED]],TblDisponibilidad[],18,FALSE), 0)</f>
        <v>0</v>
      </c>
      <c r="O269">
        <f>IFERROR(VLOOKUP(Tabla13[[#This Row],[SISMED]],TblDisponibilidad[],19,FALSE), 0)</f>
        <v>0</v>
      </c>
      <c r="P269">
        <f>IFERROR(VLOOKUP(Tabla13[[#This Row],[SISMED]],TblDisponibilidad[],20,FALSE), 0)</f>
        <v>0</v>
      </c>
      <c r="Q269">
        <f>IFERROR(VLOOKUP(Tabla13[[#This Row],[SISMED]],TblDisponibilidad[],21,FALSE), 0)</f>
        <v>0</v>
      </c>
      <c r="R269">
        <f>IFERROR(VLOOKUP(Tabla13[[#This Row],[SISMED]],TblDisponibilidad[],22,FALSE), 0)</f>
        <v>0</v>
      </c>
      <c r="S269" s="15">
        <f>IFERROR(VLOOKUP(Tabla13[[#This Row],[SISMED]],TblDisponibilidad[],23,FALSE), 0)</f>
        <v>0</v>
      </c>
    </row>
    <row r="270" spans="1:19" x14ac:dyDescent="0.3">
      <c r="A270" s="15" t="s">
        <v>300</v>
      </c>
      <c r="B270" t="str">
        <f>IFERROR(VLOOKUP(Tabla13[[#This Row],[SISMED]],TblDisponibilidad[],2,FALSE), "")</f>
        <v/>
      </c>
      <c r="C270">
        <f>IFERROR(VLOOKUP(Tabla13[[#This Row],[SISMED]],TblDisponibilidad[],7,FALSE), 0)</f>
        <v>0</v>
      </c>
      <c r="D270">
        <f>IFERROR(VLOOKUP(Tabla13[[#This Row],[SISMED]],TblDisponibilidad[],8,FALSE), 0)</f>
        <v>0</v>
      </c>
      <c r="E270">
        <f>IFERROR(VLOOKUP(Tabla13[[#This Row],[SISMED]],TblDisponibilidad[],9,FALSE), 0)</f>
        <v>0</v>
      </c>
      <c r="F270">
        <f>IFERROR(VLOOKUP(Tabla13[[#This Row],[SISMED]],TblDisponibilidad[],10,FALSE), 0)</f>
        <v>0</v>
      </c>
      <c r="G270">
        <f>IFERROR(VLOOKUP(Tabla13[[#This Row],[SISMED]],TblDisponibilidad[],11,FALSE), 0)</f>
        <v>0</v>
      </c>
      <c r="H270">
        <f>IFERROR(VLOOKUP(Tabla13[[#This Row],[SISMED]],TblDisponibilidad[],12,FALSE), 0)</f>
        <v>0</v>
      </c>
      <c r="I270">
        <f>IFERROR(VLOOKUP(Tabla13[[#This Row],[SISMED]],TblDisponibilidad[],13,FALSE), 0)</f>
        <v>0</v>
      </c>
      <c r="J270">
        <f>IFERROR(VLOOKUP(Tabla13[[#This Row],[SISMED]],TblDisponibilidad[],14,FALSE), 0)</f>
        <v>0</v>
      </c>
      <c r="K270">
        <f>IFERROR(VLOOKUP(Tabla13[[#This Row],[SISMED]],TblDisponibilidad[],15,FALSE), 0)</f>
        <v>0</v>
      </c>
      <c r="L270">
        <f>IFERROR(VLOOKUP(Tabla13[[#This Row],[SISMED]],TblDisponibilidad[],16,FALSE), 0)</f>
        <v>0</v>
      </c>
      <c r="M270">
        <f>IFERROR(VLOOKUP(Tabla13[[#This Row],[SISMED]],TblDisponibilidad[],17,FALSE), 0)</f>
        <v>0</v>
      </c>
      <c r="N270">
        <f>IFERROR(VLOOKUP(Tabla13[[#This Row],[SISMED]],TblDisponibilidad[],18,FALSE), 0)</f>
        <v>0</v>
      </c>
      <c r="O270">
        <f>IFERROR(VLOOKUP(Tabla13[[#This Row],[SISMED]],TblDisponibilidad[],19,FALSE), 0)</f>
        <v>0</v>
      </c>
      <c r="P270">
        <f>IFERROR(VLOOKUP(Tabla13[[#This Row],[SISMED]],TblDisponibilidad[],20,FALSE), 0)</f>
        <v>0</v>
      </c>
      <c r="Q270">
        <f>IFERROR(VLOOKUP(Tabla13[[#This Row],[SISMED]],TblDisponibilidad[],21,FALSE), 0)</f>
        <v>0</v>
      </c>
      <c r="R270">
        <f>IFERROR(VLOOKUP(Tabla13[[#This Row],[SISMED]],TblDisponibilidad[],22,FALSE), 0)</f>
        <v>0</v>
      </c>
      <c r="S270" s="15">
        <f>IFERROR(VLOOKUP(Tabla13[[#This Row],[SISMED]],TblDisponibilidad[],23,FALSE), 0)</f>
        <v>0</v>
      </c>
    </row>
    <row r="271" spans="1:19" x14ac:dyDescent="0.3">
      <c r="A271" s="15" t="s">
        <v>301</v>
      </c>
      <c r="B271" t="str">
        <f>IFERROR(VLOOKUP(Tabla13[[#This Row],[SISMED]],TblDisponibilidad[],2,FALSE), "")</f>
        <v/>
      </c>
      <c r="C271">
        <f>IFERROR(VLOOKUP(Tabla13[[#This Row],[SISMED]],TblDisponibilidad[],7,FALSE), 0)</f>
        <v>0</v>
      </c>
      <c r="D271">
        <f>IFERROR(VLOOKUP(Tabla13[[#This Row],[SISMED]],TblDisponibilidad[],8,FALSE), 0)</f>
        <v>0</v>
      </c>
      <c r="E271">
        <f>IFERROR(VLOOKUP(Tabla13[[#This Row],[SISMED]],TblDisponibilidad[],9,FALSE), 0)</f>
        <v>0</v>
      </c>
      <c r="F271">
        <f>IFERROR(VLOOKUP(Tabla13[[#This Row],[SISMED]],TblDisponibilidad[],10,FALSE), 0)</f>
        <v>0</v>
      </c>
      <c r="G271">
        <f>IFERROR(VLOOKUP(Tabla13[[#This Row],[SISMED]],TblDisponibilidad[],11,FALSE), 0)</f>
        <v>0</v>
      </c>
      <c r="H271">
        <f>IFERROR(VLOOKUP(Tabla13[[#This Row],[SISMED]],TblDisponibilidad[],12,FALSE), 0)</f>
        <v>0</v>
      </c>
      <c r="I271">
        <f>IFERROR(VLOOKUP(Tabla13[[#This Row],[SISMED]],TblDisponibilidad[],13,FALSE), 0)</f>
        <v>0</v>
      </c>
      <c r="J271">
        <f>IFERROR(VLOOKUP(Tabla13[[#This Row],[SISMED]],TblDisponibilidad[],14,FALSE), 0)</f>
        <v>0</v>
      </c>
      <c r="K271">
        <f>IFERROR(VLOOKUP(Tabla13[[#This Row],[SISMED]],TblDisponibilidad[],15,FALSE), 0)</f>
        <v>0</v>
      </c>
      <c r="L271">
        <f>IFERROR(VLOOKUP(Tabla13[[#This Row],[SISMED]],TblDisponibilidad[],16,FALSE), 0)</f>
        <v>0</v>
      </c>
      <c r="M271">
        <f>IFERROR(VLOOKUP(Tabla13[[#This Row],[SISMED]],TblDisponibilidad[],17,FALSE), 0)</f>
        <v>0</v>
      </c>
      <c r="N271">
        <f>IFERROR(VLOOKUP(Tabla13[[#This Row],[SISMED]],TblDisponibilidad[],18,FALSE), 0)</f>
        <v>0</v>
      </c>
      <c r="O271">
        <f>IFERROR(VLOOKUP(Tabla13[[#This Row],[SISMED]],TblDisponibilidad[],19,FALSE), 0)</f>
        <v>0</v>
      </c>
      <c r="P271">
        <f>IFERROR(VLOOKUP(Tabla13[[#This Row],[SISMED]],TblDisponibilidad[],20,FALSE), 0)</f>
        <v>0</v>
      </c>
      <c r="Q271">
        <f>IFERROR(VLOOKUP(Tabla13[[#This Row],[SISMED]],TblDisponibilidad[],21,FALSE), 0)</f>
        <v>0</v>
      </c>
      <c r="R271">
        <f>IFERROR(VLOOKUP(Tabla13[[#This Row],[SISMED]],TblDisponibilidad[],22,FALSE), 0)</f>
        <v>0</v>
      </c>
      <c r="S271" s="15">
        <f>IFERROR(VLOOKUP(Tabla13[[#This Row],[SISMED]],TblDisponibilidad[],23,FALSE), 0)</f>
        <v>0</v>
      </c>
    </row>
    <row r="272" spans="1:19" x14ac:dyDescent="0.3">
      <c r="A272" s="15" t="s">
        <v>302</v>
      </c>
      <c r="B272" t="str">
        <f>IFERROR(VLOOKUP(Tabla13[[#This Row],[SISMED]],TblDisponibilidad[],2,FALSE), "")</f>
        <v/>
      </c>
      <c r="C272">
        <f>IFERROR(VLOOKUP(Tabla13[[#This Row],[SISMED]],TblDisponibilidad[],7,FALSE), 0)</f>
        <v>0</v>
      </c>
      <c r="D272">
        <f>IFERROR(VLOOKUP(Tabla13[[#This Row],[SISMED]],TblDisponibilidad[],8,FALSE), 0)</f>
        <v>0</v>
      </c>
      <c r="E272">
        <f>IFERROR(VLOOKUP(Tabla13[[#This Row],[SISMED]],TblDisponibilidad[],9,FALSE), 0)</f>
        <v>0</v>
      </c>
      <c r="F272">
        <f>IFERROR(VLOOKUP(Tabla13[[#This Row],[SISMED]],TblDisponibilidad[],10,FALSE), 0)</f>
        <v>0</v>
      </c>
      <c r="G272">
        <f>IFERROR(VLOOKUP(Tabla13[[#This Row],[SISMED]],TblDisponibilidad[],11,FALSE), 0)</f>
        <v>0</v>
      </c>
      <c r="H272">
        <f>IFERROR(VLOOKUP(Tabla13[[#This Row],[SISMED]],TblDisponibilidad[],12,FALSE), 0)</f>
        <v>0</v>
      </c>
      <c r="I272">
        <f>IFERROR(VLOOKUP(Tabla13[[#This Row],[SISMED]],TblDisponibilidad[],13,FALSE), 0)</f>
        <v>0</v>
      </c>
      <c r="J272">
        <f>IFERROR(VLOOKUP(Tabla13[[#This Row],[SISMED]],TblDisponibilidad[],14,FALSE), 0)</f>
        <v>0</v>
      </c>
      <c r="K272">
        <f>IFERROR(VLOOKUP(Tabla13[[#This Row],[SISMED]],TblDisponibilidad[],15,FALSE), 0)</f>
        <v>0</v>
      </c>
      <c r="L272">
        <f>IFERROR(VLOOKUP(Tabla13[[#This Row],[SISMED]],TblDisponibilidad[],16,FALSE), 0)</f>
        <v>0</v>
      </c>
      <c r="M272">
        <f>IFERROR(VLOOKUP(Tabla13[[#This Row],[SISMED]],TblDisponibilidad[],17,FALSE), 0)</f>
        <v>0</v>
      </c>
      <c r="N272">
        <f>IFERROR(VLOOKUP(Tabla13[[#This Row],[SISMED]],TblDisponibilidad[],18,FALSE), 0)</f>
        <v>0</v>
      </c>
      <c r="O272">
        <f>IFERROR(VLOOKUP(Tabla13[[#This Row],[SISMED]],TblDisponibilidad[],19,FALSE), 0)</f>
        <v>0</v>
      </c>
      <c r="P272">
        <f>IFERROR(VLOOKUP(Tabla13[[#This Row],[SISMED]],TblDisponibilidad[],20,FALSE), 0)</f>
        <v>0</v>
      </c>
      <c r="Q272">
        <f>IFERROR(VLOOKUP(Tabla13[[#This Row],[SISMED]],TblDisponibilidad[],21,FALSE), 0)</f>
        <v>0</v>
      </c>
      <c r="R272">
        <f>IFERROR(VLOOKUP(Tabla13[[#This Row],[SISMED]],TblDisponibilidad[],22,FALSE), 0)</f>
        <v>0</v>
      </c>
      <c r="S272" s="15">
        <f>IFERROR(VLOOKUP(Tabla13[[#This Row],[SISMED]],TblDisponibilidad[],23,FALSE), 0)</f>
        <v>0</v>
      </c>
    </row>
    <row r="273" spans="1:19" x14ac:dyDescent="0.3">
      <c r="A273" s="15" t="s">
        <v>303</v>
      </c>
      <c r="B273" t="str">
        <f>IFERROR(VLOOKUP(Tabla13[[#This Row],[SISMED]],TblDisponibilidad[],2,FALSE), "")</f>
        <v/>
      </c>
      <c r="C273">
        <f>IFERROR(VLOOKUP(Tabla13[[#This Row],[SISMED]],TblDisponibilidad[],7,FALSE), 0)</f>
        <v>0</v>
      </c>
      <c r="D273">
        <f>IFERROR(VLOOKUP(Tabla13[[#This Row],[SISMED]],TblDisponibilidad[],8,FALSE), 0)</f>
        <v>0</v>
      </c>
      <c r="E273">
        <f>IFERROR(VLOOKUP(Tabla13[[#This Row],[SISMED]],TblDisponibilidad[],9,FALSE), 0)</f>
        <v>0</v>
      </c>
      <c r="F273">
        <f>IFERROR(VLOOKUP(Tabla13[[#This Row],[SISMED]],TblDisponibilidad[],10,FALSE), 0)</f>
        <v>0</v>
      </c>
      <c r="G273">
        <f>IFERROR(VLOOKUP(Tabla13[[#This Row],[SISMED]],TblDisponibilidad[],11,FALSE), 0)</f>
        <v>0</v>
      </c>
      <c r="H273">
        <f>IFERROR(VLOOKUP(Tabla13[[#This Row],[SISMED]],TblDisponibilidad[],12,FALSE), 0)</f>
        <v>0</v>
      </c>
      <c r="I273">
        <f>IFERROR(VLOOKUP(Tabla13[[#This Row],[SISMED]],TblDisponibilidad[],13,FALSE), 0)</f>
        <v>0</v>
      </c>
      <c r="J273">
        <f>IFERROR(VLOOKUP(Tabla13[[#This Row],[SISMED]],TblDisponibilidad[],14,FALSE), 0)</f>
        <v>0</v>
      </c>
      <c r="K273">
        <f>IFERROR(VLOOKUP(Tabla13[[#This Row],[SISMED]],TblDisponibilidad[],15,FALSE), 0)</f>
        <v>0</v>
      </c>
      <c r="L273">
        <f>IFERROR(VLOOKUP(Tabla13[[#This Row],[SISMED]],TblDisponibilidad[],16,FALSE), 0)</f>
        <v>0</v>
      </c>
      <c r="M273">
        <f>IFERROR(VLOOKUP(Tabla13[[#This Row],[SISMED]],TblDisponibilidad[],17,FALSE), 0)</f>
        <v>0</v>
      </c>
      <c r="N273">
        <f>IFERROR(VLOOKUP(Tabla13[[#This Row],[SISMED]],TblDisponibilidad[],18,FALSE), 0)</f>
        <v>0</v>
      </c>
      <c r="O273">
        <f>IFERROR(VLOOKUP(Tabla13[[#This Row],[SISMED]],TblDisponibilidad[],19,FALSE), 0)</f>
        <v>0</v>
      </c>
      <c r="P273">
        <f>IFERROR(VLOOKUP(Tabla13[[#This Row],[SISMED]],TblDisponibilidad[],20,FALSE), 0)</f>
        <v>0</v>
      </c>
      <c r="Q273">
        <f>IFERROR(VLOOKUP(Tabla13[[#This Row],[SISMED]],TblDisponibilidad[],21,FALSE), 0)</f>
        <v>0</v>
      </c>
      <c r="R273">
        <f>IFERROR(VLOOKUP(Tabla13[[#This Row],[SISMED]],TblDisponibilidad[],22,FALSE), 0)</f>
        <v>0</v>
      </c>
      <c r="S273" s="15">
        <f>IFERROR(VLOOKUP(Tabla13[[#This Row],[SISMED]],TblDisponibilidad[],23,FALSE), 0)</f>
        <v>0</v>
      </c>
    </row>
    <row r="274" spans="1:19" x14ac:dyDescent="0.3">
      <c r="A274" s="15" t="s">
        <v>304</v>
      </c>
      <c r="B274" t="str">
        <f>IFERROR(VLOOKUP(Tabla13[[#This Row],[SISMED]],TblDisponibilidad[],2,FALSE), "")</f>
        <v/>
      </c>
      <c r="C274">
        <f>IFERROR(VLOOKUP(Tabla13[[#This Row],[SISMED]],TblDisponibilidad[],7,FALSE), 0)</f>
        <v>0</v>
      </c>
      <c r="D274">
        <f>IFERROR(VLOOKUP(Tabla13[[#This Row],[SISMED]],TblDisponibilidad[],8,FALSE), 0)</f>
        <v>0</v>
      </c>
      <c r="E274">
        <f>IFERROR(VLOOKUP(Tabla13[[#This Row],[SISMED]],TblDisponibilidad[],9,FALSE), 0)</f>
        <v>0</v>
      </c>
      <c r="F274">
        <f>IFERROR(VLOOKUP(Tabla13[[#This Row],[SISMED]],TblDisponibilidad[],10,FALSE), 0)</f>
        <v>0</v>
      </c>
      <c r="G274">
        <f>IFERROR(VLOOKUP(Tabla13[[#This Row],[SISMED]],TblDisponibilidad[],11,FALSE), 0)</f>
        <v>0</v>
      </c>
      <c r="H274">
        <f>IFERROR(VLOOKUP(Tabla13[[#This Row],[SISMED]],TblDisponibilidad[],12,FALSE), 0)</f>
        <v>0</v>
      </c>
      <c r="I274">
        <f>IFERROR(VLOOKUP(Tabla13[[#This Row],[SISMED]],TblDisponibilidad[],13,FALSE), 0)</f>
        <v>0</v>
      </c>
      <c r="J274">
        <f>IFERROR(VLOOKUP(Tabla13[[#This Row],[SISMED]],TblDisponibilidad[],14,FALSE), 0)</f>
        <v>0</v>
      </c>
      <c r="K274">
        <f>IFERROR(VLOOKUP(Tabla13[[#This Row],[SISMED]],TblDisponibilidad[],15,FALSE), 0)</f>
        <v>0</v>
      </c>
      <c r="L274">
        <f>IFERROR(VLOOKUP(Tabla13[[#This Row],[SISMED]],TblDisponibilidad[],16,FALSE), 0)</f>
        <v>0</v>
      </c>
      <c r="M274">
        <f>IFERROR(VLOOKUP(Tabla13[[#This Row],[SISMED]],TblDisponibilidad[],17,FALSE), 0)</f>
        <v>0</v>
      </c>
      <c r="N274">
        <f>IFERROR(VLOOKUP(Tabla13[[#This Row],[SISMED]],TblDisponibilidad[],18,FALSE), 0)</f>
        <v>0</v>
      </c>
      <c r="O274">
        <f>IFERROR(VLOOKUP(Tabla13[[#This Row],[SISMED]],TblDisponibilidad[],19,FALSE), 0)</f>
        <v>0</v>
      </c>
      <c r="P274">
        <f>IFERROR(VLOOKUP(Tabla13[[#This Row],[SISMED]],TblDisponibilidad[],20,FALSE), 0)</f>
        <v>0</v>
      </c>
      <c r="Q274">
        <f>IFERROR(VLOOKUP(Tabla13[[#This Row],[SISMED]],TblDisponibilidad[],21,FALSE), 0)</f>
        <v>0</v>
      </c>
      <c r="R274">
        <f>IFERROR(VLOOKUP(Tabla13[[#This Row],[SISMED]],TblDisponibilidad[],22,FALSE), 0)</f>
        <v>0</v>
      </c>
      <c r="S274" s="15">
        <f>IFERROR(VLOOKUP(Tabla13[[#This Row],[SISMED]],TblDisponibilidad[],23,FALSE), 0)</f>
        <v>0</v>
      </c>
    </row>
    <row r="275" spans="1:19" x14ac:dyDescent="0.3">
      <c r="A275" s="15" t="s">
        <v>305</v>
      </c>
      <c r="B275" t="str">
        <f>IFERROR(VLOOKUP(Tabla13[[#This Row],[SISMED]],TblDisponibilidad[],2,FALSE), "")</f>
        <v/>
      </c>
      <c r="C275">
        <f>IFERROR(VLOOKUP(Tabla13[[#This Row],[SISMED]],TblDisponibilidad[],7,FALSE), 0)</f>
        <v>0</v>
      </c>
      <c r="D275">
        <f>IFERROR(VLOOKUP(Tabla13[[#This Row],[SISMED]],TblDisponibilidad[],8,FALSE), 0)</f>
        <v>0</v>
      </c>
      <c r="E275">
        <f>IFERROR(VLOOKUP(Tabla13[[#This Row],[SISMED]],TblDisponibilidad[],9,FALSE), 0)</f>
        <v>0</v>
      </c>
      <c r="F275">
        <f>IFERROR(VLOOKUP(Tabla13[[#This Row],[SISMED]],TblDisponibilidad[],10,FALSE), 0)</f>
        <v>0</v>
      </c>
      <c r="G275">
        <f>IFERROR(VLOOKUP(Tabla13[[#This Row],[SISMED]],TblDisponibilidad[],11,FALSE), 0)</f>
        <v>0</v>
      </c>
      <c r="H275">
        <f>IFERROR(VLOOKUP(Tabla13[[#This Row],[SISMED]],TblDisponibilidad[],12,FALSE), 0)</f>
        <v>0</v>
      </c>
      <c r="I275">
        <f>IFERROR(VLOOKUP(Tabla13[[#This Row],[SISMED]],TblDisponibilidad[],13,FALSE), 0)</f>
        <v>0</v>
      </c>
      <c r="J275">
        <f>IFERROR(VLOOKUP(Tabla13[[#This Row],[SISMED]],TblDisponibilidad[],14,FALSE), 0)</f>
        <v>0</v>
      </c>
      <c r="K275">
        <f>IFERROR(VLOOKUP(Tabla13[[#This Row],[SISMED]],TblDisponibilidad[],15,FALSE), 0)</f>
        <v>0</v>
      </c>
      <c r="L275">
        <f>IFERROR(VLOOKUP(Tabla13[[#This Row],[SISMED]],TblDisponibilidad[],16,FALSE), 0)</f>
        <v>0</v>
      </c>
      <c r="M275">
        <f>IFERROR(VLOOKUP(Tabla13[[#This Row],[SISMED]],TblDisponibilidad[],17,FALSE), 0)</f>
        <v>0</v>
      </c>
      <c r="N275">
        <f>IFERROR(VLOOKUP(Tabla13[[#This Row],[SISMED]],TblDisponibilidad[],18,FALSE), 0)</f>
        <v>0</v>
      </c>
      <c r="O275">
        <f>IFERROR(VLOOKUP(Tabla13[[#This Row],[SISMED]],TblDisponibilidad[],19,FALSE), 0)</f>
        <v>0</v>
      </c>
      <c r="P275">
        <f>IFERROR(VLOOKUP(Tabla13[[#This Row],[SISMED]],TblDisponibilidad[],20,FALSE), 0)</f>
        <v>0</v>
      </c>
      <c r="Q275">
        <f>IFERROR(VLOOKUP(Tabla13[[#This Row],[SISMED]],TblDisponibilidad[],21,FALSE), 0)</f>
        <v>0</v>
      </c>
      <c r="R275">
        <f>IFERROR(VLOOKUP(Tabla13[[#This Row],[SISMED]],TblDisponibilidad[],22,FALSE), 0)</f>
        <v>0</v>
      </c>
      <c r="S275" s="15">
        <f>IFERROR(VLOOKUP(Tabla13[[#This Row],[SISMED]],TblDisponibilidad[],23,FALSE), 0)</f>
        <v>0</v>
      </c>
    </row>
    <row r="276" spans="1:19" x14ac:dyDescent="0.3">
      <c r="A276" s="15" t="s">
        <v>306</v>
      </c>
      <c r="B276" t="str">
        <f>IFERROR(VLOOKUP(Tabla13[[#This Row],[SISMED]],TblDisponibilidad[],2,FALSE), "")</f>
        <v/>
      </c>
      <c r="C276">
        <f>IFERROR(VLOOKUP(Tabla13[[#This Row],[SISMED]],TblDisponibilidad[],7,FALSE), 0)</f>
        <v>0</v>
      </c>
      <c r="D276">
        <f>IFERROR(VLOOKUP(Tabla13[[#This Row],[SISMED]],TblDisponibilidad[],8,FALSE), 0)</f>
        <v>0</v>
      </c>
      <c r="E276">
        <f>IFERROR(VLOOKUP(Tabla13[[#This Row],[SISMED]],TblDisponibilidad[],9,FALSE), 0)</f>
        <v>0</v>
      </c>
      <c r="F276">
        <f>IFERROR(VLOOKUP(Tabla13[[#This Row],[SISMED]],TblDisponibilidad[],10,FALSE), 0)</f>
        <v>0</v>
      </c>
      <c r="G276">
        <f>IFERROR(VLOOKUP(Tabla13[[#This Row],[SISMED]],TblDisponibilidad[],11,FALSE), 0)</f>
        <v>0</v>
      </c>
      <c r="H276">
        <f>IFERROR(VLOOKUP(Tabla13[[#This Row],[SISMED]],TblDisponibilidad[],12,FALSE), 0)</f>
        <v>0</v>
      </c>
      <c r="I276">
        <f>IFERROR(VLOOKUP(Tabla13[[#This Row],[SISMED]],TblDisponibilidad[],13,FALSE), 0)</f>
        <v>0</v>
      </c>
      <c r="J276">
        <f>IFERROR(VLOOKUP(Tabla13[[#This Row],[SISMED]],TblDisponibilidad[],14,FALSE), 0)</f>
        <v>0</v>
      </c>
      <c r="K276">
        <f>IFERROR(VLOOKUP(Tabla13[[#This Row],[SISMED]],TblDisponibilidad[],15,FALSE), 0)</f>
        <v>0</v>
      </c>
      <c r="L276">
        <f>IFERROR(VLOOKUP(Tabla13[[#This Row],[SISMED]],TblDisponibilidad[],16,FALSE), 0)</f>
        <v>0</v>
      </c>
      <c r="M276">
        <f>IFERROR(VLOOKUP(Tabla13[[#This Row],[SISMED]],TblDisponibilidad[],17,FALSE), 0)</f>
        <v>0</v>
      </c>
      <c r="N276">
        <f>IFERROR(VLOOKUP(Tabla13[[#This Row],[SISMED]],TblDisponibilidad[],18,FALSE), 0)</f>
        <v>0</v>
      </c>
      <c r="O276">
        <f>IFERROR(VLOOKUP(Tabla13[[#This Row],[SISMED]],TblDisponibilidad[],19,FALSE), 0)</f>
        <v>0</v>
      </c>
      <c r="P276">
        <f>IFERROR(VLOOKUP(Tabla13[[#This Row],[SISMED]],TblDisponibilidad[],20,FALSE), 0)</f>
        <v>0</v>
      </c>
      <c r="Q276">
        <f>IFERROR(VLOOKUP(Tabla13[[#This Row],[SISMED]],TblDisponibilidad[],21,FALSE), 0)</f>
        <v>0</v>
      </c>
      <c r="R276">
        <f>IFERROR(VLOOKUP(Tabla13[[#This Row],[SISMED]],TblDisponibilidad[],22,FALSE), 0)</f>
        <v>0</v>
      </c>
      <c r="S276" s="15">
        <f>IFERROR(VLOOKUP(Tabla13[[#This Row],[SISMED]],TblDisponibilidad[],23,FALSE), 0)</f>
        <v>0</v>
      </c>
    </row>
    <row r="277" spans="1:19" x14ac:dyDescent="0.3">
      <c r="A277" s="15" t="s">
        <v>307</v>
      </c>
      <c r="B277" t="str">
        <f>IFERROR(VLOOKUP(Tabla13[[#This Row],[SISMED]],TblDisponibilidad[],2,FALSE), "")</f>
        <v/>
      </c>
      <c r="C277">
        <f>IFERROR(VLOOKUP(Tabla13[[#This Row],[SISMED]],TblDisponibilidad[],7,FALSE), 0)</f>
        <v>0</v>
      </c>
      <c r="D277">
        <f>IFERROR(VLOOKUP(Tabla13[[#This Row],[SISMED]],TblDisponibilidad[],8,FALSE), 0)</f>
        <v>0</v>
      </c>
      <c r="E277">
        <f>IFERROR(VLOOKUP(Tabla13[[#This Row],[SISMED]],TblDisponibilidad[],9,FALSE), 0)</f>
        <v>0</v>
      </c>
      <c r="F277">
        <f>IFERROR(VLOOKUP(Tabla13[[#This Row],[SISMED]],TblDisponibilidad[],10,FALSE), 0)</f>
        <v>0</v>
      </c>
      <c r="G277">
        <f>IFERROR(VLOOKUP(Tabla13[[#This Row],[SISMED]],TblDisponibilidad[],11,FALSE), 0)</f>
        <v>0</v>
      </c>
      <c r="H277">
        <f>IFERROR(VLOOKUP(Tabla13[[#This Row],[SISMED]],TblDisponibilidad[],12,FALSE), 0)</f>
        <v>0</v>
      </c>
      <c r="I277">
        <f>IFERROR(VLOOKUP(Tabla13[[#This Row],[SISMED]],TblDisponibilidad[],13,FALSE), 0)</f>
        <v>0</v>
      </c>
      <c r="J277">
        <f>IFERROR(VLOOKUP(Tabla13[[#This Row],[SISMED]],TblDisponibilidad[],14,FALSE), 0)</f>
        <v>0</v>
      </c>
      <c r="K277">
        <f>IFERROR(VLOOKUP(Tabla13[[#This Row],[SISMED]],TblDisponibilidad[],15,FALSE), 0)</f>
        <v>0</v>
      </c>
      <c r="L277">
        <f>IFERROR(VLOOKUP(Tabla13[[#This Row],[SISMED]],TblDisponibilidad[],16,FALSE), 0)</f>
        <v>0</v>
      </c>
      <c r="M277">
        <f>IFERROR(VLOOKUP(Tabla13[[#This Row],[SISMED]],TblDisponibilidad[],17,FALSE), 0)</f>
        <v>0</v>
      </c>
      <c r="N277">
        <f>IFERROR(VLOOKUP(Tabla13[[#This Row],[SISMED]],TblDisponibilidad[],18,FALSE), 0)</f>
        <v>0</v>
      </c>
      <c r="O277">
        <f>IFERROR(VLOOKUP(Tabla13[[#This Row],[SISMED]],TblDisponibilidad[],19,FALSE), 0)</f>
        <v>0</v>
      </c>
      <c r="P277">
        <f>IFERROR(VLOOKUP(Tabla13[[#This Row],[SISMED]],TblDisponibilidad[],20,FALSE), 0)</f>
        <v>0</v>
      </c>
      <c r="Q277">
        <f>IFERROR(VLOOKUP(Tabla13[[#This Row],[SISMED]],TblDisponibilidad[],21,FALSE), 0)</f>
        <v>0</v>
      </c>
      <c r="R277">
        <f>IFERROR(VLOOKUP(Tabla13[[#This Row],[SISMED]],TblDisponibilidad[],22,FALSE), 0)</f>
        <v>0</v>
      </c>
      <c r="S277" s="15">
        <f>IFERROR(VLOOKUP(Tabla13[[#This Row],[SISMED]],TblDisponibilidad[],23,FALSE), 0)</f>
        <v>0</v>
      </c>
    </row>
    <row r="278" spans="1:19" x14ac:dyDescent="0.3">
      <c r="A278" s="15" t="s">
        <v>308</v>
      </c>
      <c r="B278" t="str">
        <f>IFERROR(VLOOKUP(Tabla13[[#This Row],[SISMED]],TblDisponibilidad[],2,FALSE), "")</f>
        <v/>
      </c>
      <c r="C278">
        <f>IFERROR(VLOOKUP(Tabla13[[#This Row],[SISMED]],TblDisponibilidad[],7,FALSE), 0)</f>
        <v>0</v>
      </c>
      <c r="D278">
        <f>IFERROR(VLOOKUP(Tabla13[[#This Row],[SISMED]],TblDisponibilidad[],8,FALSE), 0)</f>
        <v>0</v>
      </c>
      <c r="E278">
        <f>IFERROR(VLOOKUP(Tabla13[[#This Row],[SISMED]],TblDisponibilidad[],9,FALSE), 0)</f>
        <v>0</v>
      </c>
      <c r="F278">
        <f>IFERROR(VLOOKUP(Tabla13[[#This Row],[SISMED]],TblDisponibilidad[],10,FALSE), 0)</f>
        <v>0</v>
      </c>
      <c r="G278">
        <f>IFERROR(VLOOKUP(Tabla13[[#This Row],[SISMED]],TblDisponibilidad[],11,FALSE), 0)</f>
        <v>0</v>
      </c>
      <c r="H278">
        <f>IFERROR(VLOOKUP(Tabla13[[#This Row],[SISMED]],TblDisponibilidad[],12,FALSE), 0)</f>
        <v>0</v>
      </c>
      <c r="I278">
        <f>IFERROR(VLOOKUP(Tabla13[[#This Row],[SISMED]],TblDisponibilidad[],13,FALSE), 0)</f>
        <v>0</v>
      </c>
      <c r="J278">
        <f>IFERROR(VLOOKUP(Tabla13[[#This Row],[SISMED]],TblDisponibilidad[],14,FALSE), 0)</f>
        <v>0</v>
      </c>
      <c r="K278">
        <f>IFERROR(VLOOKUP(Tabla13[[#This Row],[SISMED]],TblDisponibilidad[],15,FALSE), 0)</f>
        <v>0</v>
      </c>
      <c r="L278">
        <f>IFERROR(VLOOKUP(Tabla13[[#This Row],[SISMED]],TblDisponibilidad[],16,FALSE), 0)</f>
        <v>0</v>
      </c>
      <c r="M278">
        <f>IFERROR(VLOOKUP(Tabla13[[#This Row],[SISMED]],TblDisponibilidad[],17,FALSE), 0)</f>
        <v>0</v>
      </c>
      <c r="N278">
        <f>IFERROR(VLOOKUP(Tabla13[[#This Row],[SISMED]],TblDisponibilidad[],18,FALSE), 0)</f>
        <v>0</v>
      </c>
      <c r="O278">
        <f>IFERROR(VLOOKUP(Tabla13[[#This Row],[SISMED]],TblDisponibilidad[],19,FALSE), 0)</f>
        <v>0</v>
      </c>
      <c r="P278">
        <f>IFERROR(VLOOKUP(Tabla13[[#This Row],[SISMED]],TblDisponibilidad[],20,FALSE), 0)</f>
        <v>0</v>
      </c>
      <c r="Q278">
        <f>IFERROR(VLOOKUP(Tabla13[[#This Row],[SISMED]],TblDisponibilidad[],21,FALSE), 0)</f>
        <v>0</v>
      </c>
      <c r="R278">
        <f>IFERROR(VLOOKUP(Tabla13[[#This Row],[SISMED]],TblDisponibilidad[],22,FALSE), 0)</f>
        <v>0</v>
      </c>
      <c r="S278" s="15">
        <f>IFERROR(VLOOKUP(Tabla13[[#This Row],[SISMED]],TblDisponibilidad[],23,FALSE), 0)</f>
        <v>0</v>
      </c>
    </row>
    <row r="279" spans="1:19" x14ac:dyDescent="0.3">
      <c r="A279" s="15" t="s">
        <v>309</v>
      </c>
      <c r="B279" t="str">
        <f>IFERROR(VLOOKUP(Tabla13[[#This Row],[SISMED]],TblDisponibilidad[],2,FALSE), "")</f>
        <v/>
      </c>
      <c r="C279">
        <f>IFERROR(VLOOKUP(Tabla13[[#This Row],[SISMED]],TblDisponibilidad[],7,FALSE), 0)</f>
        <v>0</v>
      </c>
      <c r="D279">
        <f>IFERROR(VLOOKUP(Tabla13[[#This Row],[SISMED]],TblDisponibilidad[],8,FALSE), 0)</f>
        <v>0</v>
      </c>
      <c r="E279">
        <f>IFERROR(VLOOKUP(Tabla13[[#This Row],[SISMED]],TblDisponibilidad[],9,FALSE), 0)</f>
        <v>0</v>
      </c>
      <c r="F279">
        <f>IFERROR(VLOOKUP(Tabla13[[#This Row],[SISMED]],TblDisponibilidad[],10,FALSE), 0)</f>
        <v>0</v>
      </c>
      <c r="G279">
        <f>IFERROR(VLOOKUP(Tabla13[[#This Row],[SISMED]],TblDisponibilidad[],11,FALSE), 0)</f>
        <v>0</v>
      </c>
      <c r="H279">
        <f>IFERROR(VLOOKUP(Tabla13[[#This Row],[SISMED]],TblDisponibilidad[],12,FALSE), 0)</f>
        <v>0</v>
      </c>
      <c r="I279">
        <f>IFERROR(VLOOKUP(Tabla13[[#This Row],[SISMED]],TblDisponibilidad[],13,FALSE), 0)</f>
        <v>0</v>
      </c>
      <c r="J279">
        <f>IFERROR(VLOOKUP(Tabla13[[#This Row],[SISMED]],TblDisponibilidad[],14,FALSE), 0)</f>
        <v>0</v>
      </c>
      <c r="K279">
        <f>IFERROR(VLOOKUP(Tabla13[[#This Row],[SISMED]],TblDisponibilidad[],15,FALSE), 0)</f>
        <v>0</v>
      </c>
      <c r="L279">
        <f>IFERROR(VLOOKUP(Tabla13[[#This Row],[SISMED]],TblDisponibilidad[],16,FALSE), 0)</f>
        <v>0</v>
      </c>
      <c r="M279">
        <f>IFERROR(VLOOKUP(Tabla13[[#This Row],[SISMED]],TblDisponibilidad[],17,FALSE), 0)</f>
        <v>0</v>
      </c>
      <c r="N279">
        <f>IFERROR(VLOOKUP(Tabla13[[#This Row],[SISMED]],TblDisponibilidad[],18,FALSE), 0)</f>
        <v>0</v>
      </c>
      <c r="O279">
        <f>IFERROR(VLOOKUP(Tabla13[[#This Row],[SISMED]],TblDisponibilidad[],19,FALSE), 0)</f>
        <v>0</v>
      </c>
      <c r="P279">
        <f>IFERROR(VLOOKUP(Tabla13[[#This Row],[SISMED]],TblDisponibilidad[],20,FALSE), 0)</f>
        <v>0</v>
      </c>
      <c r="Q279">
        <f>IFERROR(VLOOKUP(Tabla13[[#This Row],[SISMED]],TblDisponibilidad[],21,FALSE), 0)</f>
        <v>0</v>
      </c>
      <c r="R279">
        <f>IFERROR(VLOOKUP(Tabla13[[#This Row],[SISMED]],TblDisponibilidad[],22,FALSE), 0)</f>
        <v>0</v>
      </c>
      <c r="S279" s="15">
        <f>IFERROR(VLOOKUP(Tabla13[[#This Row],[SISMED]],TblDisponibilidad[],23,FALSE), 0)</f>
        <v>0</v>
      </c>
    </row>
    <row r="280" spans="1:19" x14ac:dyDescent="0.3">
      <c r="A280" s="15" t="s">
        <v>310</v>
      </c>
      <c r="B280" t="str">
        <f>IFERROR(VLOOKUP(Tabla13[[#This Row],[SISMED]],TblDisponibilidad[],2,FALSE), "")</f>
        <v/>
      </c>
      <c r="C280">
        <f>IFERROR(VLOOKUP(Tabla13[[#This Row],[SISMED]],TblDisponibilidad[],7,FALSE), 0)</f>
        <v>0</v>
      </c>
      <c r="D280">
        <f>IFERROR(VLOOKUP(Tabla13[[#This Row],[SISMED]],TblDisponibilidad[],8,FALSE), 0)</f>
        <v>0</v>
      </c>
      <c r="E280">
        <f>IFERROR(VLOOKUP(Tabla13[[#This Row],[SISMED]],TblDisponibilidad[],9,FALSE), 0)</f>
        <v>0</v>
      </c>
      <c r="F280">
        <f>IFERROR(VLOOKUP(Tabla13[[#This Row],[SISMED]],TblDisponibilidad[],10,FALSE), 0)</f>
        <v>0</v>
      </c>
      <c r="G280">
        <f>IFERROR(VLOOKUP(Tabla13[[#This Row],[SISMED]],TblDisponibilidad[],11,FALSE), 0)</f>
        <v>0</v>
      </c>
      <c r="H280">
        <f>IFERROR(VLOOKUP(Tabla13[[#This Row],[SISMED]],TblDisponibilidad[],12,FALSE), 0)</f>
        <v>0</v>
      </c>
      <c r="I280">
        <f>IFERROR(VLOOKUP(Tabla13[[#This Row],[SISMED]],TblDisponibilidad[],13,FALSE), 0)</f>
        <v>0</v>
      </c>
      <c r="J280">
        <f>IFERROR(VLOOKUP(Tabla13[[#This Row],[SISMED]],TblDisponibilidad[],14,FALSE), 0)</f>
        <v>0</v>
      </c>
      <c r="K280">
        <f>IFERROR(VLOOKUP(Tabla13[[#This Row],[SISMED]],TblDisponibilidad[],15,FALSE), 0)</f>
        <v>0</v>
      </c>
      <c r="L280">
        <f>IFERROR(VLOOKUP(Tabla13[[#This Row],[SISMED]],TblDisponibilidad[],16,FALSE), 0)</f>
        <v>0</v>
      </c>
      <c r="M280">
        <f>IFERROR(VLOOKUP(Tabla13[[#This Row],[SISMED]],TblDisponibilidad[],17,FALSE), 0)</f>
        <v>0</v>
      </c>
      <c r="N280">
        <f>IFERROR(VLOOKUP(Tabla13[[#This Row],[SISMED]],TblDisponibilidad[],18,FALSE), 0)</f>
        <v>0</v>
      </c>
      <c r="O280">
        <f>IFERROR(VLOOKUP(Tabla13[[#This Row],[SISMED]],TblDisponibilidad[],19,FALSE), 0)</f>
        <v>0</v>
      </c>
      <c r="P280">
        <f>IFERROR(VLOOKUP(Tabla13[[#This Row],[SISMED]],TblDisponibilidad[],20,FALSE), 0)</f>
        <v>0</v>
      </c>
      <c r="Q280">
        <f>IFERROR(VLOOKUP(Tabla13[[#This Row],[SISMED]],TblDisponibilidad[],21,FALSE), 0)</f>
        <v>0</v>
      </c>
      <c r="R280">
        <f>IFERROR(VLOOKUP(Tabla13[[#This Row],[SISMED]],TblDisponibilidad[],22,FALSE), 0)</f>
        <v>0</v>
      </c>
      <c r="S280" s="15">
        <f>IFERROR(VLOOKUP(Tabla13[[#This Row],[SISMED]],TblDisponibilidad[],23,FALSE), 0)</f>
        <v>0</v>
      </c>
    </row>
    <row r="281" spans="1:19" x14ac:dyDescent="0.3">
      <c r="A281" s="15" t="s">
        <v>311</v>
      </c>
      <c r="B281" t="str">
        <f>IFERROR(VLOOKUP(Tabla13[[#This Row],[SISMED]],TblDisponibilidad[],2,FALSE), "")</f>
        <v/>
      </c>
      <c r="C281">
        <f>IFERROR(VLOOKUP(Tabla13[[#This Row],[SISMED]],TblDisponibilidad[],7,FALSE), 0)</f>
        <v>0</v>
      </c>
      <c r="D281">
        <f>IFERROR(VLOOKUP(Tabla13[[#This Row],[SISMED]],TblDisponibilidad[],8,FALSE), 0)</f>
        <v>0</v>
      </c>
      <c r="E281">
        <f>IFERROR(VLOOKUP(Tabla13[[#This Row],[SISMED]],TblDisponibilidad[],9,FALSE), 0)</f>
        <v>0</v>
      </c>
      <c r="F281">
        <f>IFERROR(VLOOKUP(Tabla13[[#This Row],[SISMED]],TblDisponibilidad[],10,FALSE), 0)</f>
        <v>0</v>
      </c>
      <c r="G281">
        <f>IFERROR(VLOOKUP(Tabla13[[#This Row],[SISMED]],TblDisponibilidad[],11,FALSE), 0)</f>
        <v>0</v>
      </c>
      <c r="H281">
        <f>IFERROR(VLOOKUP(Tabla13[[#This Row],[SISMED]],TblDisponibilidad[],12,FALSE), 0)</f>
        <v>0</v>
      </c>
      <c r="I281">
        <f>IFERROR(VLOOKUP(Tabla13[[#This Row],[SISMED]],TblDisponibilidad[],13,FALSE), 0)</f>
        <v>0</v>
      </c>
      <c r="J281">
        <f>IFERROR(VLOOKUP(Tabla13[[#This Row],[SISMED]],TblDisponibilidad[],14,FALSE), 0)</f>
        <v>0</v>
      </c>
      <c r="K281">
        <f>IFERROR(VLOOKUP(Tabla13[[#This Row],[SISMED]],TblDisponibilidad[],15,FALSE), 0)</f>
        <v>0</v>
      </c>
      <c r="L281">
        <f>IFERROR(VLOOKUP(Tabla13[[#This Row],[SISMED]],TblDisponibilidad[],16,FALSE), 0)</f>
        <v>0</v>
      </c>
      <c r="M281">
        <f>IFERROR(VLOOKUP(Tabla13[[#This Row],[SISMED]],TblDisponibilidad[],17,FALSE), 0)</f>
        <v>0</v>
      </c>
      <c r="N281">
        <f>IFERROR(VLOOKUP(Tabla13[[#This Row],[SISMED]],TblDisponibilidad[],18,FALSE), 0)</f>
        <v>0</v>
      </c>
      <c r="O281">
        <f>IFERROR(VLOOKUP(Tabla13[[#This Row],[SISMED]],TblDisponibilidad[],19,FALSE), 0)</f>
        <v>0</v>
      </c>
      <c r="P281">
        <f>IFERROR(VLOOKUP(Tabla13[[#This Row],[SISMED]],TblDisponibilidad[],20,FALSE), 0)</f>
        <v>0</v>
      </c>
      <c r="Q281">
        <f>IFERROR(VLOOKUP(Tabla13[[#This Row],[SISMED]],TblDisponibilidad[],21,FALSE), 0)</f>
        <v>0</v>
      </c>
      <c r="R281">
        <f>IFERROR(VLOOKUP(Tabla13[[#This Row],[SISMED]],TblDisponibilidad[],22,FALSE), 0)</f>
        <v>0</v>
      </c>
      <c r="S281" s="15">
        <f>IFERROR(VLOOKUP(Tabla13[[#This Row],[SISMED]],TblDisponibilidad[],23,FALSE), 0)</f>
        <v>0</v>
      </c>
    </row>
    <row r="282" spans="1:19" x14ac:dyDescent="0.3">
      <c r="A282" s="15" t="s">
        <v>312</v>
      </c>
      <c r="B282" t="str">
        <f>IFERROR(VLOOKUP(Tabla13[[#This Row],[SISMED]],TblDisponibilidad[],2,FALSE), "")</f>
        <v/>
      </c>
      <c r="C282">
        <f>IFERROR(VLOOKUP(Tabla13[[#This Row],[SISMED]],TblDisponibilidad[],7,FALSE), 0)</f>
        <v>0</v>
      </c>
      <c r="D282">
        <f>IFERROR(VLOOKUP(Tabla13[[#This Row],[SISMED]],TblDisponibilidad[],8,FALSE), 0)</f>
        <v>0</v>
      </c>
      <c r="E282">
        <f>IFERROR(VLOOKUP(Tabla13[[#This Row],[SISMED]],TblDisponibilidad[],9,FALSE), 0)</f>
        <v>0</v>
      </c>
      <c r="F282">
        <f>IFERROR(VLOOKUP(Tabla13[[#This Row],[SISMED]],TblDisponibilidad[],10,FALSE), 0)</f>
        <v>0</v>
      </c>
      <c r="G282">
        <f>IFERROR(VLOOKUP(Tabla13[[#This Row],[SISMED]],TblDisponibilidad[],11,FALSE), 0)</f>
        <v>0</v>
      </c>
      <c r="H282">
        <f>IFERROR(VLOOKUP(Tabla13[[#This Row],[SISMED]],TblDisponibilidad[],12,FALSE), 0)</f>
        <v>0</v>
      </c>
      <c r="I282">
        <f>IFERROR(VLOOKUP(Tabla13[[#This Row],[SISMED]],TblDisponibilidad[],13,FALSE), 0)</f>
        <v>0</v>
      </c>
      <c r="J282">
        <f>IFERROR(VLOOKUP(Tabla13[[#This Row],[SISMED]],TblDisponibilidad[],14,FALSE), 0)</f>
        <v>0</v>
      </c>
      <c r="K282">
        <f>IFERROR(VLOOKUP(Tabla13[[#This Row],[SISMED]],TblDisponibilidad[],15,FALSE), 0)</f>
        <v>0</v>
      </c>
      <c r="L282">
        <f>IFERROR(VLOOKUP(Tabla13[[#This Row],[SISMED]],TblDisponibilidad[],16,FALSE), 0)</f>
        <v>0</v>
      </c>
      <c r="M282">
        <f>IFERROR(VLOOKUP(Tabla13[[#This Row],[SISMED]],TblDisponibilidad[],17,FALSE), 0)</f>
        <v>0</v>
      </c>
      <c r="N282">
        <f>IFERROR(VLOOKUP(Tabla13[[#This Row],[SISMED]],TblDisponibilidad[],18,FALSE), 0)</f>
        <v>0</v>
      </c>
      <c r="O282">
        <f>IFERROR(VLOOKUP(Tabla13[[#This Row],[SISMED]],TblDisponibilidad[],19,FALSE), 0)</f>
        <v>0</v>
      </c>
      <c r="P282">
        <f>IFERROR(VLOOKUP(Tabla13[[#This Row],[SISMED]],TblDisponibilidad[],20,FALSE), 0)</f>
        <v>0</v>
      </c>
      <c r="Q282">
        <f>IFERROR(VLOOKUP(Tabla13[[#This Row],[SISMED]],TblDisponibilidad[],21,FALSE), 0)</f>
        <v>0</v>
      </c>
      <c r="R282">
        <f>IFERROR(VLOOKUP(Tabla13[[#This Row],[SISMED]],TblDisponibilidad[],22,FALSE), 0)</f>
        <v>0</v>
      </c>
      <c r="S282" s="15">
        <f>IFERROR(VLOOKUP(Tabla13[[#This Row],[SISMED]],TblDisponibilidad[],23,FALSE), 0)</f>
        <v>0</v>
      </c>
    </row>
    <row r="283" spans="1:19" x14ac:dyDescent="0.3">
      <c r="A283" s="15" t="s">
        <v>313</v>
      </c>
      <c r="B283" t="str">
        <f>IFERROR(VLOOKUP(Tabla13[[#This Row],[SISMED]],TblDisponibilidad[],2,FALSE), "")</f>
        <v/>
      </c>
      <c r="C283">
        <f>IFERROR(VLOOKUP(Tabla13[[#This Row],[SISMED]],TblDisponibilidad[],7,FALSE), 0)</f>
        <v>0</v>
      </c>
      <c r="D283">
        <f>IFERROR(VLOOKUP(Tabla13[[#This Row],[SISMED]],TblDisponibilidad[],8,FALSE), 0)</f>
        <v>0</v>
      </c>
      <c r="E283">
        <f>IFERROR(VLOOKUP(Tabla13[[#This Row],[SISMED]],TblDisponibilidad[],9,FALSE), 0)</f>
        <v>0</v>
      </c>
      <c r="F283">
        <f>IFERROR(VLOOKUP(Tabla13[[#This Row],[SISMED]],TblDisponibilidad[],10,FALSE), 0)</f>
        <v>0</v>
      </c>
      <c r="G283">
        <f>IFERROR(VLOOKUP(Tabla13[[#This Row],[SISMED]],TblDisponibilidad[],11,FALSE), 0)</f>
        <v>0</v>
      </c>
      <c r="H283">
        <f>IFERROR(VLOOKUP(Tabla13[[#This Row],[SISMED]],TblDisponibilidad[],12,FALSE), 0)</f>
        <v>0</v>
      </c>
      <c r="I283">
        <f>IFERROR(VLOOKUP(Tabla13[[#This Row],[SISMED]],TblDisponibilidad[],13,FALSE), 0)</f>
        <v>0</v>
      </c>
      <c r="J283">
        <f>IFERROR(VLOOKUP(Tabla13[[#This Row],[SISMED]],TblDisponibilidad[],14,FALSE), 0)</f>
        <v>0</v>
      </c>
      <c r="K283">
        <f>IFERROR(VLOOKUP(Tabla13[[#This Row],[SISMED]],TblDisponibilidad[],15,FALSE), 0)</f>
        <v>0</v>
      </c>
      <c r="L283">
        <f>IFERROR(VLOOKUP(Tabla13[[#This Row],[SISMED]],TblDisponibilidad[],16,FALSE), 0)</f>
        <v>0</v>
      </c>
      <c r="M283">
        <f>IFERROR(VLOOKUP(Tabla13[[#This Row],[SISMED]],TblDisponibilidad[],17,FALSE), 0)</f>
        <v>0</v>
      </c>
      <c r="N283">
        <f>IFERROR(VLOOKUP(Tabla13[[#This Row],[SISMED]],TblDisponibilidad[],18,FALSE), 0)</f>
        <v>0</v>
      </c>
      <c r="O283">
        <f>IFERROR(VLOOKUP(Tabla13[[#This Row],[SISMED]],TblDisponibilidad[],19,FALSE), 0)</f>
        <v>0</v>
      </c>
      <c r="P283">
        <f>IFERROR(VLOOKUP(Tabla13[[#This Row],[SISMED]],TblDisponibilidad[],20,FALSE), 0)</f>
        <v>0</v>
      </c>
      <c r="Q283">
        <f>IFERROR(VLOOKUP(Tabla13[[#This Row],[SISMED]],TblDisponibilidad[],21,FALSE), 0)</f>
        <v>0</v>
      </c>
      <c r="R283">
        <f>IFERROR(VLOOKUP(Tabla13[[#This Row],[SISMED]],TblDisponibilidad[],22,FALSE), 0)</f>
        <v>0</v>
      </c>
      <c r="S283" s="15">
        <f>IFERROR(VLOOKUP(Tabla13[[#This Row],[SISMED]],TblDisponibilidad[],23,FALSE), 0)</f>
        <v>0</v>
      </c>
    </row>
    <row r="284" spans="1:19" x14ac:dyDescent="0.3">
      <c r="A284" s="15" t="s">
        <v>314</v>
      </c>
      <c r="B284" t="str">
        <f>IFERROR(VLOOKUP(Tabla13[[#This Row],[SISMED]],TblDisponibilidad[],2,FALSE), "")</f>
        <v/>
      </c>
      <c r="C284">
        <f>IFERROR(VLOOKUP(Tabla13[[#This Row],[SISMED]],TblDisponibilidad[],7,FALSE), 0)</f>
        <v>0</v>
      </c>
      <c r="D284">
        <f>IFERROR(VLOOKUP(Tabla13[[#This Row],[SISMED]],TblDisponibilidad[],8,FALSE), 0)</f>
        <v>0</v>
      </c>
      <c r="E284">
        <f>IFERROR(VLOOKUP(Tabla13[[#This Row],[SISMED]],TblDisponibilidad[],9,FALSE), 0)</f>
        <v>0</v>
      </c>
      <c r="F284">
        <f>IFERROR(VLOOKUP(Tabla13[[#This Row],[SISMED]],TblDisponibilidad[],10,FALSE), 0)</f>
        <v>0</v>
      </c>
      <c r="G284">
        <f>IFERROR(VLOOKUP(Tabla13[[#This Row],[SISMED]],TblDisponibilidad[],11,FALSE), 0)</f>
        <v>0</v>
      </c>
      <c r="H284">
        <f>IFERROR(VLOOKUP(Tabla13[[#This Row],[SISMED]],TblDisponibilidad[],12,FALSE), 0)</f>
        <v>0</v>
      </c>
      <c r="I284">
        <f>IFERROR(VLOOKUP(Tabla13[[#This Row],[SISMED]],TblDisponibilidad[],13,FALSE), 0)</f>
        <v>0</v>
      </c>
      <c r="J284">
        <f>IFERROR(VLOOKUP(Tabla13[[#This Row],[SISMED]],TblDisponibilidad[],14,FALSE), 0)</f>
        <v>0</v>
      </c>
      <c r="K284">
        <f>IFERROR(VLOOKUP(Tabla13[[#This Row],[SISMED]],TblDisponibilidad[],15,FALSE), 0)</f>
        <v>0</v>
      </c>
      <c r="L284">
        <f>IFERROR(VLOOKUP(Tabla13[[#This Row],[SISMED]],TblDisponibilidad[],16,FALSE), 0)</f>
        <v>0</v>
      </c>
      <c r="M284">
        <f>IFERROR(VLOOKUP(Tabla13[[#This Row],[SISMED]],TblDisponibilidad[],17,FALSE), 0)</f>
        <v>0</v>
      </c>
      <c r="N284">
        <f>IFERROR(VLOOKUP(Tabla13[[#This Row],[SISMED]],TblDisponibilidad[],18,FALSE), 0)</f>
        <v>0</v>
      </c>
      <c r="O284">
        <f>IFERROR(VLOOKUP(Tabla13[[#This Row],[SISMED]],TblDisponibilidad[],19,FALSE), 0)</f>
        <v>0</v>
      </c>
      <c r="P284">
        <f>IFERROR(VLOOKUP(Tabla13[[#This Row],[SISMED]],TblDisponibilidad[],20,FALSE), 0)</f>
        <v>0</v>
      </c>
      <c r="Q284">
        <f>IFERROR(VLOOKUP(Tabla13[[#This Row],[SISMED]],TblDisponibilidad[],21,FALSE), 0)</f>
        <v>0</v>
      </c>
      <c r="R284">
        <f>IFERROR(VLOOKUP(Tabla13[[#This Row],[SISMED]],TblDisponibilidad[],22,FALSE), 0)</f>
        <v>0</v>
      </c>
      <c r="S284" s="15">
        <f>IFERROR(VLOOKUP(Tabla13[[#This Row],[SISMED]],TblDisponibilidad[],23,FALSE), 0)</f>
        <v>0</v>
      </c>
    </row>
    <row r="285" spans="1:19" x14ac:dyDescent="0.3">
      <c r="A285" s="15" t="s">
        <v>315</v>
      </c>
      <c r="B285" t="str">
        <f>IFERROR(VLOOKUP(Tabla13[[#This Row],[SISMED]],TblDisponibilidad[],2,FALSE), "")</f>
        <v/>
      </c>
      <c r="C285">
        <f>IFERROR(VLOOKUP(Tabla13[[#This Row],[SISMED]],TblDisponibilidad[],7,FALSE), 0)</f>
        <v>0</v>
      </c>
      <c r="D285">
        <f>IFERROR(VLOOKUP(Tabla13[[#This Row],[SISMED]],TblDisponibilidad[],8,FALSE), 0)</f>
        <v>0</v>
      </c>
      <c r="E285">
        <f>IFERROR(VLOOKUP(Tabla13[[#This Row],[SISMED]],TblDisponibilidad[],9,FALSE), 0)</f>
        <v>0</v>
      </c>
      <c r="F285">
        <f>IFERROR(VLOOKUP(Tabla13[[#This Row],[SISMED]],TblDisponibilidad[],10,FALSE), 0)</f>
        <v>0</v>
      </c>
      <c r="G285">
        <f>IFERROR(VLOOKUP(Tabla13[[#This Row],[SISMED]],TblDisponibilidad[],11,FALSE), 0)</f>
        <v>0</v>
      </c>
      <c r="H285">
        <f>IFERROR(VLOOKUP(Tabla13[[#This Row],[SISMED]],TblDisponibilidad[],12,FALSE), 0)</f>
        <v>0</v>
      </c>
      <c r="I285">
        <f>IFERROR(VLOOKUP(Tabla13[[#This Row],[SISMED]],TblDisponibilidad[],13,FALSE), 0)</f>
        <v>0</v>
      </c>
      <c r="J285">
        <f>IFERROR(VLOOKUP(Tabla13[[#This Row],[SISMED]],TblDisponibilidad[],14,FALSE), 0)</f>
        <v>0</v>
      </c>
      <c r="K285">
        <f>IFERROR(VLOOKUP(Tabla13[[#This Row],[SISMED]],TblDisponibilidad[],15,FALSE), 0)</f>
        <v>0</v>
      </c>
      <c r="L285">
        <f>IFERROR(VLOOKUP(Tabla13[[#This Row],[SISMED]],TblDisponibilidad[],16,FALSE), 0)</f>
        <v>0</v>
      </c>
      <c r="M285">
        <f>IFERROR(VLOOKUP(Tabla13[[#This Row],[SISMED]],TblDisponibilidad[],17,FALSE), 0)</f>
        <v>0</v>
      </c>
      <c r="N285">
        <f>IFERROR(VLOOKUP(Tabla13[[#This Row],[SISMED]],TblDisponibilidad[],18,FALSE), 0)</f>
        <v>0</v>
      </c>
      <c r="O285">
        <f>IFERROR(VLOOKUP(Tabla13[[#This Row],[SISMED]],TblDisponibilidad[],19,FALSE), 0)</f>
        <v>0</v>
      </c>
      <c r="P285">
        <f>IFERROR(VLOOKUP(Tabla13[[#This Row],[SISMED]],TblDisponibilidad[],20,FALSE), 0)</f>
        <v>0</v>
      </c>
      <c r="Q285">
        <f>IFERROR(VLOOKUP(Tabla13[[#This Row],[SISMED]],TblDisponibilidad[],21,FALSE), 0)</f>
        <v>0</v>
      </c>
      <c r="R285">
        <f>IFERROR(VLOOKUP(Tabla13[[#This Row],[SISMED]],TblDisponibilidad[],22,FALSE), 0)</f>
        <v>0</v>
      </c>
      <c r="S285" s="15">
        <f>IFERROR(VLOOKUP(Tabla13[[#This Row],[SISMED]],TblDisponibilidad[],23,FALSE), 0)</f>
        <v>0</v>
      </c>
    </row>
    <row r="286" spans="1:19" x14ac:dyDescent="0.3">
      <c r="A286" s="15" t="s">
        <v>316</v>
      </c>
      <c r="B286" t="str">
        <f>IFERROR(VLOOKUP(Tabla13[[#This Row],[SISMED]],TblDisponibilidad[],2,FALSE), "")</f>
        <v/>
      </c>
      <c r="C286">
        <f>IFERROR(VLOOKUP(Tabla13[[#This Row],[SISMED]],TblDisponibilidad[],7,FALSE), 0)</f>
        <v>0</v>
      </c>
      <c r="D286">
        <f>IFERROR(VLOOKUP(Tabla13[[#This Row],[SISMED]],TblDisponibilidad[],8,FALSE), 0)</f>
        <v>0</v>
      </c>
      <c r="E286">
        <f>IFERROR(VLOOKUP(Tabla13[[#This Row],[SISMED]],TblDisponibilidad[],9,FALSE), 0)</f>
        <v>0</v>
      </c>
      <c r="F286">
        <f>IFERROR(VLOOKUP(Tabla13[[#This Row],[SISMED]],TblDisponibilidad[],10,FALSE), 0)</f>
        <v>0</v>
      </c>
      <c r="G286">
        <f>IFERROR(VLOOKUP(Tabla13[[#This Row],[SISMED]],TblDisponibilidad[],11,FALSE), 0)</f>
        <v>0</v>
      </c>
      <c r="H286">
        <f>IFERROR(VLOOKUP(Tabla13[[#This Row],[SISMED]],TblDisponibilidad[],12,FALSE), 0)</f>
        <v>0</v>
      </c>
      <c r="I286">
        <f>IFERROR(VLOOKUP(Tabla13[[#This Row],[SISMED]],TblDisponibilidad[],13,FALSE), 0)</f>
        <v>0</v>
      </c>
      <c r="J286">
        <f>IFERROR(VLOOKUP(Tabla13[[#This Row],[SISMED]],TblDisponibilidad[],14,FALSE), 0)</f>
        <v>0</v>
      </c>
      <c r="K286">
        <f>IFERROR(VLOOKUP(Tabla13[[#This Row],[SISMED]],TblDisponibilidad[],15,FALSE), 0)</f>
        <v>0</v>
      </c>
      <c r="L286">
        <f>IFERROR(VLOOKUP(Tabla13[[#This Row],[SISMED]],TblDisponibilidad[],16,FALSE), 0)</f>
        <v>0</v>
      </c>
      <c r="M286">
        <f>IFERROR(VLOOKUP(Tabla13[[#This Row],[SISMED]],TblDisponibilidad[],17,FALSE), 0)</f>
        <v>0</v>
      </c>
      <c r="N286">
        <f>IFERROR(VLOOKUP(Tabla13[[#This Row],[SISMED]],TblDisponibilidad[],18,FALSE), 0)</f>
        <v>0</v>
      </c>
      <c r="O286">
        <f>IFERROR(VLOOKUP(Tabla13[[#This Row],[SISMED]],TblDisponibilidad[],19,FALSE), 0)</f>
        <v>0</v>
      </c>
      <c r="P286">
        <f>IFERROR(VLOOKUP(Tabla13[[#This Row],[SISMED]],TblDisponibilidad[],20,FALSE), 0)</f>
        <v>0</v>
      </c>
      <c r="Q286">
        <f>IFERROR(VLOOKUP(Tabla13[[#This Row],[SISMED]],TblDisponibilidad[],21,FALSE), 0)</f>
        <v>0</v>
      </c>
      <c r="R286">
        <f>IFERROR(VLOOKUP(Tabla13[[#This Row],[SISMED]],TblDisponibilidad[],22,FALSE), 0)</f>
        <v>0</v>
      </c>
      <c r="S286" s="15">
        <f>IFERROR(VLOOKUP(Tabla13[[#This Row],[SISMED]],TblDisponibilidad[],23,FALSE), 0)</f>
        <v>0</v>
      </c>
    </row>
    <row r="287" spans="1:19" x14ac:dyDescent="0.3">
      <c r="A287" s="15" t="s">
        <v>317</v>
      </c>
      <c r="B287" t="str">
        <f>IFERROR(VLOOKUP(Tabla13[[#This Row],[SISMED]],TblDisponibilidad[],2,FALSE), "")</f>
        <v/>
      </c>
      <c r="C287">
        <f>IFERROR(VLOOKUP(Tabla13[[#This Row],[SISMED]],TblDisponibilidad[],7,FALSE), 0)</f>
        <v>0</v>
      </c>
      <c r="D287">
        <f>IFERROR(VLOOKUP(Tabla13[[#This Row],[SISMED]],TblDisponibilidad[],8,FALSE), 0)</f>
        <v>0</v>
      </c>
      <c r="E287">
        <f>IFERROR(VLOOKUP(Tabla13[[#This Row],[SISMED]],TblDisponibilidad[],9,FALSE), 0)</f>
        <v>0</v>
      </c>
      <c r="F287">
        <f>IFERROR(VLOOKUP(Tabla13[[#This Row],[SISMED]],TblDisponibilidad[],10,FALSE), 0)</f>
        <v>0</v>
      </c>
      <c r="G287">
        <f>IFERROR(VLOOKUP(Tabla13[[#This Row],[SISMED]],TblDisponibilidad[],11,FALSE), 0)</f>
        <v>0</v>
      </c>
      <c r="H287">
        <f>IFERROR(VLOOKUP(Tabla13[[#This Row],[SISMED]],TblDisponibilidad[],12,FALSE), 0)</f>
        <v>0</v>
      </c>
      <c r="I287">
        <f>IFERROR(VLOOKUP(Tabla13[[#This Row],[SISMED]],TblDisponibilidad[],13,FALSE), 0)</f>
        <v>0</v>
      </c>
      <c r="J287">
        <f>IFERROR(VLOOKUP(Tabla13[[#This Row],[SISMED]],TblDisponibilidad[],14,FALSE), 0)</f>
        <v>0</v>
      </c>
      <c r="K287">
        <f>IFERROR(VLOOKUP(Tabla13[[#This Row],[SISMED]],TblDisponibilidad[],15,FALSE), 0)</f>
        <v>0</v>
      </c>
      <c r="L287">
        <f>IFERROR(VLOOKUP(Tabla13[[#This Row],[SISMED]],TblDisponibilidad[],16,FALSE), 0)</f>
        <v>0</v>
      </c>
      <c r="M287">
        <f>IFERROR(VLOOKUP(Tabla13[[#This Row],[SISMED]],TblDisponibilidad[],17,FALSE), 0)</f>
        <v>0</v>
      </c>
      <c r="N287">
        <f>IFERROR(VLOOKUP(Tabla13[[#This Row],[SISMED]],TblDisponibilidad[],18,FALSE), 0)</f>
        <v>0</v>
      </c>
      <c r="O287">
        <f>IFERROR(VLOOKUP(Tabla13[[#This Row],[SISMED]],TblDisponibilidad[],19,FALSE), 0)</f>
        <v>0</v>
      </c>
      <c r="P287">
        <f>IFERROR(VLOOKUP(Tabla13[[#This Row],[SISMED]],TblDisponibilidad[],20,FALSE), 0)</f>
        <v>0</v>
      </c>
      <c r="Q287">
        <f>IFERROR(VLOOKUP(Tabla13[[#This Row],[SISMED]],TblDisponibilidad[],21,FALSE), 0)</f>
        <v>0</v>
      </c>
      <c r="R287">
        <f>IFERROR(VLOOKUP(Tabla13[[#This Row],[SISMED]],TblDisponibilidad[],22,FALSE), 0)</f>
        <v>0</v>
      </c>
      <c r="S287" s="15">
        <f>IFERROR(VLOOKUP(Tabla13[[#This Row],[SISMED]],TblDisponibilidad[],23,FALSE), 0)</f>
        <v>0</v>
      </c>
    </row>
    <row r="288" spans="1:19" x14ac:dyDescent="0.3">
      <c r="A288" s="15" t="s">
        <v>318</v>
      </c>
      <c r="B288" t="str">
        <f>IFERROR(VLOOKUP(Tabla13[[#This Row],[SISMED]],TblDisponibilidad[],2,FALSE), "")</f>
        <v/>
      </c>
      <c r="C288">
        <f>IFERROR(VLOOKUP(Tabla13[[#This Row],[SISMED]],TblDisponibilidad[],7,FALSE), 0)</f>
        <v>0</v>
      </c>
      <c r="D288">
        <f>IFERROR(VLOOKUP(Tabla13[[#This Row],[SISMED]],TblDisponibilidad[],8,FALSE), 0)</f>
        <v>0</v>
      </c>
      <c r="E288">
        <f>IFERROR(VLOOKUP(Tabla13[[#This Row],[SISMED]],TblDisponibilidad[],9,FALSE), 0)</f>
        <v>0</v>
      </c>
      <c r="F288">
        <f>IFERROR(VLOOKUP(Tabla13[[#This Row],[SISMED]],TblDisponibilidad[],10,FALSE), 0)</f>
        <v>0</v>
      </c>
      <c r="G288">
        <f>IFERROR(VLOOKUP(Tabla13[[#This Row],[SISMED]],TblDisponibilidad[],11,FALSE), 0)</f>
        <v>0</v>
      </c>
      <c r="H288">
        <f>IFERROR(VLOOKUP(Tabla13[[#This Row],[SISMED]],TblDisponibilidad[],12,FALSE), 0)</f>
        <v>0</v>
      </c>
      <c r="I288">
        <f>IFERROR(VLOOKUP(Tabla13[[#This Row],[SISMED]],TblDisponibilidad[],13,FALSE), 0)</f>
        <v>0</v>
      </c>
      <c r="J288">
        <f>IFERROR(VLOOKUP(Tabla13[[#This Row],[SISMED]],TblDisponibilidad[],14,FALSE), 0)</f>
        <v>0</v>
      </c>
      <c r="K288">
        <f>IFERROR(VLOOKUP(Tabla13[[#This Row],[SISMED]],TblDisponibilidad[],15,FALSE), 0)</f>
        <v>0</v>
      </c>
      <c r="L288">
        <f>IFERROR(VLOOKUP(Tabla13[[#This Row],[SISMED]],TblDisponibilidad[],16,FALSE), 0)</f>
        <v>0</v>
      </c>
      <c r="M288">
        <f>IFERROR(VLOOKUP(Tabla13[[#This Row],[SISMED]],TblDisponibilidad[],17,FALSE), 0)</f>
        <v>0</v>
      </c>
      <c r="N288">
        <f>IFERROR(VLOOKUP(Tabla13[[#This Row],[SISMED]],TblDisponibilidad[],18,FALSE), 0)</f>
        <v>0</v>
      </c>
      <c r="O288">
        <f>IFERROR(VLOOKUP(Tabla13[[#This Row],[SISMED]],TblDisponibilidad[],19,FALSE), 0)</f>
        <v>0</v>
      </c>
      <c r="P288">
        <f>IFERROR(VLOOKUP(Tabla13[[#This Row],[SISMED]],TblDisponibilidad[],20,FALSE), 0)</f>
        <v>0</v>
      </c>
      <c r="Q288">
        <f>IFERROR(VLOOKUP(Tabla13[[#This Row],[SISMED]],TblDisponibilidad[],21,FALSE), 0)</f>
        <v>0</v>
      </c>
      <c r="R288">
        <f>IFERROR(VLOOKUP(Tabla13[[#This Row],[SISMED]],TblDisponibilidad[],22,FALSE), 0)</f>
        <v>0</v>
      </c>
      <c r="S288" s="15">
        <f>IFERROR(VLOOKUP(Tabla13[[#This Row],[SISMED]],TblDisponibilidad[],23,FALSE), 0)</f>
        <v>0</v>
      </c>
    </row>
    <row r="289" spans="1:19" x14ac:dyDescent="0.3">
      <c r="A289" s="15" t="s">
        <v>319</v>
      </c>
      <c r="B289" t="str">
        <f>IFERROR(VLOOKUP(Tabla13[[#This Row],[SISMED]],TblDisponibilidad[],2,FALSE), "")</f>
        <v/>
      </c>
      <c r="C289">
        <f>IFERROR(VLOOKUP(Tabla13[[#This Row],[SISMED]],TblDisponibilidad[],7,FALSE), 0)</f>
        <v>0</v>
      </c>
      <c r="D289">
        <f>IFERROR(VLOOKUP(Tabla13[[#This Row],[SISMED]],TblDisponibilidad[],8,FALSE), 0)</f>
        <v>0</v>
      </c>
      <c r="E289">
        <f>IFERROR(VLOOKUP(Tabla13[[#This Row],[SISMED]],TblDisponibilidad[],9,FALSE), 0)</f>
        <v>0</v>
      </c>
      <c r="F289">
        <f>IFERROR(VLOOKUP(Tabla13[[#This Row],[SISMED]],TblDisponibilidad[],10,FALSE), 0)</f>
        <v>0</v>
      </c>
      <c r="G289">
        <f>IFERROR(VLOOKUP(Tabla13[[#This Row],[SISMED]],TblDisponibilidad[],11,FALSE), 0)</f>
        <v>0</v>
      </c>
      <c r="H289">
        <f>IFERROR(VLOOKUP(Tabla13[[#This Row],[SISMED]],TblDisponibilidad[],12,FALSE), 0)</f>
        <v>0</v>
      </c>
      <c r="I289">
        <f>IFERROR(VLOOKUP(Tabla13[[#This Row],[SISMED]],TblDisponibilidad[],13,FALSE), 0)</f>
        <v>0</v>
      </c>
      <c r="J289">
        <f>IFERROR(VLOOKUP(Tabla13[[#This Row],[SISMED]],TblDisponibilidad[],14,FALSE), 0)</f>
        <v>0</v>
      </c>
      <c r="K289">
        <f>IFERROR(VLOOKUP(Tabla13[[#This Row],[SISMED]],TblDisponibilidad[],15,FALSE), 0)</f>
        <v>0</v>
      </c>
      <c r="L289">
        <f>IFERROR(VLOOKUP(Tabla13[[#This Row],[SISMED]],TblDisponibilidad[],16,FALSE), 0)</f>
        <v>0</v>
      </c>
      <c r="M289">
        <f>IFERROR(VLOOKUP(Tabla13[[#This Row],[SISMED]],TblDisponibilidad[],17,FALSE), 0)</f>
        <v>0</v>
      </c>
      <c r="N289">
        <f>IFERROR(VLOOKUP(Tabla13[[#This Row],[SISMED]],TblDisponibilidad[],18,FALSE), 0)</f>
        <v>0</v>
      </c>
      <c r="O289">
        <f>IFERROR(VLOOKUP(Tabla13[[#This Row],[SISMED]],TblDisponibilidad[],19,FALSE), 0)</f>
        <v>0</v>
      </c>
      <c r="P289">
        <f>IFERROR(VLOOKUP(Tabla13[[#This Row],[SISMED]],TblDisponibilidad[],20,FALSE), 0)</f>
        <v>0</v>
      </c>
      <c r="Q289">
        <f>IFERROR(VLOOKUP(Tabla13[[#This Row],[SISMED]],TblDisponibilidad[],21,FALSE), 0)</f>
        <v>0</v>
      </c>
      <c r="R289">
        <f>IFERROR(VLOOKUP(Tabla13[[#This Row],[SISMED]],TblDisponibilidad[],22,FALSE), 0)</f>
        <v>0</v>
      </c>
      <c r="S289" s="15">
        <f>IFERROR(VLOOKUP(Tabla13[[#This Row],[SISMED]],TblDisponibilidad[],23,FALSE), 0)</f>
        <v>0</v>
      </c>
    </row>
    <row r="290" spans="1:19" x14ac:dyDescent="0.3">
      <c r="A290" s="15" t="s">
        <v>320</v>
      </c>
      <c r="B290" t="str">
        <f>IFERROR(VLOOKUP(Tabla13[[#This Row],[SISMED]],TblDisponibilidad[],2,FALSE), "")</f>
        <v/>
      </c>
      <c r="C290">
        <f>IFERROR(VLOOKUP(Tabla13[[#This Row],[SISMED]],TblDisponibilidad[],7,FALSE), 0)</f>
        <v>0</v>
      </c>
      <c r="D290">
        <f>IFERROR(VLOOKUP(Tabla13[[#This Row],[SISMED]],TblDisponibilidad[],8,FALSE), 0)</f>
        <v>0</v>
      </c>
      <c r="E290">
        <f>IFERROR(VLOOKUP(Tabla13[[#This Row],[SISMED]],TblDisponibilidad[],9,FALSE), 0)</f>
        <v>0</v>
      </c>
      <c r="F290">
        <f>IFERROR(VLOOKUP(Tabla13[[#This Row],[SISMED]],TblDisponibilidad[],10,FALSE), 0)</f>
        <v>0</v>
      </c>
      <c r="G290">
        <f>IFERROR(VLOOKUP(Tabla13[[#This Row],[SISMED]],TblDisponibilidad[],11,FALSE), 0)</f>
        <v>0</v>
      </c>
      <c r="H290">
        <f>IFERROR(VLOOKUP(Tabla13[[#This Row],[SISMED]],TblDisponibilidad[],12,FALSE), 0)</f>
        <v>0</v>
      </c>
      <c r="I290">
        <f>IFERROR(VLOOKUP(Tabla13[[#This Row],[SISMED]],TblDisponibilidad[],13,FALSE), 0)</f>
        <v>0</v>
      </c>
      <c r="J290">
        <f>IFERROR(VLOOKUP(Tabla13[[#This Row],[SISMED]],TblDisponibilidad[],14,FALSE), 0)</f>
        <v>0</v>
      </c>
      <c r="K290">
        <f>IFERROR(VLOOKUP(Tabla13[[#This Row],[SISMED]],TblDisponibilidad[],15,FALSE), 0)</f>
        <v>0</v>
      </c>
      <c r="L290">
        <f>IFERROR(VLOOKUP(Tabla13[[#This Row],[SISMED]],TblDisponibilidad[],16,FALSE), 0)</f>
        <v>0</v>
      </c>
      <c r="M290">
        <f>IFERROR(VLOOKUP(Tabla13[[#This Row],[SISMED]],TblDisponibilidad[],17,FALSE), 0)</f>
        <v>0</v>
      </c>
      <c r="N290">
        <f>IFERROR(VLOOKUP(Tabla13[[#This Row],[SISMED]],TblDisponibilidad[],18,FALSE), 0)</f>
        <v>0</v>
      </c>
      <c r="O290">
        <f>IFERROR(VLOOKUP(Tabla13[[#This Row],[SISMED]],TblDisponibilidad[],19,FALSE), 0)</f>
        <v>0</v>
      </c>
      <c r="P290">
        <f>IFERROR(VLOOKUP(Tabla13[[#This Row],[SISMED]],TblDisponibilidad[],20,FALSE), 0)</f>
        <v>0</v>
      </c>
      <c r="Q290">
        <f>IFERROR(VLOOKUP(Tabla13[[#This Row],[SISMED]],TblDisponibilidad[],21,FALSE), 0)</f>
        <v>0</v>
      </c>
      <c r="R290">
        <f>IFERROR(VLOOKUP(Tabla13[[#This Row],[SISMED]],TblDisponibilidad[],22,FALSE), 0)</f>
        <v>0</v>
      </c>
      <c r="S290" s="15">
        <f>IFERROR(VLOOKUP(Tabla13[[#This Row],[SISMED]],TblDisponibilidad[],23,FALSE), 0)</f>
        <v>0</v>
      </c>
    </row>
    <row r="291" spans="1:19" x14ac:dyDescent="0.3">
      <c r="A291" s="15" t="s">
        <v>321</v>
      </c>
      <c r="B291" t="str">
        <f>IFERROR(VLOOKUP(Tabla13[[#This Row],[SISMED]],TblDisponibilidad[],2,FALSE), "")</f>
        <v/>
      </c>
      <c r="C291">
        <f>IFERROR(VLOOKUP(Tabla13[[#This Row],[SISMED]],TblDisponibilidad[],7,FALSE), 0)</f>
        <v>0</v>
      </c>
      <c r="D291">
        <f>IFERROR(VLOOKUP(Tabla13[[#This Row],[SISMED]],TblDisponibilidad[],8,FALSE), 0)</f>
        <v>0</v>
      </c>
      <c r="E291">
        <f>IFERROR(VLOOKUP(Tabla13[[#This Row],[SISMED]],TblDisponibilidad[],9,FALSE), 0)</f>
        <v>0</v>
      </c>
      <c r="F291">
        <f>IFERROR(VLOOKUP(Tabla13[[#This Row],[SISMED]],TblDisponibilidad[],10,FALSE), 0)</f>
        <v>0</v>
      </c>
      <c r="G291">
        <f>IFERROR(VLOOKUP(Tabla13[[#This Row],[SISMED]],TblDisponibilidad[],11,FALSE), 0)</f>
        <v>0</v>
      </c>
      <c r="H291">
        <f>IFERROR(VLOOKUP(Tabla13[[#This Row],[SISMED]],TblDisponibilidad[],12,FALSE), 0)</f>
        <v>0</v>
      </c>
      <c r="I291">
        <f>IFERROR(VLOOKUP(Tabla13[[#This Row],[SISMED]],TblDisponibilidad[],13,FALSE), 0)</f>
        <v>0</v>
      </c>
      <c r="J291">
        <f>IFERROR(VLOOKUP(Tabla13[[#This Row],[SISMED]],TblDisponibilidad[],14,FALSE), 0)</f>
        <v>0</v>
      </c>
      <c r="K291">
        <f>IFERROR(VLOOKUP(Tabla13[[#This Row],[SISMED]],TblDisponibilidad[],15,FALSE), 0)</f>
        <v>0</v>
      </c>
      <c r="L291">
        <f>IFERROR(VLOOKUP(Tabla13[[#This Row],[SISMED]],TblDisponibilidad[],16,FALSE), 0)</f>
        <v>0</v>
      </c>
      <c r="M291">
        <f>IFERROR(VLOOKUP(Tabla13[[#This Row],[SISMED]],TblDisponibilidad[],17,FALSE), 0)</f>
        <v>0</v>
      </c>
      <c r="N291">
        <f>IFERROR(VLOOKUP(Tabla13[[#This Row],[SISMED]],TblDisponibilidad[],18,FALSE), 0)</f>
        <v>0</v>
      </c>
      <c r="O291">
        <f>IFERROR(VLOOKUP(Tabla13[[#This Row],[SISMED]],TblDisponibilidad[],19,FALSE), 0)</f>
        <v>0</v>
      </c>
      <c r="P291">
        <f>IFERROR(VLOOKUP(Tabla13[[#This Row],[SISMED]],TblDisponibilidad[],20,FALSE), 0)</f>
        <v>0</v>
      </c>
      <c r="Q291">
        <f>IFERROR(VLOOKUP(Tabla13[[#This Row],[SISMED]],TblDisponibilidad[],21,FALSE), 0)</f>
        <v>0</v>
      </c>
      <c r="R291">
        <f>IFERROR(VLOOKUP(Tabla13[[#This Row],[SISMED]],TblDisponibilidad[],22,FALSE), 0)</f>
        <v>0</v>
      </c>
      <c r="S291" s="15">
        <f>IFERROR(VLOOKUP(Tabla13[[#This Row],[SISMED]],TblDisponibilidad[],23,FALSE), 0)</f>
        <v>0</v>
      </c>
    </row>
    <row r="292" spans="1:19" x14ac:dyDescent="0.3">
      <c r="A292" s="15" t="s">
        <v>322</v>
      </c>
      <c r="B292" t="str">
        <f>IFERROR(VLOOKUP(Tabla13[[#This Row],[SISMED]],TblDisponibilidad[],2,FALSE), "")</f>
        <v/>
      </c>
      <c r="C292">
        <f>IFERROR(VLOOKUP(Tabla13[[#This Row],[SISMED]],TblDisponibilidad[],7,FALSE), 0)</f>
        <v>0</v>
      </c>
      <c r="D292">
        <f>IFERROR(VLOOKUP(Tabla13[[#This Row],[SISMED]],TblDisponibilidad[],8,FALSE), 0)</f>
        <v>0</v>
      </c>
      <c r="E292">
        <f>IFERROR(VLOOKUP(Tabla13[[#This Row],[SISMED]],TblDisponibilidad[],9,FALSE), 0)</f>
        <v>0</v>
      </c>
      <c r="F292">
        <f>IFERROR(VLOOKUP(Tabla13[[#This Row],[SISMED]],TblDisponibilidad[],10,FALSE), 0)</f>
        <v>0</v>
      </c>
      <c r="G292">
        <f>IFERROR(VLOOKUP(Tabla13[[#This Row],[SISMED]],TblDisponibilidad[],11,FALSE), 0)</f>
        <v>0</v>
      </c>
      <c r="H292">
        <f>IFERROR(VLOOKUP(Tabla13[[#This Row],[SISMED]],TblDisponibilidad[],12,FALSE), 0)</f>
        <v>0</v>
      </c>
      <c r="I292">
        <f>IFERROR(VLOOKUP(Tabla13[[#This Row],[SISMED]],TblDisponibilidad[],13,FALSE), 0)</f>
        <v>0</v>
      </c>
      <c r="J292">
        <f>IFERROR(VLOOKUP(Tabla13[[#This Row],[SISMED]],TblDisponibilidad[],14,FALSE), 0)</f>
        <v>0</v>
      </c>
      <c r="K292">
        <f>IFERROR(VLOOKUP(Tabla13[[#This Row],[SISMED]],TblDisponibilidad[],15,FALSE), 0)</f>
        <v>0</v>
      </c>
      <c r="L292">
        <f>IFERROR(VLOOKUP(Tabla13[[#This Row],[SISMED]],TblDisponibilidad[],16,FALSE), 0)</f>
        <v>0</v>
      </c>
      <c r="M292">
        <f>IFERROR(VLOOKUP(Tabla13[[#This Row],[SISMED]],TblDisponibilidad[],17,FALSE), 0)</f>
        <v>0</v>
      </c>
      <c r="N292">
        <f>IFERROR(VLOOKUP(Tabla13[[#This Row],[SISMED]],TblDisponibilidad[],18,FALSE), 0)</f>
        <v>0</v>
      </c>
      <c r="O292">
        <f>IFERROR(VLOOKUP(Tabla13[[#This Row],[SISMED]],TblDisponibilidad[],19,FALSE), 0)</f>
        <v>0</v>
      </c>
      <c r="P292">
        <f>IFERROR(VLOOKUP(Tabla13[[#This Row],[SISMED]],TblDisponibilidad[],20,FALSE), 0)</f>
        <v>0</v>
      </c>
      <c r="Q292">
        <f>IFERROR(VLOOKUP(Tabla13[[#This Row],[SISMED]],TblDisponibilidad[],21,FALSE), 0)</f>
        <v>0</v>
      </c>
      <c r="R292">
        <f>IFERROR(VLOOKUP(Tabla13[[#This Row],[SISMED]],TblDisponibilidad[],22,FALSE), 0)</f>
        <v>0</v>
      </c>
      <c r="S292" s="15">
        <f>IFERROR(VLOOKUP(Tabla13[[#This Row],[SISMED]],TblDisponibilidad[],23,FALSE), 0)</f>
        <v>0</v>
      </c>
    </row>
    <row r="293" spans="1:19" x14ac:dyDescent="0.3">
      <c r="A293" s="15" t="s">
        <v>323</v>
      </c>
      <c r="B293" t="str">
        <f>IFERROR(VLOOKUP(Tabla13[[#This Row],[SISMED]],TblDisponibilidad[],2,FALSE), "")</f>
        <v/>
      </c>
      <c r="C293">
        <f>IFERROR(VLOOKUP(Tabla13[[#This Row],[SISMED]],TblDisponibilidad[],7,FALSE), 0)</f>
        <v>0</v>
      </c>
      <c r="D293">
        <f>IFERROR(VLOOKUP(Tabla13[[#This Row],[SISMED]],TblDisponibilidad[],8,FALSE), 0)</f>
        <v>0</v>
      </c>
      <c r="E293">
        <f>IFERROR(VLOOKUP(Tabla13[[#This Row],[SISMED]],TblDisponibilidad[],9,FALSE), 0)</f>
        <v>0</v>
      </c>
      <c r="F293">
        <f>IFERROR(VLOOKUP(Tabla13[[#This Row],[SISMED]],TblDisponibilidad[],10,FALSE), 0)</f>
        <v>0</v>
      </c>
      <c r="G293">
        <f>IFERROR(VLOOKUP(Tabla13[[#This Row],[SISMED]],TblDisponibilidad[],11,FALSE), 0)</f>
        <v>0</v>
      </c>
      <c r="H293">
        <f>IFERROR(VLOOKUP(Tabla13[[#This Row],[SISMED]],TblDisponibilidad[],12,FALSE), 0)</f>
        <v>0</v>
      </c>
      <c r="I293">
        <f>IFERROR(VLOOKUP(Tabla13[[#This Row],[SISMED]],TblDisponibilidad[],13,FALSE), 0)</f>
        <v>0</v>
      </c>
      <c r="J293">
        <f>IFERROR(VLOOKUP(Tabla13[[#This Row],[SISMED]],TblDisponibilidad[],14,FALSE), 0)</f>
        <v>0</v>
      </c>
      <c r="K293">
        <f>IFERROR(VLOOKUP(Tabla13[[#This Row],[SISMED]],TblDisponibilidad[],15,FALSE), 0)</f>
        <v>0</v>
      </c>
      <c r="L293">
        <f>IFERROR(VLOOKUP(Tabla13[[#This Row],[SISMED]],TblDisponibilidad[],16,FALSE), 0)</f>
        <v>0</v>
      </c>
      <c r="M293">
        <f>IFERROR(VLOOKUP(Tabla13[[#This Row],[SISMED]],TblDisponibilidad[],17,FALSE), 0)</f>
        <v>0</v>
      </c>
      <c r="N293">
        <f>IFERROR(VLOOKUP(Tabla13[[#This Row],[SISMED]],TblDisponibilidad[],18,FALSE), 0)</f>
        <v>0</v>
      </c>
      <c r="O293">
        <f>IFERROR(VLOOKUP(Tabla13[[#This Row],[SISMED]],TblDisponibilidad[],19,FALSE), 0)</f>
        <v>0</v>
      </c>
      <c r="P293">
        <f>IFERROR(VLOOKUP(Tabla13[[#This Row],[SISMED]],TblDisponibilidad[],20,FALSE), 0)</f>
        <v>0</v>
      </c>
      <c r="Q293">
        <f>IFERROR(VLOOKUP(Tabla13[[#This Row],[SISMED]],TblDisponibilidad[],21,FALSE), 0)</f>
        <v>0</v>
      </c>
      <c r="R293">
        <f>IFERROR(VLOOKUP(Tabla13[[#This Row],[SISMED]],TblDisponibilidad[],22,FALSE), 0)</f>
        <v>0</v>
      </c>
      <c r="S293" s="15">
        <f>IFERROR(VLOOKUP(Tabla13[[#This Row],[SISMED]],TblDisponibilidad[],23,FALSE), 0)</f>
        <v>0</v>
      </c>
    </row>
    <row r="294" spans="1:19" x14ac:dyDescent="0.3">
      <c r="A294" s="15" t="s">
        <v>324</v>
      </c>
      <c r="B294" t="str">
        <f>IFERROR(VLOOKUP(Tabla13[[#This Row],[SISMED]],TblDisponibilidad[],2,FALSE), "")</f>
        <v/>
      </c>
      <c r="C294">
        <f>IFERROR(VLOOKUP(Tabla13[[#This Row],[SISMED]],TblDisponibilidad[],7,FALSE), 0)</f>
        <v>0</v>
      </c>
      <c r="D294">
        <f>IFERROR(VLOOKUP(Tabla13[[#This Row],[SISMED]],TblDisponibilidad[],8,FALSE), 0)</f>
        <v>0</v>
      </c>
      <c r="E294">
        <f>IFERROR(VLOOKUP(Tabla13[[#This Row],[SISMED]],TblDisponibilidad[],9,FALSE), 0)</f>
        <v>0</v>
      </c>
      <c r="F294">
        <f>IFERROR(VLOOKUP(Tabla13[[#This Row],[SISMED]],TblDisponibilidad[],10,FALSE), 0)</f>
        <v>0</v>
      </c>
      <c r="G294">
        <f>IFERROR(VLOOKUP(Tabla13[[#This Row],[SISMED]],TblDisponibilidad[],11,FALSE), 0)</f>
        <v>0</v>
      </c>
      <c r="H294">
        <f>IFERROR(VLOOKUP(Tabla13[[#This Row],[SISMED]],TblDisponibilidad[],12,FALSE), 0)</f>
        <v>0</v>
      </c>
      <c r="I294">
        <f>IFERROR(VLOOKUP(Tabla13[[#This Row],[SISMED]],TblDisponibilidad[],13,FALSE), 0)</f>
        <v>0</v>
      </c>
      <c r="J294">
        <f>IFERROR(VLOOKUP(Tabla13[[#This Row],[SISMED]],TblDisponibilidad[],14,FALSE), 0)</f>
        <v>0</v>
      </c>
      <c r="K294">
        <f>IFERROR(VLOOKUP(Tabla13[[#This Row],[SISMED]],TblDisponibilidad[],15,FALSE), 0)</f>
        <v>0</v>
      </c>
      <c r="L294">
        <f>IFERROR(VLOOKUP(Tabla13[[#This Row],[SISMED]],TblDisponibilidad[],16,FALSE), 0)</f>
        <v>0</v>
      </c>
      <c r="M294">
        <f>IFERROR(VLOOKUP(Tabla13[[#This Row],[SISMED]],TblDisponibilidad[],17,FALSE), 0)</f>
        <v>0</v>
      </c>
      <c r="N294">
        <f>IFERROR(VLOOKUP(Tabla13[[#This Row],[SISMED]],TblDisponibilidad[],18,FALSE), 0)</f>
        <v>0</v>
      </c>
      <c r="O294">
        <f>IFERROR(VLOOKUP(Tabla13[[#This Row],[SISMED]],TblDisponibilidad[],19,FALSE), 0)</f>
        <v>0</v>
      </c>
      <c r="P294">
        <f>IFERROR(VLOOKUP(Tabla13[[#This Row],[SISMED]],TblDisponibilidad[],20,FALSE), 0)</f>
        <v>0</v>
      </c>
      <c r="Q294">
        <f>IFERROR(VLOOKUP(Tabla13[[#This Row],[SISMED]],TblDisponibilidad[],21,FALSE), 0)</f>
        <v>0</v>
      </c>
      <c r="R294">
        <f>IFERROR(VLOOKUP(Tabla13[[#This Row],[SISMED]],TblDisponibilidad[],22,FALSE), 0)</f>
        <v>0</v>
      </c>
      <c r="S294" s="15">
        <f>IFERROR(VLOOKUP(Tabla13[[#This Row],[SISMED]],TblDisponibilidad[],23,FALSE), 0)</f>
        <v>0</v>
      </c>
    </row>
    <row r="295" spans="1:19" x14ac:dyDescent="0.3">
      <c r="A295" s="15" t="s">
        <v>325</v>
      </c>
      <c r="B295" t="str">
        <f>IFERROR(VLOOKUP(Tabla13[[#This Row],[SISMED]],TblDisponibilidad[],2,FALSE), "")</f>
        <v/>
      </c>
      <c r="C295">
        <f>IFERROR(VLOOKUP(Tabla13[[#This Row],[SISMED]],TblDisponibilidad[],7,FALSE), 0)</f>
        <v>0</v>
      </c>
      <c r="D295">
        <f>IFERROR(VLOOKUP(Tabla13[[#This Row],[SISMED]],TblDisponibilidad[],8,FALSE), 0)</f>
        <v>0</v>
      </c>
      <c r="E295">
        <f>IFERROR(VLOOKUP(Tabla13[[#This Row],[SISMED]],TblDisponibilidad[],9,FALSE), 0)</f>
        <v>0</v>
      </c>
      <c r="F295">
        <f>IFERROR(VLOOKUP(Tabla13[[#This Row],[SISMED]],TblDisponibilidad[],10,FALSE), 0)</f>
        <v>0</v>
      </c>
      <c r="G295">
        <f>IFERROR(VLOOKUP(Tabla13[[#This Row],[SISMED]],TblDisponibilidad[],11,FALSE), 0)</f>
        <v>0</v>
      </c>
      <c r="H295">
        <f>IFERROR(VLOOKUP(Tabla13[[#This Row],[SISMED]],TblDisponibilidad[],12,FALSE), 0)</f>
        <v>0</v>
      </c>
      <c r="I295">
        <f>IFERROR(VLOOKUP(Tabla13[[#This Row],[SISMED]],TblDisponibilidad[],13,FALSE), 0)</f>
        <v>0</v>
      </c>
      <c r="J295">
        <f>IFERROR(VLOOKUP(Tabla13[[#This Row],[SISMED]],TblDisponibilidad[],14,FALSE), 0)</f>
        <v>0</v>
      </c>
      <c r="K295">
        <f>IFERROR(VLOOKUP(Tabla13[[#This Row],[SISMED]],TblDisponibilidad[],15,FALSE), 0)</f>
        <v>0</v>
      </c>
      <c r="L295">
        <f>IFERROR(VLOOKUP(Tabla13[[#This Row],[SISMED]],TblDisponibilidad[],16,FALSE), 0)</f>
        <v>0</v>
      </c>
      <c r="M295">
        <f>IFERROR(VLOOKUP(Tabla13[[#This Row],[SISMED]],TblDisponibilidad[],17,FALSE), 0)</f>
        <v>0</v>
      </c>
      <c r="N295">
        <f>IFERROR(VLOOKUP(Tabla13[[#This Row],[SISMED]],TblDisponibilidad[],18,FALSE), 0)</f>
        <v>0</v>
      </c>
      <c r="O295">
        <f>IFERROR(VLOOKUP(Tabla13[[#This Row],[SISMED]],TblDisponibilidad[],19,FALSE), 0)</f>
        <v>0</v>
      </c>
      <c r="P295">
        <f>IFERROR(VLOOKUP(Tabla13[[#This Row],[SISMED]],TblDisponibilidad[],20,FALSE), 0)</f>
        <v>0</v>
      </c>
      <c r="Q295">
        <f>IFERROR(VLOOKUP(Tabla13[[#This Row],[SISMED]],TblDisponibilidad[],21,FALSE), 0)</f>
        <v>0</v>
      </c>
      <c r="R295">
        <f>IFERROR(VLOOKUP(Tabla13[[#This Row],[SISMED]],TblDisponibilidad[],22,FALSE), 0)</f>
        <v>0</v>
      </c>
      <c r="S295" s="15">
        <f>IFERROR(VLOOKUP(Tabla13[[#This Row],[SISMED]],TblDisponibilidad[],23,FALSE), 0)</f>
        <v>0</v>
      </c>
    </row>
    <row r="296" spans="1:19" x14ac:dyDescent="0.3">
      <c r="A296" s="15" t="s">
        <v>326</v>
      </c>
      <c r="B296" t="str">
        <f>IFERROR(VLOOKUP(Tabla13[[#This Row],[SISMED]],TblDisponibilidad[],2,FALSE), "")</f>
        <v/>
      </c>
      <c r="C296">
        <f>IFERROR(VLOOKUP(Tabla13[[#This Row],[SISMED]],TblDisponibilidad[],7,FALSE), 0)</f>
        <v>0</v>
      </c>
      <c r="D296">
        <f>IFERROR(VLOOKUP(Tabla13[[#This Row],[SISMED]],TblDisponibilidad[],8,FALSE), 0)</f>
        <v>0</v>
      </c>
      <c r="E296">
        <f>IFERROR(VLOOKUP(Tabla13[[#This Row],[SISMED]],TblDisponibilidad[],9,FALSE), 0)</f>
        <v>0</v>
      </c>
      <c r="F296">
        <f>IFERROR(VLOOKUP(Tabla13[[#This Row],[SISMED]],TblDisponibilidad[],10,FALSE), 0)</f>
        <v>0</v>
      </c>
      <c r="G296">
        <f>IFERROR(VLOOKUP(Tabla13[[#This Row],[SISMED]],TblDisponibilidad[],11,FALSE), 0)</f>
        <v>0</v>
      </c>
      <c r="H296">
        <f>IFERROR(VLOOKUP(Tabla13[[#This Row],[SISMED]],TblDisponibilidad[],12,FALSE), 0)</f>
        <v>0</v>
      </c>
      <c r="I296">
        <f>IFERROR(VLOOKUP(Tabla13[[#This Row],[SISMED]],TblDisponibilidad[],13,FALSE), 0)</f>
        <v>0</v>
      </c>
      <c r="J296">
        <f>IFERROR(VLOOKUP(Tabla13[[#This Row],[SISMED]],TblDisponibilidad[],14,FALSE), 0)</f>
        <v>0</v>
      </c>
      <c r="K296">
        <f>IFERROR(VLOOKUP(Tabla13[[#This Row],[SISMED]],TblDisponibilidad[],15,FALSE), 0)</f>
        <v>0</v>
      </c>
      <c r="L296">
        <f>IFERROR(VLOOKUP(Tabla13[[#This Row],[SISMED]],TblDisponibilidad[],16,FALSE), 0)</f>
        <v>0</v>
      </c>
      <c r="M296">
        <f>IFERROR(VLOOKUP(Tabla13[[#This Row],[SISMED]],TblDisponibilidad[],17,FALSE), 0)</f>
        <v>0</v>
      </c>
      <c r="N296">
        <f>IFERROR(VLOOKUP(Tabla13[[#This Row],[SISMED]],TblDisponibilidad[],18,FALSE), 0)</f>
        <v>0</v>
      </c>
      <c r="O296">
        <f>IFERROR(VLOOKUP(Tabla13[[#This Row],[SISMED]],TblDisponibilidad[],19,FALSE), 0)</f>
        <v>0</v>
      </c>
      <c r="P296">
        <f>IFERROR(VLOOKUP(Tabla13[[#This Row],[SISMED]],TblDisponibilidad[],20,FALSE), 0)</f>
        <v>0</v>
      </c>
      <c r="Q296">
        <f>IFERROR(VLOOKUP(Tabla13[[#This Row],[SISMED]],TblDisponibilidad[],21,FALSE), 0)</f>
        <v>0</v>
      </c>
      <c r="R296">
        <f>IFERROR(VLOOKUP(Tabla13[[#This Row],[SISMED]],TblDisponibilidad[],22,FALSE), 0)</f>
        <v>0</v>
      </c>
      <c r="S296" s="15">
        <f>IFERROR(VLOOKUP(Tabla13[[#This Row],[SISMED]],TblDisponibilidad[],23,FALSE), 0)</f>
        <v>0</v>
      </c>
    </row>
    <row r="297" spans="1:19" x14ac:dyDescent="0.3">
      <c r="A297" s="15" t="s">
        <v>327</v>
      </c>
      <c r="B297" t="str">
        <f>IFERROR(VLOOKUP(Tabla13[[#This Row],[SISMED]],TblDisponibilidad[],2,FALSE), "")</f>
        <v/>
      </c>
      <c r="C297">
        <f>IFERROR(VLOOKUP(Tabla13[[#This Row],[SISMED]],TblDisponibilidad[],7,FALSE), 0)</f>
        <v>0</v>
      </c>
      <c r="D297">
        <f>IFERROR(VLOOKUP(Tabla13[[#This Row],[SISMED]],TblDisponibilidad[],8,FALSE), 0)</f>
        <v>0</v>
      </c>
      <c r="E297">
        <f>IFERROR(VLOOKUP(Tabla13[[#This Row],[SISMED]],TblDisponibilidad[],9,FALSE), 0)</f>
        <v>0</v>
      </c>
      <c r="F297">
        <f>IFERROR(VLOOKUP(Tabla13[[#This Row],[SISMED]],TblDisponibilidad[],10,FALSE), 0)</f>
        <v>0</v>
      </c>
      <c r="G297">
        <f>IFERROR(VLOOKUP(Tabla13[[#This Row],[SISMED]],TblDisponibilidad[],11,FALSE), 0)</f>
        <v>0</v>
      </c>
      <c r="H297">
        <f>IFERROR(VLOOKUP(Tabla13[[#This Row],[SISMED]],TblDisponibilidad[],12,FALSE), 0)</f>
        <v>0</v>
      </c>
      <c r="I297">
        <f>IFERROR(VLOOKUP(Tabla13[[#This Row],[SISMED]],TblDisponibilidad[],13,FALSE), 0)</f>
        <v>0</v>
      </c>
      <c r="J297">
        <f>IFERROR(VLOOKUP(Tabla13[[#This Row],[SISMED]],TblDisponibilidad[],14,FALSE), 0)</f>
        <v>0</v>
      </c>
      <c r="K297">
        <f>IFERROR(VLOOKUP(Tabla13[[#This Row],[SISMED]],TblDisponibilidad[],15,FALSE), 0)</f>
        <v>0</v>
      </c>
      <c r="L297">
        <f>IFERROR(VLOOKUP(Tabla13[[#This Row],[SISMED]],TblDisponibilidad[],16,FALSE), 0)</f>
        <v>0</v>
      </c>
      <c r="M297">
        <f>IFERROR(VLOOKUP(Tabla13[[#This Row],[SISMED]],TblDisponibilidad[],17,FALSE), 0)</f>
        <v>0</v>
      </c>
      <c r="N297">
        <f>IFERROR(VLOOKUP(Tabla13[[#This Row],[SISMED]],TblDisponibilidad[],18,FALSE), 0)</f>
        <v>0</v>
      </c>
      <c r="O297">
        <f>IFERROR(VLOOKUP(Tabla13[[#This Row],[SISMED]],TblDisponibilidad[],19,FALSE), 0)</f>
        <v>0</v>
      </c>
      <c r="P297">
        <f>IFERROR(VLOOKUP(Tabla13[[#This Row],[SISMED]],TblDisponibilidad[],20,FALSE), 0)</f>
        <v>0</v>
      </c>
      <c r="Q297">
        <f>IFERROR(VLOOKUP(Tabla13[[#This Row],[SISMED]],TblDisponibilidad[],21,FALSE), 0)</f>
        <v>0</v>
      </c>
      <c r="R297">
        <f>IFERROR(VLOOKUP(Tabla13[[#This Row],[SISMED]],TblDisponibilidad[],22,FALSE), 0)</f>
        <v>0</v>
      </c>
      <c r="S297" s="15">
        <f>IFERROR(VLOOKUP(Tabla13[[#This Row],[SISMED]],TblDisponibilidad[],23,FALSE), 0)</f>
        <v>0</v>
      </c>
    </row>
    <row r="298" spans="1:19" x14ac:dyDescent="0.3">
      <c r="A298" s="15" t="s">
        <v>328</v>
      </c>
      <c r="B298" t="str">
        <f>IFERROR(VLOOKUP(Tabla13[[#This Row],[SISMED]],TblDisponibilidad[],2,FALSE), "")</f>
        <v/>
      </c>
      <c r="C298">
        <f>IFERROR(VLOOKUP(Tabla13[[#This Row],[SISMED]],TblDisponibilidad[],7,FALSE), 0)</f>
        <v>0</v>
      </c>
      <c r="D298">
        <f>IFERROR(VLOOKUP(Tabla13[[#This Row],[SISMED]],TblDisponibilidad[],8,FALSE), 0)</f>
        <v>0</v>
      </c>
      <c r="E298">
        <f>IFERROR(VLOOKUP(Tabla13[[#This Row],[SISMED]],TblDisponibilidad[],9,FALSE), 0)</f>
        <v>0</v>
      </c>
      <c r="F298">
        <f>IFERROR(VLOOKUP(Tabla13[[#This Row],[SISMED]],TblDisponibilidad[],10,FALSE), 0)</f>
        <v>0</v>
      </c>
      <c r="G298">
        <f>IFERROR(VLOOKUP(Tabla13[[#This Row],[SISMED]],TblDisponibilidad[],11,FALSE), 0)</f>
        <v>0</v>
      </c>
      <c r="H298">
        <f>IFERROR(VLOOKUP(Tabla13[[#This Row],[SISMED]],TblDisponibilidad[],12,FALSE), 0)</f>
        <v>0</v>
      </c>
      <c r="I298">
        <f>IFERROR(VLOOKUP(Tabla13[[#This Row],[SISMED]],TblDisponibilidad[],13,FALSE), 0)</f>
        <v>0</v>
      </c>
      <c r="J298">
        <f>IFERROR(VLOOKUP(Tabla13[[#This Row],[SISMED]],TblDisponibilidad[],14,FALSE), 0)</f>
        <v>0</v>
      </c>
      <c r="K298">
        <f>IFERROR(VLOOKUP(Tabla13[[#This Row],[SISMED]],TblDisponibilidad[],15,FALSE), 0)</f>
        <v>0</v>
      </c>
      <c r="L298">
        <f>IFERROR(VLOOKUP(Tabla13[[#This Row],[SISMED]],TblDisponibilidad[],16,FALSE), 0)</f>
        <v>0</v>
      </c>
      <c r="M298">
        <f>IFERROR(VLOOKUP(Tabla13[[#This Row],[SISMED]],TblDisponibilidad[],17,FALSE), 0)</f>
        <v>0</v>
      </c>
      <c r="N298">
        <f>IFERROR(VLOOKUP(Tabla13[[#This Row],[SISMED]],TblDisponibilidad[],18,FALSE), 0)</f>
        <v>0</v>
      </c>
      <c r="O298">
        <f>IFERROR(VLOOKUP(Tabla13[[#This Row],[SISMED]],TblDisponibilidad[],19,FALSE), 0)</f>
        <v>0</v>
      </c>
      <c r="P298">
        <f>IFERROR(VLOOKUP(Tabla13[[#This Row],[SISMED]],TblDisponibilidad[],20,FALSE), 0)</f>
        <v>0</v>
      </c>
      <c r="Q298">
        <f>IFERROR(VLOOKUP(Tabla13[[#This Row],[SISMED]],TblDisponibilidad[],21,FALSE), 0)</f>
        <v>0</v>
      </c>
      <c r="R298">
        <f>IFERROR(VLOOKUP(Tabla13[[#This Row],[SISMED]],TblDisponibilidad[],22,FALSE), 0)</f>
        <v>0</v>
      </c>
      <c r="S298" s="15">
        <f>IFERROR(VLOOKUP(Tabla13[[#This Row],[SISMED]],TblDisponibilidad[],23,FALSE), 0)</f>
        <v>0</v>
      </c>
    </row>
    <row r="299" spans="1:19" x14ac:dyDescent="0.3">
      <c r="A299" s="15" t="s">
        <v>329</v>
      </c>
      <c r="B299" t="str">
        <f>IFERROR(VLOOKUP(Tabla13[[#This Row],[SISMED]],TblDisponibilidad[],2,FALSE), "")</f>
        <v/>
      </c>
      <c r="C299">
        <f>IFERROR(VLOOKUP(Tabla13[[#This Row],[SISMED]],TblDisponibilidad[],7,FALSE), 0)</f>
        <v>0</v>
      </c>
      <c r="D299">
        <f>IFERROR(VLOOKUP(Tabla13[[#This Row],[SISMED]],TblDisponibilidad[],8,FALSE), 0)</f>
        <v>0</v>
      </c>
      <c r="E299">
        <f>IFERROR(VLOOKUP(Tabla13[[#This Row],[SISMED]],TblDisponibilidad[],9,FALSE), 0)</f>
        <v>0</v>
      </c>
      <c r="F299">
        <f>IFERROR(VLOOKUP(Tabla13[[#This Row],[SISMED]],TblDisponibilidad[],10,FALSE), 0)</f>
        <v>0</v>
      </c>
      <c r="G299">
        <f>IFERROR(VLOOKUP(Tabla13[[#This Row],[SISMED]],TblDisponibilidad[],11,FALSE), 0)</f>
        <v>0</v>
      </c>
      <c r="H299">
        <f>IFERROR(VLOOKUP(Tabla13[[#This Row],[SISMED]],TblDisponibilidad[],12,FALSE), 0)</f>
        <v>0</v>
      </c>
      <c r="I299">
        <f>IFERROR(VLOOKUP(Tabla13[[#This Row],[SISMED]],TblDisponibilidad[],13,FALSE), 0)</f>
        <v>0</v>
      </c>
      <c r="J299">
        <f>IFERROR(VLOOKUP(Tabla13[[#This Row],[SISMED]],TblDisponibilidad[],14,FALSE), 0)</f>
        <v>0</v>
      </c>
      <c r="K299">
        <f>IFERROR(VLOOKUP(Tabla13[[#This Row],[SISMED]],TblDisponibilidad[],15,FALSE), 0)</f>
        <v>0</v>
      </c>
      <c r="L299">
        <f>IFERROR(VLOOKUP(Tabla13[[#This Row],[SISMED]],TblDisponibilidad[],16,FALSE), 0)</f>
        <v>0</v>
      </c>
      <c r="M299">
        <f>IFERROR(VLOOKUP(Tabla13[[#This Row],[SISMED]],TblDisponibilidad[],17,FALSE), 0)</f>
        <v>0</v>
      </c>
      <c r="N299">
        <f>IFERROR(VLOOKUP(Tabla13[[#This Row],[SISMED]],TblDisponibilidad[],18,FALSE), 0)</f>
        <v>0</v>
      </c>
      <c r="O299">
        <f>IFERROR(VLOOKUP(Tabla13[[#This Row],[SISMED]],TblDisponibilidad[],19,FALSE), 0)</f>
        <v>0</v>
      </c>
      <c r="P299">
        <f>IFERROR(VLOOKUP(Tabla13[[#This Row],[SISMED]],TblDisponibilidad[],20,FALSE), 0)</f>
        <v>0</v>
      </c>
      <c r="Q299">
        <f>IFERROR(VLOOKUP(Tabla13[[#This Row],[SISMED]],TblDisponibilidad[],21,FALSE), 0)</f>
        <v>0</v>
      </c>
      <c r="R299">
        <f>IFERROR(VLOOKUP(Tabla13[[#This Row],[SISMED]],TblDisponibilidad[],22,FALSE), 0)</f>
        <v>0</v>
      </c>
      <c r="S299" s="15">
        <f>IFERROR(VLOOKUP(Tabla13[[#This Row],[SISMED]],TblDisponibilidad[],23,FALSE), 0)</f>
        <v>0</v>
      </c>
    </row>
    <row r="300" spans="1:19" x14ac:dyDescent="0.3">
      <c r="A300" s="15" t="s">
        <v>330</v>
      </c>
      <c r="B300" t="str">
        <f>IFERROR(VLOOKUP(Tabla13[[#This Row],[SISMED]],TblDisponibilidad[],2,FALSE), "")</f>
        <v/>
      </c>
      <c r="C300">
        <f>IFERROR(VLOOKUP(Tabla13[[#This Row],[SISMED]],TblDisponibilidad[],7,FALSE), 0)</f>
        <v>0</v>
      </c>
      <c r="D300">
        <f>IFERROR(VLOOKUP(Tabla13[[#This Row],[SISMED]],TblDisponibilidad[],8,FALSE), 0)</f>
        <v>0</v>
      </c>
      <c r="E300">
        <f>IFERROR(VLOOKUP(Tabla13[[#This Row],[SISMED]],TblDisponibilidad[],9,FALSE), 0)</f>
        <v>0</v>
      </c>
      <c r="F300">
        <f>IFERROR(VLOOKUP(Tabla13[[#This Row],[SISMED]],TblDisponibilidad[],10,FALSE), 0)</f>
        <v>0</v>
      </c>
      <c r="G300">
        <f>IFERROR(VLOOKUP(Tabla13[[#This Row],[SISMED]],TblDisponibilidad[],11,FALSE), 0)</f>
        <v>0</v>
      </c>
      <c r="H300">
        <f>IFERROR(VLOOKUP(Tabla13[[#This Row],[SISMED]],TblDisponibilidad[],12,FALSE), 0)</f>
        <v>0</v>
      </c>
      <c r="I300">
        <f>IFERROR(VLOOKUP(Tabla13[[#This Row],[SISMED]],TblDisponibilidad[],13,FALSE), 0)</f>
        <v>0</v>
      </c>
      <c r="J300">
        <f>IFERROR(VLOOKUP(Tabla13[[#This Row],[SISMED]],TblDisponibilidad[],14,FALSE), 0)</f>
        <v>0</v>
      </c>
      <c r="K300">
        <f>IFERROR(VLOOKUP(Tabla13[[#This Row],[SISMED]],TblDisponibilidad[],15,FALSE), 0)</f>
        <v>0</v>
      </c>
      <c r="L300">
        <f>IFERROR(VLOOKUP(Tabla13[[#This Row],[SISMED]],TblDisponibilidad[],16,FALSE), 0)</f>
        <v>0</v>
      </c>
      <c r="M300">
        <f>IFERROR(VLOOKUP(Tabla13[[#This Row],[SISMED]],TblDisponibilidad[],17,FALSE), 0)</f>
        <v>0</v>
      </c>
      <c r="N300">
        <f>IFERROR(VLOOKUP(Tabla13[[#This Row],[SISMED]],TblDisponibilidad[],18,FALSE), 0)</f>
        <v>0</v>
      </c>
      <c r="O300">
        <f>IFERROR(VLOOKUP(Tabla13[[#This Row],[SISMED]],TblDisponibilidad[],19,FALSE), 0)</f>
        <v>0</v>
      </c>
      <c r="P300">
        <f>IFERROR(VLOOKUP(Tabla13[[#This Row],[SISMED]],TblDisponibilidad[],20,FALSE), 0)</f>
        <v>0</v>
      </c>
      <c r="Q300">
        <f>IFERROR(VLOOKUP(Tabla13[[#This Row],[SISMED]],TblDisponibilidad[],21,FALSE), 0)</f>
        <v>0</v>
      </c>
      <c r="R300">
        <f>IFERROR(VLOOKUP(Tabla13[[#This Row],[SISMED]],TblDisponibilidad[],22,FALSE), 0)</f>
        <v>0</v>
      </c>
      <c r="S300" s="15">
        <f>IFERROR(VLOOKUP(Tabla13[[#This Row],[SISMED]],TblDisponibilidad[],23,FALSE), 0)</f>
        <v>0</v>
      </c>
    </row>
    <row r="301" spans="1:19" x14ac:dyDescent="0.3">
      <c r="A301" s="15" t="s">
        <v>331</v>
      </c>
      <c r="B301" t="str">
        <f>IFERROR(VLOOKUP(Tabla13[[#This Row],[SISMED]],TblDisponibilidad[],2,FALSE), "")</f>
        <v/>
      </c>
      <c r="C301">
        <f>IFERROR(VLOOKUP(Tabla13[[#This Row],[SISMED]],TblDisponibilidad[],7,FALSE), 0)</f>
        <v>0</v>
      </c>
      <c r="D301">
        <f>IFERROR(VLOOKUP(Tabla13[[#This Row],[SISMED]],TblDisponibilidad[],8,FALSE), 0)</f>
        <v>0</v>
      </c>
      <c r="E301">
        <f>IFERROR(VLOOKUP(Tabla13[[#This Row],[SISMED]],TblDisponibilidad[],9,FALSE), 0)</f>
        <v>0</v>
      </c>
      <c r="F301">
        <f>IFERROR(VLOOKUP(Tabla13[[#This Row],[SISMED]],TblDisponibilidad[],10,FALSE), 0)</f>
        <v>0</v>
      </c>
      <c r="G301">
        <f>IFERROR(VLOOKUP(Tabla13[[#This Row],[SISMED]],TblDisponibilidad[],11,FALSE), 0)</f>
        <v>0</v>
      </c>
      <c r="H301">
        <f>IFERROR(VLOOKUP(Tabla13[[#This Row],[SISMED]],TblDisponibilidad[],12,FALSE), 0)</f>
        <v>0</v>
      </c>
      <c r="I301">
        <f>IFERROR(VLOOKUP(Tabla13[[#This Row],[SISMED]],TblDisponibilidad[],13,FALSE), 0)</f>
        <v>0</v>
      </c>
      <c r="J301">
        <f>IFERROR(VLOOKUP(Tabla13[[#This Row],[SISMED]],TblDisponibilidad[],14,FALSE), 0)</f>
        <v>0</v>
      </c>
      <c r="K301">
        <f>IFERROR(VLOOKUP(Tabla13[[#This Row],[SISMED]],TblDisponibilidad[],15,FALSE), 0)</f>
        <v>0</v>
      </c>
      <c r="L301">
        <f>IFERROR(VLOOKUP(Tabla13[[#This Row],[SISMED]],TblDisponibilidad[],16,FALSE), 0)</f>
        <v>0</v>
      </c>
      <c r="M301">
        <f>IFERROR(VLOOKUP(Tabla13[[#This Row],[SISMED]],TblDisponibilidad[],17,FALSE), 0)</f>
        <v>0</v>
      </c>
      <c r="N301">
        <f>IFERROR(VLOOKUP(Tabla13[[#This Row],[SISMED]],TblDisponibilidad[],18,FALSE), 0)</f>
        <v>0</v>
      </c>
      <c r="O301">
        <f>IFERROR(VLOOKUP(Tabla13[[#This Row],[SISMED]],TblDisponibilidad[],19,FALSE), 0)</f>
        <v>0</v>
      </c>
      <c r="P301">
        <f>IFERROR(VLOOKUP(Tabla13[[#This Row],[SISMED]],TblDisponibilidad[],20,FALSE), 0)</f>
        <v>0</v>
      </c>
      <c r="Q301">
        <f>IFERROR(VLOOKUP(Tabla13[[#This Row],[SISMED]],TblDisponibilidad[],21,FALSE), 0)</f>
        <v>0</v>
      </c>
      <c r="R301">
        <f>IFERROR(VLOOKUP(Tabla13[[#This Row],[SISMED]],TblDisponibilidad[],22,FALSE), 0)</f>
        <v>0</v>
      </c>
      <c r="S301" s="15">
        <f>IFERROR(VLOOKUP(Tabla13[[#This Row],[SISMED]],TblDisponibilidad[],23,FALSE), 0)</f>
        <v>0</v>
      </c>
    </row>
    <row r="302" spans="1:19" x14ac:dyDescent="0.3">
      <c r="A302" s="15" t="s">
        <v>332</v>
      </c>
      <c r="B302" t="str">
        <f>IFERROR(VLOOKUP(Tabla13[[#This Row],[SISMED]],TblDisponibilidad[],2,FALSE), "")</f>
        <v/>
      </c>
      <c r="C302">
        <f>IFERROR(VLOOKUP(Tabla13[[#This Row],[SISMED]],TblDisponibilidad[],7,FALSE), 0)</f>
        <v>0</v>
      </c>
      <c r="D302">
        <f>IFERROR(VLOOKUP(Tabla13[[#This Row],[SISMED]],TblDisponibilidad[],8,FALSE), 0)</f>
        <v>0</v>
      </c>
      <c r="E302">
        <f>IFERROR(VLOOKUP(Tabla13[[#This Row],[SISMED]],TblDisponibilidad[],9,FALSE), 0)</f>
        <v>0</v>
      </c>
      <c r="F302">
        <f>IFERROR(VLOOKUP(Tabla13[[#This Row],[SISMED]],TblDisponibilidad[],10,FALSE), 0)</f>
        <v>0</v>
      </c>
      <c r="G302">
        <f>IFERROR(VLOOKUP(Tabla13[[#This Row],[SISMED]],TblDisponibilidad[],11,FALSE), 0)</f>
        <v>0</v>
      </c>
      <c r="H302">
        <f>IFERROR(VLOOKUP(Tabla13[[#This Row],[SISMED]],TblDisponibilidad[],12,FALSE), 0)</f>
        <v>0</v>
      </c>
      <c r="I302">
        <f>IFERROR(VLOOKUP(Tabla13[[#This Row],[SISMED]],TblDisponibilidad[],13,FALSE), 0)</f>
        <v>0</v>
      </c>
      <c r="J302">
        <f>IFERROR(VLOOKUP(Tabla13[[#This Row],[SISMED]],TblDisponibilidad[],14,FALSE), 0)</f>
        <v>0</v>
      </c>
      <c r="K302">
        <f>IFERROR(VLOOKUP(Tabla13[[#This Row],[SISMED]],TblDisponibilidad[],15,FALSE), 0)</f>
        <v>0</v>
      </c>
      <c r="L302">
        <f>IFERROR(VLOOKUP(Tabla13[[#This Row],[SISMED]],TblDisponibilidad[],16,FALSE), 0)</f>
        <v>0</v>
      </c>
      <c r="M302">
        <f>IFERROR(VLOOKUP(Tabla13[[#This Row],[SISMED]],TblDisponibilidad[],17,FALSE), 0)</f>
        <v>0</v>
      </c>
      <c r="N302">
        <f>IFERROR(VLOOKUP(Tabla13[[#This Row],[SISMED]],TblDisponibilidad[],18,FALSE), 0)</f>
        <v>0</v>
      </c>
      <c r="O302">
        <f>IFERROR(VLOOKUP(Tabla13[[#This Row],[SISMED]],TblDisponibilidad[],19,FALSE), 0)</f>
        <v>0</v>
      </c>
      <c r="P302">
        <f>IFERROR(VLOOKUP(Tabla13[[#This Row],[SISMED]],TblDisponibilidad[],20,FALSE), 0)</f>
        <v>0</v>
      </c>
      <c r="Q302">
        <f>IFERROR(VLOOKUP(Tabla13[[#This Row],[SISMED]],TblDisponibilidad[],21,FALSE), 0)</f>
        <v>0</v>
      </c>
      <c r="R302">
        <f>IFERROR(VLOOKUP(Tabla13[[#This Row],[SISMED]],TblDisponibilidad[],22,FALSE), 0)</f>
        <v>0</v>
      </c>
      <c r="S302" s="15">
        <f>IFERROR(VLOOKUP(Tabla13[[#This Row],[SISMED]],TblDisponibilidad[],23,FALSE), 0)</f>
        <v>0</v>
      </c>
    </row>
    <row r="303" spans="1:19" x14ac:dyDescent="0.3">
      <c r="A303" s="15" t="s">
        <v>333</v>
      </c>
      <c r="B303" t="str">
        <f>IFERROR(VLOOKUP(Tabla13[[#This Row],[SISMED]],TblDisponibilidad[],2,FALSE), "")</f>
        <v/>
      </c>
      <c r="C303">
        <f>IFERROR(VLOOKUP(Tabla13[[#This Row],[SISMED]],TblDisponibilidad[],7,FALSE), 0)</f>
        <v>0</v>
      </c>
      <c r="D303">
        <f>IFERROR(VLOOKUP(Tabla13[[#This Row],[SISMED]],TblDisponibilidad[],8,FALSE), 0)</f>
        <v>0</v>
      </c>
      <c r="E303">
        <f>IFERROR(VLOOKUP(Tabla13[[#This Row],[SISMED]],TblDisponibilidad[],9,FALSE), 0)</f>
        <v>0</v>
      </c>
      <c r="F303">
        <f>IFERROR(VLOOKUP(Tabla13[[#This Row],[SISMED]],TblDisponibilidad[],10,FALSE), 0)</f>
        <v>0</v>
      </c>
      <c r="G303">
        <f>IFERROR(VLOOKUP(Tabla13[[#This Row],[SISMED]],TblDisponibilidad[],11,FALSE), 0)</f>
        <v>0</v>
      </c>
      <c r="H303">
        <f>IFERROR(VLOOKUP(Tabla13[[#This Row],[SISMED]],TblDisponibilidad[],12,FALSE), 0)</f>
        <v>0</v>
      </c>
      <c r="I303">
        <f>IFERROR(VLOOKUP(Tabla13[[#This Row],[SISMED]],TblDisponibilidad[],13,FALSE), 0)</f>
        <v>0</v>
      </c>
      <c r="J303">
        <f>IFERROR(VLOOKUP(Tabla13[[#This Row],[SISMED]],TblDisponibilidad[],14,FALSE), 0)</f>
        <v>0</v>
      </c>
      <c r="K303">
        <f>IFERROR(VLOOKUP(Tabla13[[#This Row],[SISMED]],TblDisponibilidad[],15,FALSE), 0)</f>
        <v>0</v>
      </c>
      <c r="L303">
        <f>IFERROR(VLOOKUP(Tabla13[[#This Row],[SISMED]],TblDisponibilidad[],16,FALSE), 0)</f>
        <v>0</v>
      </c>
      <c r="M303">
        <f>IFERROR(VLOOKUP(Tabla13[[#This Row],[SISMED]],TblDisponibilidad[],17,FALSE), 0)</f>
        <v>0</v>
      </c>
      <c r="N303">
        <f>IFERROR(VLOOKUP(Tabla13[[#This Row],[SISMED]],TblDisponibilidad[],18,FALSE), 0)</f>
        <v>0</v>
      </c>
      <c r="O303">
        <f>IFERROR(VLOOKUP(Tabla13[[#This Row],[SISMED]],TblDisponibilidad[],19,FALSE), 0)</f>
        <v>0</v>
      </c>
      <c r="P303">
        <f>IFERROR(VLOOKUP(Tabla13[[#This Row],[SISMED]],TblDisponibilidad[],20,FALSE), 0)</f>
        <v>0</v>
      </c>
      <c r="Q303">
        <f>IFERROR(VLOOKUP(Tabla13[[#This Row],[SISMED]],TblDisponibilidad[],21,FALSE), 0)</f>
        <v>0</v>
      </c>
      <c r="R303">
        <f>IFERROR(VLOOKUP(Tabla13[[#This Row],[SISMED]],TblDisponibilidad[],22,FALSE), 0)</f>
        <v>0</v>
      </c>
      <c r="S303" s="15">
        <f>IFERROR(VLOOKUP(Tabla13[[#This Row],[SISMED]],TblDisponibilidad[],23,FALSE), 0)</f>
        <v>0</v>
      </c>
    </row>
    <row r="304" spans="1:19" x14ac:dyDescent="0.3">
      <c r="A304" s="15" t="s">
        <v>334</v>
      </c>
      <c r="B304" t="str">
        <f>IFERROR(VLOOKUP(Tabla13[[#This Row],[SISMED]],TblDisponibilidad[],2,FALSE), "")</f>
        <v/>
      </c>
      <c r="C304">
        <f>IFERROR(VLOOKUP(Tabla13[[#This Row],[SISMED]],TblDisponibilidad[],7,FALSE), 0)</f>
        <v>0</v>
      </c>
      <c r="D304">
        <f>IFERROR(VLOOKUP(Tabla13[[#This Row],[SISMED]],TblDisponibilidad[],8,FALSE), 0)</f>
        <v>0</v>
      </c>
      <c r="E304">
        <f>IFERROR(VLOOKUP(Tabla13[[#This Row],[SISMED]],TblDisponibilidad[],9,FALSE), 0)</f>
        <v>0</v>
      </c>
      <c r="F304">
        <f>IFERROR(VLOOKUP(Tabla13[[#This Row],[SISMED]],TblDisponibilidad[],10,FALSE), 0)</f>
        <v>0</v>
      </c>
      <c r="G304">
        <f>IFERROR(VLOOKUP(Tabla13[[#This Row],[SISMED]],TblDisponibilidad[],11,FALSE), 0)</f>
        <v>0</v>
      </c>
      <c r="H304">
        <f>IFERROR(VLOOKUP(Tabla13[[#This Row],[SISMED]],TblDisponibilidad[],12,FALSE), 0)</f>
        <v>0</v>
      </c>
      <c r="I304">
        <f>IFERROR(VLOOKUP(Tabla13[[#This Row],[SISMED]],TblDisponibilidad[],13,FALSE), 0)</f>
        <v>0</v>
      </c>
      <c r="J304">
        <f>IFERROR(VLOOKUP(Tabla13[[#This Row],[SISMED]],TblDisponibilidad[],14,FALSE), 0)</f>
        <v>0</v>
      </c>
      <c r="K304">
        <f>IFERROR(VLOOKUP(Tabla13[[#This Row],[SISMED]],TblDisponibilidad[],15,FALSE), 0)</f>
        <v>0</v>
      </c>
      <c r="L304">
        <f>IFERROR(VLOOKUP(Tabla13[[#This Row],[SISMED]],TblDisponibilidad[],16,FALSE), 0)</f>
        <v>0</v>
      </c>
      <c r="M304">
        <f>IFERROR(VLOOKUP(Tabla13[[#This Row],[SISMED]],TblDisponibilidad[],17,FALSE), 0)</f>
        <v>0</v>
      </c>
      <c r="N304">
        <f>IFERROR(VLOOKUP(Tabla13[[#This Row],[SISMED]],TblDisponibilidad[],18,FALSE), 0)</f>
        <v>0</v>
      </c>
      <c r="O304">
        <f>IFERROR(VLOOKUP(Tabla13[[#This Row],[SISMED]],TblDisponibilidad[],19,FALSE), 0)</f>
        <v>0</v>
      </c>
      <c r="P304">
        <f>IFERROR(VLOOKUP(Tabla13[[#This Row],[SISMED]],TblDisponibilidad[],20,FALSE), 0)</f>
        <v>0</v>
      </c>
      <c r="Q304">
        <f>IFERROR(VLOOKUP(Tabla13[[#This Row],[SISMED]],TblDisponibilidad[],21,FALSE), 0)</f>
        <v>0</v>
      </c>
      <c r="R304">
        <f>IFERROR(VLOOKUP(Tabla13[[#This Row],[SISMED]],TblDisponibilidad[],22,FALSE), 0)</f>
        <v>0</v>
      </c>
      <c r="S304" s="15">
        <f>IFERROR(VLOOKUP(Tabla13[[#This Row],[SISMED]],TblDisponibilidad[],23,FALSE), 0)</f>
        <v>0</v>
      </c>
    </row>
    <row r="305" spans="1:19" x14ac:dyDescent="0.3">
      <c r="A305" s="15" t="s">
        <v>335</v>
      </c>
      <c r="B305" t="str">
        <f>IFERROR(VLOOKUP(Tabla13[[#This Row],[SISMED]],TblDisponibilidad[],2,FALSE), "")</f>
        <v/>
      </c>
      <c r="C305">
        <f>IFERROR(VLOOKUP(Tabla13[[#This Row],[SISMED]],TblDisponibilidad[],7,FALSE), 0)</f>
        <v>0</v>
      </c>
      <c r="D305">
        <f>IFERROR(VLOOKUP(Tabla13[[#This Row],[SISMED]],TblDisponibilidad[],8,FALSE), 0)</f>
        <v>0</v>
      </c>
      <c r="E305">
        <f>IFERROR(VLOOKUP(Tabla13[[#This Row],[SISMED]],TblDisponibilidad[],9,FALSE), 0)</f>
        <v>0</v>
      </c>
      <c r="F305">
        <f>IFERROR(VLOOKUP(Tabla13[[#This Row],[SISMED]],TblDisponibilidad[],10,FALSE), 0)</f>
        <v>0</v>
      </c>
      <c r="G305">
        <f>IFERROR(VLOOKUP(Tabla13[[#This Row],[SISMED]],TblDisponibilidad[],11,FALSE), 0)</f>
        <v>0</v>
      </c>
      <c r="H305">
        <f>IFERROR(VLOOKUP(Tabla13[[#This Row],[SISMED]],TblDisponibilidad[],12,FALSE), 0)</f>
        <v>0</v>
      </c>
      <c r="I305">
        <f>IFERROR(VLOOKUP(Tabla13[[#This Row],[SISMED]],TblDisponibilidad[],13,FALSE), 0)</f>
        <v>0</v>
      </c>
      <c r="J305">
        <f>IFERROR(VLOOKUP(Tabla13[[#This Row],[SISMED]],TblDisponibilidad[],14,FALSE), 0)</f>
        <v>0</v>
      </c>
      <c r="K305">
        <f>IFERROR(VLOOKUP(Tabla13[[#This Row],[SISMED]],TblDisponibilidad[],15,FALSE), 0)</f>
        <v>0</v>
      </c>
      <c r="L305">
        <f>IFERROR(VLOOKUP(Tabla13[[#This Row],[SISMED]],TblDisponibilidad[],16,FALSE), 0)</f>
        <v>0</v>
      </c>
      <c r="M305">
        <f>IFERROR(VLOOKUP(Tabla13[[#This Row],[SISMED]],TblDisponibilidad[],17,FALSE), 0)</f>
        <v>0</v>
      </c>
      <c r="N305">
        <f>IFERROR(VLOOKUP(Tabla13[[#This Row],[SISMED]],TblDisponibilidad[],18,FALSE), 0)</f>
        <v>0</v>
      </c>
      <c r="O305">
        <f>IFERROR(VLOOKUP(Tabla13[[#This Row],[SISMED]],TblDisponibilidad[],19,FALSE), 0)</f>
        <v>0</v>
      </c>
      <c r="P305">
        <f>IFERROR(VLOOKUP(Tabla13[[#This Row],[SISMED]],TblDisponibilidad[],20,FALSE), 0)</f>
        <v>0</v>
      </c>
      <c r="Q305">
        <f>IFERROR(VLOOKUP(Tabla13[[#This Row],[SISMED]],TblDisponibilidad[],21,FALSE), 0)</f>
        <v>0</v>
      </c>
      <c r="R305">
        <f>IFERROR(VLOOKUP(Tabla13[[#This Row],[SISMED]],TblDisponibilidad[],22,FALSE), 0)</f>
        <v>0</v>
      </c>
      <c r="S305" s="15">
        <f>IFERROR(VLOOKUP(Tabla13[[#This Row],[SISMED]],TblDisponibilidad[],23,FALSE), 0)</f>
        <v>0</v>
      </c>
    </row>
    <row r="306" spans="1:19" x14ac:dyDescent="0.3">
      <c r="A306" s="15" t="s">
        <v>336</v>
      </c>
      <c r="B306" t="str">
        <f>IFERROR(VLOOKUP(Tabla13[[#This Row],[SISMED]],TblDisponibilidad[],2,FALSE), "")</f>
        <v/>
      </c>
      <c r="C306">
        <f>IFERROR(VLOOKUP(Tabla13[[#This Row],[SISMED]],TblDisponibilidad[],7,FALSE), 0)</f>
        <v>0</v>
      </c>
      <c r="D306">
        <f>IFERROR(VLOOKUP(Tabla13[[#This Row],[SISMED]],TblDisponibilidad[],8,FALSE), 0)</f>
        <v>0</v>
      </c>
      <c r="E306">
        <f>IFERROR(VLOOKUP(Tabla13[[#This Row],[SISMED]],TblDisponibilidad[],9,FALSE), 0)</f>
        <v>0</v>
      </c>
      <c r="F306">
        <f>IFERROR(VLOOKUP(Tabla13[[#This Row],[SISMED]],TblDisponibilidad[],10,FALSE), 0)</f>
        <v>0</v>
      </c>
      <c r="G306">
        <f>IFERROR(VLOOKUP(Tabla13[[#This Row],[SISMED]],TblDisponibilidad[],11,FALSE), 0)</f>
        <v>0</v>
      </c>
      <c r="H306">
        <f>IFERROR(VLOOKUP(Tabla13[[#This Row],[SISMED]],TblDisponibilidad[],12,FALSE), 0)</f>
        <v>0</v>
      </c>
      <c r="I306">
        <f>IFERROR(VLOOKUP(Tabla13[[#This Row],[SISMED]],TblDisponibilidad[],13,FALSE), 0)</f>
        <v>0</v>
      </c>
      <c r="J306">
        <f>IFERROR(VLOOKUP(Tabla13[[#This Row],[SISMED]],TblDisponibilidad[],14,FALSE), 0)</f>
        <v>0</v>
      </c>
      <c r="K306">
        <f>IFERROR(VLOOKUP(Tabla13[[#This Row],[SISMED]],TblDisponibilidad[],15,FALSE), 0)</f>
        <v>0</v>
      </c>
      <c r="L306">
        <f>IFERROR(VLOOKUP(Tabla13[[#This Row],[SISMED]],TblDisponibilidad[],16,FALSE), 0)</f>
        <v>0</v>
      </c>
      <c r="M306">
        <f>IFERROR(VLOOKUP(Tabla13[[#This Row],[SISMED]],TblDisponibilidad[],17,FALSE), 0)</f>
        <v>0</v>
      </c>
      <c r="N306">
        <f>IFERROR(VLOOKUP(Tabla13[[#This Row],[SISMED]],TblDisponibilidad[],18,FALSE), 0)</f>
        <v>0</v>
      </c>
      <c r="O306">
        <f>IFERROR(VLOOKUP(Tabla13[[#This Row],[SISMED]],TblDisponibilidad[],19,FALSE), 0)</f>
        <v>0</v>
      </c>
      <c r="P306">
        <f>IFERROR(VLOOKUP(Tabla13[[#This Row],[SISMED]],TblDisponibilidad[],20,FALSE), 0)</f>
        <v>0</v>
      </c>
      <c r="Q306">
        <f>IFERROR(VLOOKUP(Tabla13[[#This Row],[SISMED]],TblDisponibilidad[],21,FALSE), 0)</f>
        <v>0</v>
      </c>
      <c r="R306">
        <f>IFERROR(VLOOKUP(Tabla13[[#This Row],[SISMED]],TblDisponibilidad[],22,FALSE), 0)</f>
        <v>0</v>
      </c>
      <c r="S306" s="15">
        <f>IFERROR(VLOOKUP(Tabla13[[#This Row],[SISMED]],TblDisponibilidad[],23,FALSE), 0)</f>
        <v>0</v>
      </c>
    </row>
    <row r="307" spans="1:19" x14ac:dyDescent="0.3">
      <c r="A307" s="15" t="s">
        <v>337</v>
      </c>
      <c r="B307" t="str">
        <f>IFERROR(VLOOKUP(Tabla13[[#This Row],[SISMED]],TblDisponibilidad[],2,FALSE), "")</f>
        <v/>
      </c>
      <c r="C307">
        <f>IFERROR(VLOOKUP(Tabla13[[#This Row],[SISMED]],TblDisponibilidad[],7,FALSE), 0)</f>
        <v>0</v>
      </c>
      <c r="D307">
        <f>IFERROR(VLOOKUP(Tabla13[[#This Row],[SISMED]],TblDisponibilidad[],8,FALSE), 0)</f>
        <v>0</v>
      </c>
      <c r="E307">
        <f>IFERROR(VLOOKUP(Tabla13[[#This Row],[SISMED]],TblDisponibilidad[],9,FALSE), 0)</f>
        <v>0</v>
      </c>
      <c r="F307">
        <f>IFERROR(VLOOKUP(Tabla13[[#This Row],[SISMED]],TblDisponibilidad[],10,FALSE), 0)</f>
        <v>0</v>
      </c>
      <c r="G307">
        <f>IFERROR(VLOOKUP(Tabla13[[#This Row],[SISMED]],TblDisponibilidad[],11,FALSE), 0)</f>
        <v>0</v>
      </c>
      <c r="H307">
        <f>IFERROR(VLOOKUP(Tabla13[[#This Row],[SISMED]],TblDisponibilidad[],12,FALSE), 0)</f>
        <v>0</v>
      </c>
      <c r="I307">
        <f>IFERROR(VLOOKUP(Tabla13[[#This Row],[SISMED]],TblDisponibilidad[],13,FALSE), 0)</f>
        <v>0</v>
      </c>
      <c r="J307">
        <f>IFERROR(VLOOKUP(Tabla13[[#This Row],[SISMED]],TblDisponibilidad[],14,FALSE), 0)</f>
        <v>0</v>
      </c>
      <c r="K307">
        <f>IFERROR(VLOOKUP(Tabla13[[#This Row],[SISMED]],TblDisponibilidad[],15,FALSE), 0)</f>
        <v>0</v>
      </c>
      <c r="L307">
        <f>IFERROR(VLOOKUP(Tabla13[[#This Row],[SISMED]],TblDisponibilidad[],16,FALSE), 0)</f>
        <v>0</v>
      </c>
      <c r="M307">
        <f>IFERROR(VLOOKUP(Tabla13[[#This Row],[SISMED]],TblDisponibilidad[],17,FALSE), 0)</f>
        <v>0</v>
      </c>
      <c r="N307">
        <f>IFERROR(VLOOKUP(Tabla13[[#This Row],[SISMED]],TblDisponibilidad[],18,FALSE), 0)</f>
        <v>0</v>
      </c>
      <c r="O307">
        <f>IFERROR(VLOOKUP(Tabla13[[#This Row],[SISMED]],TblDisponibilidad[],19,FALSE), 0)</f>
        <v>0</v>
      </c>
      <c r="P307">
        <f>IFERROR(VLOOKUP(Tabla13[[#This Row],[SISMED]],TblDisponibilidad[],20,FALSE), 0)</f>
        <v>0</v>
      </c>
      <c r="Q307">
        <f>IFERROR(VLOOKUP(Tabla13[[#This Row],[SISMED]],TblDisponibilidad[],21,FALSE), 0)</f>
        <v>0</v>
      </c>
      <c r="R307">
        <f>IFERROR(VLOOKUP(Tabla13[[#This Row],[SISMED]],TblDisponibilidad[],22,FALSE), 0)</f>
        <v>0</v>
      </c>
      <c r="S307" s="15">
        <f>IFERROR(VLOOKUP(Tabla13[[#This Row],[SISMED]],TblDisponibilidad[],23,FALSE), 0)</f>
        <v>0</v>
      </c>
    </row>
    <row r="308" spans="1:19" x14ac:dyDescent="0.3">
      <c r="A308" s="15" t="s">
        <v>338</v>
      </c>
      <c r="B308" t="str">
        <f>IFERROR(VLOOKUP(Tabla13[[#This Row],[SISMED]],TblDisponibilidad[],2,FALSE), "")</f>
        <v/>
      </c>
      <c r="C308">
        <f>IFERROR(VLOOKUP(Tabla13[[#This Row],[SISMED]],TblDisponibilidad[],7,FALSE), 0)</f>
        <v>0</v>
      </c>
      <c r="D308">
        <f>IFERROR(VLOOKUP(Tabla13[[#This Row],[SISMED]],TblDisponibilidad[],8,FALSE), 0)</f>
        <v>0</v>
      </c>
      <c r="E308">
        <f>IFERROR(VLOOKUP(Tabla13[[#This Row],[SISMED]],TblDisponibilidad[],9,FALSE), 0)</f>
        <v>0</v>
      </c>
      <c r="F308">
        <f>IFERROR(VLOOKUP(Tabla13[[#This Row],[SISMED]],TblDisponibilidad[],10,FALSE), 0)</f>
        <v>0</v>
      </c>
      <c r="G308">
        <f>IFERROR(VLOOKUP(Tabla13[[#This Row],[SISMED]],TblDisponibilidad[],11,FALSE), 0)</f>
        <v>0</v>
      </c>
      <c r="H308">
        <f>IFERROR(VLOOKUP(Tabla13[[#This Row],[SISMED]],TblDisponibilidad[],12,FALSE), 0)</f>
        <v>0</v>
      </c>
      <c r="I308">
        <f>IFERROR(VLOOKUP(Tabla13[[#This Row],[SISMED]],TblDisponibilidad[],13,FALSE), 0)</f>
        <v>0</v>
      </c>
      <c r="J308">
        <f>IFERROR(VLOOKUP(Tabla13[[#This Row],[SISMED]],TblDisponibilidad[],14,FALSE), 0)</f>
        <v>0</v>
      </c>
      <c r="K308">
        <f>IFERROR(VLOOKUP(Tabla13[[#This Row],[SISMED]],TblDisponibilidad[],15,FALSE), 0)</f>
        <v>0</v>
      </c>
      <c r="L308">
        <f>IFERROR(VLOOKUP(Tabla13[[#This Row],[SISMED]],TblDisponibilidad[],16,FALSE), 0)</f>
        <v>0</v>
      </c>
      <c r="M308">
        <f>IFERROR(VLOOKUP(Tabla13[[#This Row],[SISMED]],TblDisponibilidad[],17,FALSE), 0)</f>
        <v>0</v>
      </c>
      <c r="N308">
        <f>IFERROR(VLOOKUP(Tabla13[[#This Row],[SISMED]],TblDisponibilidad[],18,FALSE), 0)</f>
        <v>0</v>
      </c>
      <c r="O308">
        <f>IFERROR(VLOOKUP(Tabla13[[#This Row],[SISMED]],TblDisponibilidad[],19,FALSE), 0)</f>
        <v>0</v>
      </c>
      <c r="P308">
        <f>IFERROR(VLOOKUP(Tabla13[[#This Row],[SISMED]],TblDisponibilidad[],20,FALSE), 0)</f>
        <v>0</v>
      </c>
      <c r="Q308">
        <f>IFERROR(VLOOKUP(Tabla13[[#This Row],[SISMED]],TblDisponibilidad[],21,FALSE), 0)</f>
        <v>0</v>
      </c>
      <c r="R308">
        <f>IFERROR(VLOOKUP(Tabla13[[#This Row],[SISMED]],TblDisponibilidad[],22,FALSE), 0)</f>
        <v>0</v>
      </c>
      <c r="S308" s="15">
        <f>IFERROR(VLOOKUP(Tabla13[[#This Row],[SISMED]],TblDisponibilidad[],23,FALSE), 0)</f>
        <v>0</v>
      </c>
    </row>
    <row r="309" spans="1:19" x14ac:dyDescent="0.3">
      <c r="A309" s="15" t="s">
        <v>339</v>
      </c>
      <c r="B309" t="str">
        <f>IFERROR(VLOOKUP(Tabla13[[#This Row],[SISMED]],TblDisponibilidad[],2,FALSE), "")</f>
        <v/>
      </c>
      <c r="C309">
        <f>IFERROR(VLOOKUP(Tabla13[[#This Row],[SISMED]],TblDisponibilidad[],7,FALSE), 0)</f>
        <v>0</v>
      </c>
      <c r="D309">
        <f>IFERROR(VLOOKUP(Tabla13[[#This Row],[SISMED]],TblDisponibilidad[],8,FALSE), 0)</f>
        <v>0</v>
      </c>
      <c r="E309">
        <f>IFERROR(VLOOKUP(Tabla13[[#This Row],[SISMED]],TblDisponibilidad[],9,FALSE), 0)</f>
        <v>0</v>
      </c>
      <c r="F309">
        <f>IFERROR(VLOOKUP(Tabla13[[#This Row],[SISMED]],TblDisponibilidad[],10,FALSE), 0)</f>
        <v>0</v>
      </c>
      <c r="G309">
        <f>IFERROR(VLOOKUP(Tabla13[[#This Row],[SISMED]],TblDisponibilidad[],11,FALSE), 0)</f>
        <v>0</v>
      </c>
      <c r="H309">
        <f>IFERROR(VLOOKUP(Tabla13[[#This Row],[SISMED]],TblDisponibilidad[],12,FALSE), 0)</f>
        <v>0</v>
      </c>
      <c r="I309">
        <f>IFERROR(VLOOKUP(Tabla13[[#This Row],[SISMED]],TblDisponibilidad[],13,FALSE), 0)</f>
        <v>0</v>
      </c>
      <c r="J309">
        <f>IFERROR(VLOOKUP(Tabla13[[#This Row],[SISMED]],TblDisponibilidad[],14,FALSE), 0)</f>
        <v>0</v>
      </c>
      <c r="K309">
        <f>IFERROR(VLOOKUP(Tabla13[[#This Row],[SISMED]],TblDisponibilidad[],15,FALSE), 0)</f>
        <v>0</v>
      </c>
      <c r="L309">
        <f>IFERROR(VLOOKUP(Tabla13[[#This Row],[SISMED]],TblDisponibilidad[],16,FALSE), 0)</f>
        <v>0</v>
      </c>
      <c r="M309">
        <f>IFERROR(VLOOKUP(Tabla13[[#This Row],[SISMED]],TblDisponibilidad[],17,FALSE), 0)</f>
        <v>0</v>
      </c>
      <c r="N309">
        <f>IFERROR(VLOOKUP(Tabla13[[#This Row],[SISMED]],TblDisponibilidad[],18,FALSE), 0)</f>
        <v>0</v>
      </c>
      <c r="O309">
        <f>IFERROR(VLOOKUP(Tabla13[[#This Row],[SISMED]],TblDisponibilidad[],19,FALSE), 0)</f>
        <v>0</v>
      </c>
      <c r="P309">
        <f>IFERROR(VLOOKUP(Tabla13[[#This Row],[SISMED]],TblDisponibilidad[],20,FALSE), 0)</f>
        <v>0</v>
      </c>
      <c r="Q309">
        <f>IFERROR(VLOOKUP(Tabla13[[#This Row],[SISMED]],TblDisponibilidad[],21,FALSE), 0)</f>
        <v>0</v>
      </c>
      <c r="R309">
        <f>IFERROR(VLOOKUP(Tabla13[[#This Row],[SISMED]],TblDisponibilidad[],22,FALSE), 0)</f>
        <v>0</v>
      </c>
      <c r="S309" s="15">
        <f>IFERROR(VLOOKUP(Tabla13[[#This Row],[SISMED]],TblDisponibilidad[],23,FALSE), 0)</f>
        <v>0</v>
      </c>
    </row>
    <row r="310" spans="1:19" x14ac:dyDescent="0.3">
      <c r="A310" s="15" t="s">
        <v>340</v>
      </c>
      <c r="B310" t="str">
        <f>IFERROR(VLOOKUP(Tabla13[[#This Row],[SISMED]],TblDisponibilidad[],2,FALSE), "")</f>
        <v/>
      </c>
      <c r="C310">
        <f>IFERROR(VLOOKUP(Tabla13[[#This Row],[SISMED]],TblDisponibilidad[],7,FALSE), 0)</f>
        <v>0</v>
      </c>
      <c r="D310">
        <f>IFERROR(VLOOKUP(Tabla13[[#This Row],[SISMED]],TblDisponibilidad[],8,FALSE), 0)</f>
        <v>0</v>
      </c>
      <c r="E310">
        <f>IFERROR(VLOOKUP(Tabla13[[#This Row],[SISMED]],TblDisponibilidad[],9,FALSE), 0)</f>
        <v>0</v>
      </c>
      <c r="F310">
        <f>IFERROR(VLOOKUP(Tabla13[[#This Row],[SISMED]],TblDisponibilidad[],10,FALSE), 0)</f>
        <v>0</v>
      </c>
      <c r="G310">
        <f>IFERROR(VLOOKUP(Tabla13[[#This Row],[SISMED]],TblDisponibilidad[],11,FALSE), 0)</f>
        <v>0</v>
      </c>
      <c r="H310">
        <f>IFERROR(VLOOKUP(Tabla13[[#This Row],[SISMED]],TblDisponibilidad[],12,FALSE), 0)</f>
        <v>0</v>
      </c>
      <c r="I310">
        <f>IFERROR(VLOOKUP(Tabla13[[#This Row],[SISMED]],TblDisponibilidad[],13,FALSE), 0)</f>
        <v>0</v>
      </c>
      <c r="J310">
        <f>IFERROR(VLOOKUP(Tabla13[[#This Row],[SISMED]],TblDisponibilidad[],14,FALSE), 0)</f>
        <v>0</v>
      </c>
      <c r="K310">
        <f>IFERROR(VLOOKUP(Tabla13[[#This Row],[SISMED]],TblDisponibilidad[],15,FALSE), 0)</f>
        <v>0</v>
      </c>
      <c r="L310">
        <f>IFERROR(VLOOKUP(Tabla13[[#This Row],[SISMED]],TblDisponibilidad[],16,FALSE), 0)</f>
        <v>0</v>
      </c>
      <c r="M310">
        <f>IFERROR(VLOOKUP(Tabla13[[#This Row],[SISMED]],TblDisponibilidad[],17,FALSE), 0)</f>
        <v>0</v>
      </c>
      <c r="N310">
        <f>IFERROR(VLOOKUP(Tabla13[[#This Row],[SISMED]],TblDisponibilidad[],18,FALSE), 0)</f>
        <v>0</v>
      </c>
      <c r="O310">
        <f>IFERROR(VLOOKUP(Tabla13[[#This Row],[SISMED]],TblDisponibilidad[],19,FALSE), 0)</f>
        <v>0</v>
      </c>
      <c r="P310">
        <f>IFERROR(VLOOKUP(Tabla13[[#This Row],[SISMED]],TblDisponibilidad[],20,FALSE), 0)</f>
        <v>0</v>
      </c>
      <c r="Q310">
        <f>IFERROR(VLOOKUP(Tabla13[[#This Row],[SISMED]],TblDisponibilidad[],21,FALSE), 0)</f>
        <v>0</v>
      </c>
      <c r="R310">
        <f>IFERROR(VLOOKUP(Tabla13[[#This Row],[SISMED]],TblDisponibilidad[],22,FALSE), 0)</f>
        <v>0</v>
      </c>
      <c r="S310" s="15">
        <f>IFERROR(VLOOKUP(Tabla13[[#This Row],[SISMED]],TblDisponibilidad[],23,FALSE), 0)</f>
        <v>0</v>
      </c>
    </row>
    <row r="311" spans="1:19" x14ac:dyDescent="0.3">
      <c r="A311" s="15" t="s">
        <v>341</v>
      </c>
      <c r="B311" t="str">
        <f>IFERROR(VLOOKUP(Tabla13[[#This Row],[SISMED]],TblDisponibilidad[],2,FALSE), "")</f>
        <v/>
      </c>
      <c r="C311">
        <f>IFERROR(VLOOKUP(Tabla13[[#This Row],[SISMED]],TblDisponibilidad[],7,FALSE), 0)</f>
        <v>0</v>
      </c>
      <c r="D311">
        <f>IFERROR(VLOOKUP(Tabla13[[#This Row],[SISMED]],TblDisponibilidad[],8,FALSE), 0)</f>
        <v>0</v>
      </c>
      <c r="E311">
        <f>IFERROR(VLOOKUP(Tabla13[[#This Row],[SISMED]],TblDisponibilidad[],9,FALSE), 0)</f>
        <v>0</v>
      </c>
      <c r="F311">
        <f>IFERROR(VLOOKUP(Tabla13[[#This Row],[SISMED]],TblDisponibilidad[],10,FALSE), 0)</f>
        <v>0</v>
      </c>
      <c r="G311">
        <f>IFERROR(VLOOKUP(Tabla13[[#This Row],[SISMED]],TblDisponibilidad[],11,FALSE), 0)</f>
        <v>0</v>
      </c>
      <c r="H311">
        <f>IFERROR(VLOOKUP(Tabla13[[#This Row],[SISMED]],TblDisponibilidad[],12,FALSE), 0)</f>
        <v>0</v>
      </c>
      <c r="I311">
        <f>IFERROR(VLOOKUP(Tabla13[[#This Row],[SISMED]],TblDisponibilidad[],13,FALSE), 0)</f>
        <v>0</v>
      </c>
      <c r="J311">
        <f>IFERROR(VLOOKUP(Tabla13[[#This Row],[SISMED]],TblDisponibilidad[],14,FALSE), 0)</f>
        <v>0</v>
      </c>
      <c r="K311">
        <f>IFERROR(VLOOKUP(Tabla13[[#This Row],[SISMED]],TblDisponibilidad[],15,FALSE), 0)</f>
        <v>0</v>
      </c>
      <c r="L311">
        <f>IFERROR(VLOOKUP(Tabla13[[#This Row],[SISMED]],TblDisponibilidad[],16,FALSE), 0)</f>
        <v>0</v>
      </c>
      <c r="M311">
        <f>IFERROR(VLOOKUP(Tabla13[[#This Row],[SISMED]],TblDisponibilidad[],17,FALSE), 0)</f>
        <v>0</v>
      </c>
      <c r="N311">
        <f>IFERROR(VLOOKUP(Tabla13[[#This Row],[SISMED]],TblDisponibilidad[],18,FALSE), 0)</f>
        <v>0</v>
      </c>
      <c r="O311">
        <f>IFERROR(VLOOKUP(Tabla13[[#This Row],[SISMED]],TblDisponibilidad[],19,FALSE), 0)</f>
        <v>0</v>
      </c>
      <c r="P311">
        <f>IFERROR(VLOOKUP(Tabla13[[#This Row],[SISMED]],TblDisponibilidad[],20,FALSE), 0)</f>
        <v>0</v>
      </c>
      <c r="Q311">
        <f>IFERROR(VLOOKUP(Tabla13[[#This Row],[SISMED]],TblDisponibilidad[],21,FALSE), 0)</f>
        <v>0</v>
      </c>
      <c r="R311">
        <f>IFERROR(VLOOKUP(Tabla13[[#This Row],[SISMED]],TblDisponibilidad[],22,FALSE), 0)</f>
        <v>0</v>
      </c>
      <c r="S311" s="15">
        <f>IFERROR(VLOOKUP(Tabla13[[#This Row],[SISMED]],TblDisponibilidad[],23,FALSE), 0)</f>
        <v>0</v>
      </c>
    </row>
    <row r="312" spans="1:19" x14ac:dyDescent="0.3">
      <c r="A312" s="15" t="s">
        <v>342</v>
      </c>
      <c r="B312" t="str">
        <f>IFERROR(VLOOKUP(Tabla13[[#This Row],[SISMED]],TblDisponibilidad[],2,FALSE), "")</f>
        <v/>
      </c>
      <c r="C312">
        <f>IFERROR(VLOOKUP(Tabla13[[#This Row],[SISMED]],TblDisponibilidad[],7,FALSE), 0)</f>
        <v>0</v>
      </c>
      <c r="D312">
        <f>IFERROR(VLOOKUP(Tabla13[[#This Row],[SISMED]],TblDisponibilidad[],8,FALSE), 0)</f>
        <v>0</v>
      </c>
      <c r="E312">
        <f>IFERROR(VLOOKUP(Tabla13[[#This Row],[SISMED]],TblDisponibilidad[],9,FALSE), 0)</f>
        <v>0</v>
      </c>
      <c r="F312">
        <f>IFERROR(VLOOKUP(Tabla13[[#This Row],[SISMED]],TblDisponibilidad[],10,FALSE), 0)</f>
        <v>0</v>
      </c>
      <c r="G312">
        <f>IFERROR(VLOOKUP(Tabla13[[#This Row],[SISMED]],TblDisponibilidad[],11,FALSE), 0)</f>
        <v>0</v>
      </c>
      <c r="H312">
        <f>IFERROR(VLOOKUP(Tabla13[[#This Row],[SISMED]],TblDisponibilidad[],12,FALSE), 0)</f>
        <v>0</v>
      </c>
      <c r="I312">
        <f>IFERROR(VLOOKUP(Tabla13[[#This Row],[SISMED]],TblDisponibilidad[],13,FALSE), 0)</f>
        <v>0</v>
      </c>
      <c r="J312">
        <f>IFERROR(VLOOKUP(Tabla13[[#This Row],[SISMED]],TblDisponibilidad[],14,FALSE), 0)</f>
        <v>0</v>
      </c>
      <c r="K312">
        <f>IFERROR(VLOOKUP(Tabla13[[#This Row],[SISMED]],TblDisponibilidad[],15,FALSE), 0)</f>
        <v>0</v>
      </c>
      <c r="L312">
        <f>IFERROR(VLOOKUP(Tabla13[[#This Row],[SISMED]],TblDisponibilidad[],16,FALSE), 0)</f>
        <v>0</v>
      </c>
      <c r="M312">
        <f>IFERROR(VLOOKUP(Tabla13[[#This Row],[SISMED]],TblDisponibilidad[],17,FALSE), 0)</f>
        <v>0</v>
      </c>
      <c r="N312">
        <f>IFERROR(VLOOKUP(Tabla13[[#This Row],[SISMED]],TblDisponibilidad[],18,FALSE), 0)</f>
        <v>0</v>
      </c>
      <c r="O312">
        <f>IFERROR(VLOOKUP(Tabla13[[#This Row],[SISMED]],TblDisponibilidad[],19,FALSE), 0)</f>
        <v>0</v>
      </c>
      <c r="P312">
        <f>IFERROR(VLOOKUP(Tabla13[[#This Row],[SISMED]],TblDisponibilidad[],20,FALSE), 0)</f>
        <v>0</v>
      </c>
      <c r="Q312">
        <f>IFERROR(VLOOKUP(Tabla13[[#This Row],[SISMED]],TblDisponibilidad[],21,FALSE), 0)</f>
        <v>0</v>
      </c>
      <c r="R312">
        <f>IFERROR(VLOOKUP(Tabla13[[#This Row],[SISMED]],TblDisponibilidad[],22,FALSE), 0)</f>
        <v>0</v>
      </c>
      <c r="S312" s="15">
        <f>IFERROR(VLOOKUP(Tabla13[[#This Row],[SISMED]],TblDisponibilidad[],23,FALSE), 0)</f>
        <v>0</v>
      </c>
    </row>
    <row r="313" spans="1:19" x14ac:dyDescent="0.3">
      <c r="A313" s="15" t="s">
        <v>343</v>
      </c>
      <c r="B313" t="str">
        <f>IFERROR(VLOOKUP(Tabla13[[#This Row],[SISMED]],TblDisponibilidad[],2,FALSE), "")</f>
        <v/>
      </c>
      <c r="C313">
        <f>IFERROR(VLOOKUP(Tabla13[[#This Row],[SISMED]],TblDisponibilidad[],7,FALSE), 0)</f>
        <v>0</v>
      </c>
      <c r="D313">
        <f>IFERROR(VLOOKUP(Tabla13[[#This Row],[SISMED]],TblDisponibilidad[],8,FALSE), 0)</f>
        <v>0</v>
      </c>
      <c r="E313">
        <f>IFERROR(VLOOKUP(Tabla13[[#This Row],[SISMED]],TblDisponibilidad[],9,FALSE), 0)</f>
        <v>0</v>
      </c>
      <c r="F313">
        <f>IFERROR(VLOOKUP(Tabla13[[#This Row],[SISMED]],TblDisponibilidad[],10,FALSE), 0)</f>
        <v>0</v>
      </c>
      <c r="G313">
        <f>IFERROR(VLOOKUP(Tabla13[[#This Row],[SISMED]],TblDisponibilidad[],11,FALSE), 0)</f>
        <v>0</v>
      </c>
      <c r="H313">
        <f>IFERROR(VLOOKUP(Tabla13[[#This Row],[SISMED]],TblDisponibilidad[],12,FALSE), 0)</f>
        <v>0</v>
      </c>
      <c r="I313">
        <f>IFERROR(VLOOKUP(Tabla13[[#This Row],[SISMED]],TblDisponibilidad[],13,FALSE), 0)</f>
        <v>0</v>
      </c>
      <c r="J313">
        <f>IFERROR(VLOOKUP(Tabla13[[#This Row],[SISMED]],TblDisponibilidad[],14,FALSE), 0)</f>
        <v>0</v>
      </c>
      <c r="K313">
        <f>IFERROR(VLOOKUP(Tabla13[[#This Row],[SISMED]],TblDisponibilidad[],15,FALSE), 0)</f>
        <v>0</v>
      </c>
      <c r="L313">
        <f>IFERROR(VLOOKUP(Tabla13[[#This Row],[SISMED]],TblDisponibilidad[],16,FALSE), 0)</f>
        <v>0</v>
      </c>
      <c r="M313">
        <f>IFERROR(VLOOKUP(Tabla13[[#This Row],[SISMED]],TblDisponibilidad[],17,FALSE), 0)</f>
        <v>0</v>
      </c>
      <c r="N313">
        <f>IFERROR(VLOOKUP(Tabla13[[#This Row],[SISMED]],TblDisponibilidad[],18,FALSE), 0)</f>
        <v>0</v>
      </c>
      <c r="O313">
        <f>IFERROR(VLOOKUP(Tabla13[[#This Row],[SISMED]],TblDisponibilidad[],19,FALSE), 0)</f>
        <v>0</v>
      </c>
      <c r="P313">
        <f>IFERROR(VLOOKUP(Tabla13[[#This Row],[SISMED]],TblDisponibilidad[],20,FALSE), 0)</f>
        <v>0</v>
      </c>
      <c r="Q313">
        <f>IFERROR(VLOOKUP(Tabla13[[#This Row],[SISMED]],TblDisponibilidad[],21,FALSE), 0)</f>
        <v>0</v>
      </c>
      <c r="R313">
        <f>IFERROR(VLOOKUP(Tabla13[[#This Row],[SISMED]],TblDisponibilidad[],22,FALSE), 0)</f>
        <v>0</v>
      </c>
      <c r="S313" s="15">
        <f>IFERROR(VLOOKUP(Tabla13[[#This Row],[SISMED]],TblDisponibilidad[],23,FALSE), 0)</f>
        <v>0</v>
      </c>
    </row>
    <row r="314" spans="1:19" x14ac:dyDescent="0.3">
      <c r="A314" s="15" t="s">
        <v>344</v>
      </c>
      <c r="B314" t="str">
        <f>IFERROR(VLOOKUP(Tabla13[[#This Row],[SISMED]],TblDisponibilidad[],2,FALSE), "")</f>
        <v/>
      </c>
      <c r="C314">
        <f>IFERROR(VLOOKUP(Tabla13[[#This Row],[SISMED]],TblDisponibilidad[],7,FALSE), 0)</f>
        <v>0</v>
      </c>
      <c r="D314">
        <f>IFERROR(VLOOKUP(Tabla13[[#This Row],[SISMED]],TblDisponibilidad[],8,FALSE), 0)</f>
        <v>0</v>
      </c>
      <c r="E314">
        <f>IFERROR(VLOOKUP(Tabla13[[#This Row],[SISMED]],TblDisponibilidad[],9,FALSE), 0)</f>
        <v>0</v>
      </c>
      <c r="F314">
        <f>IFERROR(VLOOKUP(Tabla13[[#This Row],[SISMED]],TblDisponibilidad[],10,FALSE), 0)</f>
        <v>0</v>
      </c>
      <c r="G314">
        <f>IFERROR(VLOOKUP(Tabla13[[#This Row],[SISMED]],TblDisponibilidad[],11,FALSE), 0)</f>
        <v>0</v>
      </c>
      <c r="H314">
        <f>IFERROR(VLOOKUP(Tabla13[[#This Row],[SISMED]],TblDisponibilidad[],12,FALSE), 0)</f>
        <v>0</v>
      </c>
      <c r="I314">
        <f>IFERROR(VLOOKUP(Tabla13[[#This Row],[SISMED]],TblDisponibilidad[],13,FALSE), 0)</f>
        <v>0</v>
      </c>
      <c r="J314">
        <f>IFERROR(VLOOKUP(Tabla13[[#This Row],[SISMED]],TblDisponibilidad[],14,FALSE), 0)</f>
        <v>0</v>
      </c>
      <c r="K314">
        <f>IFERROR(VLOOKUP(Tabla13[[#This Row],[SISMED]],TblDisponibilidad[],15,FALSE), 0)</f>
        <v>0</v>
      </c>
      <c r="L314">
        <f>IFERROR(VLOOKUP(Tabla13[[#This Row],[SISMED]],TblDisponibilidad[],16,FALSE), 0)</f>
        <v>0</v>
      </c>
      <c r="M314">
        <f>IFERROR(VLOOKUP(Tabla13[[#This Row],[SISMED]],TblDisponibilidad[],17,FALSE), 0)</f>
        <v>0</v>
      </c>
      <c r="N314">
        <f>IFERROR(VLOOKUP(Tabla13[[#This Row],[SISMED]],TblDisponibilidad[],18,FALSE), 0)</f>
        <v>0</v>
      </c>
      <c r="O314">
        <f>IFERROR(VLOOKUP(Tabla13[[#This Row],[SISMED]],TblDisponibilidad[],19,FALSE), 0)</f>
        <v>0</v>
      </c>
      <c r="P314">
        <f>IFERROR(VLOOKUP(Tabla13[[#This Row],[SISMED]],TblDisponibilidad[],20,FALSE), 0)</f>
        <v>0</v>
      </c>
      <c r="Q314">
        <f>IFERROR(VLOOKUP(Tabla13[[#This Row],[SISMED]],TblDisponibilidad[],21,FALSE), 0)</f>
        <v>0</v>
      </c>
      <c r="R314">
        <f>IFERROR(VLOOKUP(Tabla13[[#This Row],[SISMED]],TblDisponibilidad[],22,FALSE), 0)</f>
        <v>0</v>
      </c>
      <c r="S314" s="15">
        <f>IFERROR(VLOOKUP(Tabla13[[#This Row],[SISMED]],TblDisponibilidad[],23,FALSE), 0)</f>
        <v>0</v>
      </c>
    </row>
    <row r="315" spans="1:19" x14ac:dyDescent="0.3">
      <c r="A315" s="15" t="s">
        <v>345</v>
      </c>
      <c r="B315" t="str">
        <f>IFERROR(VLOOKUP(Tabla13[[#This Row],[SISMED]],TblDisponibilidad[],2,FALSE), "")</f>
        <v/>
      </c>
      <c r="C315">
        <f>IFERROR(VLOOKUP(Tabla13[[#This Row],[SISMED]],TblDisponibilidad[],7,FALSE), 0)</f>
        <v>0</v>
      </c>
      <c r="D315">
        <f>IFERROR(VLOOKUP(Tabla13[[#This Row],[SISMED]],TblDisponibilidad[],8,FALSE), 0)</f>
        <v>0</v>
      </c>
      <c r="E315">
        <f>IFERROR(VLOOKUP(Tabla13[[#This Row],[SISMED]],TblDisponibilidad[],9,FALSE), 0)</f>
        <v>0</v>
      </c>
      <c r="F315">
        <f>IFERROR(VLOOKUP(Tabla13[[#This Row],[SISMED]],TblDisponibilidad[],10,FALSE), 0)</f>
        <v>0</v>
      </c>
      <c r="G315">
        <f>IFERROR(VLOOKUP(Tabla13[[#This Row],[SISMED]],TblDisponibilidad[],11,FALSE), 0)</f>
        <v>0</v>
      </c>
      <c r="H315">
        <f>IFERROR(VLOOKUP(Tabla13[[#This Row],[SISMED]],TblDisponibilidad[],12,FALSE), 0)</f>
        <v>0</v>
      </c>
      <c r="I315">
        <f>IFERROR(VLOOKUP(Tabla13[[#This Row],[SISMED]],TblDisponibilidad[],13,FALSE), 0)</f>
        <v>0</v>
      </c>
      <c r="J315">
        <f>IFERROR(VLOOKUP(Tabla13[[#This Row],[SISMED]],TblDisponibilidad[],14,FALSE), 0)</f>
        <v>0</v>
      </c>
      <c r="K315">
        <f>IFERROR(VLOOKUP(Tabla13[[#This Row],[SISMED]],TblDisponibilidad[],15,FALSE), 0)</f>
        <v>0</v>
      </c>
      <c r="L315">
        <f>IFERROR(VLOOKUP(Tabla13[[#This Row],[SISMED]],TblDisponibilidad[],16,FALSE), 0)</f>
        <v>0</v>
      </c>
      <c r="M315">
        <f>IFERROR(VLOOKUP(Tabla13[[#This Row],[SISMED]],TblDisponibilidad[],17,FALSE), 0)</f>
        <v>0</v>
      </c>
      <c r="N315">
        <f>IFERROR(VLOOKUP(Tabla13[[#This Row],[SISMED]],TblDisponibilidad[],18,FALSE), 0)</f>
        <v>0</v>
      </c>
      <c r="O315">
        <f>IFERROR(VLOOKUP(Tabla13[[#This Row],[SISMED]],TblDisponibilidad[],19,FALSE), 0)</f>
        <v>0</v>
      </c>
      <c r="P315">
        <f>IFERROR(VLOOKUP(Tabla13[[#This Row],[SISMED]],TblDisponibilidad[],20,FALSE), 0)</f>
        <v>0</v>
      </c>
      <c r="Q315">
        <f>IFERROR(VLOOKUP(Tabla13[[#This Row],[SISMED]],TblDisponibilidad[],21,FALSE), 0)</f>
        <v>0</v>
      </c>
      <c r="R315">
        <f>IFERROR(VLOOKUP(Tabla13[[#This Row],[SISMED]],TblDisponibilidad[],22,FALSE), 0)</f>
        <v>0</v>
      </c>
      <c r="S315" s="15">
        <f>IFERROR(VLOOKUP(Tabla13[[#This Row],[SISMED]],TblDisponibilidad[],23,FALSE), 0)</f>
        <v>0</v>
      </c>
    </row>
    <row r="316" spans="1:19" x14ac:dyDescent="0.3">
      <c r="A316" s="15" t="s">
        <v>346</v>
      </c>
      <c r="B316" t="str">
        <f>IFERROR(VLOOKUP(Tabla13[[#This Row],[SISMED]],TblDisponibilidad[],2,FALSE), "")</f>
        <v/>
      </c>
      <c r="C316">
        <f>IFERROR(VLOOKUP(Tabla13[[#This Row],[SISMED]],TblDisponibilidad[],7,FALSE), 0)</f>
        <v>0</v>
      </c>
      <c r="D316">
        <f>IFERROR(VLOOKUP(Tabla13[[#This Row],[SISMED]],TblDisponibilidad[],8,FALSE), 0)</f>
        <v>0</v>
      </c>
      <c r="E316">
        <f>IFERROR(VLOOKUP(Tabla13[[#This Row],[SISMED]],TblDisponibilidad[],9,FALSE), 0)</f>
        <v>0</v>
      </c>
      <c r="F316">
        <f>IFERROR(VLOOKUP(Tabla13[[#This Row],[SISMED]],TblDisponibilidad[],10,FALSE), 0)</f>
        <v>0</v>
      </c>
      <c r="G316">
        <f>IFERROR(VLOOKUP(Tabla13[[#This Row],[SISMED]],TblDisponibilidad[],11,FALSE), 0)</f>
        <v>0</v>
      </c>
      <c r="H316">
        <f>IFERROR(VLOOKUP(Tabla13[[#This Row],[SISMED]],TblDisponibilidad[],12,FALSE), 0)</f>
        <v>0</v>
      </c>
      <c r="I316">
        <f>IFERROR(VLOOKUP(Tabla13[[#This Row],[SISMED]],TblDisponibilidad[],13,FALSE), 0)</f>
        <v>0</v>
      </c>
      <c r="J316">
        <f>IFERROR(VLOOKUP(Tabla13[[#This Row],[SISMED]],TblDisponibilidad[],14,FALSE), 0)</f>
        <v>0</v>
      </c>
      <c r="K316">
        <f>IFERROR(VLOOKUP(Tabla13[[#This Row],[SISMED]],TblDisponibilidad[],15,FALSE), 0)</f>
        <v>0</v>
      </c>
      <c r="L316">
        <f>IFERROR(VLOOKUP(Tabla13[[#This Row],[SISMED]],TblDisponibilidad[],16,FALSE), 0)</f>
        <v>0</v>
      </c>
      <c r="M316">
        <f>IFERROR(VLOOKUP(Tabla13[[#This Row],[SISMED]],TblDisponibilidad[],17,FALSE), 0)</f>
        <v>0</v>
      </c>
      <c r="N316">
        <f>IFERROR(VLOOKUP(Tabla13[[#This Row],[SISMED]],TblDisponibilidad[],18,FALSE), 0)</f>
        <v>0</v>
      </c>
      <c r="O316">
        <f>IFERROR(VLOOKUP(Tabla13[[#This Row],[SISMED]],TblDisponibilidad[],19,FALSE), 0)</f>
        <v>0</v>
      </c>
      <c r="P316">
        <f>IFERROR(VLOOKUP(Tabla13[[#This Row],[SISMED]],TblDisponibilidad[],20,FALSE), 0)</f>
        <v>0</v>
      </c>
      <c r="Q316">
        <f>IFERROR(VLOOKUP(Tabla13[[#This Row],[SISMED]],TblDisponibilidad[],21,FALSE), 0)</f>
        <v>0</v>
      </c>
      <c r="R316">
        <f>IFERROR(VLOOKUP(Tabla13[[#This Row],[SISMED]],TblDisponibilidad[],22,FALSE), 0)</f>
        <v>0</v>
      </c>
      <c r="S316" s="15">
        <f>IFERROR(VLOOKUP(Tabla13[[#This Row],[SISMED]],TblDisponibilidad[],23,FALSE), 0)</f>
        <v>0</v>
      </c>
    </row>
    <row r="317" spans="1:19" x14ac:dyDescent="0.3">
      <c r="A317" s="15" t="s">
        <v>347</v>
      </c>
      <c r="B317" t="str">
        <f>IFERROR(VLOOKUP(Tabla13[[#This Row],[SISMED]],TblDisponibilidad[],2,FALSE), "")</f>
        <v/>
      </c>
      <c r="C317">
        <f>IFERROR(VLOOKUP(Tabla13[[#This Row],[SISMED]],TblDisponibilidad[],7,FALSE), 0)</f>
        <v>0</v>
      </c>
      <c r="D317">
        <f>IFERROR(VLOOKUP(Tabla13[[#This Row],[SISMED]],TblDisponibilidad[],8,FALSE), 0)</f>
        <v>0</v>
      </c>
      <c r="E317">
        <f>IFERROR(VLOOKUP(Tabla13[[#This Row],[SISMED]],TblDisponibilidad[],9,FALSE), 0)</f>
        <v>0</v>
      </c>
      <c r="F317">
        <f>IFERROR(VLOOKUP(Tabla13[[#This Row],[SISMED]],TblDisponibilidad[],10,FALSE), 0)</f>
        <v>0</v>
      </c>
      <c r="G317">
        <f>IFERROR(VLOOKUP(Tabla13[[#This Row],[SISMED]],TblDisponibilidad[],11,FALSE), 0)</f>
        <v>0</v>
      </c>
      <c r="H317">
        <f>IFERROR(VLOOKUP(Tabla13[[#This Row],[SISMED]],TblDisponibilidad[],12,FALSE), 0)</f>
        <v>0</v>
      </c>
      <c r="I317">
        <f>IFERROR(VLOOKUP(Tabla13[[#This Row],[SISMED]],TblDisponibilidad[],13,FALSE), 0)</f>
        <v>0</v>
      </c>
      <c r="J317">
        <f>IFERROR(VLOOKUP(Tabla13[[#This Row],[SISMED]],TblDisponibilidad[],14,FALSE), 0)</f>
        <v>0</v>
      </c>
      <c r="K317">
        <f>IFERROR(VLOOKUP(Tabla13[[#This Row],[SISMED]],TblDisponibilidad[],15,FALSE), 0)</f>
        <v>0</v>
      </c>
      <c r="L317">
        <f>IFERROR(VLOOKUP(Tabla13[[#This Row],[SISMED]],TblDisponibilidad[],16,FALSE), 0)</f>
        <v>0</v>
      </c>
      <c r="M317">
        <f>IFERROR(VLOOKUP(Tabla13[[#This Row],[SISMED]],TblDisponibilidad[],17,FALSE), 0)</f>
        <v>0</v>
      </c>
      <c r="N317">
        <f>IFERROR(VLOOKUP(Tabla13[[#This Row],[SISMED]],TblDisponibilidad[],18,FALSE), 0)</f>
        <v>0</v>
      </c>
      <c r="O317">
        <f>IFERROR(VLOOKUP(Tabla13[[#This Row],[SISMED]],TblDisponibilidad[],19,FALSE), 0)</f>
        <v>0</v>
      </c>
      <c r="P317">
        <f>IFERROR(VLOOKUP(Tabla13[[#This Row],[SISMED]],TblDisponibilidad[],20,FALSE), 0)</f>
        <v>0</v>
      </c>
      <c r="Q317">
        <f>IFERROR(VLOOKUP(Tabla13[[#This Row],[SISMED]],TblDisponibilidad[],21,FALSE), 0)</f>
        <v>0</v>
      </c>
      <c r="R317">
        <f>IFERROR(VLOOKUP(Tabla13[[#This Row],[SISMED]],TblDisponibilidad[],22,FALSE), 0)</f>
        <v>0</v>
      </c>
      <c r="S317" s="15">
        <f>IFERROR(VLOOKUP(Tabla13[[#This Row],[SISMED]],TblDisponibilidad[],23,FALSE), 0)</f>
        <v>0</v>
      </c>
    </row>
    <row r="318" spans="1:19" x14ac:dyDescent="0.3">
      <c r="A318" s="15" t="s">
        <v>348</v>
      </c>
      <c r="B318" t="str">
        <f>IFERROR(VLOOKUP(Tabla13[[#This Row],[SISMED]],TblDisponibilidad[],2,FALSE), "")</f>
        <v/>
      </c>
      <c r="C318">
        <f>IFERROR(VLOOKUP(Tabla13[[#This Row],[SISMED]],TblDisponibilidad[],7,FALSE), 0)</f>
        <v>0</v>
      </c>
      <c r="D318">
        <f>IFERROR(VLOOKUP(Tabla13[[#This Row],[SISMED]],TblDisponibilidad[],8,FALSE), 0)</f>
        <v>0</v>
      </c>
      <c r="E318">
        <f>IFERROR(VLOOKUP(Tabla13[[#This Row],[SISMED]],TblDisponibilidad[],9,FALSE), 0)</f>
        <v>0</v>
      </c>
      <c r="F318">
        <f>IFERROR(VLOOKUP(Tabla13[[#This Row],[SISMED]],TblDisponibilidad[],10,FALSE), 0)</f>
        <v>0</v>
      </c>
      <c r="G318">
        <f>IFERROR(VLOOKUP(Tabla13[[#This Row],[SISMED]],TblDisponibilidad[],11,FALSE), 0)</f>
        <v>0</v>
      </c>
      <c r="H318">
        <f>IFERROR(VLOOKUP(Tabla13[[#This Row],[SISMED]],TblDisponibilidad[],12,FALSE), 0)</f>
        <v>0</v>
      </c>
      <c r="I318">
        <f>IFERROR(VLOOKUP(Tabla13[[#This Row],[SISMED]],TblDisponibilidad[],13,FALSE), 0)</f>
        <v>0</v>
      </c>
      <c r="J318">
        <f>IFERROR(VLOOKUP(Tabla13[[#This Row],[SISMED]],TblDisponibilidad[],14,FALSE), 0)</f>
        <v>0</v>
      </c>
      <c r="K318">
        <f>IFERROR(VLOOKUP(Tabla13[[#This Row],[SISMED]],TblDisponibilidad[],15,FALSE), 0)</f>
        <v>0</v>
      </c>
      <c r="L318">
        <f>IFERROR(VLOOKUP(Tabla13[[#This Row],[SISMED]],TblDisponibilidad[],16,FALSE), 0)</f>
        <v>0</v>
      </c>
      <c r="M318">
        <f>IFERROR(VLOOKUP(Tabla13[[#This Row],[SISMED]],TblDisponibilidad[],17,FALSE), 0)</f>
        <v>0</v>
      </c>
      <c r="N318">
        <f>IFERROR(VLOOKUP(Tabla13[[#This Row],[SISMED]],TblDisponibilidad[],18,FALSE), 0)</f>
        <v>0</v>
      </c>
      <c r="O318">
        <f>IFERROR(VLOOKUP(Tabla13[[#This Row],[SISMED]],TblDisponibilidad[],19,FALSE), 0)</f>
        <v>0</v>
      </c>
      <c r="P318">
        <f>IFERROR(VLOOKUP(Tabla13[[#This Row],[SISMED]],TblDisponibilidad[],20,FALSE), 0)</f>
        <v>0</v>
      </c>
      <c r="Q318">
        <f>IFERROR(VLOOKUP(Tabla13[[#This Row],[SISMED]],TblDisponibilidad[],21,FALSE), 0)</f>
        <v>0</v>
      </c>
      <c r="R318">
        <f>IFERROR(VLOOKUP(Tabla13[[#This Row],[SISMED]],TblDisponibilidad[],22,FALSE), 0)</f>
        <v>0</v>
      </c>
      <c r="S318" s="15">
        <f>IFERROR(VLOOKUP(Tabla13[[#This Row],[SISMED]],TblDisponibilidad[],23,FALSE), 0)</f>
        <v>0</v>
      </c>
    </row>
    <row r="319" spans="1:19" x14ac:dyDescent="0.3">
      <c r="A319" s="15" t="s">
        <v>349</v>
      </c>
      <c r="B319" t="str">
        <f>IFERROR(VLOOKUP(Tabla13[[#This Row],[SISMED]],TblDisponibilidad[],2,FALSE), "")</f>
        <v/>
      </c>
      <c r="C319">
        <f>IFERROR(VLOOKUP(Tabla13[[#This Row],[SISMED]],TblDisponibilidad[],7,FALSE), 0)</f>
        <v>0</v>
      </c>
      <c r="D319">
        <f>IFERROR(VLOOKUP(Tabla13[[#This Row],[SISMED]],TblDisponibilidad[],8,FALSE), 0)</f>
        <v>0</v>
      </c>
      <c r="E319">
        <f>IFERROR(VLOOKUP(Tabla13[[#This Row],[SISMED]],TblDisponibilidad[],9,FALSE), 0)</f>
        <v>0</v>
      </c>
      <c r="F319">
        <f>IFERROR(VLOOKUP(Tabla13[[#This Row],[SISMED]],TblDisponibilidad[],10,FALSE), 0)</f>
        <v>0</v>
      </c>
      <c r="G319">
        <f>IFERROR(VLOOKUP(Tabla13[[#This Row],[SISMED]],TblDisponibilidad[],11,FALSE), 0)</f>
        <v>0</v>
      </c>
      <c r="H319">
        <f>IFERROR(VLOOKUP(Tabla13[[#This Row],[SISMED]],TblDisponibilidad[],12,FALSE), 0)</f>
        <v>0</v>
      </c>
      <c r="I319">
        <f>IFERROR(VLOOKUP(Tabla13[[#This Row],[SISMED]],TblDisponibilidad[],13,FALSE), 0)</f>
        <v>0</v>
      </c>
      <c r="J319">
        <f>IFERROR(VLOOKUP(Tabla13[[#This Row],[SISMED]],TblDisponibilidad[],14,FALSE), 0)</f>
        <v>0</v>
      </c>
      <c r="K319">
        <f>IFERROR(VLOOKUP(Tabla13[[#This Row],[SISMED]],TblDisponibilidad[],15,FALSE), 0)</f>
        <v>0</v>
      </c>
      <c r="L319">
        <f>IFERROR(VLOOKUP(Tabla13[[#This Row],[SISMED]],TblDisponibilidad[],16,FALSE), 0)</f>
        <v>0</v>
      </c>
      <c r="M319">
        <f>IFERROR(VLOOKUP(Tabla13[[#This Row],[SISMED]],TblDisponibilidad[],17,FALSE), 0)</f>
        <v>0</v>
      </c>
      <c r="N319">
        <f>IFERROR(VLOOKUP(Tabla13[[#This Row],[SISMED]],TblDisponibilidad[],18,FALSE), 0)</f>
        <v>0</v>
      </c>
      <c r="O319">
        <f>IFERROR(VLOOKUP(Tabla13[[#This Row],[SISMED]],TblDisponibilidad[],19,FALSE), 0)</f>
        <v>0</v>
      </c>
      <c r="P319">
        <f>IFERROR(VLOOKUP(Tabla13[[#This Row],[SISMED]],TblDisponibilidad[],20,FALSE), 0)</f>
        <v>0</v>
      </c>
      <c r="Q319">
        <f>IFERROR(VLOOKUP(Tabla13[[#This Row],[SISMED]],TblDisponibilidad[],21,FALSE), 0)</f>
        <v>0</v>
      </c>
      <c r="R319">
        <f>IFERROR(VLOOKUP(Tabla13[[#This Row],[SISMED]],TblDisponibilidad[],22,FALSE), 0)</f>
        <v>0</v>
      </c>
      <c r="S319" s="15">
        <f>IFERROR(VLOOKUP(Tabla13[[#This Row],[SISMED]],TblDisponibilidad[],23,FALSE), 0)</f>
        <v>0</v>
      </c>
    </row>
    <row r="320" spans="1:19" x14ac:dyDescent="0.3">
      <c r="A320" s="15" t="s">
        <v>350</v>
      </c>
      <c r="B320" t="str">
        <f>IFERROR(VLOOKUP(Tabla13[[#This Row],[SISMED]],TblDisponibilidad[],2,FALSE), "")</f>
        <v/>
      </c>
      <c r="C320">
        <f>IFERROR(VLOOKUP(Tabla13[[#This Row],[SISMED]],TblDisponibilidad[],7,FALSE), 0)</f>
        <v>0</v>
      </c>
      <c r="D320">
        <f>IFERROR(VLOOKUP(Tabla13[[#This Row],[SISMED]],TblDisponibilidad[],8,FALSE), 0)</f>
        <v>0</v>
      </c>
      <c r="E320">
        <f>IFERROR(VLOOKUP(Tabla13[[#This Row],[SISMED]],TblDisponibilidad[],9,FALSE), 0)</f>
        <v>0</v>
      </c>
      <c r="F320">
        <f>IFERROR(VLOOKUP(Tabla13[[#This Row],[SISMED]],TblDisponibilidad[],10,FALSE), 0)</f>
        <v>0</v>
      </c>
      <c r="G320">
        <f>IFERROR(VLOOKUP(Tabla13[[#This Row],[SISMED]],TblDisponibilidad[],11,FALSE), 0)</f>
        <v>0</v>
      </c>
      <c r="H320">
        <f>IFERROR(VLOOKUP(Tabla13[[#This Row],[SISMED]],TblDisponibilidad[],12,FALSE), 0)</f>
        <v>0</v>
      </c>
      <c r="I320">
        <f>IFERROR(VLOOKUP(Tabla13[[#This Row],[SISMED]],TblDisponibilidad[],13,FALSE), 0)</f>
        <v>0</v>
      </c>
      <c r="J320">
        <f>IFERROR(VLOOKUP(Tabla13[[#This Row],[SISMED]],TblDisponibilidad[],14,FALSE), 0)</f>
        <v>0</v>
      </c>
      <c r="K320">
        <f>IFERROR(VLOOKUP(Tabla13[[#This Row],[SISMED]],TblDisponibilidad[],15,FALSE), 0)</f>
        <v>0</v>
      </c>
      <c r="L320">
        <f>IFERROR(VLOOKUP(Tabla13[[#This Row],[SISMED]],TblDisponibilidad[],16,FALSE), 0)</f>
        <v>0</v>
      </c>
      <c r="M320">
        <f>IFERROR(VLOOKUP(Tabla13[[#This Row],[SISMED]],TblDisponibilidad[],17,FALSE), 0)</f>
        <v>0</v>
      </c>
      <c r="N320">
        <f>IFERROR(VLOOKUP(Tabla13[[#This Row],[SISMED]],TblDisponibilidad[],18,FALSE), 0)</f>
        <v>0</v>
      </c>
      <c r="O320">
        <f>IFERROR(VLOOKUP(Tabla13[[#This Row],[SISMED]],TblDisponibilidad[],19,FALSE), 0)</f>
        <v>0</v>
      </c>
      <c r="P320">
        <f>IFERROR(VLOOKUP(Tabla13[[#This Row],[SISMED]],TblDisponibilidad[],20,FALSE), 0)</f>
        <v>0</v>
      </c>
      <c r="Q320">
        <f>IFERROR(VLOOKUP(Tabla13[[#This Row],[SISMED]],TblDisponibilidad[],21,FALSE), 0)</f>
        <v>0</v>
      </c>
      <c r="R320">
        <f>IFERROR(VLOOKUP(Tabla13[[#This Row],[SISMED]],TblDisponibilidad[],22,FALSE), 0)</f>
        <v>0</v>
      </c>
      <c r="S320" s="15">
        <f>IFERROR(VLOOKUP(Tabla13[[#This Row],[SISMED]],TblDisponibilidad[],23,FALSE), 0)</f>
        <v>0</v>
      </c>
    </row>
    <row r="321" spans="1:19" x14ac:dyDescent="0.3">
      <c r="A321" s="15" t="s">
        <v>351</v>
      </c>
      <c r="B321" t="str">
        <f>IFERROR(VLOOKUP(Tabla13[[#This Row],[SISMED]],TblDisponibilidad[],2,FALSE), "")</f>
        <v/>
      </c>
      <c r="C321">
        <f>IFERROR(VLOOKUP(Tabla13[[#This Row],[SISMED]],TblDisponibilidad[],7,FALSE), 0)</f>
        <v>0</v>
      </c>
      <c r="D321">
        <f>IFERROR(VLOOKUP(Tabla13[[#This Row],[SISMED]],TblDisponibilidad[],8,FALSE), 0)</f>
        <v>0</v>
      </c>
      <c r="E321">
        <f>IFERROR(VLOOKUP(Tabla13[[#This Row],[SISMED]],TblDisponibilidad[],9,FALSE), 0)</f>
        <v>0</v>
      </c>
      <c r="F321">
        <f>IFERROR(VLOOKUP(Tabla13[[#This Row],[SISMED]],TblDisponibilidad[],10,FALSE), 0)</f>
        <v>0</v>
      </c>
      <c r="G321">
        <f>IFERROR(VLOOKUP(Tabla13[[#This Row],[SISMED]],TblDisponibilidad[],11,FALSE), 0)</f>
        <v>0</v>
      </c>
      <c r="H321">
        <f>IFERROR(VLOOKUP(Tabla13[[#This Row],[SISMED]],TblDisponibilidad[],12,FALSE), 0)</f>
        <v>0</v>
      </c>
      <c r="I321">
        <f>IFERROR(VLOOKUP(Tabla13[[#This Row],[SISMED]],TblDisponibilidad[],13,FALSE), 0)</f>
        <v>0</v>
      </c>
      <c r="J321">
        <f>IFERROR(VLOOKUP(Tabla13[[#This Row],[SISMED]],TblDisponibilidad[],14,FALSE), 0)</f>
        <v>0</v>
      </c>
      <c r="K321">
        <f>IFERROR(VLOOKUP(Tabla13[[#This Row],[SISMED]],TblDisponibilidad[],15,FALSE), 0)</f>
        <v>0</v>
      </c>
      <c r="L321">
        <f>IFERROR(VLOOKUP(Tabla13[[#This Row],[SISMED]],TblDisponibilidad[],16,FALSE), 0)</f>
        <v>0</v>
      </c>
      <c r="M321">
        <f>IFERROR(VLOOKUP(Tabla13[[#This Row],[SISMED]],TblDisponibilidad[],17,FALSE), 0)</f>
        <v>0</v>
      </c>
      <c r="N321">
        <f>IFERROR(VLOOKUP(Tabla13[[#This Row],[SISMED]],TblDisponibilidad[],18,FALSE), 0)</f>
        <v>0</v>
      </c>
      <c r="O321">
        <f>IFERROR(VLOOKUP(Tabla13[[#This Row],[SISMED]],TblDisponibilidad[],19,FALSE), 0)</f>
        <v>0</v>
      </c>
      <c r="P321">
        <f>IFERROR(VLOOKUP(Tabla13[[#This Row],[SISMED]],TblDisponibilidad[],20,FALSE), 0)</f>
        <v>0</v>
      </c>
      <c r="Q321">
        <f>IFERROR(VLOOKUP(Tabla13[[#This Row],[SISMED]],TblDisponibilidad[],21,FALSE), 0)</f>
        <v>0</v>
      </c>
      <c r="R321">
        <f>IFERROR(VLOOKUP(Tabla13[[#This Row],[SISMED]],TblDisponibilidad[],22,FALSE), 0)</f>
        <v>0</v>
      </c>
      <c r="S321" s="15">
        <f>IFERROR(VLOOKUP(Tabla13[[#This Row],[SISMED]],TblDisponibilidad[],23,FALSE), 0)</f>
        <v>0</v>
      </c>
    </row>
    <row r="322" spans="1:19" x14ac:dyDescent="0.3">
      <c r="A322" s="15" t="s">
        <v>352</v>
      </c>
      <c r="B322" t="str">
        <f>IFERROR(VLOOKUP(Tabla13[[#This Row],[SISMED]],TblDisponibilidad[],2,FALSE), "")</f>
        <v/>
      </c>
      <c r="C322">
        <f>IFERROR(VLOOKUP(Tabla13[[#This Row],[SISMED]],TblDisponibilidad[],7,FALSE), 0)</f>
        <v>0</v>
      </c>
      <c r="D322">
        <f>IFERROR(VLOOKUP(Tabla13[[#This Row],[SISMED]],TblDisponibilidad[],8,FALSE), 0)</f>
        <v>0</v>
      </c>
      <c r="E322">
        <f>IFERROR(VLOOKUP(Tabla13[[#This Row],[SISMED]],TblDisponibilidad[],9,FALSE), 0)</f>
        <v>0</v>
      </c>
      <c r="F322">
        <f>IFERROR(VLOOKUP(Tabla13[[#This Row],[SISMED]],TblDisponibilidad[],10,FALSE), 0)</f>
        <v>0</v>
      </c>
      <c r="G322">
        <f>IFERROR(VLOOKUP(Tabla13[[#This Row],[SISMED]],TblDisponibilidad[],11,FALSE), 0)</f>
        <v>0</v>
      </c>
      <c r="H322">
        <f>IFERROR(VLOOKUP(Tabla13[[#This Row],[SISMED]],TblDisponibilidad[],12,FALSE), 0)</f>
        <v>0</v>
      </c>
      <c r="I322">
        <f>IFERROR(VLOOKUP(Tabla13[[#This Row],[SISMED]],TblDisponibilidad[],13,FALSE), 0)</f>
        <v>0</v>
      </c>
      <c r="J322">
        <f>IFERROR(VLOOKUP(Tabla13[[#This Row],[SISMED]],TblDisponibilidad[],14,FALSE), 0)</f>
        <v>0</v>
      </c>
      <c r="K322">
        <f>IFERROR(VLOOKUP(Tabla13[[#This Row],[SISMED]],TblDisponibilidad[],15,FALSE), 0)</f>
        <v>0</v>
      </c>
      <c r="L322">
        <f>IFERROR(VLOOKUP(Tabla13[[#This Row],[SISMED]],TblDisponibilidad[],16,FALSE), 0)</f>
        <v>0</v>
      </c>
      <c r="M322">
        <f>IFERROR(VLOOKUP(Tabla13[[#This Row],[SISMED]],TblDisponibilidad[],17,FALSE), 0)</f>
        <v>0</v>
      </c>
      <c r="N322">
        <f>IFERROR(VLOOKUP(Tabla13[[#This Row],[SISMED]],TblDisponibilidad[],18,FALSE), 0)</f>
        <v>0</v>
      </c>
      <c r="O322">
        <f>IFERROR(VLOOKUP(Tabla13[[#This Row],[SISMED]],TblDisponibilidad[],19,FALSE), 0)</f>
        <v>0</v>
      </c>
      <c r="P322">
        <f>IFERROR(VLOOKUP(Tabla13[[#This Row],[SISMED]],TblDisponibilidad[],20,FALSE), 0)</f>
        <v>0</v>
      </c>
      <c r="Q322">
        <f>IFERROR(VLOOKUP(Tabla13[[#This Row],[SISMED]],TblDisponibilidad[],21,FALSE), 0)</f>
        <v>0</v>
      </c>
      <c r="R322">
        <f>IFERROR(VLOOKUP(Tabla13[[#This Row],[SISMED]],TblDisponibilidad[],22,FALSE), 0)</f>
        <v>0</v>
      </c>
      <c r="S322" s="15">
        <f>IFERROR(VLOOKUP(Tabla13[[#This Row],[SISMED]],TblDisponibilidad[],23,FALSE), 0)</f>
        <v>0</v>
      </c>
    </row>
    <row r="323" spans="1:19" x14ac:dyDescent="0.3">
      <c r="A323" s="15" t="s">
        <v>353</v>
      </c>
      <c r="B323" t="str">
        <f>IFERROR(VLOOKUP(Tabla13[[#This Row],[SISMED]],TblDisponibilidad[],2,FALSE), "")</f>
        <v/>
      </c>
      <c r="C323">
        <f>IFERROR(VLOOKUP(Tabla13[[#This Row],[SISMED]],TblDisponibilidad[],7,FALSE), 0)</f>
        <v>0</v>
      </c>
      <c r="D323">
        <f>IFERROR(VLOOKUP(Tabla13[[#This Row],[SISMED]],TblDisponibilidad[],8,FALSE), 0)</f>
        <v>0</v>
      </c>
      <c r="E323">
        <f>IFERROR(VLOOKUP(Tabla13[[#This Row],[SISMED]],TblDisponibilidad[],9,FALSE), 0)</f>
        <v>0</v>
      </c>
      <c r="F323">
        <f>IFERROR(VLOOKUP(Tabla13[[#This Row],[SISMED]],TblDisponibilidad[],10,FALSE), 0)</f>
        <v>0</v>
      </c>
      <c r="G323">
        <f>IFERROR(VLOOKUP(Tabla13[[#This Row],[SISMED]],TblDisponibilidad[],11,FALSE), 0)</f>
        <v>0</v>
      </c>
      <c r="H323">
        <f>IFERROR(VLOOKUP(Tabla13[[#This Row],[SISMED]],TblDisponibilidad[],12,FALSE), 0)</f>
        <v>0</v>
      </c>
      <c r="I323">
        <f>IFERROR(VLOOKUP(Tabla13[[#This Row],[SISMED]],TblDisponibilidad[],13,FALSE), 0)</f>
        <v>0</v>
      </c>
      <c r="J323">
        <f>IFERROR(VLOOKUP(Tabla13[[#This Row],[SISMED]],TblDisponibilidad[],14,FALSE), 0)</f>
        <v>0</v>
      </c>
      <c r="K323">
        <f>IFERROR(VLOOKUP(Tabla13[[#This Row],[SISMED]],TblDisponibilidad[],15,FALSE), 0)</f>
        <v>0</v>
      </c>
      <c r="L323">
        <f>IFERROR(VLOOKUP(Tabla13[[#This Row],[SISMED]],TblDisponibilidad[],16,FALSE), 0)</f>
        <v>0</v>
      </c>
      <c r="M323">
        <f>IFERROR(VLOOKUP(Tabla13[[#This Row],[SISMED]],TblDisponibilidad[],17,FALSE), 0)</f>
        <v>0</v>
      </c>
      <c r="N323">
        <f>IFERROR(VLOOKUP(Tabla13[[#This Row],[SISMED]],TblDisponibilidad[],18,FALSE), 0)</f>
        <v>0</v>
      </c>
      <c r="O323">
        <f>IFERROR(VLOOKUP(Tabla13[[#This Row],[SISMED]],TblDisponibilidad[],19,FALSE), 0)</f>
        <v>0</v>
      </c>
      <c r="P323">
        <f>IFERROR(VLOOKUP(Tabla13[[#This Row],[SISMED]],TblDisponibilidad[],20,FALSE), 0)</f>
        <v>0</v>
      </c>
      <c r="Q323">
        <f>IFERROR(VLOOKUP(Tabla13[[#This Row],[SISMED]],TblDisponibilidad[],21,FALSE), 0)</f>
        <v>0</v>
      </c>
      <c r="R323">
        <f>IFERROR(VLOOKUP(Tabla13[[#This Row],[SISMED]],TblDisponibilidad[],22,FALSE), 0)</f>
        <v>0</v>
      </c>
      <c r="S323" s="15">
        <f>IFERROR(VLOOKUP(Tabla13[[#This Row],[SISMED]],TblDisponibilidad[],23,FALSE), 0)</f>
        <v>0</v>
      </c>
    </row>
    <row r="324" spans="1:19" x14ac:dyDescent="0.3">
      <c r="A324" s="15" t="s">
        <v>354</v>
      </c>
      <c r="B324" t="str">
        <f>IFERROR(VLOOKUP(Tabla13[[#This Row],[SISMED]],TblDisponibilidad[],2,FALSE), "")</f>
        <v/>
      </c>
      <c r="C324">
        <f>IFERROR(VLOOKUP(Tabla13[[#This Row],[SISMED]],TblDisponibilidad[],7,FALSE), 0)</f>
        <v>0</v>
      </c>
      <c r="D324">
        <f>IFERROR(VLOOKUP(Tabla13[[#This Row],[SISMED]],TblDisponibilidad[],8,FALSE), 0)</f>
        <v>0</v>
      </c>
      <c r="E324">
        <f>IFERROR(VLOOKUP(Tabla13[[#This Row],[SISMED]],TblDisponibilidad[],9,FALSE), 0)</f>
        <v>0</v>
      </c>
      <c r="F324">
        <f>IFERROR(VLOOKUP(Tabla13[[#This Row],[SISMED]],TblDisponibilidad[],10,FALSE), 0)</f>
        <v>0</v>
      </c>
      <c r="G324">
        <f>IFERROR(VLOOKUP(Tabla13[[#This Row],[SISMED]],TblDisponibilidad[],11,FALSE), 0)</f>
        <v>0</v>
      </c>
      <c r="H324">
        <f>IFERROR(VLOOKUP(Tabla13[[#This Row],[SISMED]],TblDisponibilidad[],12,FALSE), 0)</f>
        <v>0</v>
      </c>
      <c r="I324">
        <f>IFERROR(VLOOKUP(Tabla13[[#This Row],[SISMED]],TblDisponibilidad[],13,FALSE), 0)</f>
        <v>0</v>
      </c>
      <c r="J324">
        <f>IFERROR(VLOOKUP(Tabla13[[#This Row],[SISMED]],TblDisponibilidad[],14,FALSE), 0)</f>
        <v>0</v>
      </c>
      <c r="K324">
        <f>IFERROR(VLOOKUP(Tabla13[[#This Row],[SISMED]],TblDisponibilidad[],15,FALSE), 0)</f>
        <v>0</v>
      </c>
      <c r="L324">
        <f>IFERROR(VLOOKUP(Tabla13[[#This Row],[SISMED]],TblDisponibilidad[],16,FALSE), 0)</f>
        <v>0</v>
      </c>
      <c r="M324">
        <f>IFERROR(VLOOKUP(Tabla13[[#This Row],[SISMED]],TblDisponibilidad[],17,FALSE), 0)</f>
        <v>0</v>
      </c>
      <c r="N324">
        <f>IFERROR(VLOOKUP(Tabla13[[#This Row],[SISMED]],TblDisponibilidad[],18,FALSE), 0)</f>
        <v>0</v>
      </c>
      <c r="O324">
        <f>IFERROR(VLOOKUP(Tabla13[[#This Row],[SISMED]],TblDisponibilidad[],19,FALSE), 0)</f>
        <v>0</v>
      </c>
      <c r="P324">
        <f>IFERROR(VLOOKUP(Tabla13[[#This Row],[SISMED]],TblDisponibilidad[],20,FALSE), 0)</f>
        <v>0</v>
      </c>
      <c r="Q324">
        <f>IFERROR(VLOOKUP(Tabla13[[#This Row],[SISMED]],TblDisponibilidad[],21,FALSE), 0)</f>
        <v>0</v>
      </c>
      <c r="R324">
        <f>IFERROR(VLOOKUP(Tabla13[[#This Row],[SISMED]],TblDisponibilidad[],22,FALSE), 0)</f>
        <v>0</v>
      </c>
      <c r="S324" s="15">
        <f>IFERROR(VLOOKUP(Tabla13[[#This Row],[SISMED]],TblDisponibilidad[],23,FALSE), 0)</f>
        <v>0</v>
      </c>
    </row>
    <row r="325" spans="1:19" x14ac:dyDescent="0.3">
      <c r="A325" s="15" t="s">
        <v>355</v>
      </c>
      <c r="B325" t="str">
        <f>IFERROR(VLOOKUP(Tabla13[[#This Row],[SISMED]],TblDisponibilidad[],2,FALSE), "")</f>
        <v/>
      </c>
      <c r="C325">
        <f>IFERROR(VLOOKUP(Tabla13[[#This Row],[SISMED]],TblDisponibilidad[],7,FALSE), 0)</f>
        <v>0</v>
      </c>
      <c r="D325">
        <f>IFERROR(VLOOKUP(Tabla13[[#This Row],[SISMED]],TblDisponibilidad[],8,FALSE), 0)</f>
        <v>0</v>
      </c>
      <c r="E325">
        <f>IFERROR(VLOOKUP(Tabla13[[#This Row],[SISMED]],TblDisponibilidad[],9,FALSE), 0)</f>
        <v>0</v>
      </c>
      <c r="F325">
        <f>IFERROR(VLOOKUP(Tabla13[[#This Row],[SISMED]],TblDisponibilidad[],10,FALSE), 0)</f>
        <v>0</v>
      </c>
      <c r="G325">
        <f>IFERROR(VLOOKUP(Tabla13[[#This Row],[SISMED]],TblDisponibilidad[],11,FALSE), 0)</f>
        <v>0</v>
      </c>
      <c r="H325">
        <f>IFERROR(VLOOKUP(Tabla13[[#This Row],[SISMED]],TblDisponibilidad[],12,FALSE), 0)</f>
        <v>0</v>
      </c>
      <c r="I325">
        <f>IFERROR(VLOOKUP(Tabla13[[#This Row],[SISMED]],TblDisponibilidad[],13,FALSE), 0)</f>
        <v>0</v>
      </c>
      <c r="J325">
        <f>IFERROR(VLOOKUP(Tabla13[[#This Row],[SISMED]],TblDisponibilidad[],14,FALSE), 0)</f>
        <v>0</v>
      </c>
      <c r="K325">
        <f>IFERROR(VLOOKUP(Tabla13[[#This Row],[SISMED]],TblDisponibilidad[],15,FALSE), 0)</f>
        <v>0</v>
      </c>
      <c r="L325">
        <f>IFERROR(VLOOKUP(Tabla13[[#This Row],[SISMED]],TblDisponibilidad[],16,FALSE), 0)</f>
        <v>0</v>
      </c>
      <c r="M325">
        <f>IFERROR(VLOOKUP(Tabla13[[#This Row],[SISMED]],TblDisponibilidad[],17,FALSE), 0)</f>
        <v>0</v>
      </c>
      <c r="N325">
        <f>IFERROR(VLOOKUP(Tabla13[[#This Row],[SISMED]],TblDisponibilidad[],18,FALSE), 0)</f>
        <v>0</v>
      </c>
      <c r="O325">
        <f>IFERROR(VLOOKUP(Tabla13[[#This Row],[SISMED]],TblDisponibilidad[],19,FALSE), 0)</f>
        <v>0</v>
      </c>
      <c r="P325">
        <f>IFERROR(VLOOKUP(Tabla13[[#This Row],[SISMED]],TblDisponibilidad[],20,FALSE), 0)</f>
        <v>0</v>
      </c>
      <c r="Q325">
        <f>IFERROR(VLOOKUP(Tabla13[[#This Row],[SISMED]],TblDisponibilidad[],21,FALSE), 0)</f>
        <v>0</v>
      </c>
      <c r="R325">
        <f>IFERROR(VLOOKUP(Tabla13[[#This Row],[SISMED]],TblDisponibilidad[],22,FALSE), 0)</f>
        <v>0</v>
      </c>
      <c r="S325" s="15">
        <f>IFERROR(VLOOKUP(Tabla13[[#This Row],[SISMED]],TblDisponibilidad[],23,FALSE), 0)</f>
        <v>0</v>
      </c>
    </row>
    <row r="326" spans="1:19" x14ac:dyDescent="0.3">
      <c r="A326" s="15" t="s">
        <v>356</v>
      </c>
      <c r="B326" t="str">
        <f>IFERROR(VLOOKUP(Tabla13[[#This Row],[SISMED]],TblDisponibilidad[],2,FALSE), "")</f>
        <v/>
      </c>
      <c r="C326">
        <f>IFERROR(VLOOKUP(Tabla13[[#This Row],[SISMED]],TblDisponibilidad[],7,FALSE), 0)</f>
        <v>0</v>
      </c>
      <c r="D326">
        <f>IFERROR(VLOOKUP(Tabla13[[#This Row],[SISMED]],TblDisponibilidad[],8,FALSE), 0)</f>
        <v>0</v>
      </c>
      <c r="E326">
        <f>IFERROR(VLOOKUP(Tabla13[[#This Row],[SISMED]],TblDisponibilidad[],9,FALSE), 0)</f>
        <v>0</v>
      </c>
      <c r="F326">
        <f>IFERROR(VLOOKUP(Tabla13[[#This Row],[SISMED]],TblDisponibilidad[],10,FALSE), 0)</f>
        <v>0</v>
      </c>
      <c r="G326">
        <f>IFERROR(VLOOKUP(Tabla13[[#This Row],[SISMED]],TblDisponibilidad[],11,FALSE), 0)</f>
        <v>0</v>
      </c>
      <c r="H326">
        <f>IFERROR(VLOOKUP(Tabla13[[#This Row],[SISMED]],TblDisponibilidad[],12,FALSE), 0)</f>
        <v>0</v>
      </c>
      <c r="I326">
        <f>IFERROR(VLOOKUP(Tabla13[[#This Row],[SISMED]],TblDisponibilidad[],13,FALSE), 0)</f>
        <v>0</v>
      </c>
      <c r="J326">
        <f>IFERROR(VLOOKUP(Tabla13[[#This Row],[SISMED]],TblDisponibilidad[],14,FALSE), 0)</f>
        <v>0</v>
      </c>
      <c r="K326">
        <f>IFERROR(VLOOKUP(Tabla13[[#This Row],[SISMED]],TblDisponibilidad[],15,FALSE), 0)</f>
        <v>0</v>
      </c>
      <c r="L326">
        <f>IFERROR(VLOOKUP(Tabla13[[#This Row],[SISMED]],TblDisponibilidad[],16,FALSE), 0)</f>
        <v>0</v>
      </c>
      <c r="M326">
        <f>IFERROR(VLOOKUP(Tabla13[[#This Row],[SISMED]],TblDisponibilidad[],17,FALSE), 0)</f>
        <v>0</v>
      </c>
      <c r="N326">
        <f>IFERROR(VLOOKUP(Tabla13[[#This Row],[SISMED]],TblDisponibilidad[],18,FALSE), 0)</f>
        <v>0</v>
      </c>
      <c r="O326">
        <f>IFERROR(VLOOKUP(Tabla13[[#This Row],[SISMED]],TblDisponibilidad[],19,FALSE), 0)</f>
        <v>0</v>
      </c>
      <c r="P326">
        <f>IFERROR(VLOOKUP(Tabla13[[#This Row],[SISMED]],TblDisponibilidad[],20,FALSE), 0)</f>
        <v>0</v>
      </c>
      <c r="Q326">
        <f>IFERROR(VLOOKUP(Tabla13[[#This Row],[SISMED]],TblDisponibilidad[],21,FALSE), 0)</f>
        <v>0</v>
      </c>
      <c r="R326">
        <f>IFERROR(VLOOKUP(Tabla13[[#This Row],[SISMED]],TblDisponibilidad[],22,FALSE), 0)</f>
        <v>0</v>
      </c>
      <c r="S326" s="15">
        <f>IFERROR(VLOOKUP(Tabla13[[#This Row],[SISMED]],TblDisponibilidad[],23,FALSE), 0)</f>
        <v>0</v>
      </c>
    </row>
    <row r="327" spans="1:19" x14ac:dyDescent="0.3">
      <c r="A327" s="15" t="s">
        <v>357</v>
      </c>
      <c r="B327" t="str">
        <f>IFERROR(VLOOKUP(Tabla13[[#This Row],[SISMED]],TblDisponibilidad[],2,FALSE), "")</f>
        <v/>
      </c>
      <c r="C327">
        <f>IFERROR(VLOOKUP(Tabla13[[#This Row],[SISMED]],TblDisponibilidad[],7,FALSE), 0)</f>
        <v>0</v>
      </c>
      <c r="D327">
        <f>IFERROR(VLOOKUP(Tabla13[[#This Row],[SISMED]],TblDisponibilidad[],8,FALSE), 0)</f>
        <v>0</v>
      </c>
      <c r="E327">
        <f>IFERROR(VLOOKUP(Tabla13[[#This Row],[SISMED]],TblDisponibilidad[],9,FALSE), 0)</f>
        <v>0</v>
      </c>
      <c r="F327">
        <f>IFERROR(VLOOKUP(Tabla13[[#This Row],[SISMED]],TblDisponibilidad[],10,FALSE), 0)</f>
        <v>0</v>
      </c>
      <c r="G327">
        <f>IFERROR(VLOOKUP(Tabla13[[#This Row],[SISMED]],TblDisponibilidad[],11,FALSE), 0)</f>
        <v>0</v>
      </c>
      <c r="H327">
        <f>IFERROR(VLOOKUP(Tabla13[[#This Row],[SISMED]],TblDisponibilidad[],12,FALSE), 0)</f>
        <v>0</v>
      </c>
      <c r="I327">
        <f>IFERROR(VLOOKUP(Tabla13[[#This Row],[SISMED]],TblDisponibilidad[],13,FALSE), 0)</f>
        <v>0</v>
      </c>
      <c r="J327">
        <f>IFERROR(VLOOKUP(Tabla13[[#This Row],[SISMED]],TblDisponibilidad[],14,FALSE), 0)</f>
        <v>0</v>
      </c>
      <c r="K327">
        <f>IFERROR(VLOOKUP(Tabla13[[#This Row],[SISMED]],TblDisponibilidad[],15,FALSE), 0)</f>
        <v>0</v>
      </c>
      <c r="L327">
        <f>IFERROR(VLOOKUP(Tabla13[[#This Row],[SISMED]],TblDisponibilidad[],16,FALSE), 0)</f>
        <v>0</v>
      </c>
      <c r="M327">
        <f>IFERROR(VLOOKUP(Tabla13[[#This Row],[SISMED]],TblDisponibilidad[],17,FALSE), 0)</f>
        <v>0</v>
      </c>
      <c r="N327">
        <f>IFERROR(VLOOKUP(Tabla13[[#This Row],[SISMED]],TblDisponibilidad[],18,FALSE), 0)</f>
        <v>0</v>
      </c>
      <c r="O327">
        <f>IFERROR(VLOOKUP(Tabla13[[#This Row],[SISMED]],TblDisponibilidad[],19,FALSE), 0)</f>
        <v>0</v>
      </c>
      <c r="P327">
        <f>IFERROR(VLOOKUP(Tabla13[[#This Row],[SISMED]],TblDisponibilidad[],20,FALSE), 0)</f>
        <v>0</v>
      </c>
      <c r="Q327">
        <f>IFERROR(VLOOKUP(Tabla13[[#This Row],[SISMED]],TblDisponibilidad[],21,FALSE), 0)</f>
        <v>0</v>
      </c>
      <c r="R327">
        <f>IFERROR(VLOOKUP(Tabla13[[#This Row],[SISMED]],TblDisponibilidad[],22,FALSE), 0)</f>
        <v>0</v>
      </c>
      <c r="S327" s="15">
        <f>IFERROR(VLOOKUP(Tabla13[[#This Row],[SISMED]],TblDisponibilidad[],23,FALSE), 0)</f>
        <v>0</v>
      </c>
    </row>
    <row r="328" spans="1:19" x14ac:dyDescent="0.3">
      <c r="A328" s="15" t="s">
        <v>358</v>
      </c>
      <c r="B328" t="str">
        <f>IFERROR(VLOOKUP(Tabla13[[#This Row],[SISMED]],TblDisponibilidad[],2,FALSE), "")</f>
        <v/>
      </c>
      <c r="C328">
        <f>IFERROR(VLOOKUP(Tabla13[[#This Row],[SISMED]],TblDisponibilidad[],7,FALSE), 0)</f>
        <v>0</v>
      </c>
      <c r="D328">
        <f>IFERROR(VLOOKUP(Tabla13[[#This Row],[SISMED]],TblDisponibilidad[],8,FALSE), 0)</f>
        <v>0</v>
      </c>
      <c r="E328">
        <f>IFERROR(VLOOKUP(Tabla13[[#This Row],[SISMED]],TblDisponibilidad[],9,FALSE), 0)</f>
        <v>0</v>
      </c>
      <c r="F328">
        <f>IFERROR(VLOOKUP(Tabla13[[#This Row],[SISMED]],TblDisponibilidad[],10,FALSE), 0)</f>
        <v>0</v>
      </c>
      <c r="G328">
        <f>IFERROR(VLOOKUP(Tabla13[[#This Row],[SISMED]],TblDisponibilidad[],11,FALSE), 0)</f>
        <v>0</v>
      </c>
      <c r="H328">
        <f>IFERROR(VLOOKUP(Tabla13[[#This Row],[SISMED]],TblDisponibilidad[],12,FALSE), 0)</f>
        <v>0</v>
      </c>
      <c r="I328">
        <f>IFERROR(VLOOKUP(Tabla13[[#This Row],[SISMED]],TblDisponibilidad[],13,FALSE), 0)</f>
        <v>0</v>
      </c>
      <c r="J328">
        <f>IFERROR(VLOOKUP(Tabla13[[#This Row],[SISMED]],TblDisponibilidad[],14,FALSE), 0)</f>
        <v>0</v>
      </c>
      <c r="K328">
        <f>IFERROR(VLOOKUP(Tabla13[[#This Row],[SISMED]],TblDisponibilidad[],15,FALSE), 0)</f>
        <v>0</v>
      </c>
      <c r="L328">
        <f>IFERROR(VLOOKUP(Tabla13[[#This Row],[SISMED]],TblDisponibilidad[],16,FALSE), 0)</f>
        <v>0</v>
      </c>
      <c r="M328">
        <f>IFERROR(VLOOKUP(Tabla13[[#This Row],[SISMED]],TblDisponibilidad[],17,FALSE), 0)</f>
        <v>0</v>
      </c>
      <c r="N328">
        <f>IFERROR(VLOOKUP(Tabla13[[#This Row],[SISMED]],TblDisponibilidad[],18,FALSE), 0)</f>
        <v>0</v>
      </c>
      <c r="O328">
        <f>IFERROR(VLOOKUP(Tabla13[[#This Row],[SISMED]],TblDisponibilidad[],19,FALSE), 0)</f>
        <v>0</v>
      </c>
      <c r="P328">
        <f>IFERROR(VLOOKUP(Tabla13[[#This Row],[SISMED]],TblDisponibilidad[],20,FALSE), 0)</f>
        <v>0</v>
      </c>
      <c r="Q328">
        <f>IFERROR(VLOOKUP(Tabla13[[#This Row],[SISMED]],TblDisponibilidad[],21,FALSE), 0)</f>
        <v>0</v>
      </c>
      <c r="R328">
        <f>IFERROR(VLOOKUP(Tabla13[[#This Row],[SISMED]],TblDisponibilidad[],22,FALSE), 0)</f>
        <v>0</v>
      </c>
      <c r="S328" s="15">
        <f>IFERROR(VLOOKUP(Tabla13[[#This Row],[SISMED]],TblDisponibilidad[],23,FALSE), 0)</f>
        <v>0</v>
      </c>
    </row>
    <row r="329" spans="1:19" x14ac:dyDescent="0.3">
      <c r="A329" s="15" t="s">
        <v>359</v>
      </c>
      <c r="B329" t="str">
        <f>IFERROR(VLOOKUP(Tabla13[[#This Row],[SISMED]],TblDisponibilidad[],2,FALSE), "")</f>
        <v/>
      </c>
      <c r="C329">
        <f>IFERROR(VLOOKUP(Tabla13[[#This Row],[SISMED]],TblDisponibilidad[],7,FALSE), 0)</f>
        <v>0</v>
      </c>
      <c r="D329">
        <f>IFERROR(VLOOKUP(Tabla13[[#This Row],[SISMED]],TblDisponibilidad[],8,FALSE), 0)</f>
        <v>0</v>
      </c>
      <c r="E329">
        <f>IFERROR(VLOOKUP(Tabla13[[#This Row],[SISMED]],TblDisponibilidad[],9,FALSE), 0)</f>
        <v>0</v>
      </c>
      <c r="F329">
        <f>IFERROR(VLOOKUP(Tabla13[[#This Row],[SISMED]],TblDisponibilidad[],10,FALSE), 0)</f>
        <v>0</v>
      </c>
      <c r="G329">
        <f>IFERROR(VLOOKUP(Tabla13[[#This Row],[SISMED]],TblDisponibilidad[],11,FALSE), 0)</f>
        <v>0</v>
      </c>
      <c r="H329">
        <f>IFERROR(VLOOKUP(Tabla13[[#This Row],[SISMED]],TblDisponibilidad[],12,FALSE), 0)</f>
        <v>0</v>
      </c>
      <c r="I329">
        <f>IFERROR(VLOOKUP(Tabla13[[#This Row],[SISMED]],TblDisponibilidad[],13,FALSE), 0)</f>
        <v>0</v>
      </c>
      <c r="J329">
        <f>IFERROR(VLOOKUP(Tabla13[[#This Row],[SISMED]],TblDisponibilidad[],14,FALSE), 0)</f>
        <v>0</v>
      </c>
      <c r="K329">
        <f>IFERROR(VLOOKUP(Tabla13[[#This Row],[SISMED]],TblDisponibilidad[],15,FALSE), 0)</f>
        <v>0</v>
      </c>
      <c r="L329">
        <f>IFERROR(VLOOKUP(Tabla13[[#This Row],[SISMED]],TblDisponibilidad[],16,FALSE), 0)</f>
        <v>0</v>
      </c>
      <c r="M329">
        <f>IFERROR(VLOOKUP(Tabla13[[#This Row],[SISMED]],TblDisponibilidad[],17,FALSE), 0)</f>
        <v>0</v>
      </c>
      <c r="N329">
        <f>IFERROR(VLOOKUP(Tabla13[[#This Row],[SISMED]],TblDisponibilidad[],18,FALSE), 0)</f>
        <v>0</v>
      </c>
      <c r="O329">
        <f>IFERROR(VLOOKUP(Tabla13[[#This Row],[SISMED]],TblDisponibilidad[],19,FALSE), 0)</f>
        <v>0</v>
      </c>
      <c r="P329">
        <f>IFERROR(VLOOKUP(Tabla13[[#This Row],[SISMED]],TblDisponibilidad[],20,FALSE), 0)</f>
        <v>0</v>
      </c>
      <c r="Q329">
        <f>IFERROR(VLOOKUP(Tabla13[[#This Row],[SISMED]],TblDisponibilidad[],21,FALSE), 0)</f>
        <v>0</v>
      </c>
      <c r="R329">
        <f>IFERROR(VLOOKUP(Tabla13[[#This Row],[SISMED]],TblDisponibilidad[],22,FALSE), 0)</f>
        <v>0</v>
      </c>
      <c r="S329" s="15">
        <f>IFERROR(VLOOKUP(Tabla13[[#This Row],[SISMED]],TblDisponibilidad[],23,FALSE), 0)</f>
        <v>0</v>
      </c>
    </row>
    <row r="330" spans="1:19" x14ac:dyDescent="0.3">
      <c r="A330" s="15" t="s">
        <v>360</v>
      </c>
      <c r="B330" t="str">
        <f>IFERROR(VLOOKUP(Tabla13[[#This Row],[SISMED]],TblDisponibilidad[],2,FALSE), "")</f>
        <v/>
      </c>
      <c r="C330">
        <f>IFERROR(VLOOKUP(Tabla13[[#This Row],[SISMED]],TblDisponibilidad[],7,FALSE), 0)</f>
        <v>0</v>
      </c>
      <c r="D330">
        <f>IFERROR(VLOOKUP(Tabla13[[#This Row],[SISMED]],TblDisponibilidad[],8,FALSE), 0)</f>
        <v>0</v>
      </c>
      <c r="E330">
        <f>IFERROR(VLOOKUP(Tabla13[[#This Row],[SISMED]],TblDisponibilidad[],9,FALSE), 0)</f>
        <v>0</v>
      </c>
      <c r="F330">
        <f>IFERROR(VLOOKUP(Tabla13[[#This Row],[SISMED]],TblDisponibilidad[],10,FALSE), 0)</f>
        <v>0</v>
      </c>
      <c r="G330">
        <f>IFERROR(VLOOKUP(Tabla13[[#This Row],[SISMED]],TblDisponibilidad[],11,FALSE), 0)</f>
        <v>0</v>
      </c>
      <c r="H330">
        <f>IFERROR(VLOOKUP(Tabla13[[#This Row],[SISMED]],TblDisponibilidad[],12,FALSE), 0)</f>
        <v>0</v>
      </c>
      <c r="I330">
        <f>IFERROR(VLOOKUP(Tabla13[[#This Row],[SISMED]],TblDisponibilidad[],13,FALSE), 0)</f>
        <v>0</v>
      </c>
      <c r="J330">
        <f>IFERROR(VLOOKUP(Tabla13[[#This Row],[SISMED]],TblDisponibilidad[],14,FALSE), 0)</f>
        <v>0</v>
      </c>
      <c r="K330">
        <f>IFERROR(VLOOKUP(Tabla13[[#This Row],[SISMED]],TblDisponibilidad[],15,FALSE), 0)</f>
        <v>0</v>
      </c>
      <c r="L330">
        <f>IFERROR(VLOOKUP(Tabla13[[#This Row],[SISMED]],TblDisponibilidad[],16,FALSE), 0)</f>
        <v>0</v>
      </c>
      <c r="M330">
        <f>IFERROR(VLOOKUP(Tabla13[[#This Row],[SISMED]],TblDisponibilidad[],17,FALSE), 0)</f>
        <v>0</v>
      </c>
      <c r="N330">
        <f>IFERROR(VLOOKUP(Tabla13[[#This Row],[SISMED]],TblDisponibilidad[],18,FALSE), 0)</f>
        <v>0</v>
      </c>
      <c r="O330">
        <f>IFERROR(VLOOKUP(Tabla13[[#This Row],[SISMED]],TblDisponibilidad[],19,FALSE), 0)</f>
        <v>0</v>
      </c>
      <c r="P330">
        <f>IFERROR(VLOOKUP(Tabla13[[#This Row],[SISMED]],TblDisponibilidad[],20,FALSE), 0)</f>
        <v>0</v>
      </c>
      <c r="Q330">
        <f>IFERROR(VLOOKUP(Tabla13[[#This Row],[SISMED]],TblDisponibilidad[],21,FALSE), 0)</f>
        <v>0</v>
      </c>
      <c r="R330">
        <f>IFERROR(VLOOKUP(Tabla13[[#This Row],[SISMED]],TblDisponibilidad[],22,FALSE), 0)</f>
        <v>0</v>
      </c>
      <c r="S330" s="15">
        <f>IFERROR(VLOOKUP(Tabla13[[#This Row],[SISMED]],TblDisponibilidad[],23,FALSE), 0)</f>
        <v>0</v>
      </c>
    </row>
    <row r="331" spans="1:19" x14ac:dyDescent="0.3">
      <c r="A331" s="15" t="s">
        <v>361</v>
      </c>
      <c r="B331" t="str">
        <f>IFERROR(VLOOKUP(Tabla13[[#This Row],[SISMED]],TblDisponibilidad[],2,FALSE), "")</f>
        <v/>
      </c>
      <c r="C331">
        <f>IFERROR(VLOOKUP(Tabla13[[#This Row],[SISMED]],TblDisponibilidad[],7,FALSE), 0)</f>
        <v>0</v>
      </c>
      <c r="D331">
        <f>IFERROR(VLOOKUP(Tabla13[[#This Row],[SISMED]],TblDisponibilidad[],8,FALSE), 0)</f>
        <v>0</v>
      </c>
      <c r="E331">
        <f>IFERROR(VLOOKUP(Tabla13[[#This Row],[SISMED]],TblDisponibilidad[],9,FALSE), 0)</f>
        <v>0</v>
      </c>
      <c r="F331">
        <f>IFERROR(VLOOKUP(Tabla13[[#This Row],[SISMED]],TblDisponibilidad[],10,FALSE), 0)</f>
        <v>0</v>
      </c>
      <c r="G331">
        <f>IFERROR(VLOOKUP(Tabla13[[#This Row],[SISMED]],TblDisponibilidad[],11,FALSE), 0)</f>
        <v>0</v>
      </c>
      <c r="H331">
        <f>IFERROR(VLOOKUP(Tabla13[[#This Row],[SISMED]],TblDisponibilidad[],12,FALSE), 0)</f>
        <v>0</v>
      </c>
      <c r="I331">
        <f>IFERROR(VLOOKUP(Tabla13[[#This Row],[SISMED]],TblDisponibilidad[],13,FALSE), 0)</f>
        <v>0</v>
      </c>
      <c r="J331">
        <f>IFERROR(VLOOKUP(Tabla13[[#This Row],[SISMED]],TblDisponibilidad[],14,FALSE), 0)</f>
        <v>0</v>
      </c>
      <c r="K331">
        <f>IFERROR(VLOOKUP(Tabla13[[#This Row],[SISMED]],TblDisponibilidad[],15,FALSE), 0)</f>
        <v>0</v>
      </c>
      <c r="L331">
        <f>IFERROR(VLOOKUP(Tabla13[[#This Row],[SISMED]],TblDisponibilidad[],16,FALSE), 0)</f>
        <v>0</v>
      </c>
      <c r="M331">
        <f>IFERROR(VLOOKUP(Tabla13[[#This Row],[SISMED]],TblDisponibilidad[],17,FALSE), 0)</f>
        <v>0</v>
      </c>
      <c r="N331">
        <f>IFERROR(VLOOKUP(Tabla13[[#This Row],[SISMED]],TblDisponibilidad[],18,FALSE), 0)</f>
        <v>0</v>
      </c>
      <c r="O331">
        <f>IFERROR(VLOOKUP(Tabla13[[#This Row],[SISMED]],TblDisponibilidad[],19,FALSE), 0)</f>
        <v>0</v>
      </c>
      <c r="P331">
        <f>IFERROR(VLOOKUP(Tabla13[[#This Row],[SISMED]],TblDisponibilidad[],20,FALSE), 0)</f>
        <v>0</v>
      </c>
      <c r="Q331">
        <f>IFERROR(VLOOKUP(Tabla13[[#This Row],[SISMED]],TblDisponibilidad[],21,FALSE), 0)</f>
        <v>0</v>
      </c>
      <c r="R331">
        <f>IFERROR(VLOOKUP(Tabla13[[#This Row],[SISMED]],TblDisponibilidad[],22,FALSE), 0)</f>
        <v>0</v>
      </c>
      <c r="S331" s="15">
        <f>IFERROR(VLOOKUP(Tabla13[[#This Row],[SISMED]],TblDisponibilidad[],23,FALSE), 0)</f>
        <v>0</v>
      </c>
    </row>
    <row r="332" spans="1:19" x14ac:dyDescent="0.3">
      <c r="A332" s="15" t="s">
        <v>362</v>
      </c>
      <c r="B332" t="str">
        <f>IFERROR(VLOOKUP(Tabla13[[#This Row],[SISMED]],TblDisponibilidad[],2,FALSE), "")</f>
        <v/>
      </c>
      <c r="C332">
        <f>IFERROR(VLOOKUP(Tabla13[[#This Row],[SISMED]],TblDisponibilidad[],7,FALSE), 0)</f>
        <v>0</v>
      </c>
      <c r="D332">
        <f>IFERROR(VLOOKUP(Tabla13[[#This Row],[SISMED]],TblDisponibilidad[],8,FALSE), 0)</f>
        <v>0</v>
      </c>
      <c r="E332">
        <f>IFERROR(VLOOKUP(Tabla13[[#This Row],[SISMED]],TblDisponibilidad[],9,FALSE), 0)</f>
        <v>0</v>
      </c>
      <c r="F332">
        <f>IFERROR(VLOOKUP(Tabla13[[#This Row],[SISMED]],TblDisponibilidad[],10,FALSE), 0)</f>
        <v>0</v>
      </c>
      <c r="G332">
        <f>IFERROR(VLOOKUP(Tabla13[[#This Row],[SISMED]],TblDisponibilidad[],11,FALSE), 0)</f>
        <v>0</v>
      </c>
      <c r="H332">
        <f>IFERROR(VLOOKUP(Tabla13[[#This Row],[SISMED]],TblDisponibilidad[],12,FALSE), 0)</f>
        <v>0</v>
      </c>
      <c r="I332">
        <f>IFERROR(VLOOKUP(Tabla13[[#This Row],[SISMED]],TblDisponibilidad[],13,FALSE), 0)</f>
        <v>0</v>
      </c>
      <c r="J332">
        <f>IFERROR(VLOOKUP(Tabla13[[#This Row],[SISMED]],TblDisponibilidad[],14,FALSE), 0)</f>
        <v>0</v>
      </c>
      <c r="K332">
        <f>IFERROR(VLOOKUP(Tabla13[[#This Row],[SISMED]],TblDisponibilidad[],15,FALSE), 0)</f>
        <v>0</v>
      </c>
      <c r="L332">
        <f>IFERROR(VLOOKUP(Tabla13[[#This Row],[SISMED]],TblDisponibilidad[],16,FALSE), 0)</f>
        <v>0</v>
      </c>
      <c r="M332">
        <f>IFERROR(VLOOKUP(Tabla13[[#This Row],[SISMED]],TblDisponibilidad[],17,FALSE), 0)</f>
        <v>0</v>
      </c>
      <c r="N332">
        <f>IFERROR(VLOOKUP(Tabla13[[#This Row],[SISMED]],TblDisponibilidad[],18,FALSE), 0)</f>
        <v>0</v>
      </c>
      <c r="O332">
        <f>IFERROR(VLOOKUP(Tabla13[[#This Row],[SISMED]],TblDisponibilidad[],19,FALSE), 0)</f>
        <v>0</v>
      </c>
      <c r="P332">
        <f>IFERROR(VLOOKUP(Tabla13[[#This Row],[SISMED]],TblDisponibilidad[],20,FALSE), 0)</f>
        <v>0</v>
      </c>
      <c r="Q332">
        <f>IFERROR(VLOOKUP(Tabla13[[#This Row],[SISMED]],TblDisponibilidad[],21,FALSE), 0)</f>
        <v>0</v>
      </c>
      <c r="R332">
        <f>IFERROR(VLOOKUP(Tabla13[[#This Row],[SISMED]],TblDisponibilidad[],22,FALSE), 0)</f>
        <v>0</v>
      </c>
      <c r="S332" s="15">
        <f>IFERROR(VLOOKUP(Tabla13[[#This Row],[SISMED]],TblDisponibilidad[],23,FALSE), 0)</f>
        <v>0</v>
      </c>
    </row>
    <row r="333" spans="1:19" x14ac:dyDescent="0.3">
      <c r="A333" s="15" t="s">
        <v>363</v>
      </c>
      <c r="B333" t="str">
        <f>IFERROR(VLOOKUP(Tabla13[[#This Row],[SISMED]],TblDisponibilidad[],2,FALSE), "")</f>
        <v/>
      </c>
      <c r="C333">
        <f>IFERROR(VLOOKUP(Tabla13[[#This Row],[SISMED]],TblDisponibilidad[],7,FALSE), 0)</f>
        <v>0</v>
      </c>
      <c r="D333">
        <f>IFERROR(VLOOKUP(Tabla13[[#This Row],[SISMED]],TblDisponibilidad[],8,FALSE), 0)</f>
        <v>0</v>
      </c>
      <c r="E333">
        <f>IFERROR(VLOOKUP(Tabla13[[#This Row],[SISMED]],TblDisponibilidad[],9,FALSE), 0)</f>
        <v>0</v>
      </c>
      <c r="F333">
        <f>IFERROR(VLOOKUP(Tabla13[[#This Row],[SISMED]],TblDisponibilidad[],10,FALSE), 0)</f>
        <v>0</v>
      </c>
      <c r="G333">
        <f>IFERROR(VLOOKUP(Tabla13[[#This Row],[SISMED]],TblDisponibilidad[],11,FALSE), 0)</f>
        <v>0</v>
      </c>
      <c r="H333">
        <f>IFERROR(VLOOKUP(Tabla13[[#This Row],[SISMED]],TblDisponibilidad[],12,FALSE), 0)</f>
        <v>0</v>
      </c>
      <c r="I333">
        <f>IFERROR(VLOOKUP(Tabla13[[#This Row],[SISMED]],TblDisponibilidad[],13,FALSE), 0)</f>
        <v>0</v>
      </c>
      <c r="J333">
        <f>IFERROR(VLOOKUP(Tabla13[[#This Row],[SISMED]],TblDisponibilidad[],14,FALSE), 0)</f>
        <v>0</v>
      </c>
      <c r="K333">
        <f>IFERROR(VLOOKUP(Tabla13[[#This Row],[SISMED]],TblDisponibilidad[],15,FALSE), 0)</f>
        <v>0</v>
      </c>
      <c r="L333">
        <f>IFERROR(VLOOKUP(Tabla13[[#This Row],[SISMED]],TblDisponibilidad[],16,FALSE), 0)</f>
        <v>0</v>
      </c>
      <c r="M333">
        <f>IFERROR(VLOOKUP(Tabla13[[#This Row],[SISMED]],TblDisponibilidad[],17,FALSE), 0)</f>
        <v>0</v>
      </c>
      <c r="N333">
        <f>IFERROR(VLOOKUP(Tabla13[[#This Row],[SISMED]],TblDisponibilidad[],18,FALSE), 0)</f>
        <v>0</v>
      </c>
      <c r="O333">
        <f>IFERROR(VLOOKUP(Tabla13[[#This Row],[SISMED]],TblDisponibilidad[],19,FALSE), 0)</f>
        <v>0</v>
      </c>
      <c r="P333">
        <f>IFERROR(VLOOKUP(Tabla13[[#This Row],[SISMED]],TblDisponibilidad[],20,FALSE), 0)</f>
        <v>0</v>
      </c>
      <c r="Q333">
        <f>IFERROR(VLOOKUP(Tabla13[[#This Row],[SISMED]],TblDisponibilidad[],21,FALSE), 0)</f>
        <v>0</v>
      </c>
      <c r="R333">
        <f>IFERROR(VLOOKUP(Tabla13[[#This Row],[SISMED]],TblDisponibilidad[],22,FALSE), 0)</f>
        <v>0</v>
      </c>
      <c r="S333" s="15">
        <f>IFERROR(VLOOKUP(Tabla13[[#This Row],[SISMED]],TblDisponibilidad[],23,FALSE), 0)</f>
        <v>0</v>
      </c>
    </row>
    <row r="334" spans="1:19" x14ac:dyDescent="0.3">
      <c r="A334" s="15" t="s">
        <v>364</v>
      </c>
      <c r="B334" t="str">
        <f>IFERROR(VLOOKUP(Tabla13[[#This Row],[SISMED]],TblDisponibilidad[],2,FALSE), "")</f>
        <v/>
      </c>
      <c r="C334">
        <f>IFERROR(VLOOKUP(Tabla13[[#This Row],[SISMED]],TblDisponibilidad[],7,FALSE), 0)</f>
        <v>0</v>
      </c>
      <c r="D334">
        <f>IFERROR(VLOOKUP(Tabla13[[#This Row],[SISMED]],TblDisponibilidad[],8,FALSE), 0)</f>
        <v>0</v>
      </c>
      <c r="E334">
        <f>IFERROR(VLOOKUP(Tabla13[[#This Row],[SISMED]],TblDisponibilidad[],9,FALSE), 0)</f>
        <v>0</v>
      </c>
      <c r="F334">
        <f>IFERROR(VLOOKUP(Tabla13[[#This Row],[SISMED]],TblDisponibilidad[],10,FALSE), 0)</f>
        <v>0</v>
      </c>
      <c r="G334">
        <f>IFERROR(VLOOKUP(Tabla13[[#This Row],[SISMED]],TblDisponibilidad[],11,FALSE), 0)</f>
        <v>0</v>
      </c>
      <c r="H334">
        <f>IFERROR(VLOOKUP(Tabla13[[#This Row],[SISMED]],TblDisponibilidad[],12,FALSE), 0)</f>
        <v>0</v>
      </c>
      <c r="I334">
        <f>IFERROR(VLOOKUP(Tabla13[[#This Row],[SISMED]],TblDisponibilidad[],13,FALSE), 0)</f>
        <v>0</v>
      </c>
      <c r="J334">
        <f>IFERROR(VLOOKUP(Tabla13[[#This Row],[SISMED]],TblDisponibilidad[],14,FALSE), 0)</f>
        <v>0</v>
      </c>
      <c r="K334">
        <f>IFERROR(VLOOKUP(Tabla13[[#This Row],[SISMED]],TblDisponibilidad[],15,FALSE), 0)</f>
        <v>0</v>
      </c>
      <c r="L334">
        <f>IFERROR(VLOOKUP(Tabla13[[#This Row],[SISMED]],TblDisponibilidad[],16,FALSE), 0)</f>
        <v>0</v>
      </c>
      <c r="M334">
        <f>IFERROR(VLOOKUP(Tabla13[[#This Row],[SISMED]],TblDisponibilidad[],17,FALSE), 0)</f>
        <v>0</v>
      </c>
      <c r="N334">
        <f>IFERROR(VLOOKUP(Tabla13[[#This Row],[SISMED]],TblDisponibilidad[],18,FALSE), 0)</f>
        <v>0</v>
      </c>
      <c r="O334">
        <f>IFERROR(VLOOKUP(Tabla13[[#This Row],[SISMED]],TblDisponibilidad[],19,FALSE), 0)</f>
        <v>0</v>
      </c>
      <c r="P334">
        <f>IFERROR(VLOOKUP(Tabla13[[#This Row],[SISMED]],TblDisponibilidad[],20,FALSE), 0)</f>
        <v>0</v>
      </c>
      <c r="Q334">
        <f>IFERROR(VLOOKUP(Tabla13[[#This Row],[SISMED]],TblDisponibilidad[],21,FALSE), 0)</f>
        <v>0</v>
      </c>
      <c r="R334">
        <f>IFERROR(VLOOKUP(Tabla13[[#This Row],[SISMED]],TblDisponibilidad[],22,FALSE), 0)</f>
        <v>0</v>
      </c>
      <c r="S334" s="15">
        <f>IFERROR(VLOOKUP(Tabla13[[#This Row],[SISMED]],TblDisponibilidad[],23,FALSE), 0)</f>
        <v>0</v>
      </c>
    </row>
    <row r="335" spans="1:19" x14ac:dyDescent="0.3">
      <c r="A335" s="15" t="s">
        <v>365</v>
      </c>
      <c r="B335" t="str">
        <f>IFERROR(VLOOKUP(Tabla13[[#This Row],[SISMED]],TblDisponibilidad[],2,FALSE), "")</f>
        <v/>
      </c>
      <c r="C335">
        <f>IFERROR(VLOOKUP(Tabla13[[#This Row],[SISMED]],TblDisponibilidad[],7,FALSE), 0)</f>
        <v>0</v>
      </c>
      <c r="D335">
        <f>IFERROR(VLOOKUP(Tabla13[[#This Row],[SISMED]],TblDisponibilidad[],8,FALSE), 0)</f>
        <v>0</v>
      </c>
      <c r="E335">
        <f>IFERROR(VLOOKUP(Tabla13[[#This Row],[SISMED]],TblDisponibilidad[],9,FALSE), 0)</f>
        <v>0</v>
      </c>
      <c r="F335">
        <f>IFERROR(VLOOKUP(Tabla13[[#This Row],[SISMED]],TblDisponibilidad[],10,FALSE), 0)</f>
        <v>0</v>
      </c>
      <c r="G335">
        <f>IFERROR(VLOOKUP(Tabla13[[#This Row],[SISMED]],TblDisponibilidad[],11,FALSE), 0)</f>
        <v>0</v>
      </c>
      <c r="H335">
        <f>IFERROR(VLOOKUP(Tabla13[[#This Row],[SISMED]],TblDisponibilidad[],12,FALSE), 0)</f>
        <v>0</v>
      </c>
      <c r="I335">
        <f>IFERROR(VLOOKUP(Tabla13[[#This Row],[SISMED]],TblDisponibilidad[],13,FALSE), 0)</f>
        <v>0</v>
      </c>
      <c r="J335">
        <f>IFERROR(VLOOKUP(Tabla13[[#This Row],[SISMED]],TblDisponibilidad[],14,FALSE), 0)</f>
        <v>0</v>
      </c>
      <c r="K335">
        <f>IFERROR(VLOOKUP(Tabla13[[#This Row],[SISMED]],TblDisponibilidad[],15,FALSE), 0)</f>
        <v>0</v>
      </c>
      <c r="L335">
        <f>IFERROR(VLOOKUP(Tabla13[[#This Row],[SISMED]],TblDisponibilidad[],16,FALSE), 0)</f>
        <v>0</v>
      </c>
      <c r="M335">
        <f>IFERROR(VLOOKUP(Tabla13[[#This Row],[SISMED]],TblDisponibilidad[],17,FALSE), 0)</f>
        <v>0</v>
      </c>
      <c r="N335">
        <f>IFERROR(VLOOKUP(Tabla13[[#This Row],[SISMED]],TblDisponibilidad[],18,FALSE), 0)</f>
        <v>0</v>
      </c>
      <c r="O335">
        <f>IFERROR(VLOOKUP(Tabla13[[#This Row],[SISMED]],TblDisponibilidad[],19,FALSE), 0)</f>
        <v>0</v>
      </c>
      <c r="P335">
        <f>IFERROR(VLOOKUP(Tabla13[[#This Row],[SISMED]],TblDisponibilidad[],20,FALSE), 0)</f>
        <v>0</v>
      </c>
      <c r="Q335">
        <f>IFERROR(VLOOKUP(Tabla13[[#This Row],[SISMED]],TblDisponibilidad[],21,FALSE), 0)</f>
        <v>0</v>
      </c>
      <c r="R335">
        <f>IFERROR(VLOOKUP(Tabla13[[#This Row],[SISMED]],TblDisponibilidad[],22,FALSE), 0)</f>
        <v>0</v>
      </c>
      <c r="S335" s="15">
        <f>IFERROR(VLOOKUP(Tabla13[[#This Row],[SISMED]],TblDisponibilidad[],23,FALSE), 0)</f>
        <v>0</v>
      </c>
    </row>
    <row r="336" spans="1:19" x14ac:dyDescent="0.3">
      <c r="A336" s="15" t="s">
        <v>366</v>
      </c>
      <c r="B336" t="str">
        <f>IFERROR(VLOOKUP(Tabla13[[#This Row],[SISMED]],TblDisponibilidad[],2,FALSE), "")</f>
        <v/>
      </c>
      <c r="C336">
        <f>IFERROR(VLOOKUP(Tabla13[[#This Row],[SISMED]],TblDisponibilidad[],7,FALSE), 0)</f>
        <v>0</v>
      </c>
      <c r="D336">
        <f>IFERROR(VLOOKUP(Tabla13[[#This Row],[SISMED]],TblDisponibilidad[],8,FALSE), 0)</f>
        <v>0</v>
      </c>
      <c r="E336">
        <f>IFERROR(VLOOKUP(Tabla13[[#This Row],[SISMED]],TblDisponibilidad[],9,FALSE), 0)</f>
        <v>0</v>
      </c>
      <c r="F336">
        <f>IFERROR(VLOOKUP(Tabla13[[#This Row],[SISMED]],TblDisponibilidad[],10,FALSE), 0)</f>
        <v>0</v>
      </c>
      <c r="G336">
        <f>IFERROR(VLOOKUP(Tabla13[[#This Row],[SISMED]],TblDisponibilidad[],11,FALSE), 0)</f>
        <v>0</v>
      </c>
      <c r="H336">
        <f>IFERROR(VLOOKUP(Tabla13[[#This Row],[SISMED]],TblDisponibilidad[],12,FALSE), 0)</f>
        <v>0</v>
      </c>
      <c r="I336">
        <f>IFERROR(VLOOKUP(Tabla13[[#This Row],[SISMED]],TblDisponibilidad[],13,FALSE), 0)</f>
        <v>0</v>
      </c>
      <c r="J336">
        <f>IFERROR(VLOOKUP(Tabla13[[#This Row],[SISMED]],TblDisponibilidad[],14,FALSE), 0)</f>
        <v>0</v>
      </c>
      <c r="K336">
        <f>IFERROR(VLOOKUP(Tabla13[[#This Row],[SISMED]],TblDisponibilidad[],15,FALSE), 0)</f>
        <v>0</v>
      </c>
      <c r="L336">
        <f>IFERROR(VLOOKUP(Tabla13[[#This Row],[SISMED]],TblDisponibilidad[],16,FALSE), 0)</f>
        <v>0</v>
      </c>
      <c r="M336">
        <f>IFERROR(VLOOKUP(Tabla13[[#This Row],[SISMED]],TblDisponibilidad[],17,FALSE), 0)</f>
        <v>0</v>
      </c>
      <c r="N336">
        <f>IFERROR(VLOOKUP(Tabla13[[#This Row],[SISMED]],TblDisponibilidad[],18,FALSE), 0)</f>
        <v>0</v>
      </c>
      <c r="O336">
        <f>IFERROR(VLOOKUP(Tabla13[[#This Row],[SISMED]],TblDisponibilidad[],19,FALSE), 0)</f>
        <v>0</v>
      </c>
      <c r="P336">
        <f>IFERROR(VLOOKUP(Tabla13[[#This Row],[SISMED]],TblDisponibilidad[],20,FALSE), 0)</f>
        <v>0</v>
      </c>
      <c r="Q336">
        <f>IFERROR(VLOOKUP(Tabla13[[#This Row],[SISMED]],TblDisponibilidad[],21,FALSE), 0)</f>
        <v>0</v>
      </c>
      <c r="R336">
        <f>IFERROR(VLOOKUP(Tabla13[[#This Row],[SISMED]],TblDisponibilidad[],22,FALSE), 0)</f>
        <v>0</v>
      </c>
      <c r="S336" s="15">
        <f>IFERROR(VLOOKUP(Tabla13[[#This Row],[SISMED]],TblDisponibilidad[],23,FALSE), 0)</f>
        <v>0</v>
      </c>
    </row>
    <row r="337" spans="1:19" x14ac:dyDescent="0.3">
      <c r="A337" s="15" t="s">
        <v>367</v>
      </c>
      <c r="B337" t="str">
        <f>IFERROR(VLOOKUP(Tabla13[[#This Row],[SISMED]],TblDisponibilidad[],2,FALSE), "")</f>
        <v/>
      </c>
      <c r="C337">
        <f>IFERROR(VLOOKUP(Tabla13[[#This Row],[SISMED]],TblDisponibilidad[],7,FALSE), 0)</f>
        <v>0</v>
      </c>
      <c r="D337">
        <f>IFERROR(VLOOKUP(Tabla13[[#This Row],[SISMED]],TblDisponibilidad[],8,FALSE), 0)</f>
        <v>0</v>
      </c>
      <c r="E337">
        <f>IFERROR(VLOOKUP(Tabla13[[#This Row],[SISMED]],TblDisponibilidad[],9,FALSE), 0)</f>
        <v>0</v>
      </c>
      <c r="F337">
        <f>IFERROR(VLOOKUP(Tabla13[[#This Row],[SISMED]],TblDisponibilidad[],10,FALSE), 0)</f>
        <v>0</v>
      </c>
      <c r="G337">
        <f>IFERROR(VLOOKUP(Tabla13[[#This Row],[SISMED]],TblDisponibilidad[],11,FALSE), 0)</f>
        <v>0</v>
      </c>
      <c r="H337">
        <f>IFERROR(VLOOKUP(Tabla13[[#This Row],[SISMED]],TblDisponibilidad[],12,FALSE), 0)</f>
        <v>0</v>
      </c>
      <c r="I337">
        <f>IFERROR(VLOOKUP(Tabla13[[#This Row],[SISMED]],TblDisponibilidad[],13,FALSE), 0)</f>
        <v>0</v>
      </c>
      <c r="J337">
        <f>IFERROR(VLOOKUP(Tabla13[[#This Row],[SISMED]],TblDisponibilidad[],14,FALSE), 0)</f>
        <v>0</v>
      </c>
      <c r="K337">
        <f>IFERROR(VLOOKUP(Tabla13[[#This Row],[SISMED]],TblDisponibilidad[],15,FALSE), 0)</f>
        <v>0</v>
      </c>
      <c r="L337">
        <f>IFERROR(VLOOKUP(Tabla13[[#This Row],[SISMED]],TblDisponibilidad[],16,FALSE), 0)</f>
        <v>0</v>
      </c>
      <c r="M337">
        <f>IFERROR(VLOOKUP(Tabla13[[#This Row],[SISMED]],TblDisponibilidad[],17,FALSE), 0)</f>
        <v>0</v>
      </c>
      <c r="N337">
        <f>IFERROR(VLOOKUP(Tabla13[[#This Row],[SISMED]],TblDisponibilidad[],18,FALSE), 0)</f>
        <v>0</v>
      </c>
      <c r="O337">
        <f>IFERROR(VLOOKUP(Tabla13[[#This Row],[SISMED]],TblDisponibilidad[],19,FALSE), 0)</f>
        <v>0</v>
      </c>
      <c r="P337">
        <f>IFERROR(VLOOKUP(Tabla13[[#This Row],[SISMED]],TblDisponibilidad[],20,FALSE), 0)</f>
        <v>0</v>
      </c>
      <c r="Q337">
        <f>IFERROR(VLOOKUP(Tabla13[[#This Row],[SISMED]],TblDisponibilidad[],21,FALSE), 0)</f>
        <v>0</v>
      </c>
      <c r="R337">
        <f>IFERROR(VLOOKUP(Tabla13[[#This Row],[SISMED]],TblDisponibilidad[],22,FALSE), 0)</f>
        <v>0</v>
      </c>
      <c r="S337" s="15">
        <f>IFERROR(VLOOKUP(Tabla13[[#This Row],[SISMED]],TblDisponibilidad[],23,FALSE), 0)</f>
        <v>0</v>
      </c>
    </row>
    <row r="338" spans="1:19" x14ac:dyDescent="0.3">
      <c r="A338" s="15" t="s">
        <v>368</v>
      </c>
      <c r="B338" t="str">
        <f>IFERROR(VLOOKUP(Tabla13[[#This Row],[SISMED]],TblDisponibilidad[],2,FALSE), "")</f>
        <v/>
      </c>
      <c r="C338">
        <f>IFERROR(VLOOKUP(Tabla13[[#This Row],[SISMED]],TblDisponibilidad[],7,FALSE), 0)</f>
        <v>0</v>
      </c>
      <c r="D338">
        <f>IFERROR(VLOOKUP(Tabla13[[#This Row],[SISMED]],TblDisponibilidad[],8,FALSE), 0)</f>
        <v>0</v>
      </c>
      <c r="E338">
        <f>IFERROR(VLOOKUP(Tabla13[[#This Row],[SISMED]],TblDisponibilidad[],9,FALSE), 0)</f>
        <v>0</v>
      </c>
      <c r="F338">
        <f>IFERROR(VLOOKUP(Tabla13[[#This Row],[SISMED]],TblDisponibilidad[],10,FALSE), 0)</f>
        <v>0</v>
      </c>
      <c r="G338">
        <f>IFERROR(VLOOKUP(Tabla13[[#This Row],[SISMED]],TblDisponibilidad[],11,FALSE), 0)</f>
        <v>0</v>
      </c>
      <c r="H338">
        <f>IFERROR(VLOOKUP(Tabla13[[#This Row],[SISMED]],TblDisponibilidad[],12,FALSE), 0)</f>
        <v>0</v>
      </c>
      <c r="I338">
        <f>IFERROR(VLOOKUP(Tabla13[[#This Row],[SISMED]],TblDisponibilidad[],13,FALSE), 0)</f>
        <v>0</v>
      </c>
      <c r="J338">
        <f>IFERROR(VLOOKUP(Tabla13[[#This Row],[SISMED]],TblDisponibilidad[],14,FALSE), 0)</f>
        <v>0</v>
      </c>
      <c r="K338">
        <f>IFERROR(VLOOKUP(Tabla13[[#This Row],[SISMED]],TblDisponibilidad[],15,FALSE), 0)</f>
        <v>0</v>
      </c>
      <c r="L338">
        <f>IFERROR(VLOOKUP(Tabla13[[#This Row],[SISMED]],TblDisponibilidad[],16,FALSE), 0)</f>
        <v>0</v>
      </c>
      <c r="M338">
        <f>IFERROR(VLOOKUP(Tabla13[[#This Row],[SISMED]],TblDisponibilidad[],17,FALSE), 0)</f>
        <v>0</v>
      </c>
      <c r="N338">
        <f>IFERROR(VLOOKUP(Tabla13[[#This Row],[SISMED]],TblDisponibilidad[],18,FALSE), 0)</f>
        <v>0</v>
      </c>
      <c r="O338">
        <f>IFERROR(VLOOKUP(Tabla13[[#This Row],[SISMED]],TblDisponibilidad[],19,FALSE), 0)</f>
        <v>0</v>
      </c>
      <c r="P338">
        <f>IFERROR(VLOOKUP(Tabla13[[#This Row],[SISMED]],TblDisponibilidad[],20,FALSE), 0)</f>
        <v>0</v>
      </c>
      <c r="Q338">
        <f>IFERROR(VLOOKUP(Tabla13[[#This Row],[SISMED]],TblDisponibilidad[],21,FALSE), 0)</f>
        <v>0</v>
      </c>
      <c r="R338">
        <f>IFERROR(VLOOKUP(Tabla13[[#This Row],[SISMED]],TblDisponibilidad[],22,FALSE), 0)</f>
        <v>0</v>
      </c>
      <c r="S338" s="15">
        <f>IFERROR(VLOOKUP(Tabla13[[#This Row],[SISMED]],TblDisponibilidad[],23,FALSE), 0)</f>
        <v>0</v>
      </c>
    </row>
    <row r="339" spans="1:19" x14ac:dyDescent="0.3">
      <c r="A339" s="15" t="s">
        <v>369</v>
      </c>
      <c r="B339" t="str">
        <f>IFERROR(VLOOKUP(Tabla13[[#This Row],[SISMED]],TblDisponibilidad[],2,FALSE), "")</f>
        <v/>
      </c>
      <c r="C339">
        <f>IFERROR(VLOOKUP(Tabla13[[#This Row],[SISMED]],TblDisponibilidad[],7,FALSE), 0)</f>
        <v>0</v>
      </c>
      <c r="D339">
        <f>IFERROR(VLOOKUP(Tabla13[[#This Row],[SISMED]],TblDisponibilidad[],8,FALSE), 0)</f>
        <v>0</v>
      </c>
      <c r="E339">
        <f>IFERROR(VLOOKUP(Tabla13[[#This Row],[SISMED]],TblDisponibilidad[],9,FALSE), 0)</f>
        <v>0</v>
      </c>
      <c r="F339">
        <f>IFERROR(VLOOKUP(Tabla13[[#This Row],[SISMED]],TblDisponibilidad[],10,FALSE), 0)</f>
        <v>0</v>
      </c>
      <c r="G339">
        <f>IFERROR(VLOOKUP(Tabla13[[#This Row],[SISMED]],TblDisponibilidad[],11,FALSE), 0)</f>
        <v>0</v>
      </c>
      <c r="H339">
        <f>IFERROR(VLOOKUP(Tabla13[[#This Row],[SISMED]],TblDisponibilidad[],12,FALSE), 0)</f>
        <v>0</v>
      </c>
      <c r="I339">
        <f>IFERROR(VLOOKUP(Tabla13[[#This Row],[SISMED]],TblDisponibilidad[],13,FALSE), 0)</f>
        <v>0</v>
      </c>
      <c r="J339">
        <f>IFERROR(VLOOKUP(Tabla13[[#This Row],[SISMED]],TblDisponibilidad[],14,FALSE), 0)</f>
        <v>0</v>
      </c>
      <c r="K339">
        <f>IFERROR(VLOOKUP(Tabla13[[#This Row],[SISMED]],TblDisponibilidad[],15,FALSE), 0)</f>
        <v>0</v>
      </c>
      <c r="L339">
        <f>IFERROR(VLOOKUP(Tabla13[[#This Row],[SISMED]],TblDisponibilidad[],16,FALSE), 0)</f>
        <v>0</v>
      </c>
      <c r="M339">
        <f>IFERROR(VLOOKUP(Tabla13[[#This Row],[SISMED]],TblDisponibilidad[],17,FALSE), 0)</f>
        <v>0</v>
      </c>
      <c r="N339">
        <f>IFERROR(VLOOKUP(Tabla13[[#This Row],[SISMED]],TblDisponibilidad[],18,FALSE), 0)</f>
        <v>0</v>
      </c>
      <c r="O339">
        <f>IFERROR(VLOOKUP(Tabla13[[#This Row],[SISMED]],TblDisponibilidad[],19,FALSE), 0)</f>
        <v>0</v>
      </c>
      <c r="P339">
        <f>IFERROR(VLOOKUP(Tabla13[[#This Row],[SISMED]],TblDisponibilidad[],20,FALSE), 0)</f>
        <v>0</v>
      </c>
      <c r="Q339">
        <f>IFERROR(VLOOKUP(Tabla13[[#This Row],[SISMED]],TblDisponibilidad[],21,FALSE), 0)</f>
        <v>0</v>
      </c>
      <c r="R339">
        <f>IFERROR(VLOOKUP(Tabla13[[#This Row],[SISMED]],TblDisponibilidad[],22,FALSE), 0)</f>
        <v>0</v>
      </c>
      <c r="S339" s="15">
        <f>IFERROR(VLOOKUP(Tabla13[[#This Row],[SISMED]],TblDisponibilidad[],23,FALSE), 0)</f>
        <v>0</v>
      </c>
    </row>
    <row r="340" spans="1:19" x14ac:dyDescent="0.3">
      <c r="A340" s="15" t="s">
        <v>370</v>
      </c>
      <c r="B340" t="str">
        <f>IFERROR(VLOOKUP(Tabla13[[#This Row],[SISMED]],TblDisponibilidad[],2,FALSE), "")</f>
        <v/>
      </c>
      <c r="C340">
        <f>IFERROR(VLOOKUP(Tabla13[[#This Row],[SISMED]],TblDisponibilidad[],7,FALSE), 0)</f>
        <v>0</v>
      </c>
      <c r="D340">
        <f>IFERROR(VLOOKUP(Tabla13[[#This Row],[SISMED]],TblDisponibilidad[],8,FALSE), 0)</f>
        <v>0</v>
      </c>
      <c r="E340">
        <f>IFERROR(VLOOKUP(Tabla13[[#This Row],[SISMED]],TblDisponibilidad[],9,FALSE), 0)</f>
        <v>0</v>
      </c>
      <c r="F340">
        <f>IFERROR(VLOOKUP(Tabla13[[#This Row],[SISMED]],TblDisponibilidad[],10,FALSE), 0)</f>
        <v>0</v>
      </c>
      <c r="G340">
        <f>IFERROR(VLOOKUP(Tabla13[[#This Row],[SISMED]],TblDisponibilidad[],11,FALSE), 0)</f>
        <v>0</v>
      </c>
      <c r="H340">
        <f>IFERROR(VLOOKUP(Tabla13[[#This Row],[SISMED]],TblDisponibilidad[],12,FALSE), 0)</f>
        <v>0</v>
      </c>
      <c r="I340">
        <f>IFERROR(VLOOKUP(Tabla13[[#This Row],[SISMED]],TblDisponibilidad[],13,FALSE), 0)</f>
        <v>0</v>
      </c>
      <c r="J340">
        <f>IFERROR(VLOOKUP(Tabla13[[#This Row],[SISMED]],TblDisponibilidad[],14,FALSE), 0)</f>
        <v>0</v>
      </c>
      <c r="K340">
        <f>IFERROR(VLOOKUP(Tabla13[[#This Row],[SISMED]],TblDisponibilidad[],15,FALSE), 0)</f>
        <v>0</v>
      </c>
      <c r="L340">
        <f>IFERROR(VLOOKUP(Tabla13[[#This Row],[SISMED]],TblDisponibilidad[],16,FALSE), 0)</f>
        <v>0</v>
      </c>
      <c r="M340">
        <f>IFERROR(VLOOKUP(Tabla13[[#This Row],[SISMED]],TblDisponibilidad[],17,FALSE), 0)</f>
        <v>0</v>
      </c>
      <c r="N340">
        <f>IFERROR(VLOOKUP(Tabla13[[#This Row],[SISMED]],TblDisponibilidad[],18,FALSE), 0)</f>
        <v>0</v>
      </c>
      <c r="O340">
        <f>IFERROR(VLOOKUP(Tabla13[[#This Row],[SISMED]],TblDisponibilidad[],19,FALSE), 0)</f>
        <v>0</v>
      </c>
      <c r="P340">
        <f>IFERROR(VLOOKUP(Tabla13[[#This Row],[SISMED]],TblDisponibilidad[],20,FALSE), 0)</f>
        <v>0</v>
      </c>
      <c r="Q340">
        <f>IFERROR(VLOOKUP(Tabla13[[#This Row],[SISMED]],TblDisponibilidad[],21,FALSE), 0)</f>
        <v>0</v>
      </c>
      <c r="R340">
        <f>IFERROR(VLOOKUP(Tabla13[[#This Row],[SISMED]],TblDisponibilidad[],22,FALSE), 0)</f>
        <v>0</v>
      </c>
      <c r="S340" s="15">
        <f>IFERROR(VLOOKUP(Tabla13[[#This Row],[SISMED]],TblDisponibilidad[],23,FALSE), 0)</f>
        <v>0</v>
      </c>
    </row>
    <row r="341" spans="1:19" x14ac:dyDescent="0.3">
      <c r="A341" s="15" t="s">
        <v>371</v>
      </c>
      <c r="B341" t="str">
        <f>IFERROR(VLOOKUP(Tabla13[[#This Row],[SISMED]],TblDisponibilidad[],2,FALSE), "")</f>
        <v/>
      </c>
      <c r="C341">
        <f>IFERROR(VLOOKUP(Tabla13[[#This Row],[SISMED]],TblDisponibilidad[],7,FALSE), 0)</f>
        <v>0</v>
      </c>
      <c r="D341">
        <f>IFERROR(VLOOKUP(Tabla13[[#This Row],[SISMED]],TblDisponibilidad[],8,FALSE), 0)</f>
        <v>0</v>
      </c>
      <c r="E341">
        <f>IFERROR(VLOOKUP(Tabla13[[#This Row],[SISMED]],TblDisponibilidad[],9,FALSE), 0)</f>
        <v>0</v>
      </c>
      <c r="F341">
        <f>IFERROR(VLOOKUP(Tabla13[[#This Row],[SISMED]],TblDisponibilidad[],10,FALSE), 0)</f>
        <v>0</v>
      </c>
      <c r="G341">
        <f>IFERROR(VLOOKUP(Tabla13[[#This Row],[SISMED]],TblDisponibilidad[],11,FALSE), 0)</f>
        <v>0</v>
      </c>
      <c r="H341">
        <f>IFERROR(VLOOKUP(Tabla13[[#This Row],[SISMED]],TblDisponibilidad[],12,FALSE), 0)</f>
        <v>0</v>
      </c>
      <c r="I341">
        <f>IFERROR(VLOOKUP(Tabla13[[#This Row],[SISMED]],TblDisponibilidad[],13,FALSE), 0)</f>
        <v>0</v>
      </c>
      <c r="J341">
        <f>IFERROR(VLOOKUP(Tabla13[[#This Row],[SISMED]],TblDisponibilidad[],14,FALSE), 0)</f>
        <v>0</v>
      </c>
      <c r="K341">
        <f>IFERROR(VLOOKUP(Tabla13[[#This Row],[SISMED]],TblDisponibilidad[],15,FALSE), 0)</f>
        <v>0</v>
      </c>
      <c r="L341">
        <f>IFERROR(VLOOKUP(Tabla13[[#This Row],[SISMED]],TblDisponibilidad[],16,FALSE), 0)</f>
        <v>0</v>
      </c>
      <c r="M341">
        <f>IFERROR(VLOOKUP(Tabla13[[#This Row],[SISMED]],TblDisponibilidad[],17,FALSE), 0)</f>
        <v>0</v>
      </c>
      <c r="N341">
        <f>IFERROR(VLOOKUP(Tabla13[[#This Row],[SISMED]],TblDisponibilidad[],18,FALSE), 0)</f>
        <v>0</v>
      </c>
      <c r="O341">
        <f>IFERROR(VLOOKUP(Tabla13[[#This Row],[SISMED]],TblDisponibilidad[],19,FALSE), 0)</f>
        <v>0</v>
      </c>
      <c r="P341">
        <f>IFERROR(VLOOKUP(Tabla13[[#This Row],[SISMED]],TblDisponibilidad[],20,FALSE), 0)</f>
        <v>0</v>
      </c>
      <c r="Q341">
        <f>IFERROR(VLOOKUP(Tabla13[[#This Row],[SISMED]],TblDisponibilidad[],21,FALSE), 0)</f>
        <v>0</v>
      </c>
      <c r="R341">
        <f>IFERROR(VLOOKUP(Tabla13[[#This Row],[SISMED]],TblDisponibilidad[],22,FALSE), 0)</f>
        <v>0</v>
      </c>
      <c r="S341" s="15">
        <f>IFERROR(VLOOKUP(Tabla13[[#This Row],[SISMED]],TblDisponibilidad[],23,FALSE), 0)</f>
        <v>0</v>
      </c>
    </row>
    <row r="342" spans="1:19" x14ac:dyDescent="0.3">
      <c r="A342" s="15" t="s">
        <v>372</v>
      </c>
      <c r="B342" t="str">
        <f>IFERROR(VLOOKUP(Tabla13[[#This Row],[SISMED]],TblDisponibilidad[],2,FALSE), "")</f>
        <v/>
      </c>
      <c r="C342">
        <f>IFERROR(VLOOKUP(Tabla13[[#This Row],[SISMED]],TblDisponibilidad[],7,FALSE), 0)</f>
        <v>0</v>
      </c>
      <c r="D342">
        <f>IFERROR(VLOOKUP(Tabla13[[#This Row],[SISMED]],TblDisponibilidad[],8,FALSE), 0)</f>
        <v>0</v>
      </c>
      <c r="E342">
        <f>IFERROR(VLOOKUP(Tabla13[[#This Row],[SISMED]],TblDisponibilidad[],9,FALSE), 0)</f>
        <v>0</v>
      </c>
      <c r="F342">
        <f>IFERROR(VLOOKUP(Tabla13[[#This Row],[SISMED]],TblDisponibilidad[],10,FALSE), 0)</f>
        <v>0</v>
      </c>
      <c r="G342">
        <f>IFERROR(VLOOKUP(Tabla13[[#This Row],[SISMED]],TblDisponibilidad[],11,FALSE), 0)</f>
        <v>0</v>
      </c>
      <c r="H342">
        <f>IFERROR(VLOOKUP(Tabla13[[#This Row],[SISMED]],TblDisponibilidad[],12,FALSE), 0)</f>
        <v>0</v>
      </c>
      <c r="I342">
        <f>IFERROR(VLOOKUP(Tabla13[[#This Row],[SISMED]],TblDisponibilidad[],13,FALSE), 0)</f>
        <v>0</v>
      </c>
      <c r="J342">
        <f>IFERROR(VLOOKUP(Tabla13[[#This Row],[SISMED]],TblDisponibilidad[],14,FALSE), 0)</f>
        <v>0</v>
      </c>
      <c r="K342">
        <f>IFERROR(VLOOKUP(Tabla13[[#This Row],[SISMED]],TblDisponibilidad[],15,FALSE), 0)</f>
        <v>0</v>
      </c>
      <c r="L342">
        <f>IFERROR(VLOOKUP(Tabla13[[#This Row],[SISMED]],TblDisponibilidad[],16,FALSE), 0)</f>
        <v>0</v>
      </c>
      <c r="M342">
        <f>IFERROR(VLOOKUP(Tabla13[[#This Row],[SISMED]],TblDisponibilidad[],17,FALSE), 0)</f>
        <v>0</v>
      </c>
      <c r="N342">
        <f>IFERROR(VLOOKUP(Tabla13[[#This Row],[SISMED]],TblDisponibilidad[],18,FALSE), 0)</f>
        <v>0</v>
      </c>
      <c r="O342">
        <f>IFERROR(VLOOKUP(Tabla13[[#This Row],[SISMED]],TblDisponibilidad[],19,FALSE), 0)</f>
        <v>0</v>
      </c>
      <c r="P342">
        <f>IFERROR(VLOOKUP(Tabla13[[#This Row],[SISMED]],TblDisponibilidad[],20,FALSE), 0)</f>
        <v>0</v>
      </c>
      <c r="Q342">
        <f>IFERROR(VLOOKUP(Tabla13[[#This Row],[SISMED]],TblDisponibilidad[],21,FALSE), 0)</f>
        <v>0</v>
      </c>
      <c r="R342">
        <f>IFERROR(VLOOKUP(Tabla13[[#This Row],[SISMED]],TblDisponibilidad[],22,FALSE), 0)</f>
        <v>0</v>
      </c>
      <c r="S342" s="15">
        <f>IFERROR(VLOOKUP(Tabla13[[#This Row],[SISMED]],TblDisponibilidad[],23,FALSE), 0)</f>
        <v>0</v>
      </c>
    </row>
    <row r="343" spans="1:19" x14ac:dyDescent="0.3">
      <c r="A343" s="15" t="s">
        <v>373</v>
      </c>
      <c r="B343" t="str">
        <f>IFERROR(VLOOKUP(Tabla13[[#This Row],[SISMED]],TblDisponibilidad[],2,FALSE), "")</f>
        <v/>
      </c>
      <c r="C343">
        <f>IFERROR(VLOOKUP(Tabla13[[#This Row],[SISMED]],TblDisponibilidad[],7,FALSE), 0)</f>
        <v>0</v>
      </c>
      <c r="D343">
        <f>IFERROR(VLOOKUP(Tabla13[[#This Row],[SISMED]],TblDisponibilidad[],8,FALSE), 0)</f>
        <v>0</v>
      </c>
      <c r="E343">
        <f>IFERROR(VLOOKUP(Tabla13[[#This Row],[SISMED]],TblDisponibilidad[],9,FALSE), 0)</f>
        <v>0</v>
      </c>
      <c r="F343">
        <f>IFERROR(VLOOKUP(Tabla13[[#This Row],[SISMED]],TblDisponibilidad[],10,FALSE), 0)</f>
        <v>0</v>
      </c>
      <c r="G343">
        <f>IFERROR(VLOOKUP(Tabla13[[#This Row],[SISMED]],TblDisponibilidad[],11,FALSE), 0)</f>
        <v>0</v>
      </c>
      <c r="H343">
        <f>IFERROR(VLOOKUP(Tabla13[[#This Row],[SISMED]],TblDisponibilidad[],12,FALSE), 0)</f>
        <v>0</v>
      </c>
      <c r="I343">
        <f>IFERROR(VLOOKUP(Tabla13[[#This Row],[SISMED]],TblDisponibilidad[],13,FALSE), 0)</f>
        <v>0</v>
      </c>
      <c r="J343">
        <f>IFERROR(VLOOKUP(Tabla13[[#This Row],[SISMED]],TblDisponibilidad[],14,FALSE), 0)</f>
        <v>0</v>
      </c>
      <c r="K343">
        <f>IFERROR(VLOOKUP(Tabla13[[#This Row],[SISMED]],TblDisponibilidad[],15,FALSE), 0)</f>
        <v>0</v>
      </c>
      <c r="L343">
        <f>IFERROR(VLOOKUP(Tabla13[[#This Row],[SISMED]],TblDisponibilidad[],16,FALSE), 0)</f>
        <v>0</v>
      </c>
      <c r="M343">
        <f>IFERROR(VLOOKUP(Tabla13[[#This Row],[SISMED]],TblDisponibilidad[],17,FALSE), 0)</f>
        <v>0</v>
      </c>
      <c r="N343">
        <f>IFERROR(VLOOKUP(Tabla13[[#This Row],[SISMED]],TblDisponibilidad[],18,FALSE), 0)</f>
        <v>0</v>
      </c>
      <c r="O343">
        <f>IFERROR(VLOOKUP(Tabla13[[#This Row],[SISMED]],TblDisponibilidad[],19,FALSE), 0)</f>
        <v>0</v>
      </c>
      <c r="P343">
        <f>IFERROR(VLOOKUP(Tabla13[[#This Row],[SISMED]],TblDisponibilidad[],20,FALSE), 0)</f>
        <v>0</v>
      </c>
      <c r="Q343">
        <f>IFERROR(VLOOKUP(Tabla13[[#This Row],[SISMED]],TblDisponibilidad[],21,FALSE), 0)</f>
        <v>0</v>
      </c>
      <c r="R343">
        <f>IFERROR(VLOOKUP(Tabla13[[#This Row],[SISMED]],TblDisponibilidad[],22,FALSE), 0)</f>
        <v>0</v>
      </c>
      <c r="S343" s="15">
        <f>IFERROR(VLOOKUP(Tabla13[[#This Row],[SISMED]],TblDisponibilidad[],23,FALSE), 0)</f>
        <v>0</v>
      </c>
    </row>
    <row r="344" spans="1:19" x14ac:dyDescent="0.3">
      <c r="A344" s="15" t="s">
        <v>374</v>
      </c>
      <c r="B344" t="str">
        <f>IFERROR(VLOOKUP(Tabla13[[#This Row],[SISMED]],TblDisponibilidad[],2,FALSE), "")</f>
        <v/>
      </c>
      <c r="C344">
        <f>IFERROR(VLOOKUP(Tabla13[[#This Row],[SISMED]],TblDisponibilidad[],7,FALSE), 0)</f>
        <v>0</v>
      </c>
      <c r="D344">
        <f>IFERROR(VLOOKUP(Tabla13[[#This Row],[SISMED]],TblDisponibilidad[],8,FALSE), 0)</f>
        <v>0</v>
      </c>
      <c r="E344">
        <f>IFERROR(VLOOKUP(Tabla13[[#This Row],[SISMED]],TblDisponibilidad[],9,FALSE), 0)</f>
        <v>0</v>
      </c>
      <c r="F344">
        <f>IFERROR(VLOOKUP(Tabla13[[#This Row],[SISMED]],TblDisponibilidad[],10,FALSE), 0)</f>
        <v>0</v>
      </c>
      <c r="G344">
        <f>IFERROR(VLOOKUP(Tabla13[[#This Row],[SISMED]],TblDisponibilidad[],11,FALSE), 0)</f>
        <v>0</v>
      </c>
      <c r="H344">
        <f>IFERROR(VLOOKUP(Tabla13[[#This Row],[SISMED]],TblDisponibilidad[],12,FALSE), 0)</f>
        <v>0</v>
      </c>
      <c r="I344">
        <f>IFERROR(VLOOKUP(Tabla13[[#This Row],[SISMED]],TblDisponibilidad[],13,FALSE), 0)</f>
        <v>0</v>
      </c>
      <c r="J344">
        <f>IFERROR(VLOOKUP(Tabla13[[#This Row],[SISMED]],TblDisponibilidad[],14,FALSE), 0)</f>
        <v>0</v>
      </c>
      <c r="K344">
        <f>IFERROR(VLOOKUP(Tabla13[[#This Row],[SISMED]],TblDisponibilidad[],15,FALSE), 0)</f>
        <v>0</v>
      </c>
      <c r="L344">
        <f>IFERROR(VLOOKUP(Tabla13[[#This Row],[SISMED]],TblDisponibilidad[],16,FALSE), 0)</f>
        <v>0</v>
      </c>
      <c r="M344">
        <f>IFERROR(VLOOKUP(Tabla13[[#This Row],[SISMED]],TblDisponibilidad[],17,FALSE), 0)</f>
        <v>0</v>
      </c>
      <c r="N344">
        <f>IFERROR(VLOOKUP(Tabla13[[#This Row],[SISMED]],TblDisponibilidad[],18,FALSE), 0)</f>
        <v>0</v>
      </c>
      <c r="O344">
        <f>IFERROR(VLOOKUP(Tabla13[[#This Row],[SISMED]],TblDisponibilidad[],19,FALSE), 0)</f>
        <v>0</v>
      </c>
      <c r="P344">
        <f>IFERROR(VLOOKUP(Tabla13[[#This Row],[SISMED]],TblDisponibilidad[],20,FALSE), 0)</f>
        <v>0</v>
      </c>
      <c r="Q344">
        <f>IFERROR(VLOOKUP(Tabla13[[#This Row],[SISMED]],TblDisponibilidad[],21,FALSE), 0)</f>
        <v>0</v>
      </c>
      <c r="R344">
        <f>IFERROR(VLOOKUP(Tabla13[[#This Row],[SISMED]],TblDisponibilidad[],22,FALSE), 0)</f>
        <v>0</v>
      </c>
      <c r="S344" s="15">
        <f>IFERROR(VLOOKUP(Tabla13[[#This Row],[SISMED]],TblDisponibilidad[],23,FALSE), 0)</f>
        <v>0</v>
      </c>
    </row>
    <row r="345" spans="1:19" x14ac:dyDescent="0.3">
      <c r="A345" s="15" t="s">
        <v>375</v>
      </c>
      <c r="B345" t="str">
        <f>IFERROR(VLOOKUP(Tabla13[[#This Row],[SISMED]],TblDisponibilidad[],2,FALSE), "")</f>
        <v/>
      </c>
      <c r="C345">
        <f>IFERROR(VLOOKUP(Tabla13[[#This Row],[SISMED]],TblDisponibilidad[],7,FALSE), 0)</f>
        <v>0</v>
      </c>
      <c r="D345">
        <f>IFERROR(VLOOKUP(Tabla13[[#This Row],[SISMED]],TblDisponibilidad[],8,FALSE), 0)</f>
        <v>0</v>
      </c>
      <c r="E345">
        <f>IFERROR(VLOOKUP(Tabla13[[#This Row],[SISMED]],TblDisponibilidad[],9,FALSE), 0)</f>
        <v>0</v>
      </c>
      <c r="F345">
        <f>IFERROR(VLOOKUP(Tabla13[[#This Row],[SISMED]],TblDisponibilidad[],10,FALSE), 0)</f>
        <v>0</v>
      </c>
      <c r="G345">
        <f>IFERROR(VLOOKUP(Tabla13[[#This Row],[SISMED]],TblDisponibilidad[],11,FALSE), 0)</f>
        <v>0</v>
      </c>
      <c r="H345">
        <f>IFERROR(VLOOKUP(Tabla13[[#This Row],[SISMED]],TblDisponibilidad[],12,FALSE), 0)</f>
        <v>0</v>
      </c>
      <c r="I345">
        <f>IFERROR(VLOOKUP(Tabla13[[#This Row],[SISMED]],TblDisponibilidad[],13,FALSE), 0)</f>
        <v>0</v>
      </c>
      <c r="J345">
        <f>IFERROR(VLOOKUP(Tabla13[[#This Row],[SISMED]],TblDisponibilidad[],14,FALSE), 0)</f>
        <v>0</v>
      </c>
      <c r="K345">
        <f>IFERROR(VLOOKUP(Tabla13[[#This Row],[SISMED]],TblDisponibilidad[],15,FALSE), 0)</f>
        <v>0</v>
      </c>
      <c r="L345">
        <f>IFERROR(VLOOKUP(Tabla13[[#This Row],[SISMED]],TblDisponibilidad[],16,FALSE), 0)</f>
        <v>0</v>
      </c>
      <c r="M345">
        <f>IFERROR(VLOOKUP(Tabla13[[#This Row],[SISMED]],TblDisponibilidad[],17,FALSE), 0)</f>
        <v>0</v>
      </c>
      <c r="N345">
        <f>IFERROR(VLOOKUP(Tabla13[[#This Row],[SISMED]],TblDisponibilidad[],18,FALSE), 0)</f>
        <v>0</v>
      </c>
      <c r="O345">
        <f>IFERROR(VLOOKUP(Tabla13[[#This Row],[SISMED]],TblDisponibilidad[],19,FALSE), 0)</f>
        <v>0</v>
      </c>
      <c r="P345">
        <f>IFERROR(VLOOKUP(Tabla13[[#This Row],[SISMED]],TblDisponibilidad[],20,FALSE), 0)</f>
        <v>0</v>
      </c>
      <c r="Q345">
        <f>IFERROR(VLOOKUP(Tabla13[[#This Row],[SISMED]],TblDisponibilidad[],21,FALSE), 0)</f>
        <v>0</v>
      </c>
      <c r="R345">
        <f>IFERROR(VLOOKUP(Tabla13[[#This Row],[SISMED]],TblDisponibilidad[],22,FALSE), 0)</f>
        <v>0</v>
      </c>
      <c r="S345" s="15">
        <f>IFERROR(VLOOKUP(Tabla13[[#This Row],[SISMED]],TblDisponibilidad[],23,FALSE), 0)</f>
        <v>0</v>
      </c>
    </row>
    <row r="346" spans="1:19" x14ac:dyDescent="0.3">
      <c r="A346" s="15" t="s">
        <v>376</v>
      </c>
      <c r="B346" t="str">
        <f>IFERROR(VLOOKUP(Tabla13[[#This Row],[SISMED]],TblDisponibilidad[],2,FALSE), "")</f>
        <v/>
      </c>
      <c r="C346">
        <f>IFERROR(VLOOKUP(Tabla13[[#This Row],[SISMED]],TblDisponibilidad[],7,FALSE), 0)</f>
        <v>0</v>
      </c>
      <c r="D346">
        <f>IFERROR(VLOOKUP(Tabla13[[#This Row],[SISMED]],TblDisponibilidad[],8,FALSE), 0)</f>
        <v>0</v>
      </c>
      <c r="E346">
        <f>IFERROR(VLOOKUP(Tabla13[[#This Row],[SISMED]],TblDisponibilidad[],9,FALSE), 0)</f>
        <v>0</v>
      </c>
      <c r="F346">
        <f>IFERROR(VLOOKUP(Tabla13[[#This Row],[SISMED]],TblDisponibilidad[],10,FALSE), 0)</f>
        <v>0</v>
      </c>
      <c r="G346">
        <f>IFERROR(VLOOKUP(Tabla13[[#This Row],[SISMED]],TblDisponibilidad[],11,FALSE), 0)</f>
        <v>0</v>
      </c>
      <c r="H346">
        <f>IFERROR(VLOOKUP(Tabla13[[#This Row],[SISMED]],TblDisponibilidad[],12,FALSE), 0)</f>
        <v>0</v>
      </c>
      <c r="I346">
        <f>IFERROR(VLOOKUP(Tabla13[[#This Row],[SISMED]],TblDisponibilidad[],13,FALSE), 0)</f>
        <v>0</v>
      </c>
      <c r="J346">
        <f>IFERROR(VLOOKUP(Tabla13[[#This Row],[SISMED]],TblDisponibilidad[],14,FALSE), 0)</f>
        <v>0</v>
      </c>
      <c r="K346">
        <f>IFERROR(VLOOKUP(Tabla13[[#This Row],[SISMED]],TblDisponibilidad[],15,FALSE), 0)</f>
        <v>0</v>
      </c>
      <c r="L346">
        <f>IFERROR(VLOOKUP(Tabla13[[#This Row],[SISMED]],TblDisponibilidad[],16,FALSE), 0)</f>
        <v>0</v>
      </c>
      <c r="M346">
        <f>IFERROR(VLOOKUP(Tabla13[[#This Row],[SISMED]],TblDisponibilidad[],17,FALSE), 0)</f>
        <v>0</v>
      </c>
      <c r="N346">
        <f>IFERROR(VLOOKUP(Tabla13[[#This Row],[SISMED]],TblDisponibilidad[],18,FALSE), 0)</f>
        <v>0</v>
      </c>
      <c r="O346">
        <f>IFERROR(VLOOKUP(Tabla13[[#This Row],[SISMED]],TblDisponibilidad[],19,FALSE), 0)</f>
        <v>0</v>
      </c>
      <c r="P346">
        <f>IFERROR(VLOOKUP(Tabla13[[#This Row],[SISMED]],TblDisponibilidad[],20,FALSE), 0)</f>
        <v>0</v>
      </c>
      <c r="Q346">
        <f>IFERROR(VLOOKUP(Tabla13[[#This Row],[SISMED]],TblDisponibilidad[],21,FALSE), 0)</f>
        <v>0</v>
      </c>
      <c r="R346">
        <f>IFERROR(VLOOKUP(Tabla13[[#This Row],[SISMED]],TblDisponibilidad[],22,FALSE), 0)</f>
        <v>0</v>
      </c>
      <c r="S346" s="15">
        <f>IFERROR(VLOOKUP(Tabla13[[#This Row],[SISMED]],TblDisponibilidad[],23,FALSE), 0)</f>
        <v>0</v>
      </c>
    </row>
    <row r="347" spans="1:19" x14ac:dyDescent="0.3">
      <c r="A347" s="15" t="s">
        <v>377</v>
      </c>
      <c r="B347" t="str">
        <f>IFERROR(VLOOKUP(Tabla13[[#This Row],[SISMED]],TblDisponibilidad[],2,FALSE), "")</f>
        <v/>
      </c>
      <c r="C347">
        <f>IFERROR(VLOOKUP(Tabla13[[#This Row],[SISMED]],TblDisponibilidad[],7,FALSE), 0)</f>
        <v>0</v>
      </c>
      <c r="D347">
        <f>IFERROR(VLOOKUP(Tabla13[[#This Row],[SISMED]],TblDisponibilidad[],8,FALSE), 0)</f>
        <v>0</v>
      </c>
      <c r="E347">
        <f>IFERROR(VLOOKUP(Tabla13[[#This Row],[SISMED]],TblDisponibilidad[],9,FALSE), 0)</f>
        <v>0</v>
      </c>
      <c r="F347">
        <f>IFERROR(VLOOKUP(Tabla13[[#This Row],[SISMED]],TblDisponibilidad[],10,FALSE), 0)</f>
        <v>0</v>
      </c>
      <c r="G347">
        <f>IFERROR(VLOOKUP(Tabla13[[#This Row],[SISMED]],TblDisponibilidad[],11,FALSE), 0)</f>
        <v>0</v>
      </c>
      <c r="H347">
        <f>IFERROR(VLOOKUP(Tabla13[[#This Row],[SISMED]],TblDisponibilidad[],12,FALSE), 0)</f>
        <v>0</v>
      </c>
      <c r="I347">
        <f>IFERROR(VLOOKUP(Tabla13[[#This Row],[SISMED]],TblDisponibilidad[],13,FALSE), 0)</f>
        <v>0</v>
      </c>
      <c r="J347">
        <f>IFERROR(VLOOKUP(Tabla13[[#This Row],[SISMED]],TblDisponibilidad[],14,FALSE), 0)</f>
        <v>0</v>
      </c>
      <c r="K347">
        <f>IFERROR(VLOOKUP(Tabla13[[#This Row],[SISMED]],TblDisponibilidad[],15,FALSE), 0)</f>
        <v>0</v>
      </c>
      <c r="L347">
        <f>IFERROR(VLOOKUP(Tabla13[[#This Row],[SISMED]],TblDisponibilidad[],16,FALSE), 0)</f>
        <v>0</v>
      </c>
      <c r="M347">
        <f>IFERROR(VLOOKUP(Tabla13[[#This Row],[SISMED]],TblDisponibilidad[],17,FALSE), 0)</f>
        <v>0</v>
      </c>
      <c r="N347">
        <f>IFERROR(VLOOKUP(Tabla13[[#This Row],[SISMED]],TblDisponibilidad[],18,FALSE), 0)</f>
        <v>0</v>
      </c>
      <c r="O347">
        <f>IFERROR(VLOOKUP(Tabla13[[#This Row],[SISMED]],TblDisponibilidad[],19,FALSE), 0)</f>
        <v>0</v>
      </c>
      <c r="P347">
        <f>IFERROR(VLOOKUP(Tabla13[[#This Row],[SISMED]],TblDisponibilidad[],20,FALSE), 0)</f>
        <v>0</v>
      </c>
      <c r="Q347">
        <f>IFERROR(VLOOKUP(Tabla13[[#This Row],[SISMED]],TblDisponibilidad[],21,FALSE), 0)</f>
        <v>0</v>
      </c>
      <c r="R347">
        <f>IFERROR(VLOOKUP(Tabla13[[#This Row],[SISMED]],TblDisponibilidad[],22,FALSE), 0)</f>
        <v>0</v>
      </c>
      <c r="S347" s="15">
        <f>IFERROR(VLOOKUP(Tabla13[[#This Row],[SISMED]],TblDisponibilidad[],23,FALSE), 0)</f>
        <v>0</v>
      </c>
    </row>
    <row r="348" spans="1:19" x14ac:dyDescent="0.3">
      <c r="A348" s="15" t="s">
        <v>378</v>
      </c>
      <c r="B348" t="str">
        <f>IFERROR(VLOOKUP(Tabla13[[#This Row],[SISMED]],TblDisponibilidad[],2,FALSE), "")</f>
        <v/>
      </c>
      <c r="C348">
        <f>IFERROR(VLOOKUP(Tabla13[[#This Row],[SISMED]],TblDisponibilidad[],7,FALSE), 0)</f>
        <v>0</v>
      </c>
      <c r="D348">
        <f>IFERROR(VLOOKUP(Tabla13[[#This Row],[SISMED]],TblDisponibilidad[],8,FALSE), 0)</f>
        <v>0</v>
      </c>
      <c r="E348">
        <f>IFERROR(VLOOKUP(Tabla13[[#This Row],[SISMED]],TblDisponibilidad[],9,FALSE), 0)</f>
        <v>0</v>
      </c>
      <c r="F348">
        <f>IFERROR(VLOOKUP(Tabla13[[#This Row],[SISMED]],TblDisponibilidad[],10,FALSE), 0)</f>
        <v>0</v>
      </c>
      <c r="G348">
        <f>IFERROR(VLOOKUP(Tabla13[[#This Row],[SISMED]],TblDisponibilidad[],11,FALSE), 0)</f>
        <v>0</v>
      </c>
      <c r="H348">
        <f>IFERROR(VLOOKUP(Tabla13[[#This Row],[SISMED]],TblDisponibilidad[],12,FALSE), 0)</f>
        <v>0</v>
      </c>
      <c r="I348">
        <f>IFERROR(VLOOKUP(Tabla13[[#This Row],[SISMED]],TblDisponibilidad[],13,FALSE), 0)</f>
        <v>0</v>
      </c>
      <c r="J348">
        <f>IFERROR(VLOOKUP(Tabla13[[#This Row],[SISMED]],TblDisponibilidad[],14,FALSE), 0)</f>
        <v>0</v>
      </c>
      <c r="K348">
        <f>IFERROR(VLOOKUP(Tabla13[[#This Row],[SISMED]],TblDisponibilidad[],15,FALSE), 0)</f>
        <v>0</v>
      </c>
      <c r="L348">
        <f>IFERROR(VLOOKUP(Tabla13[[#This Row],[SISMED]],TblDisponibilidad[],16,FALSE), 0)</f>
        <v>0</v>
      </c>
      <c r="M348">
        <f>IFERROR(VLOOKUP(Tabla13[[#This Row],[SISMED]],TblDisponibilidad[],17,FALSE), 0)</f>
        <v>0</v>
      </c>
      <c r="N348">
        <f>IFERROR(VLOOKUP(Tabla13[[#This Row],[SISMED]],TblDisponibilidad[],18,FALSE), 0)</f>
        <v>0</v>
      </c>
      <c r="O348">
        <f>IFERROR(VLOOKUP(Tabla13[[#This Row],[SISMED]],TblDisponibilidad[],19,FALSE), 0)</f>
        <v>0</v>
      </c>
      <c r="P348">
        <f>IFERROR(VLOOKUP(Tabla13[[#This Row],[SISMED]],TblDisponibilidad[],20,FALSE), 0)</f>
        <v>0</v>
      </c>
      <c r="Q348">
        <f>IFERROR(VLOOKUP(Tabla13[[#This Row],[SISMED]],TblDisponibilidad[],21,FALSE), 0)</f>
        <v>0</v>
      </c>
      <c r="R348">
        <f>IFERROR(VLOOKUP(Tabla13[[#This Row],[SISMED]],TblDisponibilidad[],22,FALSE), 0)</f>
        <v>0</v>
      </c>
      <c r="S348" s="15">
        <f>IFERROR(VLOOKUP(Tabla13[[#This Row],[SISMED]],TblDisponibilidad[],23,FALSE), 0)</f>
        <v>0</v>
      </c>
    </row>
    <row r="349" spans="1:19" x14ac:dyDescent="0.3">
      <c r="A349" s="15" t="s">
        <v>379</v>
      </c>
      <c r="B349" t="str">
        <f>IFERROR(VLOOKUP(Tabla13[[#This Row],[SISMED]],TblDisponibilidad[],2,FALSE), "")</f>
        <v/>
      </c>
      <c r="C349">
        <f>IFERROR(VLOOKUP(Tabla13[[#This Row],[SISMED]],TblDisponibilidad[],7,FALSE), 0)</f>
        <v>0</v>
      </c>
      <c r="D349">
        <f>IFERROR(VLOOKUP(Tabla13[[#This Row],[SISMED]],TblDisponibilidad[],8,FALSE), 0)</f>
        <v>0</v>
      </c>
      <c r="E349">
        <f>IFERROR(VLOOKUP(Tabla13[[#This Row],[SISMED]],TblDisponibilidad[],9,FALSE), 0)</f>
        <v>0</v>
      </c>
      <c r="F349">
        <f>IFERROR(VLOOKUP(Tabla13[[#This Row],[SISMED]],TblDisponibilidad[],10,FALSE), 0)</f>
        <v>0</v>
      </c>
      <c r="G349">
        <f>IFERROR(VLOOKUP(Tabla13[[#This Row],[SISMED]],TblDisponibilidad[],11,FALSE), 0)</f>
        <v>0</v>
      </c>
      <c r="H349">
        <f>IFERROR(VLOOKUP(Tabla13[[#This Row],[SISMED]],TblDisponibilidad[],12,FALSE), 0)</f>
        <v>0</v>
      </c>
      <c r="I349">
        <f>IFERROR(VLOOKUP(Tabla13[[#This Row],[SISMED]],TblDisponibilidad[],13,FALSE), 0)</f>
        <v>0</v>
      </c>
      <c r="J349">
        <f>IFERROR(VLOOKUP(Tabla13[[#This Row],[SISMED]],TblDisponibilidad[],14,FALSE), 0)</f>
        <v>0</v>
      </c>
      <c r="K349">
        <f>IFERROR(VLOOKUP(Tabla13[[#This Row],[SISMED]],TblDisponibilidad[],15,FALSE), 0)</f>
        <v>0</v>
      </c>
      <c r="L349">
        <f>IFERROR(VLOOKUP(Tabla13[[#This Row],[SISMED]],TblDisponibilidad[],16,FALSE), 0)</f>
        <v>0</v>
      </c>
      <c r="M349">
        <f>IFERROR(VLOOKUP(Tabla13[[#This Row],[SISMED]],TblDisponibilidad[],17,FALSE), 0)</f>
        <v>0</v>
      </c>
      <c r="N349">
        <f>IFERROR(VLOOKUP(Tabla13[[#This Row],[SISMED]],TblDisponibilidad[],18,FALSE), 0)</f>
        <v>0</v>
      </c>
      <c r="O349">
        <f>IFERROR(VLOOKUP(Tabla13[[#This Row],[SISMED]],TblDisponibilidad[],19,FALSE), 0)</f>
        <v>0</v>
      </c>
      <c r="P349">
        <f>IFERROR(VLOOKUP(Tabla13[[#This Row],[SISMED]],TblDisponibilidad[],20,FALSE), 0)</f>
        <v>0</v>
      </c>
      <c r="Q349">
        <f>IFERROR(VLOOKUP(Tabla13[[#This Row],[SISMED]],TblDisponibilidad[],21,FALSE), 0)</f>
        <v>0</v>
      </c>
      <c r="R349">
        <f>IFERROR(VLOOKUP(Tabla13[[#This Row],[SISMED]],TblDisponibilidad[],22,FALSE), 0)</f>
        <v>0</v>
      </c>
      <c r="S349" s="15">
        <f>IFERROR(VLOOKUP(Tabla13[[#This Row],[SISMED]],TblDisponibilidad[],23,FALSE), 0)</f>
        <v>0</v>
      </c>
    </row>
    <row r="350" spans="1:19" x14ac:dyDescent="0.3">
      <c r="A350" s="15" t="s">
        <v>380</v>
      </c>
      <c r="B350" t="str">
        <f>IFERROR(VLOOKUP(Tabla13[[#This Row],[SISMED]],TblDisponibilidad[],2,FALSE), "")</f>
        <v/>
      </c>
      <c r="C350">
        <f>IFERROR(VLOOKUP(Tabla13[[#This Row],[SISMED]],TblDisponibilidad[],7,FALSE), 0)</f>
        <v>0</v>
      </c>
      <c r="D350">
        <f>IFERROR(VLOOKUP(Tabla13[[#This Row],[SISMED]],TblDisponibilidad[],8,FALSE), 0)</f>
        <v>0</v>
      </c>
      <c r="E350">
        <f>IFERROR(VLOOKUP(Tabla13[[#This Row],[SISMED]],TblDisponibilidad[],9,FALSE), 0)</f>
        <v>0</v>
      </c>
      <c r="F350">
        <f>IFERROR(VLOOKUP(Tabla13[[#This Row],[SISMED]],TblDisponibilidad[],10,FALSE), 0)</f>
        <v>0</v>
      </c>
      <c r="G350">
        <f>IFERROR(VLOOKUP(Tabla13[[#This Row],[SISMED]],TblDisponibilidad[],11,FALSE), 0)</f>
        <v>0</v>
      </c>
      <c r="H350">
        <f>IFERROR(VLOOKUP(Tabla13[[#This Row],[SISMED]],TblDisponibilidad[],12,FALSE), 0)</f>
        <v>0</v>
      </c>
      <c r="I350">
        <f>IFERROR(VLOOKUP(Tabla13[[#This Row],[SISMED]],TblDisponibilidad[],13,FALSE), 0)</f>
        <v>0</v>
      </c>
      <c r="J350">
        <f>IFERROR(VLOOKUP(Tabla13[[#This Row],[SISMED]],TblDisponibilidad[],14,FALSE), 0)</f>
        <v>0</v>
      </c>
      <c r="K350">
        <f>IFERROR(VLOOKUP(Tabla13[[#This Row],[SISMED]],TblDisponibilidad[],15,FALSE), 0)</f>
        <v>0</v>
      </c>
      <c r="L350">
        <f>IFERROR(VLOOKUP(Tabla13[[#This Row],[SISMED]],TblDisponibilidad[],16,FALSE), 0)</f>
        <v>0</v>
      </c>
      <c r="M350">
        <f>IFERROR(VLOOKUP(Tabla13[[#This Row],[SISMED]],TblDisponibilidad[],17,FALSE), 0)</f>
        <v>0</v>
      </c>
      <c r="N350">
        <f>IFERROR(VLOOKUP(Tabla13[[#This Row],[SISMED]],TblDisponibilidad[],18,FALSE), 0)</f>
        <v>0</v>
      </c>
      <c r="O350">
        <f>IFERROR(VLOOKUP(Tabla13[[#This Row],[SISMED]],TblDisponibilidad[],19,FALSE), 0)</f>
        <v>0</v>
      </c>
      <c r="P350">
        <f>IFERROR(VLOOKUP(Tabla13[[#This Row],[SISMED]],TblDisponibilidad[],20,FALSE), 0)</f>
        <v>0</v>
      </c>
      <c r="Q350">
        <f>IFERROR(VLOOKUP(Tabla13[[#This Row],[SISMED]],TblDisponibilidad[],21,FALSE), 0)</f>
        <v>0</v>
      </c>
      <c r="R350">
        <f>IFERROR(VLOOKUP(Tabla13[[#This Row],[SISMED]],TblDisponibilidad[],22,FALSE), 0)</f>
        <v>0</v>
      </c>
      <c r="S350" s="15">
        <f>IFERROR(VLOOKUP(Tabla13[[#This Row],[SISMED]],TblDisponibilidad[],23,FALSE), 0)</f>
        <v>0</v>
      </c>
    </row>
    <row r="351" spans="1:19" x14ac:dyDescent="0.3">
      <c r="A351" s="15" t="s">
        <v>381</v>
      </c>
      <c r="B351" t="str">
        <f>IFERROR(VLOOKUP(Tabla13[[#This Row],[SISMED]],TblDisponibilidad[],2,FALSE), "")</f>
        <v/>
      </c>
      <c r="C351">
        <f>IFERROR(VLOOKUP(Tabla13[[#This Row],[SISMED]],TblDisponibilidad[],7,FALSE), 0)</f>
        <v>0</v>
      </c>
      <c r="D351">
        <f>IFERROR(VLOOKUP(Tabla13[[#This Row],[SISMED]],TblDisponibilidad[],8,FALSE), 0)</f>
        <v>0</v>
      </c>
      <c r="E351">
        <f>IFERROR(VLOOKUP(Tabla13[[#This Row],[SISMED]],TblDisponibilidad[],9,FALSE), 0)</f>
        <v>0</v>
      </c>
      <c r="F351">
        <f>IFERROR(VLOOKUP(Tabla13[[#This Row],[SISMED]],TblDisponibilidad[],10,FALSE), 0)</f>
        <v>0</v>
      </c>
      <c r="G351">
        <f>IFERROR(VLOOKUP(Tabla13[[#This Row],[SISMED]],TblDisponibilidad[],11,FALSE), 0)</f>
        <v>0</v>
      </c>
      <c r="H351">
        <f>IFERROR(VLOOKUP(Tabla13[[#This Row],[SISMED]],TblDisponibilidad[],12,FALSE), 0)</f>
        <v>0</v>
      </c>
      <c r="I351">
        <f>IFERROR(VLOOKUP(Tabla13[[#This Row],[SISMED]],TblDisponibilidad[],13,FALSE), 0)</f>
        <v>0</v>
      </c>
      <c r="J351">
        <f>IFERROR(VLOOKUP(Tabla13[[#This Row],[SISMED]],TblDisponibilidad[],14,FALSE), 0)</f>
        <v>0</v>
      </c>
      <c r="K351">
        <f>IFERROR(VLOOKUP(Tabla13[[#This Row],[SISMED]],TblDisponibilidad[],15,FALSE), 0)</f>
        <v>0</v>
      </c>
      <c r="L351">
        <f>IFERROR(VLOOKUP(Tabla13[[#This Row],[SISMED]],TblDisponibilidad[],16,FALSE), 0)</f>
        <v>0</v>
      </c>
      <c r="M351">
        <f>IFERROR(VLOOKUP(Tabla13[[#This Row],[SISMED]],TblDisponibilidad[],17,FALSE), 0)</f>
        <v>0</v>
      </c>
      <c r="N351">
        <f>IFERROR(VLOOKUP(Tabla13[[#This Row],[SISMED]],TblDisponibilidad[],18,FALSE), 0)</f>
        <v>0</v>
      </c>
      <c r="O351">
        <f>IFERROR(VLOOKUP(Tabla13[[#This Row],[SISMED]],TblDisponibilidad[],19,FALSE), 0)</f>
        <v>0</v>
      </c>
      <c r="P351">
        <f>IFERROR(VLOOKUP(Tabla13[[#This Row],[SISMED]],TblDisponibilidad[],20,FALSE), 0)</f>
        <v>0</v>
      </c>
      <c r="Q351">
        <f>IFERROR(VLOOKUP(Tabla13[[#This Row],[SISMED]],TblDisponibilidad[],21,FALSE), 0)</f>
        <v>0</v>
      </c>
      <c r="R351">
        <f>IFERROR(VLOOKUP(Tabla13[[#This Row],[SISMED]],TblDisponibilidad[],22,FALSE), 0)</f>
        <v>0</v>
      </c>
      <c r="S351" s="15">
        <f>IFERROR(VLOOKUP(Tabla13[[#This Row],[SISMED]],TblDisponibilidad[],23,FALSE), 0)</f>
        <v>0</v>
      </c>
    </row>
    <row r="352" spans="1:19" x14ac:dyDescent="0.3">
      <c r="A352" s="15" t="s">
        <v>382</v>
      </c>
      <c r="B352" t="str">
        <f>IFERROR(VLOOKUP(Tabla13[[#This Row],[SISMED]],TblDisponibilidad[],2,FALSE), "")</f>
        <v/>
      </c>
      <c r="C352">
        <f>IFERROR(VLOOKUP(Tabla13[[#This Row],[SISMED]],TblDisponibilidad[],7,FALSE), 0)</f>
        <v>0</v>
      </c>
      <c r="D352">
        <f>IFERROR(VLOOKUP(Tabla13[[#This Row],[SISMED]],TblDisponibilidad[],8,FALSE), 0)</f>
        <v>0</v>
      </c>
      <c r="E352">
        <f>IFERROR(VLOOKUP(Tabla13[[#This Row],[SISMED]],TblDisponibilidad[],9,FALSE), 0)</f>
        <v>0</v>
      </c>
      <c r="F352">
        <f>IFERROR(VLOOKUP(Tabla13[[#This Row],[SISMED]],TblDisponibilidad[],10,FALSE), 0)</f>
        <v>0</v>
      </c>
      <c r="G352">
        <f>IFERROR(VLOOKUP(Tabla13[[#This Row],[SISMED]],TblDisponibilidad[],11,FALSE), 0)</f>
        <v>0</v>
      </c>
      <c r="H352">
        <f>IFERROR(VLOOKUP(Tabla13[[#This Row],[SISMED]],TblDisponibilidad[],12,FALSE), 0)</f>
        <v>0</v>
      </c>
      <c r="I352">
        <f>IFERROR(VLOOKUP(Tabla13[[#This Row],[SISMED]],TblDisponibilidad[],13,FALSE), 0)</f>
        <v>0</v>
      </c>
      <c r="J352">
        <f>IFERROR(VLOOKUP(Tabla13[[#This Row],[SISMED]],TblDisponibilidad[],14,FALSE), 0)</f>
        <v>0</v>
      </c>
      <c r="K352">
        <f>IFERROR(VLOOKUP(Tabla13[[#This Row],[SISMED]],TblDisponibilidad[],15,FALSE), 0)</f>
        <v>0</v>
      </c>
      <c r="L352">
        <f>IFERROR(VLOOKUP(Tabla13[[#This Row],[SISMED]],TblDisponibilidad[],16,FALSE), 0)</f>
        <v>0</v>
      </c>
      <c r="M352">
        <f>IFERROR(VLOOKUP(Tabla13[[#This Row],[SISMED]],TblDisponibilidad[],17,FALSE), 0)</f>
        <v>0</v>
      </c>
      <c r="N352">
        <f>IFERROR(VLOOKUP(Tabla13[[#This Row],[SISMED]],TblDisponibilidad[],18,FALSE), 0)</f>
        <v>0</v>
      </c>
      <c r="O352">
        <f>IFERROR(VLOOKUP(Tabla13[[#This Row],[SISMED]],TblDisponibilidad[],19,FALSE), 0)</f>
        <v>0</v>
      </c>
      <c r="P352">
        <f>IFERROR(VLOOKUP(Tabla13[[#This Row],[SISMED]],TblDisponibilidad[],20,FALSE), 0)</f>
        <v>0</v>
      </c>
      <c r="Q352">
        <f>IFERROR(VLOOKUP(Tabla13[[#This Row],[SISMED]],TblDisponibilidad[],21,FALSE), 0)</f>
        <v>0</v>
      </c>
      <c r="R352">
        <f>IFERROR(VLOOKUP(Tabla13[[#This Row],[SISMED]],TblDisponibilidad[],22,FALSE), 0)</f>
        <v>0</v>
      </c>
      <c r="S352" s="15">
        <f>IFERROR(VLOOKUP(Tabla13[[#This Row],[SISMED]],TblDisponibilidad[],23,FALSE), 0)</f>
        <v>0</v>
      </c>
    </row>
    <row r="353" spans="1:19" x14ac:dyDescent="0.3">
      <c r="A353" s="15" t="s">
        <v>383</v>
      </c>
      <c r="B353" t="str">
        <f>IFERROR(VLOOKUP(Tabla13[[#This Row],[SISMED]],TblDisponibilidad[],2,FALSE), "")</f>
        <v/>
      </c>
      <c r="C353">
        <f>IFERROR(VLOOKUP(Tabla13[[#This Row],[SISMED]],TblDisponibilidad[],7,FALSE), 0)</f>
        <v>0</v>
      </c>
      <c r="D353">
        <f>IFERROR(VLOOKUP(Tabla13[[#This Row],[SISMED]],TblDisponibilidad[],8,FALSE), 0)</f>
        <v>0</v>
      </c>
      <c r="E353">
        <f>IFERROR(VLOOKUP(Tabla13[[#This Row],[SISMED]],TblDisponibilidad[],9,FALSE), 0)</f>
        <v>0</v>
      </c>
      <c r="F353">
        <f>IFERROR(VLOOKUP(Tabla13[[#This Row],[SISMED]],TblDisponibilidad[],10,FALSE), 0)</f>
        <v>0</v>
      </c>
      <c r="G353">
        <f>IFERROR(VLOOKUP(Tabla13[[#This Row],[SISMED]],TblDisponibilidad[],11,FALSE), 0)</f>
        <v>0</v>
      </c>
      <c r="H353">
        <f>IFERROR(VLOOKUP(Tabla13[[#This Row],[SISMED]],TblDisponibilidad[],12,FALSE), 0)</f>
        <v>0</v>
      </c>
      <c r="I353">
        <f>IFERROR(VLOOKUP(Tabla13[[#This Row],[SISMED]],TblDisponibilidad[],13,FALSE), 0)</f>
        <v>0</v>
      </c>
      <c r="J353">
        <f>IFERROR(VLOOKUP(Tabla13[[#This Row],[SISMED]],TblDisponibilidad[],14,FALSE), 0)</f>
        <v>0</v>
      </c>
      <c r="K353">
        <f>IFERROR(VLOOKUP(Tabla13[[#This Row],[SISMED]],TblDisponibilidad[],15,FALSE), 0)</f>
        <v>0</v>
      </c>
      <c r="L353">
        <f>IFERROR(VLOOKUP(Tabla13[[#This Row],[SISMED]],TblDisponibilidad[],16,FALSE), 0)</f>
        <v>0</v>
      </c>
      <c r="M353">
        <f>IFERROR(VLOOKUP(Tabla13[[#This Row],[SISMED]],TblDisponibilidad[],17,FALSE), 0)</f>
        <v>0</v>
      </c>
      <c r="N353">
        <f>IFERROR(VLOOKUP(Tabla13[[#This Row],[SISMED]],TblDisponibilidad[],18,FALSE), 0)</f>
        <v>0</v>
      </c>
      <c r="O353">
        <f>IFERROR(VLOOKUP(Tabla13[[#This Row],[SISMED]],TblDisponibilidad[],19,FALSE), 0)</f>
        <v>0</v>
      </c>
      <c r="P353">
        <f>IFERROR(VLOOKUP(Tabla13[[#This Row],[SISMED]],TblDisponibilidad[],20,FALSE), 0)</f>
        <v>0</v>
      </c>
      <c r="Q353">
        <f>IFERROR(VLOOKUP(Tabla13[[#This Row],[SISMED]],TblDisponibilidad[],21,FALSE), 0)</f>
        <v>0</v>
      </c>
      <c r="R353">
        <f>IFERROR(VLOOKUP(Tabla13[[#This Row],[SISMED]],TblDisponibilidad[],22,FALSE), 0)</f>
        <v>0</v>
      </c>
      <c r="S353" s="15">
        <f>IFERROR(VLOOKUP(Tabla13[[#This Row],[SISMED]],TblDisponibilidad[],23,FALSE), 0)</f>
        <v>0</v>
      </c>
    </row>
    <row r="354" spans="1:19" x14ac:dyDescent="0.3">
      <c r="A354" s="15" t="s">
        <v>384</v>
      </c>
      <c r="B354" t="str">
        <f>IFERROR(VLOOKUP(Tabla13[[#This Row],[SISMED]],TblDisponibilidad[],2,FALSE), "")</f>
        <v/>
      </c>
      <c r="C354">
        <f>IFERROR(VLOOKUP(Tabla13[[#This Row],[SISMED]],TblDisponibilidad[],7,FALSE), 0)</f>
        <v>0</v>
      </c>
      <c r="D354">
        <f>IFERROR(VLOOKUP(Tabla13[[#This Row],[SISMED]],TblDisponibilidad[],8,FALSE), 0)</f>
        <v>0</v>
      </c>
      <c r="E354">
        <f>IFERROR(VLOOKUP(Tabla13[[#This Row],[SISMED]],TblDisponibilidad[],9,FALSE), 0)</f>
        <v>0</v>
      </c>
      <c r="F354">
        <f>IFERROR(VLOOKUP(Tabla13[[#This Row],[SISMED]],TblDisponibilidad[],10,FALSE), 0)</f>
        <v>0</v>
      </c>
      <c r="G354">
        <f>IFERROR(VLOOKUP(Tabla13[[#This Row],[SISMED]],TblDisponibilidad[],11,FALSE), 0)</f>
        <v>0</v>
      </c>
      <c r="H354">
        <f>IFERROR(VLOOKUP(Tabla13[[#This Row],[SISMED]],TblDisponibilidad[],12,FALSE), 0)</f>
        <v>0</v>
      </c>
      <c r="I354">
        <f>IFERROR(VLOOKUP(Tabla13[[#This Row],[SISMED]],TblDisponibilidad[],13,FALSE), 0)</f>
        <v>0</v>
      </c>
      <c r="J354">
        <f>IFERROR(VLOOKUP(Tabla13[[#This Row],[SISMED]],TblDisponibilidad[],14,FALSE), 0)</f>
        <v>0</v>
      </c>
      <c r="K354">
        <f>IFERROR(VLOOKUP(Tabla13[[#This Row],[SISMED]],TblDisponibilidad[],15,FALSE), 0)</f>
        <v>0</v>
      </c>
      <c r="L354">
        <f>IFERROR(VLOOKUP(Tabla13[[#This Row],[SISMED]],TblDisponibilidad[],16,FALSE), 0)</f>
        <v>0</v>
      </c>
      <c r="M354">
        <f>IFERROR(VLOOKUP(Tabla13[[#This Row],[SISMED]],TblDisponibilidad[],17,FALSE), 0)</f>
        <v>0</v>
      </c>
      <c r="N354">
        <f>IFERROR(VLOOKUP(Tabla13[[#This Row],[SISMED]],TblDisponibilidad[],18,FALSE), 0)</f>
        <v>0</v>
      </c>
      <c r="O354">
        <f>IFERROR(VLOOKUP(Tabla13[[#This Row],[SISMED]],TblDisponibilidad[],19,FALSE), 0)</f>
        <v>0</v>
      </c>
      <c r="P354">
        <f>IFERROR(VLOOKUP(Tabla13[[#This Row],[SISMED]],TblDisponibilidad[],20,FALSE), 0)</f>
        <v>0</v>
      </c>
      <c r="Q354">
        <f>IFERROR(VLOOKUP(Tabla13[[#This Row],[SISMED]],TblDisponibilidad[],21,FALSE), 0)</f>
        <v>0</v>
      </c>
      <c r="R354">
        <f>IFERROR(VLOOKUP(Tabla13[[#This Row],[SISMED]],TblDisponibilidad[],22,FALSE), 0)</f>
        <v>0</v>
      </c>
      <c r="S354" s="15">
        <f>IFERROR(VLOOKUP(Tabla13[[#This Row],[SISMED]],TblDisponibilidad[],23,FALSE), 0)</f>
        <v>0</v>
      </c>
    </row>
    <row r="355" spans="1:19" x14ac:dyDescent="0.3">
      <c r="A355" s="15" t="s">
        <v>385</v>
      </c>
      <c r="B355" t="str">
        <f>IFERROR(VLOOKUP(Tabla13[[#This Row],[SISMED]],TblDisponibilidad[],2,FALSE), "")</f>
        <v/>
      </c>
      <c r="C355">
        <f>IFERROR(VLOOKUP(Tabla13[[#This Row],[SISMED]],TblDisponibilidad[],7,FALSE), 0)</f>
        <v>0</v>
      </c>
      <c r="D355">
        <f>IFERROR(VLOOKUP(Tabla13[[#This Row],[SISMED]],TblDisponibilidad[],8,FALSE), 0)</f>
        <v>0</v>
      </c>
      <c r="E355">
        <f>IFERROR(VLOOKUP(Tabla13[[#This Row],[SISMED]],TblDisponibilidad[],9,FALSE), 0)</f>
        <v>0</v>
      </c>
      <c r="F355">
        <f>IFERROR(VLOOKUP(Tabla13[[#This Row],[SISMED]],TblDisponibilidad[],10,FALSE), 0)</f>
        <v>0</v>
      </c>
      <c r="G355">
        <f>IFERROR(VLOOKUP(Tabla13[[#This Row],[SISMED]],TblDisponibilidad[],11,FALSE), 0)</f>
        <v>0</v>
      </c>
      <c r="H355">
        <f>IFERROR(VLOOKUP(Tabla13[[#This Row],[SISMED]],TblDisponibilidad[],12,FALSE), 0)</f>
        <v>0</v>
      </c>
      <c r="I355">
        <f>IFERROR(VLOOKUP(Tabla13[[#This Row],[SISMED]],TblDisponibilidad[],13,FALSE), 0)</f>
        <v>0</v>
      </c>
      <c r="J355">
        <f>IFERROR(VLOOKUP(Tabla13[[#This Row],[SISMED]],TblDisponibilidad[],14,FALSE), 0)</f>
        <v>0</v>
      </c>
      <c r="K355">
        <f>IFERROR(VLOOKUP(Tabla13[[#This Row],[SISMED]],TblDisponibilidad[],15,FALSE), 0)</f>
        <v>0</v>
      </c>
      <c r="L355">
        <f>IFERROR(VLOOKUP(Tabla13[[#This Row],[SISMED]],TblDisponibilidad[],16,FALSE), 0)</f>
        <v>0</v>
      </c>
      <c r="M355">
        <f>IFERROR(VLOOKUP(Tabla13[[#This Row],[SISMED]],TblDisponibilidad[],17,FALSE), 0)</f>
        <v>0</v>
      </c>
      <c r="N355">
        <f>IFERROR(VLOOKUP(Tabla13[[#This Row],[SISMED]],TblDisponibilidad[],18,FALSE), 0)</f>
        <v>0</v>
      </c>
      <c r="O355">
        <f>IFERROR(VLOOKUP(Tabla13[[#This Row],[SISMED]],TblDisponibilidad[],19,FALSE), 0)</f>
        <v>0</v>
      </c>
      <c r="P355">
        <f>IFERROR(VLOOKUP(Tabla13[[#This Row],[SISMED]],TblDisponibilidad[],20,FALSE), 0)</f>
        <v>0</v>
      </c>
      <c r="Q355">
        <f>IFERROR(VLOOKUP(Tabla13[[#This Row],[SISMED]],TblDisponibilidad[],21,FALSE), 0)</f>
        <v>0</v>
      </c>
      <c r="R355">
        <f>IFERROR(VLOOKUP(Tabla13[[#This Row],[SISMED]],TblDisponibilidad[],22,FALSE), 0)</f>
        <v>0</v>
      </c>
      <c r="S355" s="15">
        <f>IFERROR(VLOOKUP(Tabla13[[#This Row],[SISMED]],TblDisponibilidad[],23,FALSE), 0)</f>
        <v>0</v>
      </c>
    </row>
    <row r="356" spans="1:19" x14ac:dyDescent="0.3">
      <c r="A356" s="15" t="s">
        <v>386</v>
      </c>
      <c r="B356" t="str">
        <f>IFERROR(VLOOKUP(Tabla13[[#This Row],[SISMED]],TblDisponibilidad[],2,FALSE), "")</f>
        <v/>
      </c>
      <c r="C356">
        <f>IFERROR(VLOOKUP(Tabla13[[#This Row],[SISMED]],TblDisponibilidad[],7,FALSE), 0)</f>
        <v>0</v>
      </c>
      <c r="D356">
        <f>IFERROR(VLOOKUP(Tabla13[[#This Row],[SISMED]],TblDisponibilidad[],8,FALSE), 0)</f>
        <v>0</v>
      </c>
      <c r="E356">
        <f>IFERROR(VLOOKUP(Tabla13[[#This Row],[SISMED]],TblDisponibilidad[],9,FALSE), 0)</f>
        <v>0</v>
      </c>
      <c r="F356">
        <f>IFERROR(VLOOKUP(Tabla13[[#This Row],[SISMED]],TblDisponibilidad[],10,FALSE), 0)</f>
        <v>0</v>
      </c>
      <c r="G356">
        <f>IFERROR(VLOOKUP(Tabla13[[#This Row],[SISMED]],TblDisponibilidad[],11,FALSE), 0)</f>
        <v>0</v>
      </c>
      <c r="H356">
        <f>IFERROR(VLOOKUP(Tabla13[[#This Row],[SISMED]],TblDisponibilidad[],12,FALSE), 0)</f>
        <v>0</v>
      </c>
      <c r="I356">
        <f>IFERROR(VLOOKUP(Tabla13[[#This Row],[SISMED]],TblDisponibilidad[],13,FALSE), 0)</f>
        <v>0</v>
      </c>
      <c r="J356">
        <f>IFERROR(VLOOKUP(Tabla13[[#This Row],[SISMED]],TblDisponibilidad[],14,FALSE), 0)</f>
        <v>0</v>
      </c>
      <c r="K356">
        <f>IFERROR(VLOOKUP(Tabla13[[#This Row],[SISMED]],TblDisponibilidad[],15,FALSE), 0)</f>
        <v>0</v>
      </c>
      <c r="L356">
        <f>IFERROR(VLOOKUP(Tabla13[[#This Row],[SISMED]],TblDisponibilidad[],16,FALSE), 0)</f>
        <v>0</v>
      </c>
      <c r="M356">
        <f>IFERROR(VLOOKUP(Tabla13[[#This Row],[SISMED]],TblDisponibilidad[],17,FALSE), 0)</f>
        <v>0</v>
      </c>
      <c r="N356">
        <f>IFERROR(VLOOKUP(Tabla13[[#This Row],[SISMED]],TblDisponibilidad[],18,FALSE), 0)</f>
        <v>0</v>
      </c>
      <c r="O356">
        <f>IFERROR(VLOOKUP(Tabla13[[#This Row],[SISMED]],TblDisponibilidad[],19,FALSE), 0)</f>
        <v>0</v>
      </c>
      <c r="P356">
        <f>IFERROR(VLOOKUP(Tabla13[[#This Row],[SISMED]],TblDisponibilidad[],20,FALSE), 0)</f>
        <v>0</v>
      </c>
      <c r="Q356">
        <f>IFERROR(VLOOKUP(Tabla13[[#This Row],[SISMED]],TblDisponibilidad[],21,FALSE), 0)</f>
        <v>0</v>
      </c>
      <c r="R356">
        <f>IFERROR(VLOOKUP(Tabla13[[#This Row],[SISMED]],TblDisponibilidad[],22,FALSE), 0)</f>
        <v>0</v>
      </c>
      <c r="S356" s="15">
        <f>IFERROR(VLOOKUP(Tabla13[[#This Row],[SISMED]],TblDisponibilidad[],23,FALSE), 0)</f>
        <v>0</v>
      </c>
    </row>
    <row r="357" spans="1:19" x14ac:dyDescent="0.3">
      <c r="A357" s="15" t="s">
        <v>387</v>
      </c>
      <c r="B357" t="str">
        <f>IFERROR(VLOOKUP(Tabla13[[#This Row],[SISMED]],TblDisponibilidad[],2,FALSE), "")</f>
        <v/>
      </c>
      <c r="C357">
        <f>IFERROR(VLOOKUP(Tabla13[[#This Row],[SISMED]],TblDisponibilidad[],7,FALSE), 0)</f>
        <v>0</v>
      </c>
      <c r="D357">
        <f>IFERROR(VLOOKUP(Tabla13[[#This Row],[SISMED]],TblDisponibilidad[],8,FALSE), 0)</f>
        <v>0</v>
      </c>
      <c r="E357">
        <f>IFERROR(VLOOKUP(Tabla13[[#This Row],[SISMED]],TblDisponibilidad[],9,FALSE), 0)</f>
        <v>0</v>
      </c>
      <c r="F357">
        <f>IFERROR(VLOOKUP(Tabla13[[#This Row],[SISMED]],TblDisponibilidad[],10,FALSE), 0)</f>
        <v>0</v>
      </c>
      <c r="G357">
        <f>IFERROR(VLOOKUP(Tabla13[[#This Row],[SISMED]],TblDisponibilidad[],11,FALSE), 0)</f>
        <v>0</v>
      </c>
      <c r="H357">
        <f>IFERROR(VLOOKUP(Tabla13[[#This Row],[SISMED]],TblDisponibilidad[],12,FALSE), 0)</f>
        <v>0</v>
      </c>
      <c r="I357">
        <f>IFERROR(VLOOKUP(Tabla13[[#This Row],[SISMED]],TblDisponibilidad[],13,FALSE), 0)</f>
        <v>0</v>
      </c>
      <c r="J357">
        <f>IFERROR(VLOOKUP(Tabla13[[#This Row],[SISMED]],TblDisponibilidad[],14,FALSE), 0)</f>
        <v>0</v>
      </c>
      <c r="K357">
        <f>IFERROR(VLOOKUP(Tabla13[[#This Row],[SISMED]],TblDisponibilidad[],15,FALSE), 0)</f>
        <v>0</v>
      </c>
      <c r="L357">
        <f>IFERROR(VLOOKUP(Tabla13[[#This Row],[SISMED]],TblDisponibilidad[],16,FALSE), 0)</f>
        <v>0</v>
      </c>
      <c r="M357">
        <f>IFERROR(VLOOKUP(Tabla13[[#This Row],[SISMED]],TblDisponibilidad[],17,FALSE), 0)</f>
        <v>0</v>
      </c>
      <c r="N357">
        <f>IFERROR(VLOOKUP(Tabla13[[#This Row],[SISMED]],TblDisponibilidad[],18,FALSE), 0)</f>
        <v>0</v>
      </c>
      <c r="O357">
        <f>IFERROR(VLOOKUP(Tabla13[[#This Row],[SISMED]],TblDisponibilidad[],19,FALSE), 0)</f>
        <v>0</v>
      </c>
      <c r="P357">
        <f>IFERROR(VLOOKUP(Tabla13[[#This Row],[SISMED]],TblDisponibilidad[],20,FALSE), 0)</f>
        <v>0</v>
      </c>
      <c r="Q357">
        <f>IFERROR(VLOOKUP(Tabla13[[#This Row],[SISMED]],TblDisponibilidad[],21,FALSE), 0)</f>
        <v>0</v>
      </c>
      <c r="R357">
        <f>IFERROR(VLOOKUP(Tabla13[[#This Row],[SISMED]],TblDisponibilidad[],22,FALSE), 0)</f>
        <v>0</v>
      </c>
      <c r="S357" s="15">
        <f>IFERROR(VLOOKUP(Tabla13[[#This Row],[SISMED]],TblDisponibilidad[],23,FALSE), 0)</f>
        <v>0</v>
      </c>
    </row>
    <row r="358" spans="1:19" x14ac:dyDescent="0.3">
      <c r="A358" s="15" t="s">
        <v>388</v>
      </c>
      <c r="B358" t="str">
        <f>IFERROR(VLOOKUP(Tabla13[[#This Row],[SISMED]],TblDisponibilidad[],2,FALSE), "")</f>
        <v/>
      </c>
      <c r="C358">
        <f>IFERROR(VLOOKUP(Tabla13[[#This Row],[SISMED]],TblDisponibilidad[],7,FALSE), 0)</f>
        <v>0</v>
      </c>
      <c r="D358">
        <f>IFERROR(VLOOKUP(Tabla13[[#This Row],[SISMED]],TblDisponibilidad[],8,FALSE), 0)</f>
        <v>0</v>
      </c>
      <c r="E358">
        <f>IFERROR(VLOOKUP(Tabla13[[#This Row],[SISMED]],TblDisponibilidad[],9,FALSE), 0)</f>
        <v>0</v>
      </c>
      <c r="F358">
        <f>IFERROR(VLOOKUP(Tabla13[[#This Row],[SISMED]],TblDisponibilidad[],10,FALSE), 0)</f>
        <v>0</v>
      </c>
      <c r="G358">
        <f>IFERROR(VLOOKUP(Tabla13[[#This Row],[SISMED]],TblDisponibilidad[],11,FALSE), 0)</f>
        <v>0</v>
      </c>
      <c r="H358">
        <f>IFERROR(VLOOKUP(Tabla13[[#This Row],[SISMED]],TblDisponibilidad[],12,FALSE), 0)</f>
        <v>0</v>
      </c>
      <c r="I358">
        <f>IFERROR(VLOOKUP(Tabla13[[#This Row],[SISMED]],TblDisponibilidad[],13,FALSE), 0)</f>
        <v>0</v>
      </c>
      <c r="J358">
        <f>IFERROR(VLOOKUP(Tabla13[[#This Row],[SISMED]],TblDisponibilidad[],14,FALSE), 0)</f>
        <v>0</v>
      </c>
      <c r="K358">
        <f>IFERROR(VLOOKUP(Tabla13[[#This Row],[SISMED]],TblDisponibilidad[],15,FALSE), 0)</f>
        <v>0</v>
      </c>
      <c r="L358">
        <f>IFERROR(VLOOKUP(Tabla13[[#This Row],[SISMED]],TblDisponibilidad[],16,FALSE), 0)</f>
        <v>0</v>
      </c>
      <c r="M358">
        <f>IFERROR(VLOOKUP(Tabla13[[#This Row],[SISMED]],TblDisponibilidad[],17,FALSE), 0)</f>
        <v>0</v>
      </c>
      <c r="N358">
        <f>IFERROR(VLOOKUP(Tabla13[[#This Row],[SISMED]],TblDisponibilidad[],18,FALSE), 0)</f>
        <v>0</v>
      </c>
      <c r="O358">
        <f>IFERROR(VLOOKUP(Tabla13[[#This Row],[SISMED]],TblDisponibilidad[],19,FALSE), 0)</f>
        <v>0</v>
      </c>
      <c r="P358">
        <f>IFERROR(VLOOKUP(Tabla13[[#This Row],[SISMED]],TblDisponibilidad[],20,FALSE), 0)</f>
        <v>0</v>
      </c>
      <c r="Q358">
        <f>IFERROR(VLOOKUP(Tabla13[[#This Row],[SISMED]],TblDisponibilidad[],21,FALSE), 0)</f>
        <v>0</v>
      </c>
      <c r="R358">
        <f>IFERROR(VLOOKUP(Tabla13[[#This Row],[SISMED]],TblDisponibilidad[],22,FALSE), 0)</f>
        <v>0</v>
      </c>
      <c r="S358" s="15">
        <f>IFERROR(VLOOKUP(Tabla13[[#This Row],[SISMED]],TblDisponibilidad[],23,FALSE), 0)</f>
        <v>0</v>
      </c>
    </row>
    <row r="359" spans="1:19" x14ac:dyDescent="0.3">
      <c r="A359" s="15" t="s">
        <v>389</v>
      </c>
      <c r="B359" t="str">
        <f>IFERROR(VLOOKUP(Tabla13[[#This Row],[SISMED]],TblDisponibilidad[],2,FALSE), "")</f>
        <v/>
      </c>
      <c r="C359">
        <f>IFERROR(VLOOKUP(Tabla13[[#This Row],[SISMED]],TblDisponibilidad[],7,FALSE), 0)</f>
        <v>0</v>
      </c>
      <c r="D359">
        <f>IFERROR(VLOOKUP(Tabla13[[#This Row],[SISMED]],TblDisponibilidad[],8,FALSE), 0)</f>
        <v>0</v>
      </c>
      <c r="E359">
        <f>IFERROR(VLOOKUP(Tabla13[[#This Row],[SISMED]],TblDisponibilidad[],9,FALSE), 0)</f>
        <v>0</v>
      </c>
      <c r="F359">
        <f>IFERROR(VLOOKUP(Tabla13[[#This Row],[SISMED]],TblDisponibilidad[],10,FALSE), 0)</f>
        <v>0</v>
      </c>
      <c r="G359">
        <f>IFERROR(VLOOKUP(Tabla13[[#This Row],[SISMED]],TblDisponibilidad[],11,FALSE), 0)</f>
        <v>0</v>
      </c>
      <c r="H359">
        <f>IFERROR(VLOOKUP(Tabla13[[#This Row],[SISMED]],TblDisponibilidad[],12,FALSE), 0)</f>
        <v>0</v>
      </c>
      <c r="I359">
        <f>IFERROR(VLOOKUP(Tabla13[[#This Row],[SISMED]],TblDisponibilidad[],13,FALSE), 0)</f>
        <v>0</v>
      </c>
      <c r="J359">
        <f>IFERROR(VLOOKUP(Tabla13[[#This Row],[SISMED]],TblDisponibilidad[],14,FALSE), 0)</f>
        <v>0</v>
      </c>
      <c r="K359">
        <f>IFERROR(VLOOKUP(Tabla13[[#This Row],[SISMED]],TblDisponibilidad[],15,FALSE), 0)</f>
        <v>0</v>
      </c>
      <c r="L359">
        <f>IFERROR(VLOOKUP(Tabla13[[#This Row],[SISMED]],TblDisponibilidad[],16,FALSE), 0)</f>
        <v>0</v>
      </c>
      <c r="M359">
        <f>IFERROR(VLOOKUP(Tabla13[[#This Row],[SISMED]],TblDisponibilidad[],17,FALSE), 0)</f>
        <v>0</v>
      </c>
      <c r="N359">
        <f>IFERROR(VLOOKUP(Tabla13[[#This Row],[SISMED]],TblDisponibilidad[],18,FALSE), 0)</f>
        <v>0</v>
      </c>
      <c r="O359">
        <f>IFERROR(VLOOKUP(Tabla13[[#This Row],[SISMED]],TblDisponibilidad[],19,FALSE), 0)</f>
        <v>0</v>
      </c>
      <c r="P359">
        <f>IFERROR(VLOOKUP(Tabla13[[#This Row],[SISMED]],TblDisponibilidad[],20,FALSE), 0)</f>
        <v>0</v>
      </c>
      <c r="Q359">
        <f>IFERROR(VLOOKUP(Tabla13[[#This Row],[SISMED]],TblDisponibilidad[],21,FALSE), 0)</f>
        <v>0</v>
      </c>
      <c r="R359">
        <f>IFERROR(VLOOKUP(Tabla13[[#This Row],[SISMED]],TblDisponibilidad[],22,FALSE), 0)</f>
        <v>0</v>
      </c>
      <c r="S359" s="15">
        <f>IFERROR(VLOOKUP(Tabla13[[#This Row],[SISMED]],TblDisponibilidad[],23,FALSE), 0)</f>
        <v>0</v>
      </c>
    </row>
    <row r="360" spans="1:19" x14ac:dyDescent="0.3">
      <c r="A360" s="15" t="s">
        <v>390</v>
      </c>
      <c r="B360" t="str">
        <f>IFERROR(VLOOKUP(Tabla13[[#This Row],[SISMED]],TblDisponibilidad[],2,FALSE), "")</f>
        <v/>
      </c>
      <c r="C360">
        <f>IFERROR(VLOOKUP(Tabla13[[#This Row],[SISMED]],TblDisponibilidad[],7,FALSE), 0)</f>
        <v>0</v>
      </c>
      <c r="D360">
        <f>IFERROR(VLOOKUP(Tabla13[[#This Row],[SISMED]],TblDisponibilidad[],8,FALSE), 0)</f>
        <v>0</v>
      </c>
      <c r="E360">
        <f>IFERROR(VLOOKUP(Tabla13[[#This Row],[SISMED]],TblDisponibilidad[],9,FALSE), 0)</f>
        <v>0</v>
      </c>
      <c r="F360">
        <f>IFERROR(VLOOKUP(Tabla13[[#This Row],[SISMED]],TblDisponibilidad[],10,FALSE), 0)</f>
        <v>0</v>
      </c>
      <c r="G360">
        <f>IFERROR(VLOOKUP(Tabla13[[#This Row],[SISMED]],TblDisponibilidad[],11,FALSE), 0)</f>
        <v>0</v>
      </c>
      <c r="H360">
        <f>IFERROR(VLOOKUP(Tabla13[[#This Row],[SISMED]],TblDisponibilidad[],12,FALSE), 0)</f>
        <v>0</v>
      </c>
      <c r="I360">
        <f>IFERROR(VLOOKUP(Tabla13[[#This Row],[SISMED]],TblDisponibilidad[],13,FALSE), 0)</f>
        <v>0</v>
      </c>
      <c r="J360">
        <f>IFERROR(VLOOKUP(Tabla13[[#This Row],[SISMED]],TblDisponibilidad[],14,FALSE), 0)</f>
        <v>0</v>
      </c>
      <c r="K360">
        <f>IFERROR(VLOOKUP(Tabla13[[#This Row],[SISMED]],TblDisponibilidad[],15,FALSE), 0)</f>
        <v>0</v>
      </c>
      <c r="L360">
        <f>IFERROR(VLOOKUP(Tabla13[[#This Row],[SISMED]],TblDisponibilidad[],16,FALSE), 0)</f>
        <v>0</v>
      </c>
      <c r="M360">
        <f>IFERROR(VLOOKUP(Tabla13[[#This Row],[SISMED]],TblDisponibilidad[],17,FALSE), 0)</f>
        <v>0</v>
      </c>
      <c r="N360">
        <f>IFERROR(VLOOKUP(Tabla13[[#This Row],[SISMED]],TblDisponibilidad[],18,FALSE), 0)</f>
        <v>0</v>
      </c>
      <c r="O360">
        <f>IFERROR(VLOOKUP(Tabla13[[#This Row],[SISMED]],TblDisponibilidad[],19,FALSE), 0)</f>
        <v>0</v>
      </c>
      <c r="P360">
        <f>IFERROR(VLOOKUP(Tabla13[[#This Row],[SISMED]],TblDisponibilidad[],20,FALSE), 0)</f>
        <v>0</v>
      </c>
      <c r="Q360">
        <f>IFERROR(VLOOKUP(Tabla13[[#This Row],[SISMED]],TblDisponibilidad[],21,FALSE), 0)</f>
        <v>0</v>
      </c>
      <c r="R360">
        <f>IFERROR(VLOOKUP(Tabla13[[#This Row],[SISMED]],TblDisponibilidad[],22,FALSE), 0)</f>
        <v>0</v>
      </c>
      <c r="S360" s="15">
        <f>IFERROR(VLOOKUP(Tabla13[[#This Row],[SISMED]],TblDisponibilidad[],23,FALSE), 0)</f>
        <v>0</v>
      </c>
    </row>
    <row r="361" spans="1:19" x14ac:dyDescent="0.3">
      <c r="A361" s="15" t="s">
        <v>391</v>
      </c>
      <c r="B361" t="str">
        <f>IFERROR(VLOOKUP(Tabla13[[#This Row],[SISMED]],TblDisponibilidad[],2,FALSE), "")</f>
        <v/>
      </c>
      <c r="C361">
        <f>IFERROR(VLOOKUP(Tabla13[[#This Row],[SISMED]],TblDisponibilidad[],7,FALSE), 0)</f>
        <v>0</v>
      </c>
      <c r="D361">
        <f>IFERROR(VLOOKUP(Tabla13[[#This Row],[SISMED]],TblDisponibilidad[],8,FALSE), 0)</f>
        <v>0</v>
      </c>
      <c r="E361">
        <f>IFERROR(VLOOKUP(Tabla13[[#This Row],[SISMED]],TblDisponibilidad[],9,FALSE), 0)</f>
        <v>0</v>
      </c>
      <c r="F361">
        <f>IFERROR(VLOOKUP(Tabla13[[#This Row],[SISMED]],TblDisponibilidad[],10,FALSE), 0)</f>
        <v>0</v>
      </c>
      <c r="G361">
        <f>IFERROR(VLOOKUP(Tabla13[[#This Row],[SISMED]],TblDisponibilidad[],11,FALSE), 0)</f>
        <v>0</v>
      </c>
      <c r="H361">
        <f>IFERROR(VLOOKUP(Tabla13[[#This Row],[SISMED]],TblDisponibilidad[],12,FALSE), 0)</f>
        <v>0</v>
      </c>
      <c r="I361">
        <f>IFERROR(VLOOKUP(Tabla13[[#This Row],[SISMED]],TblDisponibilidad[],13,FALSE), 0)</f>
        <v>0</v>
      </c>
      <c r="J361">
        <f>IFERROR(VLOOKUP(Tabla13[[#This Row],[SISMED]],TblDisponibilidad[],14,FALSE), 0)</f>
        <v>0</v>
      </c>
      <c r="K361">
        <f>IFERROR(VLOOKUP(Tabla13[[#This Row],[SISMED]],TblDisponibilidad[],15,FALSE), 0)</f>
        <v>0</v>
      </c>
      <c r="L361">
        <f>IFERROR(VLOOKUP(Tabla13[[#This Row],[SISMED]],TblDisponibilidad[],16,FALSE), 0)</f>
        <v>0</v>
      </c>
      <c r="M361">
        <f>IFERROR(VLOOKUP(Tabla13[[#This Row],[SISMED]],TblDisponibilidad[],17,FALSE), 0)</f>
        <v>0</v>
      </c>
      <c r="N361">
        <f>IFERROR(VLOOKUP(Tabla13[[#This Row],[SISMED]],TblDisponibilidad[],18,FALSE), 0)</f>
        <v>0</v>
      </c>
      <c r="O361">
        <f>IFERROR(VLOOKUP(Tabla13[[#This Row],[SISMED]],TblDisponibilidad[],19,FALSE), 0)</f>
        <v>0</v>
      </c>
      <c r="P361">
        <f>IFERROR(VLOOKUP(Tabla13[[#This Row],[SISMED]],TblDisponibilidad[],20,FALSE), 0)</f>
        <v>0</v>
      </c>
      <c r="Q361">
        <f>IFERROR(VLOOKUP(Tabla13[[#This Row],[SISMED]],TblDisponibilidad[],21,FALSE), 0)</f>
        <v>0</v>
      </c>
      <c r="R361">
        <f>IFERROR(VLOOKUP(Tabla13[[#This Row],[SISMED]],TblDisponibilidad[],22,FALSE), 0)</f>
        <v>0</v>
      </c>
      <c r="S361" s="15">
        <f>IFERROR(VLOOKUP(Tabla13[[#This Row],[SISMED]],TblDisponibilidad[],23,FALSE), 0)</f>
        <v>0</v>
      </c>
    </row>
    <row r="362" spans="1:19" x14ac:dyDescent="0.3">
      <c r="A362" s="15" t="s">
        <v>392</v>
      </c>
      <c r="B362" t="str">
        <f>IFERROR(VLOOKUP(Tabla13[[#This Row],[SISMED]],TblDisponibilidad[],2,FALSE), "")</f>
        <v/>
      </c>
      <c r="C362">
        <f>IFERROR(VLOOKUP(Tabla13[[#This Row],[SISMED]],TblDisponibilidad[],7,FALSE), 0)</f>
        <v>0</v>
      </c>
      <c r="D362">
        <f>IFERROR(VLOOKUP(Tabla13[[#This Row],[SISMED]],TblDisponibilidad[],8,FALSE), 0)</f>
        <v>0</v>
      </c>
      <c r="E362">
        <f>IFERROR(VLOOKUP(Tabla13[[#This Row],[SISMED]],TblDisponibilidad[],9,FALSE), 0)</f>
        <v>0</v>
      </c>
      <c r="F362">
        <f>IFERROR(VLOOKUP(Tabla13[[#This Row],[SISMED]],TblDisponibilidad[],10,FALSE), 0)</f>
        <v>0</v>
      </c>
      <c r="G362">
        <f>IFERROR(VLOOKUP(Tabla13[[#This Row],[SISMED]],TblDisponibilidad[],11,FALSE), 0)</f>
        <v>0</v>
      </c>
      <c r="H362">
        <f>IFERROR(VLOOKUP(Tabla13[[#This Row],[SISMED]],TblDisponibilidad[],12,FALSE), 0)</f>
        <v>0</v>
      </c>
      <c r="I362">
        <f>IFERROR(VLOOKUP(Tabla13[[#This Row],[SISMED]],TblDisponibilidad[],13,FALSE), 0)</f>
        <v>0</v>
      </c>
      <c r="J362">
        <f>IFERROR(VLOOKUP(Tabla13[[#This Row],[SISMED]],TblDisponibilidad[],14,FALSE), 0)</f>
        <v>0</v>
      </c>
      <c r="K362">
        <f>IFERROR(VLOOKUP(Tabla13[[#This Row],[SISMED]],TblDisponibilidad[],15,FALSE), 0)</f>
        <v>0</v>
      </c>
      <c r="L362">
        <f>IFERROR(VLOOKUP(Tabla13[[#This Row],[SISMED]],TblDisponibilidad[],16,FALSE), 0)</f>
        <v>0</v>
      </c>
      <c r="M362">
        <f>IFERROR(VLOOKUP(Tabla13[[#This Row],[SISMED]],TblDisponibilidad[],17,FALSE), 0)</f>
        <v>0</v>
      </c>
      <c r="N362">
        <f>IFERROR(VLOOKUP(Tabla13[[#This Row],[SISMED]],TblDisponibilidad[],18,FALSE), 0)</f>
        <v>0</v>
      </c>
      <c r="O362">
        <f>IFERROR(VLOOKUP(Tabla13[[#This Row],[SISMED]],TblDisponibilidad[],19,FALSE), 0)</f>
        <v>0</v>
      </c>
      <c r="P362">
        <f>IFERROR(VLOOKUP(Tabla13[[#This Row],[SISMED]],TblDisponibilidad[],20,FALSE), 0)</f>
        <v>0</v>
      </c>
      <c r="Q362">
        <f>IFERROR(VLOOKUP(Tabla13[[#This Row],[SISMED]],TblDisponibilidad[],21,FALSE), 0)</f>
        <v>0</v>
      </c>
      <c r="R362">
        <f>IFERROR(VLOOKUP(Tabla13[[#This Row],[SISMED]],TblDisponibilidad[],22,FALSE), 0)</f>
        <v>0</v>
      </c>
      <c r="S362" s="15">
        <f>IFERROR(VLOOKUP(Tabla13[[#This Row],[SISMED]],TblDisponibilidad[],23,FALSE), 0)</f>
        <v>0</v>
      </c>
    </row>
    <row r="363" spans="1:19" x14ac:dyDescent="0.3">
      <c r="A363" s="15" t="s">
        <v>393</v>
      </c>
      <c r="B363" t="str">
        <f>IFERROR(VLOOKUP(Tabla13[[#This Row],[SISMED]],TblDisponibilidad[],2,FALSE), "")</f>
        <v/>
      </c>
      <c r="C363">
        <f>IFERROR(VLOOKUP(Tabla13[[#This Row],[SISMED]],TblDisponibilidad[],7,FALSE), 0)</f>
        <v>0</v>
      </c>
      <c r="D363">
        <f>IFERROR(VLOOKUP(Tabla13[[#This Row],[SISMED]],TblDisponibilidad[],8,FALSE), 0)</f>
        <v>0</v>
      </c>
      <c r="E363">
        <f>IFERROR(VLOOKUP(Tabla13[[#This Row],[SISMED]],TblDisponibilidad[],9,FALSE), 0)</f>
        <v>0</v>
      </c>
      <c r="F363">
        <f>IFERROR(VLOOKUP(Tabla13[[#This Row],[SISMED]],TblDisponibilidad[],10,FALSE), 0)</f>
        <v>0</v>
      </c>
      <c r="G363">
        <f>IFERROR(VLOOKUP(Tabla13[[#This Row],[SISMED]],TblDisponibilidad[],11,FALSE), 0)</f>
        <v>0</v>
      </c>
      <c r="H363">
        <f>IFERROR(VLOOKUP(Tabla13[[#This Row],[SISMED]],TblDisponibilidad[],12,FALSE), 0)</f>
        <v>0</v>
      </c>
      <c r="I363">
        <f>IFERROR(VLOOKUP(Tabla13[[#This Row],[SISMED]],TblDisponibilidad[],13,FALSE), 0)</f>
        <v>0</v>
      </c>
      <c r="J363">
        <f>IFERROR(VLOOKUP(Tabla13[[#This Row],[SISMED]],TblDisponibilidad[],14,FALSE), 0)</f>
        <v>0</v>
      </c>
      <c r="K363">
        <f>IFERROR(VLOOKUP(Tabla13[[#This Row],[SISMED]],TblDisponibilidad[],15,FALSE), 0)</f>
        <v>0</v>
      </c>
      <c r="L363">
        <f>IFERROR(VLOOKUP(Tabla13[[#This Row],[SISMED]],TblDisponibilidad[],16,FALSE), 0)</f>
        <v>0</v>
      </c>
      <c r="M363">
        <f>IFERROR(VLOOKUP(Tabla13[[#This Row],[SISMED]],TblDisponibilidad[],17,FALSE), 0)</f>
        <v>0</v>
      </c>
      <c r="N363">
        <f>IFERROR(VLOOKUP(Tabla13[[#This Row],[SISMED]],TblDisponibilidad[],18,FALSE), 0)</f>
        <v>0</v>
      </c>
      <c r="O363">
        <f>IFERROR(VLOOKUP(Tabla13[[#This Row],[SISMED]],TblDisponibilidad[],19,FALSE), 0)</f>
        <v>0</v>
      </c>
      <c r="P363">
        <f>IFERROR(VLOOKUP(Tabla13[[#This Row],[SISMED]],TblDisponibilidad[],20,FALSE), 0)</f>
        <v>0</v>
      </c>
      <c r="Q363">
        <f>IFERROR(VLOOKUP(Tabla13[[#This Row],[SISMED]],TblDisponibilidad[],21,FALSE), 0)</f>
        <v>0</v>
      </c>
      <c r="R363">
        <f>IFERROR(VLOOKUP(Tabla13[[#This Row],[SISMED]],TblDisponibilidad[],22,FALSE), 0)</f>
        <v>0</v>
      </c>
      <c r="S363" s="15">
        <f>IFERROR(VLOOKUP(Tabla13[[#This Row],[SISMED]],TblDisponibilidad[],23,FALSE), 0)</f>
        <v>0</v>
      </c>
    </row>
    <row r="364" spans="1:19" x14ac:dyDescent="0.3">
      <c r="A364" s="15" t="s">
        <v>394</v>
      </c>
      <c r="B364" t="str">
        <f>IFERROR(VLOOKUP(Tabla13[[#This Row],[SISMED]],TblDisponibilidad[],2,FALSE), "")</f>
        <v/>
      </c>
      <c r="C364">
        <f>IFERROR(VLOOKUP(Tabla13[[#This Row],[SISMED]],TblDisponibilidad[],7,FALSE), 0)</f>
        <v>0</v>
      </c>
      <c r="D364">
        <f>IFERROR(VLOOKUP(Tabla13[[#This Row],[SISMED]],TblDisponibilidad[],8,FALSE), 0)</f>
        <v>0</v>
      </c>
      <c r="E364">
        <f>IFERROR(VLOOKUP(Tabla13[[#This Row],[SISMED]],TblDisponibilidad[],9,FALSE), 0)</f>
        <v>0</v>
      </c>
      <c r="F364">
        <f>IFERROR(VLOOKUP(Tabla13[[#This Row],[SISMED]],TblDisponibilidad[],10,FALSE), 0)</f>
        <v>0</v>
      </c>
      <c r="G364">
        <f>IFERROR(VLOOKUP(Tabla13[[#This Row],[SISMED]],TblDisponibilidad[],11,FALSE), 0)</f>
        <v>0</v>
      </c>
      <c r="H364">
        <f>IFERROR(VLOOKUP(Tabla13[[#This Row],[SISMED]],TblDisponibilidad[],12,FALSE), 0)</f>
        <v>0</v>
      </c>
      <c r="I364">
        <f>IFERROR(VLOOKUP(Tabla13[[#This Row],[SISMED]],TblDisponibilidad[],13,FALSE), 0)</f>
        <v>0</v>
      </c>
      <c r="J364">
        <f>IFERROR(VLOOKUP(Tabla13[[#This Row],[SISMED]],TblDisponibilidad[],14,FALSE), 0)</f>
        <v>0</v>
      </c>
      <c r="K364">
        <f>IFERROR(VLOOKUP(Tabla13[[#This Row],[SISMED]],TblDisponibilidad[],15,FALSE), 0)</f>
        <v>0</v>
      </c>
      <c r="L364">
        <f>IFERROR(VLOOKUP(Tabla13[[#This Row],[SISMED]],TblDisponibilidad[],16,FALSE), 0)</f>
        <v>0</v>
      </c>
      <c r="M364">
        <f>IFERROR(VLOOKUP(Tabla13[[#This Row],[SISMED]],TblDisponibilidad[],17,FALSE), 0)</f>
        <v>0</v>
      </c>
      <c r="N364">
        <f>IFERROR(VLOOKUP(Tabla13[[#This Row],[SISMED]],TblDisponibilidad[],18,FALSE), 0)</f>
        <v>0</v>
      </c>
      <c r="O364">
        <f>IFERROR(VLOOKUP(Tabla13[[#This Row],[SISMED]],TblDisponibilidad[],19,FALSE), 0)</f>
        <v>0</v>
      </c>
      <c r="P364">
        <f>IFERROR(VLOOKUP(Tabla13[[#This Row],[SISMED]],TblDisponibilidad[],20,FALSE), 0)</f>
        <v>0</v>
      </c>
      <c r="Q364">
        <f>IFERROR(VLOOKUP(Tabla13[[#This Row],[SISMED]],TblDisponibilidad[],21,FALSE), 0)</f>
        <v>0</v>
      </c>
      <c r="R364">
        <f>IFERROR(VLOOKUP(Tabla13[[#This Row],[SISMED]],TblDisponibilidad[],22,FALSE), 0)</f>
        <v>0</v>
      </c>
      <c r="S364" s="15">
        <f>IFERROR(VLOOKUP(Tabla13[[#This Row],[SISMED]],TblDisponibilidad[],23,FALSE), 0)</f>
        <v>0</v>
      </c>
    </row>
    <row r="365" spans="1:19" x14ac:dyDescent="0.3">
      <c r="A365" s="15" t="s">
        <v>395</v>
      </c>
      <c r="B365" t="str">
        <f>IFERROR(VLOOKUP(Tabla13[[#This Row],[SISMED]],TblDisponibilidad[],2,FALSE), "")</f>
        <v/>
      </c>
      <c r="C365">
        <f>IFERROR(VLOOKUP(Tabla13[[#This Row],[SISMED]],TblDisponibilidad[],7,FALSE), 0)</f>
        <v>0</v>
      </c>
      <c r="D365">
        <f>IFERROR(VLOOKUP(Tabla13[[#This Row],[SISMED]],TblDisponibilidad[],8,FALSE), 0)</f>
        <v>0</v>
      </c>
      <c r="E365">
        <f>IFERROR(VLOOKUP(Tabla13[[#This Row],[SISMED]],TblDisponibilidad[],9,FALSE), 0)</f>
        <v>0</v>
      </c>
      <c r="F365">
        <f>IFERROR(VLOOKUP(Tabla13[[#This Row],[SISMED]],TblDisponibilidad[],10,FALSE), 0)</f>
        <v>0</v>
      </c>
      <c r="G365">
        <f>IFERROR(VLOOKUP(Tabla13[[#This Row],[SISMED]],TblDisponibilidad[],11,FALSE), 0)</f>
        <v>0</v>
      </c>
      <c r="H365">
        <f>IFERROR(VLOOKUP(Tabla13[[#This Row],[SISMED]],TblDisponibilidad[],12,FALSE), 0)</f>
        <v>0</v>
      </c>
      <c r="I365">
        <f>IFERROR(VLOOKUP(Tabla13[[#This Row],[SISMED]],TblDisponibilidad[],13,FALSE), 0)</f>
        <v>0</v>
      </c>
      <c r="J365">
        <f>IFERROR(VLOOKUP(Tabla13[[#This Row],[SISMED]],TblDisponibilidad[],14,FALSE), 0)</f>
        <v>0</v>
      </c>
      <c r="K365">
        <f>IFERROR(VLOOKUP(Tabla13[[#This Row],[SISMED]],TblDisponibilidad[],15,FALSE), 0)</f>
        <v>0</v>
      </c>
      <c r="L365">
        <f>IFERROR(VLOOKUP(Tabla13[[#This Row],[SISMED]],TblDisponibilidad[],16,FALSE), 0)</f>
        <v>0</v>
      </c>
      <c r="M365">
        <f>IFERROR(VLOOKUP(Tabla13[[#This Row],[SISMED]],TblDisponibilidad[],17,FALSE), 0)</f>
        <v>0</v>
      </c>
      <c r="N365">
        <f>IFERROR(VLOOKUP(Tabla13[[#This Row],[SISMED]],TblDisponibilidad[],18,FALSE), 0)</f>
        <v>0</v>
      </c>
      <c r="O365">
        <f>IFERROR(VLOOKUP(Tabla13[[#This Row],[SISMED]],TblDisponibilidad[],19,FALSE), 0)</f>
        <v>0</v>
      </c>
      <c r="P365">
        <f>IFERROR(VLOOKUP(Tabla13[[#This Row],[SISMED]],TblDisponibilidad[],20,FALSE), 0)</f>
        <v>0</v>
      </c>
      <c r="Q365">
        <f>IFERROR(VLOOKUP(Tabla13[[#This Row],[SISMED]],TblDisponibilidad[],21,FALSE), 0)</f>
        <v>0</v>
      </c>
      <c r="R365">
        <f>IFERROR(VLOOKUP(Tabla13[[#This Row],[SISMED]],TblDisponibilidad[],22,FALSE), 0)</f>
        <v>0</v>
      </c>
      <c r="S365" s="15">
        <f>IFERROR(VLOOKUP(Tabla13[[#This Row],[SISMED]],TblDisponibilidad[],23,FALSE), 0)</f>
        <v>0</v>
      </c>
    </row>
    <row r="366" spans="1:19" x14ac:dyDescent="0.3">
      <c r="A366" s="15" t="s">
        <v>396</v>
      </c>
      <c r="B366" t="str">
        <f>IFERROR(VLOOKUP(Tabla13[[#This Row],[SISMED]],TblDisponibilidad[],2,FALSE), "")</f>
        <v/>
      </c>
      <c r="C366">
        <f>IFERROR(VLOOKUP(Tabla13[[#This Row],[SISMED]],TblDisponibilidad[],7,FALSE), 0)</f>
        <v>0</v>
      </c>
      <c r="D366">
        <f>IFERROR(VLOOKUP(Tabla13[[#This Row],[SISMED]],TblDisponibilidad[],8,FALSE), 0)</f>
        <v>0</v>
      </c>
      <c r="E366">
        <f>IFERROR(VLOOKUP(Tabla13[[#This Row],[SISMED]],TblDisponibilidad[],9,FALSE), 0)</f>
        <v>0</v>
      </c>
      <c r="F366">
        <f>IFERROR(VLOOKUP(Tabla13[[#This Row],[SISMED]],TblDisponibilidad[],10,FALSE), 0)</f>
        <v>0</v>
      </c>
      <c r="G366">
        <f>IFERROR(VLOOKUP(Tabla13[[#This Row],[SISMED]],TblDisponibilidad[],11,FALSE), 0)</f>
        <v>0</v>
      </c>
      <c r="H366">
        <f>IFERROR(VLOOKUP(Tabla13[[#This Row],[SISMED]],TblDisponibilidad[],12,FALSE), 0)</f>
        <v>0</v>
      </c>
      <c r="I366">
        <f>IFERROR(VLOOKUP(Tabla13[[#This Row],[SISMED]],TblDisponibilidad[],13,FALSE), 0)</f>
        <v>0</v>
      </c>
      <c r="J366">
        <f>IFERROR(VLOOKUP(Tabla13[[#This Row],[SISMED]],TblDisponibilidad[],14,FALSE), 0)</f>
        <v>0</v>
      </c>
      <c r="K366">
        <f>IFERROR(VLOOKUP(Tabla13[[#This Row],[SISMED]],TblDisponibilidad[],15,FALSE), 0)</f>
        <v>0</v>
      </c>
      <c r="L366">
        <f>IFERROR(VLOOKUP(Tabla13[[#This Row],[SISMED]],TblDisponibilidad[],16,FALSE), 0)</f>
        <v>0</v>
      </c>
      <c r="M366">
        <f>IFERROR(VLOOKUP(Tabla13[[#This Row],[SISMED]],TblDisponibilidad[],17,FALSE), 0)</f>
        <v>0</v>
      </c>
      <c r="N366">
        <f>IFERROR(VLOOKUP(Tabla13[[#This Row],[SISMED]],TblDisponibilidad[],18,FALSE), 0)</f>
        <v>0</v>
      </c>
      <c r="O366">
        <f>IFERROR(VLOOKUP(Tabla13[[#This Row],[SISMED]],TblDisponibilidad[],19,FALSE), 0)</f>
        <v>0</v>
      </c>
      <c r="P366">
        <f>IFERROR(VLOOKUP(Tabla13[[#This Row],[SISMED]],TblDisponibilidad[],20,FALSE), 0)</f>
        <v>0</v>
      </c>
      <c r="Q366">
        <f>IFERROR(VLOOKUP(Tabla13[[#This Row],[SISMED]],TblDisponibilidad[],21,FALSE), 0)</f>
        <v>0</v>
      </c>
      <c r="R366">
        <f>IFERROR(VLOOKUP(Tabla13[[#This Row],[SISMED]],TblDisponibilidad[],22,FALSE), 0)</f>
        <v>0</v>
      </c>
      <c r="S366" s="15">
        <f>IFERROR(VLOOKUP(Tabla13[[#This Row],[SISMED]],TblDisponibilidad[],23,FALSE), 0)</f>
        <v>0</v>
      </c>
    </row>
    <row r="367" spans="1:19" x14ac:dyDescent="0.3">
      <c r="A367" s="15" t="s">
        <v>397</v>
      </c>
      <c r="B367" t="str">
        <f>IFERROR(VLOOKUP(Tabla13[[#This Row],[SISMED]],TblDisponibilidad[],2,FALSE), "")</f>
        <v/>
      </c>
      <c r="C367">
        <f>IFERROR(VLOOKUP(Tabla13[[#This Row],[SISMED]],TblDisponibilidad[],7,FALSE), 0)</f>
        <v>0</v>
      </c>
      <c r="D367">
        <f>IFERROR(VLOOKUP(Tabla13[[#This Row],[SISMED]],TblDisponibilidad[],8,FALSE), 0)</f>
        <v>0</v>
      </c>
      <c r="E367">
        <f>IFERROR(VLOOKUP(Tabla13[[#This Row],[SISMED]],TblDisponibilidad[],9,FALSE), 0)</f>
        <v>0</v>
      </c>
      <c r="F367">
        <f>IFERROR(VLOOKUP(Tabla13[[#This Row],[SISMED]],TblDisponibilidad[],10,FALSE), 0)</f>
        <v>0</v>
      </c>
      <c r="G367">
        <f>IFERROR(VLOOKUP(Tabla13[[#This Row],[SISMED]],TblDisponibilidad[],11,FALSE), 0)</f>
        <v>0</v>
      </c>
      <c r="H367">
        <f>IFERROR(VLOOKUP(Tabla13[[#This Row],[SISMED]],TblDisponibilidad[],12,FALSE), 0)</f>
        <v>0</v>
      </c>
      <c r="I367">
        <f>IFERROR(VLOOKUP(Tabla13[[#This Row],[SISMED]],TblDisponibilidad[],13,FALSE), 0)</f>
        <v>0</v>
      </c>
      <c r="J367">
        <f>IFERROR(VLOOKUP(Tabla13[[#This Row],[SISMED]],TblDisponibilidad[],14,FALSE), 0)</f>
        <v>0</v>
      </c>
      <c r="K367">
        <f>IFERROR(VLOOKUP(Tabla13[[#This Row],[SISMED]],TblDisponibilidad[],15,FALSE), 0)</f>
        <v>0</v>
      </c>
      <c r="L367">
        <f>IFERROR(VLOOKUP(Tabla13[[#This Row],[SISMED]],TblDisponibilidad[],16,FALSE), 0)</f>
        <v>0</v>
      </c>
      <c r="M367">
        <f>IFERROR(VLOOKUP(Tabla13[[#This Row],[SISMED]],TblDisponibilidad[],17,FALSE), 0)</f>
        <v>0</v>
      </c>
      <c r="N367">
        <f>IFERROR(VLOOKUP(Tabla13[[#This Row],[SISMED]],TblDisponibilidad[],18,FALSE), 0)</f>
        <v>0</v>
      </c>
      <c r="O367">
        <f>IFERROR(VLOOKUP(Tabla13[[#This Row],[SISMED]],TblDisponibilidad[],19,FALSE), 0)</f>
        <v>0</v>
      </c>
      <c r="P367">
        <f>IFERROR(VLOOKUP(Tabla13[[#This Row],[SISMED]],TblDisponibilidad[],20,FALSE), 0)</f>
        <v>0</v>
      </c>
      <c r="Q367">
        <f>IFERROR(VLOOKUP(Tabla13[[#This Row],[SISMED]],TblDisponibilidad[],21,FALSE), 0)</f>
        <v>0</v>
      </c>
      <c r="R367">
        <f>IFERROR(VLOOKUP(Tabla13[[#This Row],[SISMED]],TblDisponibilidad[],22,FALSE), 0)</f>
        <v>0</v>
      </c>
      <c r="S367" s="15">
        <f>IFERROR(VLOOKUP(Tabla13[[#This Row],[SISMED]],TblDisponibilidad[],23,FALSE), 0)</f>
        <v>0</v>
      </c>
    </row>
    <row r="368" spans="1:19" x14ac:dyDescent="0.3">
      <c r="A368" s="15" t="s">
        <v>398</v>
      </c>
      <c r="B368" t="str">
        <f>IFERROR(VLOOKUP(Tabla13[[#This Row],[SISMED]],TblDisponibilidad[],2,FALSE), "")</f>
        <v/>
      </c>
      <c r="C368">
        <f>IFERROR(VLOOKUP(Tabla13[[#This Row],[SISMED]],TblDisponibilidad[],7,FALSE), 0)</f>
        <v>0</v>
      </c>
      <c r="D368">
        <f>IFERROR(VLOOKUP(Tabla13[[#This Row],[SISMED]],TblDisponibilidad[],8,FALSE), 0)</f>
        <v>0</v>
      </c>
      <c r="E368">
        <f>IFERROR(VLOOKUP(Tabla13[[#This Row],[SISMED]],TblDisponibilidad[],9,FALSE), 0)</f>
        <v>0</v>
      </c>
      <c r="F368">
        <f>IFERROR(VLOOKUP(Tabla13[[#This Row],[SISMED]],TblDisponibilidad[],10,FALSE), 0)</f>
        <v>0</v>
      </c>
      <c r="G368">
        <f>IFERROR(VLOOKUP(Tabla13[[#This Row],[SISMED]],TblDisponibilidad[],11,FALSE), 0)</f>
        <v>0</v>
      </c>
      <c r="H368">
        <f>IFERROR(VLOOKUP(Tabla13[[#This Row],[SISMED]],TblDisponibilidad[],12,FALSE), 0)</f>
        <v>0</v>
      </c>
      <c r="I368">
        <f>IFERROR(VLOOKUP(Tabla13[[#This Row],[SISMED]],TblDisponibilidad[],13,FALSE), 0)</f>
        <v>0</v>
      </c>
      <c r="J368">
        <f>IFERROR(VLOOKUP(Tabla13[[#This Row],[SISMED]],TblDisponibilidad[],14,FALSE), 0)</f>
        <v>0</v>
      </c>
      <c r="K368">
        <f>IFERROR(VLOOKUP(Tabla13[[#This Row],[SISMED]],TblDisponibilidad[],15,FALSE), 0)</f>
        <v>0</v>
      </c>
      <c r="L368">
        <f>IFERROR(VLOOKUP(Tabla13[[#This Row],[SISMED]],TblDisponibilidad[],16,FALSE), 0)</f>
        <v>0</v>
      </c>
      <c r="M368">
        <f>IFERROR(VLOOKUP(Tabla13[[#This Row],[SISMED]],TblDisponibilidad[],17,FALSE), 0)</f>
        <v>0</v>
      </c>
      <c r="N368">
        <f>IFERROR(VLOOKUP(Tabla13[[#This Row],[SISMED]],TblDisponibilidad[],18,FALSE), 0)</f>
        <v>0</v>
      </c>
      <c r="O368">
        <f>IFERROR(VLOOKUP(Tabla13[[#This Row],[SISMED]],TblDisponibilidad[],19,FALSE), 0)</f>
        <v>0</v>
      </c>
      <c r="P368">
        <f>IFERROR(VLOOKUP(Tabla13[[#This Row],[SISMED]],TblDisponibilidad[],20,FALSE), 0)</f>
        <v>0</v>
      </c>
      <c r="Q368">
        <f>IFERROR(VLOOKUP(Tabla13[[#This Row],[SISMED]],TblDisponibilidad[],21,FALSE), 0)</f>
        <v>0</v>
      </c>
      <c r="R368">
        <f>IFERROR(VLOOKUP(Tabla13[[#This Row],[SISMED]],TblDisponibilidad[],22,FALSE), 0)</f>
        <v>0</v>
      </c>
      <c r="S368" s="15">
        <f>IFERROR(VLOOKUP(Tabla13[[#This Row],[SISMED]],TblDisponibilidad[],23,FALSE), 0)</f>
        <v>0</v>
      </c>
    </row>
    <row r="369" spans="1:19" x14ac:dyDescent="0.3">
      <c r="A369" s="15" t="s">
        <v>399</v>
      </c>
      <c r="B369" t="str">
        <f>IFERROR(VLOOKUP(Tabla13[[#This Row],[SISMED]],TblDisponibilidad[],2,FALSE), "")</f>
        <v/>
      </c>
      <c r="C369">
        <f>IFERROR(VLOOKUP(Tabla13[[#This Row],[SISMED]],TblDisponibilidad[],7,FALSE), 0)</f>
        <v>0</v>
      </c>
      <c r="D369">
        <f>IFERROR(VLOOKUP(Tabla13[[#This Row],[SISMED]],TblDisponibilidad[],8,FALSE), 0)</f>
        <v>0</v>
      </c>
      <c r="E369">
        <f>IFERROR(VLOOKUP(Tabla13[[#This Row],[SISMED]],TblDisponibilidad[],9,FALSE), 0)</f>
        <v>0</v>
      </c>
      <c r="F369">
        <f>IFERROR(VLOOKUP(Tabla13[[#This Row],[SISMED]],TblDisponibilidad[],10,FALSE), 0)</f>
        <v>0</v>
      </c>
      <c r="G369">
        <f>IFERROR(VLOOKUP(Tabla13[[#This Row],[SISMED]],TblDisponibilidad[],11,FALSE), 0)</f>
        <v>0</v>
      </c>
      <c r="H369">
        <f>IFERROR(VLOOKUP(Tabla13[[#This Row],[SISMED]],TblDisponibilidad[],12,FALSE), 0)</f>
        <v>0</v>
      </c>
      <c r="I369">
        <f>IFERROR(VLOOKUP(Tabla13[[#This Row],[SISMED]],TblDisponibilidad[],13,FALSE), 0)</f>
        <v>0</v>
      </c>
      <c r="J369">
        <f>IFERROR(VLOOKUP(Tabla13[[#This Row],[SISMED]],TblDisponibilidad[],14,FALSE), 0)</f>
        <v>0</v>
      </c>
      <c r="K369">
        <f>IFERROR(VLOOKUP(Tabla13[[#This Row],[SISMED]],TblDisponibilidad[],15,FALSE), 0)</f>
        <v>0</v>
      </c>
      <c r="L369">
        <f>IFERROR(VLOOKUP(Tabla13[[#This Row],[SISMED]],TblDisponibilidad[],16,FALSE), 0)</f>
        <v>0</v>
      </c>
      <c r="M369">
        <f>IFERROR(VLOOKUP(Tabla13[[#This Row],[SISMED]],TblDisponibilidad[],17,FALSE), 0)</f>
        <v>0</v>
      </c>
      <c r="N369">
        <f>IFERROR(VLOOKUP(Tabla13[[#This Row],[SISMED]],TblDisponibilidad[],18,FALSE), 0)</f>
        <v>0</v>
      </c>
      <c r="O369">
        <f>IFERROR(VLOOKUP(Tabla13[[#This Row],[SISMED]],TblDisponibilidad[],19,FALSE), 0)</f>
        <v>0</v>
      </c>
      <c r="P369">
        <f>IFERROR(VLOOKUP(Tabla13[[#This Row],[SISMED]],TblDisponibilidad[],20,FALSE), 0)</f>
        <v>0</v>
      </c>
      <c r="Q369">
        <f>IFERROR(VLOOKUP(Tabla13[[#This Row],[SISMED]],TblDisponibilidad[],21,FALSE), 0)</f>
        <v>0</v>
      </c>
      <c r="R369">
        <f>IFERROR(VLOOKUP(Tabla13[[#This Row],[SISMED]],TblDisponibilidad[],22,FALSE), 0)</f>
        <v>0</v>
      </c>
      <c r="S369" s="15">
        <f>IFERROR(VLOOKUP(Tabla13[[#This Row],[SISMED]],TblDisponibilidad[],23,FALSE), 0)</f>
        <v>0</v>
      </c>
    </row>
    <row r="370" spans="1:19" x14ac:dyDescent="0.3">
      <c r="A370" s="15" t="s">
        <v>400</v>
      </c>
      <c r="B370" t="str">
        <f>IFERROR(VLOOKUP(Tabla13[[#This Row],[SISMED]],TblDisponibilidad[],2,FALSE), "")</f>
        <v/>
      </c>
      <c r="C370">
        <f>IFERROR(VLOOKUP(Tabla13[[#This Row],[SISMED]],TblDisponibilidad[],7,FALSE), 0)</f>
        <v>0</v>
      </c>
      <c r="D370">
        <f>IFERROR(VLOOKUP(Tabla13[[#This Row],[SISMED]],TblDisponibilidad[],8,FALSE), 0)</f>
        <v>0</v>
      </c>
      <c r="E370">
        <f>IFERROR(VLOOKUP(Tabla13[[#This Row],[SISMED]],TblDisponibilidad[],9,FALSE), 0)</f>
        <v>0</v>
      </c>
      <c r="F370">
        <f>IFERROR(VLOOKUP(Tabla13[[#This Row],[SISMED]],TblDisponibilidad[],10,FALSE), 0)</f>
        <v>0</v>
      </c>
      <c r="G370">
        <f>IFERROR(VLOOKUP(Tabla13[[#This Row],[SISMED]],TblDisponibilidad[],11,FALSE), 0)</f>
        <v>0</v>
      </c>
      <c r="H370">
        <f>IFERROR(VLOOKUP(Tabla13[[#This Row],[SISMED]],TblDisponibilidad[],12,FALSE), 0)</f>
        <v>0</v>
      </c>
      <c r="I370">
        <f>IFERROR(VLOOKUP(Tabla13[[#This Row],[SISMED]],TblDisponibilidad[],13,FALSE), 0)</f>
        <v>0</v>
      </c>
      <c r="J370">
        <f>IFERROR(VLOOKUP(Tabla13[[#This Row],[SISMED]],TblDisponibilidad[],14,FALSE), 0)</f>
        <v>0</v>
      </c>
      <c r="K370">
        <f>IFERROR(VLOOKUP(Tabla13[[#This Row],[SISMED]],TblDisponibilidad[],15,FALSE), 0)</f>
        <v>0</v>
      </c>
      <c r="L370">
        <f>IFERROR(VLOOKUP(Tabla13[[#This Row],[SISMED]],TblDisponibilidad[],16,FALSE), 0)</f>
        <v>0</v>
      </c>
      <c r="M370">
        <f>IFERROR(VLOOKUP(Tabla13[[#This Row],[SISMED]],TblDisponibilidad[],17,FALSE), 0)</f>
        <v>0</v>
      </c>
      <c r="N370">
        <f>IFERROR(VLOOKUP(Tabla13[[#This Row],[SISMED]],TblDisponibilidad[],18,FALSE), 0)</f>
        <v>0</v>
      </c>
      <c r="O370">
        <f>IFERROR(VLOOKUP(Tabla13[[#This Row],[SISMED]],TblDisponibilidad[],19,FALSE), 0)</f>
        <v>0</v>
      </c>
      <c r="P370">
        <f>IFERROR(VLOOKUP(Tabla13[[#This Row],[SISMED]],TblDisponibilidad[],20,FALSE), 0)</f>
        <v>0</v>
      </c>
      <c r="Q370">
        <f>IFERROR(VLOOKUP(Tabla13[[#This Row],[SISMED]],TblDisponibilidad[],21,FALSE), 0)</f>
        <v>0</v>
      </c>
      <c r="R370">
        <f>IFERROR(VLOOKUP(Tabla13[[#This Row],[SISMED]],TblDisponibilidad[],22,FALSE), 0)</f>
        <v>0</v>
      </c>
      <c r="S370" s="15">
        <f>IFERROR(VLOOKUP(Tabla13[[#This Row],[SISMED]],TblDisponibilidad[],23,FALSE), 0)</f>
        <v>0</v>
      </c>
    </row>
    <row r="371" spans="1:19" x14ac:dyDescent="0.3">
      <c r="A371" s="15" t="s">
        <v>401</v>
      </c>
      <c r="B371" t="str">
        <f>IFERROR(VLOOKUP(Tabla13[[#This Row],[SISMED]],TblDisponibilidad[],2,FALSE), "")</f>
        <v/>
      </c>
      <c r="C371">
        <f>IFERROR(VLOOKUP(Tabla13[[#This Row],[SISMED]],TblDisponibilidad[],7,FALSE), 0)</f>
        <v>0</v>
      </c>
      <c r="D371">
        <f>IFERROR(VLOOKUP(Tabla13[[#This Row],[SISMED]],TblDisponibilidad[],8,FALSE), 0)</f>
        <v>0</v>
      </c>
      <c r="E371">
        <f>IFERROR(VLOOKUP(Tabla13[[#This Row],[SISMED]],TblDisponibilidad[],9,FALSE), 0)</f>
        <v>0</v>
      </c>
      <c r="F371">
        <f>IFERROR(VLOOKUP(Tabla13[[#This Row],[SISMED]],TblDisponibilidad[],10,FALSE), 0)</f>
        <v>0</v>
      </c>
      <c r="G371">
        <f>IFERROR(VLOOKUP(Tabla13[[#This Row],[SISMED]],TblDisponibilidad[],11,FALSE), 0)</f>
        <v>0</v>
      </c>
      <c r="H371">
        <f>IFERROR(VLOOKUP(Tabla13[[#This Row],[SISMED]],TblDisponibilidad[],12,FALSE), 0)</f>
        <v>0</v>
      </c>
      <c r="I371">
        <f>IFERROR(VLOOKUP(Tabla13[[#This Row],[SISMED]],TblDisponibilidad[],13,FALSE), 0)</f>
        <v>0</v>
      </c>
      <c r="J371">
        <f>IFERROR(VLOOKUP(Tabla13[[#This Row],[SISMED]],TblDisponibilidad[],14,FALSE), 0)</f>
        <v>0</v>
      </c>
      <c r="K371">
        <f>IFERROR(VLOOKUP(Tabla13[[#This Row],[SISMED]],TblDisponibilidad[],15,FALSE), 0)</f>
        <v>0</v>
      </c>
      <c r="L371">
        <f>IFERROR(VLOOKUP(Tabla13[[#This Row],[SISMED]],TblDisponibilidad[],16,FALSE), 0)</f>
        <v>0</v>
      </c>
      <c r="M371">
        <f>IFERROR(VLOOKUP(Tabla13[[#This Row],[SISMED]],TblDisponibilidad[],17,FALSE), 0)</f>
        <v>0</v>
      </c>
      <c r="N371">
        <f>IFERROR(VLOOKUP(Tabla13[[#This Row],[SISMED]],TblDisponibilidad[],18,FALSE), 0)</f>
        <v>0</v>
      </c>
      <c r="O371">
        <f>IFERROR(VLOOKUP(Tabla13[[#This Row],[SISMED]],TblDisponibilidad[],19,FALSE), 0)</f>
        <v>0</v>
      </c>
      <c r="P371">
        <f>IFERROR(VLOOKUP(Tabla13[[#This Row],[SISMED]],TblDisponibilidad[],20,FALSE), 0)</f>
        <v>0</v>
      </c>
      <c r="Q371">
        <f>IFERROR(VLOOKUP(Tabla13[[#This Row],[SISMED]],TblDisponibilidad[],21,FALSE), 0)</f>
        <v>0</v>
      </c>
      <c r="R371">
        <f>IFERROR(VLOOKUP(Tabla13[[#This Row],[SISMED]],TblDisponibilidad[],22,FALSE), 0)</f>
        <v>0</v>
      </c>
      <c r="S371" s="15">
        <f>IFERROR(VLOOKUP(Tabla13[[#This Row],[SISMED]],TblDisponibilidad[],23,FALSE), 0)</f>
        <v>0</v>
      </c>
    </row>
    <row r="372" spans="1:19" x14ac:dyDescent="0.3">
      <c r="A372" s="15" t="s">
        <v>402</v>
      </c>
      <c r="B372" t="str">
        <f>IFERROR(VLOOKUP(Tabla13[[#This Row],[SISMED]],TblDisponibilidad[],2,FALSE), "")</f>
        <v/>
      </c>
      <c r="C372">
        <f>IFERROR(VLOOKUP(Tabla13[[#This Row],[SISMED]],TblDisponibilidad[],7,FALSE), 0)</f>
        <v>0</v>
      </c>
      <c r="D372">
        <f>IFERROR(VLOOKUP(Tabla13[[#This Row],[SISMED]],TblDisponibilidad[],8,FALSE), 0)</f>
        <v>0</v>
      </c>
      <c r="E372">
        <f>IFERROR(VLOOKUP(Tabla13[[#This Row],[SISMED]],TblDisponibilidad[],9,FALSE), 0)</f>
        <v>0</v>
      </c>
      <c r="F372">
        <f>IFERROR(VLOOKUP(Tabla13[[#This Row],[SISMED]],TblDisponibilidad[],10,FALSE), 0)</f>
        <v>0</v>
      </c>
      <c r="G372">
        <f>IFERROR(VLOOKUP(Tabla13[[#This Row],[SISMED]],TblDisponibilidad[],11,FALSE), 0)</f>
        <v>0</v>
      </c>
      <c r="H372">
        <f>IFERROR(VLOOKUP(Tabla13[[#This Row],[SISMED]],TblDisponibilidad[],12,FALSE), 0)</f>
        <v>0</v>
      </c>
      <c r="I372">
        <f>IFERROR(VLOOKUP(Tabla13[[#This Row],[SISMED]],TblDisponibilidad[],13,FALSE), 0)</f>
        <v>0</v>
      </c>
      <c r="J372">
        <f>IFERROR(VLOOKUP(Tabla13[[#This Row],[SISMED]],TblDisponibilidad[],14,FALSE), 0)</f>
        <v>0</v>
      </c>
      <c r="K372">
        <f>IFERROR(VLOOKUP(Tabla13[[#This Row],[SISMED]],TblDisponibilidad[],15,FALSE), 0)</f>
        <v>0</v>
      </c>
      <c r="L372">
        <f>IFERROR(VLOOKUP(Tabla13[[#This Row],[SISMED]],TblDisponibilidad[],16,FALSE), 0)</f>
        <v>0</v>
      </c>
      <c r="M372">
        <f>IFERROR(VLOOKUP(Tabla13[[#This Row],[SISMED]],TblDisponibilidad[],17,FALSE), 0)</f>
        <v>0</v>
      </c>
      <c r="N372">
        <f>IFERROR(VLOOKUP(Tabla13[[#This Row],[SISMED]],TblDisponibilidad[],18,FALSE), 0)</f>
        <v>0</v>
      </c>
      <c r="O372">
        <f>IFERROR(VLOOKUP(Tabla13[[#This Row],[SISMED]],TblDisponibilidad[],19,FALSE), 0)</f>
        <v>0</v>
      </c>
      <c r="P372">
        <f>IFERROR(VLOOKUP(Tabla13[[#This Row],[SISMED]],TblDisponibilidad[],20,FALSE), 0)</f>
        <v>0</v>
      </c>
      <c r="Q372">
        <f>IFERROR(VLOOKUP(Tabla13[[#This Row],[SISMED]],TblDisponibilidad[],21,FALSE), 0)</f>
        <v>0</v>
      </c>
      <c r="R372">
        <f>IFERROR(VLOOKUP(Tabla13[[#This Row],[SISMED]],TblDisponibilidad[],22,FALSE), 0)</f>
        <v>0</v>
      </c>
      <c r="S372" s="15">
        <f>IFERROR(VLOOKUP(Tabla13[[#This Row],[SISMED]],TblDisponibilidad[],23,FALSE), 0)</f>
        <v>0</v>
      </c>
    </row>
    <row r="373" spans="1:19" x14ac:dyDescent="0.3">
      <c r="A373" s="15" t="s">
        <v>403</v>
      </c>
      <c r="B373" t="str">
        <f>IFERROR(VLOOKUP(Tabla13[[#This Row],[SISMED]],TblDisponibilidad[],2,FALSE), "")</f>
        <v/>
      </c>
      <c r="C373">
        <f>IFERROR(VLOOKUP(Tabla13[[#This Row],[SISMED]],TblDisponibilidad[],7,FALSE), 0)</f>
        <v>0</v>
      </c>
      <c r="D373">
        <f>IFERROR(VLOOKUP(Tabla13[[#This Row],[SISMED]],TblDisponibilidad[],8,FALSE), 0)</f>
        <v>0</v>
      </c>
      <c r="E373">
        <f>IFERROR(VLOOKUP(Tabla13[[#This Row],[SISMED]],TblDisponibilidad[],9,FALSE), 0)</f>
        <v>0</v>
      </c>
      <c r="F373">
        <f>IFERROR(VLOOKUP(Tabla13[[#This Row],[SISMED]],TblDisponibilidad[],10,FALSE), 0)</f>
        <v>0</v>
      </c>
      <c r="G373">
        <f>IFERROR(VLOOKUP(Tabla13[[#This Row],[SISMED]],TblDisponibilidad[],11,FALSE), 0)</f>
        <v>0</v>
      </c>
      <c r="H373">
        <f>IFERROR(VLOOKUP(Tabla13[[#This Row],[SISMED]],TblDisponibilidad[],12,FALSE), 0)</f>
        <v>0</v>
      </c>
      <c r="I373">
        <f>IFERROR(VLOOKUP(Tabla13[[#This Row],[SISMED]],TblDisponibilidad[],13,FALSE), 0)</f>
        <v>0</v>
      </c>
      <c r="J373">
        <f>IFERROR(VLOOKUP(Tabla13[[#This Row],[SISMED]],TblDisponibilidad[],14,FALSE), 0)</f>
        <v>0</v>
      </c>
      <c r="K373">
        <f>IFERROR(VLOOKUP(Tabla13[[#This Row],[SISMED]],TblDisponibilidad[],15,FALSE), 0)</f>
        <v>0</v>
      </c>
      <c r="L373">
        <f>IFERROR(VLOOKUP(Tabla13[[#This Row],[SISMED]],TblDisponibilidad[],16,FALSE), 0)</f>
        <v>0</v>
      </c>
      <c r="M373">
        <f>IFERROR(VLOOKUP(Tabla13[[#This Row],[SISMED]],TblDisponibilidad[],17,FALSE), 0)</f>
        <v>0</v>
      </c>
      <c r="N373">
        <f>IFERROR(VLOOKUP(Tabla13[[#This Row],[SISMED]],TblDisponibilidad[],18,FALSE), 0)</f>
        <v>0</v>
      </c>
      <c r="O373">
        <f>IFERROR(VLOOKUP(Tabla13[[#This Row],[SISMED]],TblDisponibilidad[],19,FALSE), 0)</f>
        <v>0</v>
      </c>
      <c r="P373">
        <f>IFERROR(VLOOKUP(Tabla13[[#This Row],[SISMED]],TblDisponibilidad[],20,FALSE), 0)</f>
        <v>0</v>
      </c>
      <c r="Q373">
        <f>IFERROR(VLOOKUP(Tabla13[[#This Row],[SISMED]],TblDisponibilidad[],21,FALSE), 0)</f>
        <v>0</v>
      </c>
      <c r="R373">
        <f>IFERROR(VLOOKUP(Tabla13[[#This Row],[SISMED]],TblDisponibilidad[],22,FALSE), 0)</f>
        <v>0</v>
      </c>
      <c r="S373" s="15">
        <f>IFERROR(VLOOKUP(Tabla13[[#This Row],[SISMED]],TblDisponibilidad[],23,FALSE), 0)</f>
        <v>0</v>
      </c>
    </row>
    <row r="374" spans="1:19" x14ac:dyDescent="0.3">
      <c r="A374" s="15" t="s">
        <v>404</v>
      </c>
      <c r="B374" t="str">
        <f>IFERROR(VLOOKUP(Tabla13[[#This Row],[SISMED]],TblDisponibilidad[],2,FALSE), "")</f>
        <v/>
      </c>
      <c r="C374">
        <f>IFERROR(VLOOKUP(Tabla13[[#This Row],[SISMED]],TblDisponibilidad[],7,FALSE), 0)</f>
        <v>0</v>
      </c>
      <c r="D374">
        <f>IFERROR(VLOOKUP(Tabla13[[#This Row],[SISMED]],TblDisponibilidad[],8,FALSE), 0)</f>
        <v>0</v>
      </c>
      <c r="E374">
        <f>IFERROR(VLOOKUP(Tabla13[[#This Row],[SISMED]],TblDisponibilidad[],9,FALSE), 0)</f>
        <v>0</v>
      </c>
      <c r="F374">
        <f>IFERROR(VLOOKUP(Tabla13[[#This Row],[SISMED]],TblDisponibilidad[],10,FALSE), 0)</f>
        <v>0</v>
      </c>
      <c r="G374">
        <f>IFERROR(VLOOKUP(Tabla13[[#This Row],[SISMED]],TblDisponibilidad[],11,FALSE), 0)</f>
        <v>0</v>
      </c>
      <c r="H374">
        <f>IFERROR(VLOOKUP(Tabla13[[#This Row],[SISMED]],TblDisponibilidad[],12,FALSE), 0)</f>
        <v>0</v>
      </c>
      <c r="I374">
        <f>IFERROR(VLOOKUP(Tabla13[[#This Row],[SISMED]],TblDisponibilidad[],13,FALSE), 0)</f>
        <v>0</v>
      </c>
      <c r="J374">
        <f>IFERROR(VLOOKUP(Tabla13[[#This Row],[SISMED]],TblDisponibilidad[],14,FALSE), 0)</f>
        <v>0</v>
      </c>
      <c r="K374">
        <f>IFERROR(VLOOKUP(Tabla13[[#This Row],[SISMED]],TblDisponibilidad[],15,FALSE), 0)</f>
        <v>0</v>
      </c>
      <c r="L374">
        <f>IFERROR(VLOOKUP(Tabla13[[#This Row],[SISMED]],TblDisponibilidad[],16,FALSE), 0)</f>
        <v>0</v>
      </c>
      <c r="M374">
        <f>IFERROR(VLOOKUP(Tabla13[[#This Row],[SISMED]],TblDisponibilidad[],17,FALSE), 0)</f>
        <v>0</v>
      </c>
      <c r="N374">
        <f>IFERROR(VLOOKUP(Tabla13[[#This Row],[SISMED]],TblDisponibilidad[],18,FALSE), 0)</f>
        <v>0</v>
      </c>
      <c r="O374">
        <f>IFERROR(VLOOKUP(Tabla13[[#This Row],[SISMED]],TblDisponibilidad[],19,FALSE), 0)</f>
        <v>0</v>
      </c>
      <c r="P374">
        <f>IFERROR(VLOOKUP(Tabla13[[#This Row],[SISMED]],TblDisponibilidad[],20,FALSE), 0)</f>
        <v>0</v>
      </c>
      <c r="Q374">
        <f>IFERROR(VLOOKUP(Tabla13[[#This Row],[SISMED]],TblDisponibilidad[],21,FALSE), 0)</f>
        <v>0</v>
      </c>
      <c r="R374">
        <f>IFERROR(VLOOKUP(Tabla13[[#This Row],[SISMED]],TblDisponibilidad[],22,FALSE), 0)</f>
        <v>0</v>
      </c>
      <c r="S374" s="15">
        <f>IFERROR(VLOOKUP(Tabla13[[#This Row],[SISMED]],TblDisponibilidad[],23,FALSE), 0)</f>
        <v>0</v>
      </c>
    </row>
    <row r="375" spans="1:19" x14ac:dyDescent="0.3">
      <c r="A375" s="15" t="s">
        <v>405</v>
      </c>
      <c r="B375" t="str">
        <f>IFERROR(VLOOKUP(Tabla13[[#This Row],[SISMED]],TblDisponibilidad[],2,FALSE), "")</f>
        <v/>
      </c>
      <c r="C375">
        <f>IFERROR(VLOOKUP(Tabla13[[#This Row],[SISMED]],TblDisponibilidad[],7,FALSE), 0)</f>
        <v>0</v>
      </c>
      <c r="D375">
        <f>IFERROR(VLOOKUP(Tabla13[[#This Row],[SISMED]],TblDisponibilidad[],8,FALSE), 0)</f>
        <v>0</v>
      </c>
      <c r="E375">
        <f>IFERROR(VLOOKUP(Tabla13[[#This Row],[SISMED]],TblDisponibilidad[],9,FALSE), 0)</f>
        <v>0</v>
      </c>
      <c r="F375">
        <f>IFERROR(VLOOKUP(Tabla13[[#This Row],[SISMED]],TblDisponibilidad[],10,FALSE), 0)</f>
        <v>0</v>
      </c>
      <c r="G375">
        <f>IFERROR(VLOOKUP(Tabla13[[#This Row],[SISMED]],TblDisponibilidad[],11,FALSE), 0)</f>
        <v>0</v>
      </c>
      <c r="H375">
        <f>IFERROR(VLOOKUP(Tabla13[[#This Row],[SISMED]],TblDisponibilidad[],12,FALSE), 0)</f>
        <v>0</v>
      </c>
      <c r="I375">
        <f>IFERROR(VLOOKUP(Tabla13[[#This Row],[SISMED]],TblDisponibilidad[],13,FALSE), 0)</f>
        <v>0</v>
      </c>
      <c r="J375">
        <f>IFERROR(VLOOKUP(Tabla13[[#This Row],[SISMED]],TblDisponibilidad[],14,FALSE), 0)</f>
        <v>0</v>
      </c>
      <c r="K375">
        <f>IFERROR(VLOOKUP(Tabla13[[#This Row],[SISMED]],TblDisponibilidad[],15,FALSE), 0)</f>
        <v>0</v>
      </c>
      <c r="L375">
        <f>IFERROR(VLOOKUP(Tabla13[[#This Row],[SISMED]],TblDisponibilidad[],16,FALSE), 0)</f>
        <v>0</v>
      </c>
      <c r="M375">
        <f>IFERROR(VLOOKUP(Tabla13[[#This Row],[SISMED]],TblDisponibilidad[],17,FALSE), 0)</f>
        <v>0</v>
      </c>
      <c r="N375">
        <f>IFERROR(VLOOKUP(Tabla13[[#This Row],[SISMED]],TblDisponibilidad[],18,FALSE), 0)</f>
        <v>0</v>
      </c>
      <c r="O375">
        <f>IFERROR(VLOOKUP(Tabla13[[#This Row],[SISMED]],TblDisponibilidad[],19,FALSE), 0)</f>
        <v>0</v>
      </c>
      <c r="P375">
        <f>IFERROR(VLOOKUP(Tabla13[[#This Row],[SISMED]],TblDisponibilidad[],20,FALSE), 0)</f>
        <v>0</v>
      </c>
      <c r="Q375">
        <f>IFERROR(VLOOKUP(Tabla13[[#This Row],[SISMED]],TblDisponibilidad[],21,FALSE), 0)</f>
        <v>0</v>
      </c>
      <c r="R375">
        <f>IFERROR(VLOOKUP(Tabla13[[#This Row],[SISMED]],TblDisponibilidad[],22,FALSE), 0)</f>
        <v>0</v>
      </c>
      <c r="S375" s="15">
        <f>IFERROR(VLOOKUP(Tabla13[[#This Row],[SISMED]],TblDisponibilidad[],23,FALSE), 0)</f>
        <v>0</v>
      </c>
    </row>
    <row r="376" spans="1:19" x14ac:dyDescent="0.3">
      <c r="A376" s="15" t="s">
        <v>406</v>
      </c>
      <c r="B376" t="str">
        <f>IFERROR(VLOOKUP(Tabla13[[#This Row],[SISMED]],TblDisponibilidad[],2,FALSE), "")</f>
        <v/>
      </c>
      <c r="C376">
        <f>IFERROR(VLOOKUP(Tabla13[[#This Row],[SISMED]],TblDisponibilidad[],7,FALSE), 0)</f>
        <v>0</v>
      </c>
      <c r="D376">
        <f>IFERROR(VLOOKUP(Tabla13[[#This Row],[SISMED]],TblDisponibilidad[],8,FALSE), 0)</f>
        <v>0</v>
      </c>
      <c r="E376">
        <f>IFERROR(VLOOKUP(Tabla13[[#This Row],[SISMED]],TblDisponibilidad[],9,FALSE), 0)</f>
        <v>0</v>
      </c>
      <c r="F376">
        <f>IFERROR(VLOOKUP(Tabla13[[#This Row],[SISMED]],TblDisponibilidad[],10,FALSE), 0)</f>
        <v>0</v>
      </c>
      <c r="G376">
        <f>IFERROR(VLOOKUP(Tabla13[[#This Row],[SISMED]],TblDisponibilidad[],11,FALSE), 0)</f>
        <v>0</v>
      </c>
      <c r="H376">
        <f>IFERROR(VLOOKUP(Tabla13[[#This Row],[SISMED]],TblDisponibilidad[],12,FALSE), 0)</f>
        <v>0</v>
      </c>
      <c r="I376">
        <f>IFERROR(VLOOKUP(Tabla13[[#This Row],[SISMED]],TblDisponibilidad[],13,FALSE), 0)</f>
        <v>0</v>
      </c>
      <c r="J376">
        <f>IFERROR(VLOOKUP(Tabla13[[#This Row],[SISMED]],TblDisponibilidad[],14,FALSE), 0)</f>
        <v>0</v>
      </c>
      <c r="K376">
        <f>IFERROR(VLOOKUP(Tabla13[[#This Row],[SISMED]],TblDisponibilidad[],15,FALSE), 0)</f>
        <v>0</v>
      </c>
      <c r="L376">
        <f>IFERROR(VLOOKUP(Tabla13[[#This Row],[SISMED]],TblDisponibilidad[],16,FALSE), 0)</f>
        <v>0</v>
      </c>
      <c r="M376">
        <f>IFERROR(VLOOKUP(Tabla13[[#This Row],[SISMED]],TblDisponibilidad[],17,FALSE), 0)</f>
        <v>0</v>
      </c>
      <c r="N376">
        <f>IFERROR(VLOOKUP(Tabla13[[#This Row],[SISMED]],TblDisponibilidad[],18,FALSE), 0)</f>
        <v>0</v>
      </c>
      <c r="O376">
        <f>IFERROR(VLOOKUP(Tabla13[[#This Row],[SISMED]],TblDisponibilidad[],19,FALSE), 0)</f>
        <v>0</v>
      </c>
      <c r="P376">
        <f>IFERROR(VLOOKUP(Tabla13[[#This Row],[SISMED]],TblDisponibilidad[],20,FALSE), 0)</f>
        <v>0</v>
      </c>
      <c r="Q376">
        <f>IFERROR(VLOOKUP(Tabla13[[#This Row],[SISMED]],TblDisponibilidad[],21,FALSE), 0)</f>
        <v>0</v>
      </c>
      <c r="R376">
        <f>IFERROR(VLOOKUP(Tabla13[[#This Row],[SISMED]],TblDisponibilidad[],22,FALSE), 0)</f>
        <v>0</v>
      </c>
      <c r="S376" s="15">
        <f>IFERROR(VLOOKUP(Tabla13[[#This Row],[SISMED]],TblDisponibilidad[],23,FALSE), 0)</f>
        <v>0</v>
      </c>
    </row>
    <row r="377" spans="1:19" x14ac:dyDescent="0.3">
      <c r="A377" s="15" t="s">
        <v>407</v>
      </c>
      <c r="B377" t="str">
        <f>IFERROR(VLOOKUP(Tabla13[[#This Row],[SISMED]],TblDisponibilidad[],2,FALSE), "")</f>
        <v/>
      </c>
      <c r="C377">
        <f>IFERROR(VLOOKUP(Tabla13[[#This Row],[SISMED]],TblDisponibilidad[],7,FALSE), 0)</f>
        <v>0</v>
      </c>
      <c r="D377">
        <f>IFERROR(VLOOKUP(Tabla13[[#This Row],[SISMED]],TblDisponibilidad[],8,FALSE), 0)</f>
        <v>0</v>
      </c>
      <c r="E377">
        <f>IFERROR(VLOOKUP(Tabla13[[#This Row],[SISMED]],TblDisponibilidad[],9,FALSE), 0)</f>
        <v>0</v>
      </c>
      <c r="F377">
        <f>IFERROR(VLOOKUP(Tabla13[[#This Row],[SISMED]],TblDisponibilidad[],10,FALSE), 0)</f>
        <v>0</v>
      </c>
      <c r="G377">
        <f>IFERROR(VLOOKUP(Tabla13[[#This Row],[SISMED]],TblDisponibilidad[],11,FALSE), 0)</f>
        <v>0</v>
      </c>
      <c r="H377">
        <f>IFERROR(VLOOKUP(Tabla13[[#This Row],[SISMED]],TblDisponibilidad[],12,FALSE), 0)</f>
        <v>0</v>
      </c>
      <c r="I377">
        <f>IFERROR(VLOOKUP(Tabla13[[#This Row],[SISMED]],TblDisponibilidad[],13,FALSE), 0)</f>
        <v>0</v>
      </c>
      <c r="J377">
        <f>IFERROR(VLOOKUP(Tabla13[[#This Row],[SISMED]],TblDisponibilidad[],14,FALSE), 0)</f>
        <v>0</v>
      </c>
      <c r="K377">
        <f>IFERROR(VLOOKUP(Tabla13[[#This Row],[SISMED]],TblDisponibilidad[],15,FALSE), 0)</f>
        <v>0</v>
      </c>
      <c r="L377">
        <f>IFERROR(VLOOKUP(Tabla13[[#This Row],[SISMED]],TblDisponibilidad[],16,FALSE), 0)</f>
        <v>0</v>
      </c>
      <c r="M377">
        <f>IFERROR(VLOOKUP(Tabla13[[#This Row],[SISMED]],TblDisponibilidad[],17,FALSE), 0)</f>
        <v>0</v>
      </c>
      <c r="N377">
        <f>IFERROR(VLOOKUP(Tabla13[[#This Row],[SISMED]],TblDisponibilidad[],18,FALSE), 0)</f>
        <v>0</v>
      </c>
      <c r="O377">
        <f>IFERROR(VLOOKUP(Tabla13[[#This Row],[SISMED]],TblDisponibilidad[],19,FALSE), 0)</f>
        <v>0</v>
      </c>
      <c r="P377">
        <f>IFERROR(VLOOKUP(Tabla13[[#This Row],[SISMED]],TblDisponibilidad[],20,FALSE), 0)</f>
        <v>0</v>
      </c>
      <c r="Q377">
        <f>IFERROR(VLOOKUP(Tabla13[[#This Row],[SISMED]],TblDisponibilidad[],21,FALSE), 0)</f>
        <v>0</v>
      </c>
      <c r="R377">
        <f>IFERROR(VLOOKUP(Tabla13[[#This Row],[SISMED]],TblDisponibilidad[],22,FALSE), 0)</f>
        <v>0</v>
      </c>
      <c r="S377" s="15">
        <f>IFERROR(VLOOKUP(Tabla13[[#This Row],[SISMED]],TblDisponibilidad[],23,FALSE), 0)</f>
        <v>0</v>
      </c>
    </row>
    <row r="378" spans="1:19" x14ac:dyDescent="0.3">
      <c r="A378" s="15" t="s">
        <v>408</v>
      </c>
      <c r="B378" t="str">
        <f>IFERROR(VLOOKUP(Tabla13[[#This Row],[SISMED]],TblDisponibilidad[],2,FALSE), "")</f>
        <v/>
      </c>
      <c r="C378">
        <f>IFERROR(VLOOKUP(Tabla13[[#This Row],[SISMED]],TblDisponibilidad[],7,FALSE), 0)</f>
        <v>0</v>
      </c>
      <c r="D378">
        <f>IFERROR(VLOOKUP(Tabla13[[#This Row],[SISMED]],TblDisponibilidad[],8,FALSE), 0)</f>
        <v>0</v>
      </c>
      <c r="E378">
        <f>IFERROR(VLOOKUP(Tabla13[[#This Row],[SISMED]],TblDisponibilidad[],9,FALSE), 0)</f>
        <v>0</v>
      </c>
      <c r="F378">
        <f>IFERROR(VLOOKUP(Tabla13[[#This Row],[SISMED]],TblDisponibilidad[],10,FALSE), 0)</f>
        <v>0</v>
      </c>
      <c r="G378">
        <f>IFERROR(VLOOKUP(Tabla13[[#This Row],[SISMED]],TblDisponibilidad[],11,FALSE), 0)</f>
        <v>0</v>
      </c>
      <c r="H378">
        <f>IFERROR(VLOOKUP(Tabla13[[#This Row],[SISMED]],TblDisponibilidad[],12,FALSE), 0)</f>
        <v>0</v>
      </c>
      <c r="I378">
        <f>IFERROR(VLOOKUP(Tabla13[[#This Row],[SISMED]],TblDisponibilidad[],13,FALSE), 0)</f>
        <v>0</v>
      </c>
      <c r="J378">
        <f>IFERROR(VLOOKUP(Tabla13[[#This Row],[SISMED]],TblDisponibilidad[],14,FALSE), 0)</f>
        <v>0</v>
      </c>
      <c r="K378">
        <f>IFERROR(VLOOKUP(Tabla13[[#This Row],[SISMED]],TblDisponibilidad[],15,FALSE), 0)</f>
        <v>0</v>
      </c>
      <c r="L378">
        <f>IFERROR(VLOOKUP(Tabla13[[#This Row],[SISMED]],TblDisponibilidad[],16,FALSE), 0)</f>
        <v>0</v>
      </c>
      <c r="M378">
        <f>IFERROR(VLOOKUP(Tabla13[[#This Row],[SISMED]],TblDisponibilidad[],17,FALSE), 0)</f>
        <v>0</v>
      </c>
      <c r="N378">
        <f>IFERROR(VLOOKUP(Tabla13[[#This Row],[SISMED]],TblDisponibilidad[],18,FALSE), 0)</f>
        <v>0</v>
      </c>
      <c r="O378">
        <f>IFERROR(VLOOKUP(Tabla13[[#This Row],[SISMED]],TblDisponibilidad[],19,FALSE), 0)</f>
        <v>0</v>
      </c>
      <c r="P378">
        <f>IFERROR(VLOOKUP(Tabla13[[#This Row],[SISMED]],TblDisponibilidad[],20,FALSE), 0)</f>
        <v>0</v>
      </c>
      <c r="Q378">
        <f>IFERROR(VLOOKUP(Tabla13[[#This Row],[SISMED]],TblDisponibilidad[],21,FALSE), 0)</f>
        <v>0</v>
      </c>
      <c r="R378">
        <f>IFERROR(VLOOKUP(Tabla13[[#This Row],[SISMED]],TblDisponibilidad[],22,FALSE), 0)</f>
        <v>0</v>
      </c>
      <c r="S378" s="15">
        <f>IFERROR(VLOOKUP(Tabla13[[#This Row],[SISMED]],TblDisponibilidad[],23,FALSE), 0)</f>
        <v>0</v>
      </c>
    </row>
    <row r="379" spans="1:19" x14ac:dyDescent="0.3">
      <c r="A379" s="15" t="s">
        <v>409</v>
      </c>
      <c r="B379" t="str">
        <f>IFERROR(VLOOKUP(Tabla13[[#This Row],[SISMED]],TblDisponibilidad[],2,FALSE), "")</f>
        <v/>
      </c>
      <c r="C379">
        <f>IFERROR(VLOOKUP(Tabla13[[#This Row],[SISMED]],TblDisponibilidad[],7,FALSE), 0)</f>
        <v>0</v>
      </c>
      <c r="D379">
        <f>IFERROR(VLOOKUP(Tabla13[[#This Row],[SISMED]],TblDisponibilidad[],8,FALSE), 0)</f>
        <v>0</v>
      </c>
      <c r="E379">
        <f>IFERROR(VLOOKUP(Tabla13[[#This Row],[SISMED]],TblDisponibilidad[],9,FALSE), 0)</f>
        <v>0</v>
      </c>
      <c r="F379">
        <f>IFERROR(VLOOKUP(Tabla13[[#This Row],[SISMED]],TblDisponibilidad[],10,FALSE), 0)</f>
        <v>0</v>
      </c>
      <c r="G379">
        <f>IFERROR(VLOOKUP(Tabla13[[#This Row],[SISMED]],TblDisponibilidad[],11,FALSE), 0)</f>
        <v>0</v>
      </c>
      <c r="H379">
        <f>IFERROR(VLOOKUP(Tabla13[[#This Row],[SISMED]],TblDisponibilidad[],12,FALSE), 0)</f>
        <v>0</v>
      </c>
      <c r="I379">
        <f>IFERROR(VLOOKUP(Tabla13[[#This Row],[SISMED]],TblDisponibilidad[],13,FALSE), 0)</f>
        <v>0</v>
      </c>
      <c r="J379">
        <f>IFERROR(VLOOKUP(Tabla13[[#This Row],[SISMED]],TblDisponibilidad[],14,FALSE), 0)</f>
        <v>0</v>
      </c>
      <c r="K379">
        <f>IFERROR(VLOOKUP(Tabla13[[#This Row],[SISMED]],TblDisponibilidad[],15,FALSE), 0)</f>
        <v>0</v>
      </c>
      <c r="L379">
        <f>IFERROR(VLOOKUP(Tabla13[[#This Row],[SISMED]],TblDisponibilidad[],16,FALSE), 0)</f>
        <v>0</v>
      </c>
      <c r="M379">
        <f>IFERROR(VLOOKUP(Tabla13[[#This Row],[SISMED]],TblDisponibilidad[],17,FALSE), 0)</f>
        <v>0</v>
      </c>
      <c r="N379">
        <f>IFERROR(VLOOKUP(Tabla13[[#This Row],[SISMED]],TblDisponibilidad[],18,FALSE), 0)</f>
        <v>0</v>
      </c>
      <c r="O379">
        <f>IFERROR(VLOOKUP(Tabla13[[#This Row],[SISMED]],TblDisponibilidad[],19,FALSE), 0)</f>
        <v>0</v>
      </c>
      <c r="P379">
        <f>IFERROR(VLOOKUP(Tabla13[[#This Row],[SISMED]],TblDisponibilidad[],20,FALSE), 0)</f>
        <v>0</v>
      </c>
      <c r="Q379">
        <f>IFERROR(VLOOKUP(Tabla13[[#This Row],[SISMED]],TblDisponibilidad[],21,FALSE), 0)</f>
        <v>0</v>
      </c>
      <c r="R379">
        <f>IFERROR(VLOOKUP(Tabla13[[#This Row],[SISMED]],TblDisponibilidad[],22,FALSE), 0)</f>
        <v>0</v>
      </c>
      <c r="S379" s="15">
        <f>IFERROR(VLOOKUP(Tabla13[[#This Row],[SISMED]],TblDisponibilidad[],23,FALSE), 0)</f>
        <v>0</v>
      </c>
    </row>
    <row r="380" spans="1:19" x14ac:dyDescent="0.3">
      <c r="A380" s="15" t="s">
        <v>410</v>
      </c>
      <c r="B380" t="str">
        <f>IFERROR(VLOOKUP(Tabla13[[#This Row],[SISMED]],TblDisponibilidad[],2,FALSE), "")</f>
        <v/>
      </c>
      <c r="C380">
        <f>IFERROR(VLOOKUP(Tabla13[[#This Row],[SISMED]],TblDisponibilidad[],7,FALSE), 0)</f>
        <v>0</v>
      </c>
      <c r="D380">
        <f>IFERROR(VLOOKUP(Tabla13[[#This Row],[SISMED]],TblDisponibilidad[],8,FALSE), 0)</f>
        <v>0</v>
      </c>
      <c r="E380">
        <f>IFERROR(VLOOKUP(Tabla13[[#This Row],[SISMED]],TblDisponibilidad[],9,FALSE), 0)</f>
        <v>0</v>
      </c>
      <c r="F380">
        <f>IFERROR(VLOOKUP(Tabla13[[#This Row],[SISMED]],TblDisponibilidad[],10,FALSE), 0)</f>
        <v>0</v>
      </c>
      <c r="G380">
        <f>IFERROR(VLOOKUP(Tabla13[[#This Row],[SISMED]],TblDisponibilidad[],11,FALSE), 0)</f>
        <v>0</v>
      </c>
      <c r="H380">
        <f>IFERROR(VLOOKUP(Tabla13[[#This Row],[SISMED]],TblDisponibilidad[],12,FALSE), 0)</f>
        <v>0</v>
      </c>
      <c r="I380">
        <f>IFERROR(VLOOKUP(Tabla13[[#This Row],[SISMED]],TblDisponibilidad[],13,FALSE), 0)</f>
        <v>0</v>
      </c>
      <c r="J380">
        <f>IFERROR(VLOOKUP(Tabla13[[#This Row],[SISMED]],TblDisponibilidad[],14,FALSE), 0)</f>
        <v>0</v>
      </c>
      <c r="K380">
        <f>IFERROR(VLOOKUP(Tabla13[[#This Row],[SISMED]],TblDisponibilidad[],15,FALSE), 0)</f>
        <v>0</v>
      </c>
      <c r="L380">
        <f>IFERROR(VLOOKUP(Tabla13[[#This Row],[SISMED]],TblDisponibilidad[],16,FALSE), 0)</f>
        <v>0</v>
      </c>
      <c r="M380">
        <f>IFERROR(VLOOKUP(Tabla13[[#This Row],[SISMED]],TblDisponibilidad[],17,FALSE), 0)</f>
        <v>0</v>
      </c>
      <c r="N380">
        <f>IFERROR(VLOOKUP(Tabla13[[#This Row],[SISMED]],TblDisponibilidad[],18,FALSE), 0)</f>
        <v>0</v>
      </c>
      <c r="O380">
        <f>IFERROR(VLOOKUP(Tabla13[[#This Row],[SISMED]],TblDisponibilidad[],19,FALSE), 0)</f>
        <v>0</v>
      </c>
      <c r="P380">
        <f>IFERROR(VLOOKUP(Tabla13[[#This Row],[SISMED]],TblDisponibilidad[],20,FALSE), 0)</f>
        <v>0</v>
      </c>
      <c r="Q380">
        <f>IFERROR(VLOOKUP(Tabla13[[#This Row],[SISMED]],TblDisponibilidad[],21,FALSE), 0)</f>
        <v>0</v>
      </c>
      <c r="R380">
        <f>IFERROR(VLOOKUP(Tabla13[[#This Row],[SISMED]],TblDisponibilidad[],22,FALSE), 0)</f>
        <v>0</v>
      </c>
      <c r="S380" s="15">
        <f>IFERROR(VLOOKUP(Tabla13[[#This Row],[SISMED]],TblDisponibilidad[],23,FALSE), 0)</f>
        <v>0</v>
      </c>
    </row>
    <row r="381" spans="1:19" x14ac:dyDescent="0.3">
      <c r="A381" s="15" t="s">
        <v>411</v>
      </c>
      <c r="B381" t="str">
        <f>IFERROR(VLOOKUP(Tabla13[[#This Row],[SISMED]],TblDisponibilidad[],2,FALSE), "")</f>
        <v/>
      </c>
      <c r="C381">
        <f>IFERROR(VLOOKUP(Tabla13[[#This Row],[SISMED]],TblDisponibilidad[],7,FALSE), 0)</f>
        <v>0</v>
      </c>
      <c r="D381">
        <f>IFERROR(VLOOKUP(Tabla13[[#This Row],[SISMED]],TblDisponibilidad[],8,FALSE), 0)</f>
        <v>0</v>
      </c>
      <c r="E381">
        <f>IFERROR(VLOOKUP(Tabla13[[#This Row],[SISMED]],TblDisponibilidad[],9,FALSE), 0)</f>
        <v>0</v>
      </c>
      <c r="F381">
        <f>IFERROR(VLOOKUP(Tabla13[[#This Row],[SISMED]],TblDisponibilidad[],10,FALSE), 0)</f>
        <v>0</v>
      </c>
      <c r="G381">
        <f>IFERROR(VLOOKUP(Tabla13[[#This Row],[SISMED]],TblDisponibilidad[],11,FALSE), 0)</f>
        <v>0</v>
      </c>
      <c r="H381">
        <f>IFERROR(VLOOKUP(Tabla13[[#This Row],[SISMED]],TblDisponibilidad[],12,FALSE), 0)</f>
        <v>0</v>
      </c>
      <c r="I381">
        <f>IFERROR(VLOOKUP(Tabla13[[#This Row],[SISMED]],TblDisponibilidad[],13,FALSE), 0)</f>
        <v>0</v>
      </c>
      <c r="J381">
        <f>IFERROR(VLOOKUP(Tabla13[[#This Row],[SISMED]],TblDisponibilidad[],14,FALSE), 0)</f>
        <v>0</v>
      </c>
      <c r="K381">
        <f>IFERROR(VLOOKUP(Tabla13[[#This Row],[SISMED]],TblDisponibilidad[],15,FALSE), 0)</f>
        <v>0</v>
      </c>
      <c r="L381">
        <f>IFERROR(VLOOKUP(Tabla13[[#This Row],[SISMED]],TblDisponibilidad[],16,FALSE), 0)</f>
        <v>0</v>
      </c>
      <c r="M381">
        <f>IFERROR(VLOOKUP(Tabla13[[#This Row],[SISMED]],TblDisponibilidad[],17,FALSE), 0)</f>
        <v>0</v>
      </c>
      <c r="N381">
        <f>IFERROR(VLOOKUP(Tabla13[[#This Row],[SISMED]],TblDisponibilidad[],18,FALSE), 0)</f>
        <v>0</v>
      </c>
      <c r="O381">
        <f>IFERROR(VLOOKUP(Tabla13[[#This Row],[SISMED]],TblDisponibilidad[],19,FALSE), 0)</f>
        <v>0</v>
      </c>
      <c r="P381">
        <f>IFERROR(VLOOKUP(Tabla13[[#This Row],[SISMED]],TblDisponibilidad[],20,FALSE), 0)</f>
        <v>0</v>
      </c>
      <c r="Q381">
        <f>IFERROR(VLOOKUP(Tabla13[[#This Row],[SISMED]],TblDisponibilidad[],21,FALSE), 0)</f>
        <v>0</v>
      </c>
      <c r="R381">
        <f>IFERROR(VLOOKUP(Tabla13[[#This Row],[SISMED]],TblDisponibilidad[],22,FALSE), 0)</f>
        <v>0</v>
      </c>
      <c r="S381" s="15">
        <f>IFERROR(VLOOKUP(Tabla13[[#This Row],[SISMED]],TblDisponibilidad[],23,FALSE), 0)</f>
        <v>0</v>
      </c>
    </row>
    <row r="382" spans="1:19" x14ac:dyDescent="0.3">
      <c r="A382" s="15" t="s">
        <v>412</v>
      </c>
      <c r="B382" t="str">
        <f>IFERROR(VLOOKUP(Tabla13[[#This Row],[SISMED]],TblDisponibilidad[],2,FALSE), "")</f>
        <v/>
      </c>
      <c r="C382">
        <f>IFERROR(VLOOKUP(Tabla13[[#This Row],[SISMED]],TblDisponibilidad[],7,FALSE), 0)</f>
        <v>0</v>
      </c>
      <c r="D382">
        <f>IFERROR(VLOOKUP(Tabla13[[#This Row],[SISMED]],TblDisponibilidad[],8,FALSE), 0)</f>
        <v>0</v>
      </c>
      <c r="E382">
        <f>IFERROR(VLOOKUP(Tabla13[[#This Row],[SISMED]],TblDisponibilidad[],9,FALSE), 0)</f>
        <v>0</v>
      </c>
      <c r="F382">
        <f>IFERROR(VLOOKUP(Tabla13[[#This Row],[SISMED]],TblDisponibilidad[],10,FALSE), 0)</f>
        <v>0</v>
      </c>
      <c r="G382">
        <f>IFERROR(VLOOKUP(Tabla13[[#This Row],[SISMED]],TblDisponibilidad[],11,FALSE), 0)</f>
        <v>0</v>
      </c>
      <c r="H382">
        <f>IFERROR(VLOOKUP(Tabla13[[#This Row],[SISMED]],TblDisponibilidad[],12,FALSE), 0)</f>
        <v>0</v>
      </c>
      <c r="I382">
        <f>IFERROR(VLOOKUP(Tabla13[[#This Row],[SISMED]],TblDisponibilidad[],13,FALSE), 0)</f>
        <v>0</v>
      </c>
      <c r="J382">
        <f>IFERROR(VLOOKUP(Tabla13[[#This Row],[SISMED]],TblDisponibilidad[],14,FALSE), 0)</f>
        <v>0</v>
      </c>
      <c r="K382">
        <f>IFERROR(VLOOKUP(Tabla13[[#This Row],[SISMED]],TblDisponibilidad[],15,FALSE), 0)</f>
        <v>0</v>
      </c>
      <c r="L382">
        <f>IFERROR(VLOOKUP(Tabla13[[#This Row],[SISMED]],TblDisponibilidad[],16,FALSE), 0)</f>
        <v>0</v>
      </c>
      <c r="M382">
        <f>IFERROR(VLOOKUP(Tabla13[[#This Row],[SISMED]],TblDisponibilidad[],17,FALSE), 0)</f>
        <v>0</v>
      </c>
      <c r="N382">
        <f>IFERROR(VLOOKUP(Tabla13[[#This Row],[SISMED]],TblDisponibilidad[],18,FALSE), 0)</f>
        <v>0</v>
      </c>
      <c r="O382">
        <f>IFERROR(VLOOKUP(Tabla13[[#This Row],[SISMED]],TblDisponibilidad[],19,FALSE), 0)</f>
        <v>0</v>
      </c>
      <c r="P382">
        <f>IFERROR(VLOOKUP(Tabla13[[#This Row],[SISMED]],TblDisponibilidad[],20,FALSE), 0)</f>
        <v>0</v>
      </c>
      <c r="Q382">
        <f>IFERROR(VLOOKUP(Tabla13[[#This Row],[SISMED]],TblDisponibilidad[],21,FALSE), 0)</f>
        <v>0</v>
      </c>
      <c r="R382">
        <f>IFERROR(VLOOKUP(Tabla13[[#This Row],[SISMED]],TblDisponibilidad[],22,FALSE), 0)</f>
        <v>0</v>
      </c>
      <c r="S382" s="15">
        <f>IFERROR(VLOOKUP(Tabla13[[#This Row],[SISMED]],TblDisponibilidad[],23,FALSE), 0)</f>
        <v>0</v>
      </c>
    </row>
    <row r="383" spans="1:19" x14ac:dyDescent="0.3">
      <c r="A383" s="15" t="s">
        <v>413</v>
      </c>
      <c r="B383" t="str">
        <f>IFERROR(VLOOKUP(Tabla13[[#This Row],[SISMED]],TblDisponibilidad[],2,FALSE), "")</f>
        <v/>
      </c>
      <c r="C383">
        <f>IFERROR(VLOOKUP(Tabla13[[#This Row],[SISMED]],TblDisponibilidad[],7,FALSE), 0)</f>
        <v>0</v>
      </c>
      <c r="D383">
        <f>IFERROR(VLOOKUP(Tabla13[[#This Row],[SISMED]],TblDisponibilidad[],8,FALSE), 0)</f>
        <v>0</v>
      </c>
      <c r="E383">
        <f>IFERROR(VLOOKUP(Tabla13[[#This Row],[SISMED]],TblDisponibilidad[],9,FALSE), 0)</f>
        <v>0</v>
      </c>
      <c r="F383">
        <f>IFERROR(VLOOKUP(Tabla13[[#This Row],[SISMED]],TblDisponibilidad[],10,FALSE), 0)</f>
        <v>0</v>
      </c>
      <c r="G383">
        <f>IFERROR(VLOOKUP(Tabla13[[#This Row],[SISMED]],TblDisponibilidad[],11,FALSE), 0)</f>
        <v>0</v>
      </c>
      <c r="H383">
        <f>IFERROR(VLOOKUP(Tabla13[[#This Row],[SISMED]],TblDisponibilidad[],12,FALSE), 0)</f>
        <v>0</v>
      </c>
      <c r="I383">
        <f>IFERROR(VLOOKUP(Tabla13[[#This Row],[SISMED]],TblDisponibilidad[],13,FALSE), 0)</f>
        <v>0</v>
      </c>
      <c r="J383">
        <f>IFERROR(VLOOKUP(Tabla13[[#This Row],[SISMED]],TblDisponibilidad[],14,FALSE), 0)</f>
        <v>0</v>
      </c>
      <c r="K383">
        <f>IFERROR(VLOOKUP(Tabla13[[#This Row],[SISMED]],TblDisponibilidad[],15,FALSE), 0)</f>
        <v>0</v>
      </c>
      <c r="L383">
        <f>IFERROR(VLOOKUP(Tabla13[[#This Row],[SISMED]],TblDisponibilidad[],16,FALSE), 0)</f>
        <v>0</v>
      </c>
      <c r="M383">
        <f>IFERROR(VLOOKUP(Tabla13[[#This Row],[SISMED]],TblDisponibilidad[],17,FALSE), 0)</f>
        <v>0</v>
      </c>
      <c r="N383">
        <f>IFERROR(VLOOKUP(Tabla13[[#This Row],[SISMED]],TblDisponibilidad[],18,FALSE), 0)</f>
        <v>0</v>
      </c>
      <c r="O383">
        <f>IFERROR(VLOOKUP(Tabla13[[#This Row],[SISMED]],TblDisponibilidad[],19,FALSE), 0)</f>
        <v>0</v>
      </c>
      <c r="P383">
        <f>IFERROR(VLOOKUP(Tabla13[[#This Row],[SISMED]],TblDisponibilidad[],20,FALSE), 0)</f>
        <v>0</v>
      </c>
      <c r="Q383">
        <f>IFERROR(VLOOKUP(Tabla13[[#This Row],[SISMED]],TblDisponibilidad[],21,FALSE), 0)</f>
        <v>0</v>
      </c>
      <c r="R383">
        <f>IFERROR(VLOOKUP(Tabla13[[#This Row],[SISMED]],TblDisponibilidad[],22,FALSE), 0)</f>
        <v>0</v>
      </c>
      <c r="S383" s="15">
        <f>IFERROR(VLOOKUP(Tabla13[[#This Row],[SISMED]],TblDisponibilidad[],23,FALSE), 0)</f>
        <v>0</v>
      </c>
    </row>
    <row r="384" spans="1:19" x14ac:dyDescent="0.3">
      <c r="A384" s="15" t="s">
        <v>414</v>
      </c>
      <c r="B384" t="str">
        <f>IFERROR(VLOOKUP(Tabla13[[#This Row],[SISMED]],TblDisponibilidad[],2,FALSE), "")</f>
        <v/>
      </c>
      <c r="C384">
        <f>IFERROR(VLOOKUP(Tabla13[[#This Row],[SISMED]],TblDisponibilidad[],7,FALSE), 0)</f>
        <v>0</v>
      </c>
      <c r="D384">
        <f>IFERROR(VLOOKUP(Tabla13[[#This Row],[SISMED]],TblDisponibilidad[],8,FALSE), 0)</f>
        <v>0</v>
      </c>
      <c r="E384">
        <f>IFERROR(VLOOKUP(Tabla13[[#This Row],[SISMED]],TblDisponibilidad[],9,FALSE), 0)</f>
        <v>0</v>
      </c>
      <c r="F384">
        <f>IFERROR(VLOOKUP(Tabla13[[#This Row],[SISMED]],TblDisponibilidad[],10,FALSE), 0)</f>
        <v>0</v>
      </c>
      <c r="G384">
        <f>IFERROR(VLOOKUP(Tabla13[[#This Row],[SISMED]],TblDisponibilidad[],11,FALSE), 0)</f>
        <v>0</v>
      </c>
      <c r="H384">
        <f>IFERROR(VLOOKUP(Tabla13[[#This Row],[SISMED]],TblDisponibilidad[],12,FALSE), 0)</f>
        <v>0</v>
      </c>
      <c r="I384">
        <f>IFERROR(VLOOKUP(Tabla13[[#This Row],[SISMED]],TblDisponibilidad[],13,FALSE), 0)</f>
        <v>0</v>
      </c>
      <c r="J384">
        <f>IFERROR(VLOOKUP(Tabla13[[#This Row],[SISMED]],TblDisponibilidad[],14,FALSE), 0)</f>
        <v>0</v>
      </c>
      <c r="K384">
        <f>IFERROR(VLOOKUP(Tabla13[[#This Row],[SISMED]],TblDisponibilidad[],15,FALSE), 0)</f>
        <v>0</v>
      </c>
      <c r="L384">
        <f>IFERROR(VLOOKUP(Tabla13[[#This Row],[SISMED]],TblDisponibilidad[],16,FALSE), 0)</f>
        <v>0</v>
      </c>
      <c r="M384">
        <f>IFERROR(VLOOKUP(Tabla13[[#This Row],[SISMED]],TblDisponibilidad[],17,FALSE), 0)</f>
        <v>0</v>
      </c>
      <c r="N384">
        <f>IFERROR(VLOOKUP(Tabla13[[#This Row],[SISMED]],TblDisponibilidad[],18,FALSE), 0)</f>
        <v>0</v>
      </c>
      <c r="O384">
        <f>IFERROR(VLOOKUP(Tabla13[[#This Row],[SISMED]],TblDisponibilidad[],19,FALSE), 0)</f>
        <v>0</v>
      </c>
      <c r="P384">
        <f>IFERROR(VLOOKUP(Tabla13[[#This Row],[SISMED]],TblDisponibilidad[],20,FALSE), 0)</f>
        <v>0</v>
      </c>
      <c r="Q384">
        <f>IFERROR(VLOOKUP(Tabla13[[#This Row],[SISMED]],TblDisponibilidad[],21,FALSE), 0)</f>
        <v>0</v>
      </c>
      <c r="R384">
        <f>IFERROR(VLOOKUP(Tabla13[[#This Row],[SISMED]],TblDisponibilidad[],22,FALSE), 0)</f>
        <v>0</v>
      </c>
      <c r="S384" s="15">
        <f>IFERROR(VLOOKUP(Tabla13[[#This Row],[SISMED]],TblDisponibilidad[],23,FALSE), 0)</f>
        <v>0</v>
      </c>
    </row>
    <row r="385" spans="1:19" x14ac:dyDescent="0.3">
      <c r="A385" s="15" t="s">
        <v>415</v>
      </c>
      <c r="B385" t="str">
        <f>IFERROR(VLOOKUP(Tabla13[[#This Row],[SISMED]],TblDisponibilidad[],2,FALSE), "")</f>
        <v/>
      </c>
      <c r="C385">
        <f>IFERROR(VLOOKUP(Tabla13[[#This Row],[SISMED]],TblDisponibilidad[],7,FALSE), 0)</f>
        <v>0</v>
      </c>
      <c r="D385">
        <f>IFERROR(VLOOKUP(Tabla13[[#This Row],[SISMED]],TblDisponibilidad[],8,FALSE), 0)</f>
        <v>0</v>
      </c>
      <c r="E385">
        <f>IFERROR(VLOOKUP(Tabla13[[#This Row],[SISMED]],TblDisponibilidad[],9,FALSE), 0)</f>
        <v>0</v>
      </c>
      <c r="F385">
        <f>IFERROR(VLOOKUP(Tabla13[[#This Row],[SISMED]],TblDisponibilidad[],10,FALSE), 0)</f>
        <v>0</v>
      </c>
      <c r="G385">
        <f>IFERROR(VLOOKUP(Tabla13[[#This Row],[SISMED]],TblDisponibilidad[],11,FALSE), 0)</f>
        <v>0</v>
      </c>
      <c r="H385">
        <f>IFERROR(VLOOKUP(Tabla13[[#This Row],[SISMED]],TblDisponibilidad[],12,FALSE), 0)</f>
        <v>0</v>
      </c>
      <c r="I385">
        <f>IFERROR(VLOOKUP(Tabla13[[#This Row],[SISMED]],TblDisponibilidad[],13,FALSE), 0)</f>
        <v>0</v>
      </c>
      <c r="J385">
        <f>IFERROR(VLOOKUP(Tabla13[[#This Row],[SISMED]],TblDisponibilidad[],14,FALSE), 0)</f>
        <v>0</v>
      </c>
      <c r="K385">
        <f>IFERROR(VLOOKUP(Tabla13[[#This Row],[SISMED]],TblDisponibilidad[],15,FALSE), 0)</f>
        <v>0</v>
      </c>
      <c r="L385">
        <f>IFERROR(VLOOKUP(Tabla13[[#This Row],[SISMED]],TblDisponibilidad[],16,FALSE), 0)</f>
        <v>0</v>
      </c>
      <c r="M385">
        <f>IFERROR(VLOOKUP(Tabla13[[#This Row],[SISMED]],TblDisponibilidad[],17,FALSE), 0)</f>
        <v>0</v>
      </c>
      <c r="N385">
        <f>IFERROR(VLOOKUP(Tabla13[[#This Row],[SISMED]],TblDisponibilidad[],18,FALSE), 0)</f>
        <v>0</v>
      </c>
      <c r="O385">
        <f>IFERROR(VLOOKUP(Tabla13[[#This Row],[SISMED]],TblDisponibilidad[],19,FALSE), 0)</f>
        <v>0</v>
      </c>
      <c r="P385">
        <f>IFERROR(VLOOKUP(Tabla13[[#This Row],[SISMED]],TblDisponibilidad[],20,FALSE), 0)</f>
        <v>0</v>
      </c>
      <c r="Q385">
        <f>IFERROR(VLOOKUP(Tabla13[[#This Row],[SISMED]],TblDisponibilidad[],21,FALSE), 0)</f>
        <v>0</v>
      </c>
      <c r="R385">
        <f>IFERROR(VLOOKUP(Tabla13[[#This Row],[SISMED]],TblDisponibilidad[],22,FALSE), 0)</f>
        <v>0</v>
      </c>
      <c r="S385" s="15">
        <f>IFERROR(VLOOKUP(Tabla13[[#This Row],[SISMED]],TblDisponibilidad[],23,FALSE), 0)</f>
        <v>0</v>
      </c>
    </row>
    <row r="386" spans="1:19" x14ac:dyDescent="0.3">
      <c r="A386" s="15" t="s">
        <v>416</v>
      </c>
      <c r="B386" t="str">
        <f>IFERROR(VLOOKUP(Tabla13[[#This Row],[SISMED]],TblDisponibilidad[],2,FALSE), "")</f>
        <v/>
      </c>
      <c r="C386">
        <f>IFERROR(VLOOKUP(Tabla13[[#This Row],[SISMED]],TblDisponibilidad[],7,FALSE), 0)</f>
        <v>0</v>
      </c>
      <c r="D386">
        <f>IFERROR(VLOOKUP(Tabla13[[#This Row],[SISMED]],TblDisponibilidad[],8,FALSE), 0)</f>
        <v>0</v>
      </c>
      <c r="E386">
        <f>IFERROR(VLOOKUP(Tabla13[[#This Row],[SISMED]],TblDisponibilidad[],9,FALSE), 0)</f>
        <v>0</v>
      </c>
      <c r="F386">
        <f>IFERROR(VLOOKUP(Tabla13[[#This Row],[SISMED]],TblDisponibilidad[],10,FALSE), 0)</f>
        <v>0</v>
      </c>
      <c r="G386">
        <f>IFERROR(VLOOKUP(Tabla13[[#This Row],[SISMED]],TblDisponibilidad[],11,FALSE), 0)</f>
        <v>0</v>
      </c>
      <c r="H386">
        <f>IFERROR(VLOOKUP(Tabla13[[#This Row],[SISMED]],TblDisponibilidad[],12,FALSE), 0)</f>
        <v>0</v>
      </c>
      <c r="I386">
        <f>IFERROR(VLOOKUP(Tabla13[[#This Row],[SISMED]],TblDisponibilidad[],13,FALSE), 0)</f>
        <v>0</v>
      </c>
      <c r="J386">
        <f>IFERROR(VLOOKUP(Tabla13[[#This Row],[SISMED]],TblDisponibilidad[],14,FALSE), 0)</f>
        <v>0</v>
      </c>
      <c r="K386">
        <f>IFERROR(VLOOKUP(Tabla13[[#This Row],[SISMED]],TblDisponibilidad[],15,FALSE), 0)</f>
        <v>0</v>
      </c>
      <c r="L386">
        <f>IFERROR(VLOOKUP(Tabla13[[#This Row],[SISMED]],TblDisponibilidad[],16,FALSE), 0)</f>
        <v>0</v>
      </c>
      <c r="M386">
        <f>IFERROR(VLOOKUP(Tabla13[[#This Row],[SISMED]],TblDisponibilidad[],17,FALSE), 0)</f>
        <v>0</v>
      </c>
      <c r="N386">
        <f>IFERROR(VLOOKUP(Tabla13[[#This Row],[SISMED]],TblDisponibilidad[],18,FALSE), 0)</f>
        <v>0</v>
      </c>
      <c r="O386">
        <f>IFERROR(VLOOKUP(Tabla13[[#This Row],[SISMED]],TblDisponibilidad[],19,FALSE), 0)</f>
        <v>0</v>
      </c>
      <c r="P386">
        <f>IFERROR(VLOOKUP(Tabla13[[#This Row],[SISMED]],TblDisponibilidad[],20,FALSE), 0)</f>
        <v>0</v>
      </c>
      <c r="Q386">
        <f>IFERROR(VLOOKUP(Tabla13[[#This Row],[SISMED]],TblDisponibilidad[],21,FALSE), 0)</f>
        <v>0</v>
      </c>
      <c r="R386">
        <f>IFERROR(VLOOKUP(Tabla13[[#This Row],[SISMED]],TblDisponibilidad[],22,FALSE), 0)</f>
        <v>0</v>
      </c>
      <c r="S386" s="15">
        <f>IFERROR(VLOOKUP(Tabla13[[#This Row],[SISMED]],TblDisponibilidad[],23,FALSE), 0)</f>
        <v>0</v>
      </c>
    </row>
    <row r="387" spans="1:19" x14ac:dyDescent="0.3">
      <c r="A387" s="15" t="s">
        <v>417</v>
      </c>
      <c r="B387" t="str">
        <f>IFERROR(VLOOKUP(Tabla13[[#This Row],[SISMED]],TblDisponibilidad[],2,FALSE), "")</f>
        <v/>
      </c>
      <c r="C387">
        <f>IFERROR(VLOOKUP(Tabla13[[#This Row],[SISMED]],TblDisponibilidad[],7,FALSE), 0)</f>
        <v>0</v>
      </c>
      <c r="D387">
        <f>IFERROR(VLOOKUP(Tabla13[[#This Row],[SISMED]],TblDisponibilidad[],8,FALSE), 0)</f>
        <v>0</v>
      </c>
      <c r="E387">
        <f>IFERROR(VLOOKUP(Tabla13[[#This Row],[SISMED]],TblDisponibilidad[],9,FALSE), 0)</f>
        <v>0</v>
      </c>
      <c r="F387">
        <f>IFERROR(VLOOKUP(Tabla13[[#This Row],[SISMED]],TblDisponibilidad[],10,FALSE), 0)</f>
        <v>0</v>
      </c>
      <c r="G387">
        <f>IFERROR(VLOOKUP(Tabla13[[#This Row],[SISMED]],TblDisponibilidad[],11,FALSE), 0)</f>
        <v>0</v>
      </c>
      <c r="H387">
        <f>IFERROR(VLOOKUP(Tabla13[[#This Row],[SISMED]],TblDisponibilidad[],12,FALSE), 0)</f>
        <v>0</v>
      </c>
      <c r="I387">
        <f>IFERROR(VLOOKUP(Tabla13[[#This Row],[SISMED]],TblDisponibilidad[],13,FALSE), 0)</f>
        <v>0</v>
      </c>
      <c r="J387">
        <f>IFERROR(VLOOKUP(Tabla13[[#This Row],[SISMED]],TblDisponibilidad[],14,FALSE), 0)</f>
        <v>0</v>
      </c>
      <c r="K387">
        <f>IFERROR(VLOOKUP(Tabla13[[#This Row],[SISMED]],TblDisponibilidad[],15,FALSE), 0)</f>
        <v>0</v>
      </c>
      <c r="L387">
        <f>IFERROR(VLOOKUP(Tabla13[[#This Row],[SISMED]],TblDisponibilidad[],16,FALSE), 0)</f>
        <v>0</v>
      </c>
      <c r="M387">
        <f>IFERROR(VLOOKUP(Tabla13[[#This Row],[SISMED]],TblDisponibilidad[],17,FALSE), 0)</f>
        <v>0</v>
      </c>
      <c r="N387">
        <f>IFERROR(VLOOKUP(Tabla13[[#This Row],[SISMED]],TblDisponibilidad[],18,FALSE), 0)</f>
        <v>0</v>
      </c>
      <c r="O387">
        <f>IFERROR(VLOOKUP(Tabla13[[#This Row],[SISMED]],TblDisponibilidad[],19,FALSE), 0)</f>
        <v>0</v>
      </c>
      <c r="P387">
        <f>IFERROR(VLOOKUP(Tabla13[[#This Row],[SISMED]],TblDisponibilidad[],20,FALSE), 0)</f>
        <v>0</v>
      </c>
      <c r="Q387">
        <f>IFERROR(VLOOKUP(Tabla13[[#This Row],[SISMED]],TblDisponibilidad[],21,FALSE), 0)</f>
        <v>0</v>
      </c>
      <c r="R387">
        <f>IFERROR(VLOOKUP(Tabla13[[#This Row],[SISMED]],TblDisponibilidad[],22,FALSE), 0)</f>
        <v>0</v>
      </c>
      <c r="S387" s="15">
        <f>IFERROR(VLOOKUP(Tabla13[[#This Row],[SISMED]],TblDisponibilidad[],23,FALSE), 0)</f>
        <v>0</v>
      </c>
    </row>
    <row r="388" spans="1:19" x14ac:dyDescent="0.3">
      <c r="A388" s="15" t="s">
        <v>418</v>
      </c>
      <c r="B388" t="str">
        <f>IFERROR(VLOOKUP(Tabla13[[#This Row],[SISMED]],TblDisponibilidad[],2,FALSE), "")</f>
        <v/>
      </c>
      <c r="C388">
        <f>IFERROR(VLOOKUP(Tabla13[[#This Row],[SISMED]],TblDisponibilidad[],7,FALSE), 0)</f>
        <v>0</v>
      </c>
      <c r="D388">
        <f>IFERROR(VLOOKUP(Tabla13[[#This Row],[SISMED]],TblDisponibilidad[],8,FALSE), 0)</f>
        <v>0</v>
      </c>
      <c r="E388">
        <f>IFERROR(VLOOKUP(Tabla13[[#This Row],[SISMED]],TblDisponibilidad[],9,FALSE), 0)</f>
        <v>0</v>
      </c>
      <c r="F388">
        <f>IFERROR(VLOOKUP(Tabla13[[#This Row],[SISMED]],TblDisponibilidad[],10,FALSE), 0)</f>
        <v>0</v>
      </c>
      <c r="G388">
        <f>IFERROR(VLOOKUP(Tabla13[[#This Row],[SISMED]],TblDisponibilidad[],11,FALSE), 0)</f>
        <v>0</v>
      </c>
      <c r="H388">
        <f>IFERROR(VLOOKUP(Tabla13[[#This Row],[SISMED]],TblDisponibilidad[],12,FALSE), 0)</f>
        <v>0</v>
      </c>
      <c r="I388">
        <f>IFERROR(VLOOKUP(Tabla13[[#This Row],[SISMED]],TblDisponibilidad[],13,FALSE), 0)</f>
        <v>0</v>
      </c>
      <c r="J388">
        <f>IFERROR(VLOOKUP(Tabla13[[#This Row],[SISMED]],TblDisponibilidad[],14,FALSE), 0)</f>
        <v>0</v>
      </c>
      <c r="K388">
        <f>IFERROR(VLOOKUP(Tabla13[[#This Row],[SISMED]],TblDisponibilidad[],15,FALSE), 0)</f>
        <v>0</v>
      </c>
      <c r="L388">
        <f>IFERROR(VLOOKUP(Tabla13[[#This Row],[SISMED]],TblDisponibilidad[],16,FALSE), 0)</f>
        <v>0</v>
      </c>
      <c r="M388">
        <f>IFERROR(VLOOKUP(Tabla13[[#This Row],[SISMED]],TblDisponibilidad[],17,FALSE), 0)</f>
        <v>0</v>
      </c>
      <c r="N388">
        <f>IFERROR(VLOOKUP(Tabla13[[#This Row],[SISMED]],TblDisponibilidad[],18,FALSE), 0)</f>
        <v>0</v>
      </c>
      <c r="O388">
        <f>IFERROR(VLOOKUP(Tabla13[[#This Row],[SISMED]],TblDisponibilidad[],19,FALSE), 0)</f>
        <v>0</v>
      </c>
      <c r="P388">
        <f>IFERROR(VLOOKUP(Tabla13[[#This Row],[SISMED]],TblDisponibilidad[],20,FALSE), 0)</f>
        <v>0</v>
      </c>
      <c r="Q388">
        <f>IFERROR(VLOOKUP(Tabla13[[#This Row],[SISMED]],TblDisponibilidad[],21,FALSE), 0)</f>
        <v>0</v>
      </c>
      <c r="R388">
        <f>IFERROR(VLOOKUP(Tabla13[[#This Row],[SISMED]],TblDisponibilidad[],22,FALSE), 0)</f>
        <v>0</v>
      </c>
      <c r="S388" s="15">
        <f>IFERROR(VLOOKUP(Tabla13[[#This Row],[SISMED]],TblDisponibilidad[],23,FALSE), 0)</f>
        <v>0</v>
      </c>
    </row>
    <row r="389" spans="1:19" x14ac:dyDescent="0.3">
      <c r="A389" s="15" t="s">
        <v>419</v>
      </c>
      <c r="B389" t="str">
        <f>IFERROR(VLOOKUP(Tabla13[[#This Row],[SISMED]],TblDisponibilidad[],2,FALSE), "")</f>
        <v/>
      </c>
      <c r="C389">
        <f>IFERROR(VLOOKUP(Tabla13[[#This Row],[SISMED]],TblDisponibilidad[],7,FALSE), 0)</f>
        <v>0</v>
      </c>
      <c r="D389">
        <f>IFERROR(VLOOKUP(Tabla13[[#This Row],[SISMED]],TblDisponibilidad[],8,FALSE), 0)</f>
        <v>0</v>
      </c>
      <c r="E389">
        <f>IFERROR(VLOOKUP(Tabla13[[#This Row],[SISMED]],TblDisponibilidad[],9,FALSE), 0)</f>
        <v>0</v>
      </c>
      <c r="F389">
        <f>IFERROR(VLOOKUP(Tabla13[[#This Row],[SISMED]],TblDisponibilidad[],10,FALSE), 0)</f>
        <v>0</v>
      </c>
      <c r="G389">
        <f>IFERROR(VLOOKUP(Tabla13[[#This Row],[SISMED]],TblDisponibilidad[],11,FALSE), 0)</f>
        <v>0</v>
      </c>
      <c r="H389">
        <f>IFERROR(VLOOKUP(Tabla13[[#This Row],[SISMED]],TblDisponibilidad[],12,FALSE), 0)</f>
        <v>0</v>
      </c>
      <c r="I389">
        <f>IFERROR(VLOOKUP(Tabla13[[#This Row],[SISMED]],TblDisponibilidad[],13,FALSE), 0)</f>
        <v>0</v>
      </c>
      <c r="J389">
        <f>IFERROR(VLOOKUP(Tabla13[[#This Row],[SISMED]],TblDisponibilidad[],14,FALSE), 0)</f>
        <v>0</v>
      </c>
      <c r="K389">
        <f>IFERROR(VLOOKUP(Tabla13[[#This Row],[SISMED]],TblDisponibilidad[],15,FALSE), 0)</f>
        <v>0</v>
      </c>
      <c r="L389">
        <f>IFERROR(VLOOKUP(Tabla13[[#This Row],[SISMED]],TblDisponibilidad[],16,FALSE), 0)</f>
        <v>0</v>
      </c>
      <c r="M389">
        <f>IFERROR(VLOOKUP(Tabla13[[#This Row],[SISMED]],TblDisponibilidad[],17,FALSE), 0)</f>
        <v>0</v>
      </c>
      <c r="N389">
        <f>IFERROR(VLOOKUP(Tabla13[[#This Row],[SISMED]],TblDisponibilidad[],18,FALSE), 0)</f>
        <v>0</v>
      </c>
      <c r="O389">
        <f>IFERROR(VLOOKUP(Tabla13[[#This Row],[SISMED]],TblDisponibilidad[],19,FALSE), 0)</f>
        <v>0</v>
      </c>
      <c r="P389">
        <f>IFERROR(VLOOKUP(Tabla13[[#This Row],[SISMED]],TblDisponibilidad[],20,FALSE), 0)</f>
        <v>0</v>
      </c>
      <c r="Q389">
        <f>IFERROR(VLOOKUP(Tabla13[[#This Row],[SISMED]],TblDisponibilidad[],21,FALSE), 0)</f>
        <v>0</v>
      </c>
      <c r="R389">
        <f>IFERROR(VLOOKUP(Tabla13[[#This Row],[SISMED]],TblDisponibilidad[],22,FALSE), 0)</f>
        <v>0</v>
      </c>
      <c r="S389" s="15">
        <f>IFERROR(VLOOKUP(Tabla13[[#This Row],[SISMED]],TblDisponibilidad[],23,FALSE), 0)</f>
        <v>0</v>
      </c>
    </row>
    <row r="390" spans="1:19" x14ac:dyDescent="0.3">
      <c r="A390" s="15" t="s">
        <v>420</v>
      </c>
      <c r="B390" t="str">
        <f>IFERROR(VLOOKUP(Tabla13[[#This Row],[SISMED]],TblDisponibilidad[],2,FALSE), "")</f>
        <v/>
      </c>
      <c r="C390">
        <f>IFERROR(VLOOKUP(Tabla13[[#This Row],[SISMED]],TblDisponibilidad[],7,FALSE), 0)</f>
        <v>0</v>
      </c>
      <c r="D390">
        <f>IFERROR(VLOOKUP(Tabla13[[#This Row],[SISMED]],TblDisponibilidad[],8,FALSE), 0)</f>
        <v>0</v>
      </c>
      <c r="E390">
        <f>IFERROR(VLOOKUP(Tabla13[[#This Row],[SISMED]],TblDisponibilidad[],9,FALSE), 0)</f>
        <v>0</v>
      </c>
      <c r="F390">
        <f>IFERROR(VLOOKUP(Tabla13[[#This Row],[SISMED]],TblDisponibilidad[],10,FALSE), 0)</f>
        <v>0</v>
      </c>
      <c r="G390">
        <f>IFERROR(VLOOKUP(Tabla13[[#This Row],[SISMED]],TblDisponibilidad[],11,FALSE), 0)</f>
        <v>0</v>
      </c>
      <c r="H390">
        <f>IFERROR(VLOOKUP(Tabla13[[#This Row],[SISMED]],TblDisponibilidad[],12,FALSE), 0)</f>
        <v>0</v>
      </c>
      <c r="I390">
        <f>IFERROR(VLOOKUP(Tabla13[[#This Row],[SISMED]],TblDisponibilidad[],13,FALSE), 0)</f>
        <v>0</v>
      </c>
      <c r="J390">
        <f>IFERROR(VLOOKUP(Tabla13[[#This Row],[SISMED]],TblDisponibilidad[],14,FALSE), 0)</f>
        <v>0</v>
      </c>
      <c r="K390">
        <f>IFERROR(VLOOKUP(Tabla13[[#This Row],[SISMED]],TblDisponibilidad[],15,FALSE), 0)</f>
        <v>0</v>
      </c>
      <c r="L390">
        <f>IFERROR(VLOOKUP(Tabla13[[#This Row],[SISMED]],TblDisponibilidad[],16,FALSE), 0)</f>
        <v>0</v>
      </c>
      <c r="M390">
        <f>IFERROR(VLOOKUP(Tabla13[[#This Row],[SISMED]],TblDisponibilidad[],17,FALSE), 0)</f>
        <v>0</v>
      </c>
      <c r="N390">
        <f>IFERROR(VLOOKUP(Tabla13[[#This Row],[SISMED]],TblDisponibilidad[],18,FALSE), 0)</f>
        <v>0</v>
      </c>
      <c r="O390">
        <f>IFERROR(VLOOKUP(Tabla13[[#This Row],[SISMED]],TblDisponibilidad[],19,FALSE), 0)</f>
        <v>0</v>
      </c>
      <c r="P390">
        <f>IFERROR(VLOOKUP(Tabla13[[#This Row],[SISMED]],TblDisponibilidad[],20,FALSE), 0)</f>
        <v>0</v>
      </c>
      <c r="Q390">
        <f>IFERROR(VLOOKUP(Tabla13[[#This Row],[SISMED]],TblDisponibilidad[],21,FALSE), 0)</f>
        <v>0</v>
      </c>
      <c r="R390">
        <f>IFERROR(VLOOKUP(Tabla13[[#This Row],[SISMED]],TblDisponibilidad[],22,FALSE), 0)</f>
        <v>0</v>
      </c>
      <c r="S390" s="15">
        <f>IFERROR(VLOOKUP(Tabla13[[#This Row],[SISMED]],TblDisponibilidad[],23,FALSE), 0)</f>
        <v>0</v>
      </c>
    </row>
    <row r="391" spans="1:19" x14ac:dyDescent="0.3">
      <c r="A391" s="15" t="s">
        <v>421</v>
      </c>
      <c r="B391" t="str">
        <f>IFERROR(VLOOKUP(Tabla13[[#This Row],[SISMED]],TblDisponibilidad[],2,FALSE), "")</f>
        <v/>
      </c>
      <c r="C391">
        <f>IFERROR(VLOOKUP(Tabla13[[#This Row],[SISMED]],TblDisponibilidad[],7,FALSE), 0)</f>
        <v>0</v>
      </c>
      <c r="D391">
        <f>IFERROR(VLOOKUP(Tabla13[[#This Row],[SISMED]],TblDisponibilidad[],8,FALSE), 0)</f>
        <v>0</v>
      </c>
      <c r="E391">
        <f>IFERROR(VLOOKUP(Tabla13[[#This Row],[SISMED]],TblDisponibilidad[],9,FALSE), 0)</f>
        <v>0</v>
      </c>
      <c r="F391">
        <f>IFERROR(VLOOKUP(Tabla13[[#This Row],[SISMED]],TblDisponibilidad[],10,FALSE), 0)</f>
        <v>0</v>
      </c>
      <c r="G391">
        <f>IFERROR(VLOOKUP(Tabla13[[#This Row],[SISMED]],TblDisponibilidad[],11,FALSE), 0)</f>
        <v>0</v>
      </c>
      <c r="H391">
        <f>IFERROR(VLOOKUP(Tabla13[[#This Row],[SISMED]],TblDisponibilidad[],12,FALSE), 0)</f>
        <v>0</v>
      </c>
      <c r="I391">
        <f>IFERROR(VLOOKUP(Tabla13[[#This Row],[SISMED]],TblDisponibilidad[],13,FALSE), 0)</f>
        <v>0</v>
      </c>
      <c r="J391">
        <f>IFERROR(VLOOKUP(Tabla13[[#This Row],[SISMED]],TblDisponibilidad[],14,FALSE), 0)</f>
        <v>0</v>
      </c>
      <c r="K391">
        <f>IFERROR(VLOOKUP(Tabla13[[#This Row],[SISMED]],TblDisponibilidad[],15,FALSE), 0)</f>
        <v>0</v>
      </c>
      <c r="L391">
        <f>IFERROR(VLOOKUP(Tabla13[[#This Row],[SISMED]],TblDisponibilidad[],16,FALSE), 0)</f>
        <v>0</v>
      </c>
      <c r="M391">
        <f>IFERROR(VLOOKUP(Tabla13[[#This Row],[SISMED]],TblDisponibilidad[],17,FALSE), 0)</f>
        <v>0</v>
      </c>
      <c r="N391">
        <f>IFERROR(VLOOKUP(Tabla13[[#This Row],[SISMED]],TblDisponibilidad[],18,FALSE), 0)</f>
        <v>0</v>
      </c>
      <c r="O391">
        <f>IFERROR(VLOOKUP(Tabla13[[#This Row],[SISMED]],TblDisponibilidad[],19,FALSE), 0)</f>
        <v>0</v>
      </c>
      <c r="P391">
        <f>IFERROR(VLOOKUP(Tabla13[[#This Row],[SISMED]],TblDisponibilidad[],20,FALSE), 0)</f>
        <v>0</v>
      </c>
      <c r="Q391">
        <f>IFERROR(VLOOKUP(Tabla13[[#This Row],[SISMED]],TblDisponibilidad[],21,FALSE), 0)</f>
        <v>0</v>
      </c>
      <c r="R391">
        <f>IFERROR(VLOOKUP(Tabla13[[#This Row],[SISMED]],TblDisponibilidad[],22,FALSE), 0)</f>
        <v>0</v>
      </c>
      <c r="S391" s="15">
        <f>IFERROR(VLOOKUP(Tabla13[[#This Row],[SISMED]],TblDisponibilidad[],23,FALSE), 0)</f>
        <v>0</v>
      </c>
    </row>
    <row r="392" spans="1:19" x14ac:dyDescent="0.3">
      <c r="A392" s="15" t="s">
        <v>422</v>
      </c>
      <c r="B392" t="str">
        <f>IFERROR(VLOOKUP(Tabla13[[#This Row],[SISMED]],TblDisponibilidad[],2,FALSE), "")</f>
        <v/>
      </c>
      <c r="C392">
        <f>IFERROR(VLOOKUP(Tabla13[[#This Row],[SISMED]],TblDisponibilidad[],7,FALSE), 0)</f>
        <v>0</v>
      </c>
      <c r="D392">
        <f>IFERROR(VLOOKUP(Tabla13[[#This Row],[SISMED]],TblDisponibilidad[],8,FALSE), 0)</f>
        <v>0</v>
      </c>
      <c r="E392">
        <f>IFERROR(VLOOKUP(Tabla13[[#This Row],[SISMED]],TblDisponibilidad[],9,FALSE), 0)</f>
        <v>0</v>
      </c>
      <c r="F392">
        <f>IFERROR(VLOOKUP(Tabla13[[#This Row],[SISMED]],TblDisponibilidad[],10,FALSE), 0)</f>
        <v>0</v>
      </c>
      <c r="G392">
        <f>IFERROR(VLOOKUP(Tabla13[[#This Row],[SISMED]],TblDisponibilidad[],11,FALSE), 0)</f>
        <v>0</v>
      </c>
      <c r="H392">
        <f>IFERROR(VLOOKUP(Tabla13[[#This Row],[SISMED]],TblDisponibilidad[],12,FALSE), 0)</f>
        <v>0</v>
      </c>
      <c r="I392">
        <f>IFERROR(VLOOKUP(Tabla13[[#This Row],[SISMED]],TblDisponibilidad[],13,FALSE), 0)</f>
        <v>0</v>
      </c>
      <c r="J392">
        <f>IFERROR(VLOOKUP(Tabla13[[#This Row],[SISMED]],TblDisponibilidad[],14,FALSE), 0)</f>
        <v>0</v>
      </c>
      <c r="K392">
        <f>IFERROR(VLOOKUP(Tabla13[[#This Row],[SISMED]],TblDisponibilidad[],15,FALSE), 0)</f>
        <v>0</v>
      </c>
      <c r="L392">
        <f>IFERROR(VLOOKUP(Tabla13[[#This Row],[SISMED]],TblDisponibilidad[],16,FALSE), 0)</f>
        <v>0</v>
      </c>
      <c r="M392">
        <f>IFERROR(VLOOKUP(Tabla13[[#This Row],[SISMED]],TblDisponibilidad[],17,FALSE), 0)</f>
        <v>0</v>
      </c>
      <c r="N392">
        <f>IFERROR(VLOOKUP(Tabla13[[#This Row],[SISMED]],TblDisponibilidad[],18,FALSE), 0)</f>
        <v>0</v>
      </c>
      <c r="O392">
        <f>IFERROR(VLOOKUP(Tabla13[[#This Row],[SISMED]],TblDisponibilidad[],19,FALSE), 0)</f>
        <v>0</v>
      </c>
      <c r="P392">
        <f>IFERROR(VLOOKUP(Tabla13[[#This Row],[SISMED]],TblDisponibilidad[],20,FALSE), 0)</f>
        <v>0</v>
      </c>
      <c r="Q392">
        <f>IFERROR(VLOOKUP(Tabla13[[#This Row],[SISMED]],TblDisponibilidad[],21,FALSE), 0)</f>
        <v>0</v>
      </c>
      <c r="R392">
        <f>IFERROR(VLOOKUP(Tabla13[[#This Row],[SISMED]],TblDisponibilidad[],22,FALSE), 0)</f>
        <v>0</v>
      </c>
      <c r="S392" s="15">
        <f>IFERROR(VLOOKUP(Tabla13[[#This Row],[SISMED]],TblDisponibilidad[],23,FALSE), 0)</f>
        <v>0</v>
      </c>
    </row>
    <row r="393" spans="1:19" x14ac:dyDescent="0.3">
      <c r="A393" s="15" t="s">
        <v>423</v>
      </c>
      <c r="B393" t="str">
        <f>IFERROR(VLOOKUP(Tabla13[[#This Row],[SISMED]],TblDisponibilidad[],2,FALSE), "")</f>
        <v/>
      </c>
      <c r="C393">
        <f>IFERROR(VLOOKUP(Tabla13[[#This Row],[SISMED]],TblDisponibilidad[],7,FALSE), 0)</f>
        <v>0</v>
      </c>
      <c r="D393">
        <f>IFERROR(VLOOKUP(Tabla13[[#This Row],[SISMED]],TblDisponibilidad[],8,FALSE), 0)</f>
        <v>0</v>
      </c>
      <c r="E393">
        <f>IFERROR(VLOOKUP(Tabla13[[#This Row],[SISMED]],TblDisponibilidad[],9,FALSE), 0)</f>
        <v>0</v>
      </c>
      <c r="F393">
        <f>IFERROR(VLOOKUP(Tabla13[[#This Row],[SISMED]],TblDisponibilidad[],10,FALSE), 0)</f>
        <v>0</v>
      </c>
      <c r="G393">
        <f>IFERROR(VLOOKUP(Tabla13[[#This Row],[SISMED]],TblDisponibilidad[],11,FALSE), 0)</f>
        <v>0</v>
      </c>
      <c r="H393">
        <f>IFERROR(VLOOKUP(Tabla13[[#This Row],[SISMED]],TblDisponibilidad[],12,FALSE), 0)</f>
        <v>0</v>
      </c>
      <c r="I393">
        <f>IFERROR(VLOOKUP(Tabla13[[#This Row],[SISMED]],TblDisponibilidad[],13,FALSE), 0)</f>
        <v>0</v>
      </c>
      <c r="J393">
        <f>IFERROR(VLOOKUP(Tabla13[[#This Row],[SISMED]],TblDisponibilidad[],14,FALSE), 0)</f>
        <v>0</v>
      </c>
      <c r="K393">
        <f>IFERROR(VLOOKUP(Tabla13[[#This Row],[SISMED]],TblDisponibilidad[],15,FALSE), 0)</f>
        <v>0</v>
      </c>
      <c r="L393">
        <f>IFERROR(VLOOKUP(Tabla13[[#This Row],[SISMED]],TblDisponibilidad[],16,FALSE), 0)</f>
        <v>0</v>
      </c>
      <c r="M393">
        <f>IFERROR(VLOOKUP(Tabla13[[#This Row],[SISMED]],TblDisponibilidad[],17,FALSE), 0)</f>
        <v>0</v>
      </c>
      <c r="N393">
        <f>IFERROR(VLOOKUP(Tabla13[[#This Row],[SISMED]],TblDisponibilidad[],18,FALSE), 0)</f>
        <v>0</v>
      </c>
      <c r="O393">
        <f>IFERROR(VLOOKUP(Tabla13[[#This Row],[SISMED]],TblDisponibilidad[],19,FALSE), 0)</f>
        <v>0</v>
      </c>
      <c r="P393">
        <f>IFERROR(VLOOKUP(Tabla13[[#This Row],[SISMED]],TblDisponibilidad[],20,FALSE), 0)</f>
        <v>0</v>
      </c>
      <c r="Q393">
        <f>IFERROR(VLOOKUP(Tabla13[[#This Row],[SISMED]],TblDisponibilidad[],21,FALSE), 0)</f>
        <v>0</v>
      </c>
      <c r="R393">
        <f>IFERROR(VLOOKUP(Tabla13[[#This Row],[SISMED]],TblDisponibilidad[],22,FALSE), 0)</f>
        <v>0</v>
      </c>
      <c r="S393" s="15">
        <f>IFERROR(VLOOKUP(Tabla13[[#This Row],[SISMED]],TblDisponibilidad[],23,FALSE), 0)</f>
        <v>0</v>
      </c>
    </row>
    <row r="394" spans="1:19" x14ac:dyDescent="0.3">
      <c r="A394" s="15" t="s">
        <v>424</v>
      </c>
      <c r="B394" t="str">
        <f>IFERROR(VLOOKUP(Tabla13[[#This Row],[SISMED]],TblDisponibilidad[],2,FALSE), "")</f>
        <v/>
      </c>
      <c r="C394">
        <f>IFERROR(VLOOKUP(Tabla13[[#This Row],[SISMED]],TblDisponibilidad[],7,FALSE), 0)</f>
        <v>0</v>
      </c>
      <c r="D394">
        <f>IFERROR(VLOOKUP(Tabla13[[#This Row],[SISMED]],TblDisponibilidad[],8,FALSE), 0)</f>
        <v>0</v>
      </c>
      <c r="E394">
        <f>IFERROR(VLOOKUP(Tabla13[[#This Row],[SISMED]],TblDisponibilidad[],9,FALSE), 0)</f>
        <v>0</v>
      </c>
      <c r="F394">
        <f>IFERROR(VLOOKUP(Tabla13[[#This Row],[SISMED]],TblDisponibilidad[],10,FALSE), 0)</f>
        <v>0</v>
      </c>
      <c r="G394">
        <f>IFERROR(VLOOKUP(Tabla13[[#This Row],[SISMED]],TblDisponibilidad[],11,FALSE), 0)</f>
        <v>0</v>
      </c>
      <c r="H394">
        <f>IFERROR(VLOOKUP(Tabla13[[#This Row],[SISMED]],TblDisponibilidad[],12,FALSE), 0)</f>
        <v>0</v>
      </c>
      <c r="I394">
        <f>IFERROR(VLOOKUP(Tabla13[[#This Row],[SISMED]],TblDisponibilidad[],13,FALSE), 0)</f>
        <v>0</v>
      </c>
      <c r="J394">
        <f>IFERROR(VLOOKUP(Tabla13[[#This Row],[SISMED]],TblDisponibilidad[],14,FALSE), 0)</f>
        <v>0</v>
      </c>
      <c r="K394">
        <f>IFERROR(VLOOKUP(Tabla13[[#This Row],[SISMED]],TblDisponibilidad[],15,FALSE), 0)</f>
        <v>0</v>
      </c>
      <c r="L394">
        <f>IFERROR(VLOOKUP(Tabla13[[#This Row],[SISMED]],TblDisponibilidad[],16,FALSE), 0)</f>
        <v>0</v>
      </c>
      <c r="M394">
        <f>IFERROR(VLOOKUP(Tabla13[[#This Row],[SISMED]],TblDisponibilidad[],17,FALSE), 0)</f>
        <v>0</v>
      </c>
      <c r="N394">
        <f>IFERROR(VLOOKUP(Tabla13[[#This Row],[SISMED]],TblDisponibilidad[],18,FALSE), 0)</f>
        <v>0</v>
      </c>
      <c r="O394">
        <f>IFERROR(VLOOKUP(Tabla13[[#This Row],[SISMED]],TblDisponibilidad[],19,FALSE), 0)</f>
        <v>0</v>
      </c>
      <c r="P394">
        <f>IFERROR(VLOOKUP(Tabla13[[#This Row],[SISMED]],TblDisponibilidad[],20,FALSE), 0)</f>
        <v>0</v>
      </c>
      <c r="Q394">
        <f>IFERROR(VLOOKUP(Tabla13[[#This Row],[SISMED]],TblDisponibilidad[],21,FALSE), 0)</f>
        <v>0</v>
      </c>
      <c r="R394">
        <f>IFERROR(VLOOKUP(Tabla13[[#This Row],[SISMED]],TblDisponibilidad[],22,FALSE), 0)</f>
        <v>0</v>
      </c>
      <c r="S394" s="15">
        <f>IFERROR(VLOOKUP(Tabla13[[#This Row],[SISMED]],TblDisponibilidad[],23,FALSE), 0)</f>
        <v>0</v>
      </c>
    </row>
    <row r="395" spans="1:19" x14ac:dyDescent="0.3">
      <c r="A395" s="15" t="s">
        <v>425</v>
      </c>
      <c r="B395" t="str">
        <f>IFERROR(VLOOKUP(Tabla13[[#This Row],[SISMED]],TblDisponibilidad[],2,FALSE), "")</f>
        <v/>
      </c>
      <c r="C395">
        <f>IFERROR(VLOOKUP(Tabla13[[#This Row],[SISMED]],TblDisponibilidad[],7,FALSE), 0)</f>
        <v>0</v>
      </c>
      <c r="D395">
        <f>IFERROR(VLOOKUP(Tabla13[[#This Row],[SISMED]],TblDisponibilidad[],8,FALSE), 0)</f>
        <v>0</v>
      </c>
      <c r="E395">
        <f>IFERROR(VLOOKUP(Tabla13[[#This Row],[SISMED]],TblDisponibilidad[],9,FALSE), 0)</f>
        <v>0</v>
      </c>
      <c r="F395">
        <f>IFERROR(VLOOKUP(Tabla13[[#This Row],[SISMED]],TblDisponibilidad[],10,FALSE), 0)</f>
        <v>0</v>
      </c>
      <c r="G395">
        <f>IFERROR(VLOOKUP(Tabla13[[#This Row],[SISMED]],TblDisponibilidad[],11,FALSE), 0)</f>
        <v>0</v>
      </c>
      <c r="H395">
        <f>IFERROR(VLOOKUP(Tabla13[[#This Row],[SISMED]],TblDisponibilidad[],12,FALSE), 0)</f>
        <v>0</v>
      </c>
      <c r="I395">
        <f>IFERROR(VLOOKUP(Tabla13[[#This Row],[SISMED]],TblDisponibilidad[],13,FALSE), 0)</f>
        <v>0</v>
      </c>
      <c r="J395">
        <f>IFERROR(VLOOKUP(Tabla13[[#This Row],[SISMED]],TblDisponibilidad[],14,FALSE), 0)</f>
        <v>0</v>
      </c>
      <c r="K395">
        <f>IFERROR(VLOOKUP(Tabla13[[#This Row],[SISMED]],TblDisponibilidad[],15,FALSE), 0)</f>
        <v>0</v>
      </c>
      <c r="L395">
        <f>IFERROR(VLOOKUP(Tabla13[[#This Row],[SISMED]],TblDisponibilidad[],16,FALSE), 0)</f>
        <v>0</v>
      </c>
      <c r="M395">
        <f>IFERROR(VLOOKUP(Tabla13[[#This Row],[SISMED]],TblDisponibilidad[],17,FALSE), 0)</f>
        <v>0</v>
      </c>
      <c r="N395">
        <f>IFERROR(VLOOKUP(Tabla13[[#This Row],[SISMED]],TblDisponibilidad[],18,FALSE), 0)</f>
        <v>0</v>
      </c>
      <c r="O395">
        <f>IFERROR(VLOOKUP(Tabla13[[#This Row],[SISMED]],TblDisponibilidad[],19,FALSE), 0)</f>
        <v>0</v>
      </c>
      <c r="P395">
        <f>IFERROR(VLOOKUP(Tabla13[[#This Row],[SISMED]],TblDisponibilidad[],20,FALSE), 0)</f>
        <v>0</v>
      </c>
      <c r="Q395">
        <f>IFERROR(VLOOKUP(Tabla13[[#This Row],[SISMED]],TblDisponibilidad[],21,FALSE), 0)</f>
        <v>0</v>
      </c>
      <c r="R395">
        <f>IFERROR(VLOOKUP(Tabla13[[#This Row],[SISMED]],TblDisponibilidad[],22,FALSE), 0)</f>
        <v>0</v>
      </c>
      <c r="S395" s="15">
        <f>IFERROR(VLOOKUP(Tabla13[[#This Row],[SISMED]],TblDisponibilidad[],23,FALSE), 0)</f>
        <v>0</v>
      </c>
    </row>
    <row r="396" spans="1:19" x14ac:dyDescent="0.3">
      <c r="A396" s="15" t="s">
        <v>426</v>
      </c>
      <c r="B396" t="str">
        <f>IFERROR(VLOOKUP(Tabla13[[#This Row],[SISMED]],TblDisponibilidad[],2,FALSE), "")</f>
        <v/>
      </c>
      <c r="C396">
        <f>IFERROR(VLOOKUP(Tabla13[[#This Row],[SISMED]],TblDisponibilidad[],7,FALSE), 0)</f>
        <v>0</v>
      </c>
      <c r="D396">
        <f>IFERROR(VLOOKUP(Tabla13[[#This Row],[SISMED]],TblDisponibilidad[],8,FALSE), 0)</f>
        <v>0</v>
      </c>
      <c r="E396">
        <f>IFERROR(VLOOKUP(Tabla13[[#This Row],[SISMED]],TblDisponibilidad[],9,FALSE), 0)</f>
        <v>0</v>
      </c>
      <c r="F396">
        <f>IFERROR(VLOOKUP(Tabla13[[#This Row],[SISMED]],TblDisponibilidad[],10,FALSE), 0)</f>
        <v>0</v>
      </c>
      <c r="G396">
        <f>IFERROR(VLOOKUP(Tabla13[[#This Row],[SISMED]],TblDisponibilidad[],11,FALSE), 0)</f>
        <v>0</v>
      </c>
      <c r="H396">
        <f>IFERROR(VLOOKUP(Tabla13[[#This Row],[SISMED]],TblDisponibilidad[],12,FALSE), 0)</f>
        <v>0</v>
      </c>
      <c r="I396">
        <f>IFERROR(VLOOKUP(Tabla13[[#This Row],[SISMED]],TblDisponibilidad[],13,FALSE), 0)</f>
        <v>0</v>
      </c>
      <c r="J396">
        <f>IFERROR(VLOOKUP(Tabla13[[#This Row],[SISMED]],TblDisponibilidad[],14,FALSE), 0)</f>
        <v>0</v>
      </c>
      <c r="K396">
        <f>IFERROR(VLOOKUP(Tabla13[[#This Row],[SISMED]],TblDisponibilidad[],15,FALSE), 0)</f>
        <v>0</v>
      </c>
      <c r="L396">
        <f>IFERROR(VLOOKUP(Tabla13[[#This Row],[SISMED]],TblDisponibilidad[],16,FALSE), 0)</f>
        <v>0</v>
      </c>
      <c r="M396">
        <f>IFERROR(VLOOKUP(Tabla13[[#This Row],[SISMED]],TblDisponibilidad[],17,FALSE), 0)</f>
        <v>0</v>
      </c>
      <c r="N396">
        <f>IFERROR(VLOOKUP(Tabla13[[#This Row],[SISMED]],TblDisponibilidad[],18,FALSE), 0)</f>
        <v>0</v>
      </c>
      <c r="O396">
        <f>IFERROR(VLOOKUP(Tabla13[[#This Row],[SISMED]],TblDisponibilidad[],19,FALSE), 0)</f>
        <v>0</v>
      </c>
      <c r="P396">
        <f>IFERROR(VLOOKUP(Tabla13[[#This Row],[SISMED]],TblDisponibilidad[],20,FALSE), 0)</f>
        <v>0</v>
      </c>
      <c r="Q396">
        <f>IFERROR(VLOOKUP(Tabla13[[#This Row],[SISMED]],TblDisponibilidad[],21,FALSE), 0)</f>
        <v>0</v>
      </c>
      <c r="R396">
        <f>IFERROR(VLOOKUP(Tabla13[[#This Row],[SISMED]],TblDisponibilidad[],22,FALSE), 0)</f>
        <v>0</v>
      </c>
      <c r="S396" s="15">
        <f>IFERROR(VLOOKUP(Tabla13[[#This Row],[SISMED]],TblDisponibilidad[],23,FALSE), 0)</f>
        <v>0</v>
      </c>
    </row>
    <row r="397" spans="1:19" x14ac:dyDescent="0.3">
      <c r="A397" s="15" t="s">
        <v>427</v>
      </c>
      <c r="B397" t="str">
        <f>IFERROR(VLOOKUP(Tabla13[[#This Row],[SISMED]],TblDisponibilidad[],2,FALSE), "")</f>
        <v/>
      </c>
      <c r="C397">
        <f>IFERROR(VLOOKUP(Tabla13[[#This Row],[SISMED]],TblDisponibilidad[],7,FALSE), 0)</f>
        <v>0</v>
      </c>
      <c r="D397">
        <f>IFERROR(VLOOKUP(Tabla13[[#This Row],[SISMED]],TblDisponibilidad[],8,FALSE), 0)</f>
        <v>0</v>
      </c>
      <c r="E397">
        <f>IFERROR(VLOOKUP(Tabla13[[#This Row],[SISMED]],TblDisponibilidad[],9,FALSE), 0)</f>
        <v>0</v>
      </c>
      <c r="F397">
        <f>IFERROR(VLOOKUP(Tabla13[[#This Row],[SISMED]],TblDisponibilidad[],10,FALSE), 0)</f>
        <v>0</v>
      </c>
      <c r="G397">
        <f>IFERROR(VLOOKUP(Tabla13[[#This Row],[SISMED]],TblDisponibilidad[],11,FALSE), 0)</f>
        <v>0</v>
      </c>
      <c r="H397">
        <f>IFERROR(VLOOKUP(Tabla13[[#This Row],[SISMED]],TblDisponibilidad[],12,FALSE), 0)</f>
        <v>0</v>
      </c>
      <c r="I397">
        <f>IFERROR(VLOOKUP(Tabla13[[#This Row],[SISMED]],TblDisponibilidad[],13,FALSE), 0)</f>
        <v>0</v>
      </c>
      <c r="J397">
        <f>IFERROR(VLOOKUP(Tabla13[[#This Row],[SISMED]],TblDisponibilidad[],14,FALSE), 0)</f>
        <v>0</v>
      </c>
      <c r="K397">
        <f>IFERROR(VLOOKUP(Tabla13[[#This Row],[SISMED]],TblDisponibilidad[],15,FALSE), 0)</f>
        <v>0</v>
      </c>
      <c r="L397">
        <f>IFERROR(VLOOKUP(Tabla13[[#This Row],[SISMED]],TblDisponibilidad[],16,FALSE), 0)</f>
        <v>0</v>
      </c>
      <c r="M397">
        <f>IFERROR(VLOOKUP(Tabla13[[#This Row],[SISMED]],TblDisponibilidad[],17,FALSE), 0)</f>
        <v>0</v>
      </c>
      <c r="N397">
        <f>IFERROR(VLOOKUP(Tabla13[[#This Row],[SISMED]],TblDisponibilidad[],18,FALSE), 0)</f>
        <v>0</v>
      </c>
      <c r="O397">
        <f>IFERROR(VLOOKUP(Tabla13[[#This Row],[SISMED]],TblDisponibilidad[],19,FALSE), 0)</f>
        <v>0</v>
      </c>
      <c r="P397">
        <f>IFERROR(VLOOKUP(Tabla13[[#This Row],[SISMED]],TblDisponibilidad[],20,FALSE), 0)</f>
        <v>0</v>
      </c>
      <c r="Q397">
        <f>IFERROR(VLOOKUP(Tabla13[[#This Row],[SISMED]],TblDisponibilidad[],21,FALSE), 0)</f>
        <v>0</v>
      </c>
      <c r="R397">
        <f>IFERROR(VLOOKUP(Tabla13[[#This Row],[SISMED]],TblDisponibilidad[],22,FALSE), 0)</f>
        <v>0</v>
      </c>
      <c r="S397" s="15">
        <f>IFERROR(VLOOKUP(Tabla13[[#This Row],[SISMED]],TblDisponibilidad[],23,FALSE), 0)</f>
        <v>0</v>
      </c>
    </row>
    <row r="398" spans="1:19" x14ac:dyDescent="0.3">
      <c r="A398" s="15" t="s">
        <v>428</v>
      </c>
      <c r="B398" t="str">
        <f>IFERROR(VLOOKUP(Tabla13[[#This Row],[SISMED]],TblDisponibilidad[],2,FALSE), "")</f>
        <v/>
      </c>
      <c r="C398">
        <f>IFERROR(VLOOKUP(Tabla13[[#This Row],[SISMED]],TblDisponibilidad[],7,FALSE), 0)</f>
        <v>0</v>
      </c>
      <c r="D398">
        <f>IFERROR(VLOOKUP(Tabla13[[#This Row],[SISMED]],TblDisponibilidad[],8,FALSE), 0)</f>
        <v>0</v>
      </c>
      <c r="E398">
        <f>IFERROR(VLOOKUP(Tabla13[[#This Row],[SISMED]],TblDisponibilidad[],9,FALSE), 0)</f>
        <v>0</v>
      </c>
      <c r="F398">
        <f>IFERROR(VLOOKUP(Tabla13[[#This Row],[SISMED]],TblDisponibilidad[],10,FALSE), 0)</f>
        <v>0</v>
      </c>
      <c r="G398">
        <f>IFERROR(VLOOKUP(Tabla13[[#This Row],[SISMED]],TblDisponibilidad[],11,FALSE), 0)</f>
        <v>0</v>
      </c>
      <c r="H398">
        <f>IFERROR(VLOOKUP(Tabla13[[#This Row],[SISMED]],TblDisponibilidad[],12,FALSE), 0)</f>
        <v>0</v>
      </c>
      <c r="I398">
        <f>IFERROR(VLOOKUP(Tabla13[[#This Row],[SISMED]],TblDisponibilidad[],13,FALSE), 0)</f>
        <v>0</v>
      </c>
      <c r="J398">
        <f>IFERROR(VLOOKUP(Tabla13[[#This Row],[SISMED]],TblDisponibilidad[],14,FALSE), 0)</f>
        <v>0</v>
      </c>
      <c r="K398">
        <f>IFERROR(VLOOKUP(Tabla13[[#This Row],[SISMED]],TblDisponibilidad[],15,FALSE), 0)</f>
        <v>0</v>
      </c>
      <c r="L398">
        <f>IFERROR(VLOOKUP(Tabla13[[#This Row],[SISMED]],TblDisponibilidad[],16,FALSE), 0)</f>
        <v>0</v>
      </c>
      <c r="M398">
        <f>IFERROR(VLOOKUP(Tabla13[[#This Row],[SISMED]],TblDisponibilidad[],17,FALSE), 0)</f>
        <v>0</v>
      </c>
      <c r="N398">
        <f>IFERROR(VLOOKUP(Tabla13[[#This Row],[SISMED]],TblDisponibilidad[],18,FALSE), 0)</f>
        <v>0</v>
      </c>
      <c r="O398">
        <f>IFERROR(VLOOKUP(Tabla13[[#This Row],[SISMED]],TblDisponibilidad[],19,FALSE), 0)</f>
        <v>0</v>
      </c>
      <c r="P398">
        <f>IFERROR(VLOOKUP(Tabla13[[#This Row],[SISMED]],TblDisponibilidad[],20,FALSE), 0)</f>
        <v>0</v>
      </c>
      <c r="Q398">
        <f>IFERROR(VLOOKUP(Tabla13[[#This Row],[SISMED]],TblDisponibilidad[],21,FALSE), 0)</f>
        <v>0</v>
      </c>
      <c r="R398">
        <f>IFERROR(VLOOKUP(Tabla13[[#This Row],[SISMED]],TblDisponibilidad[],22,FALSE), 0)</f>
        <v>0</v>
      </c>
      <c r="S398" s="15">
        <f>IFERROR(VLOOKUP(Tabla13[[#This Row],[SISMED]],TblDisponibilidad[],23,FALSE), 0)</f>
        <v>0</v>
      </c>
    </row>
    <row r="399" spans="1:19" x14ac:dyDescent="0.3">
      <c r="A399" s="15" t="s">
        <v>429</v>
      </c>
      <c r="B399" t="str">
        <f>IFERROR(VLOOKUP(Tabla13[[#This Row],[SISMED]],TblDisponibilidad[],2,FALSE), "")</f>
        <v/>
      </c>
      <c r="C399">
        <f>IFERROR(VLOOKUP(Tabla13[[#This Row],[SISMED]],TblDisponibilidad[],7,FALSE), 0)</f>
        <v>0</v>
      </c>
      <c r="D399">
        <f>IFERROR(VLOOKUP(Tabla13[[#This Row],[SISMED]],TblDisponibilidad[],8,FALSE), 0)</f>
        <v>0</v>
      </c>
      <c r="E399">
        <f>IFERROR(VLOOKUP(Tabla13[[#This Row],[SISMED]],TblDisponibilidad[],9,FALSE), 0)</f>
        <v>0</v>
      </c>
      <c r="F399">
        <f>IFERROR(VLOOKUP(Tabla13[[#This Row],[SISMED]],TblDisponibilidad[],10,FALSE), 0)</f>
        <v>0</v>
      </c>
      <c r="G399">
        <f>IFERROR(VLOOKUP(Tabla13[[#This Row],[SISMED]],TblDisponibilidad[],11,FALSE), 0)</f>
        <v>0</v>
      </c>
      <c r="H399">
        <f>IFERROR(VLOOKUP(Tabla13[[#This Row],[SISMED]],TblDisponibilidad[],12,FALSE), 0)</f>
        <v>0</v>
      </c>
      <c r="I399">
        <f>IFERROR(VLOOKUP(Tabla13[[#This Row],[SISMED]],TblDisponibilidad[],13,FALSE), 0)</f>
        <v>0</v>
      </c>
      <c r="J399">
        <f>IFERROR(VLOOKUP(Tabla13[[#This Row],[SISMED]],TblDisponibilidad[],14,FALSE), 0)</f>
        <v>0</v>
      </c>
      <c r="K399">
        <f>IFERROR(VLOOKUP(Tabla13[[#This Row],[SISMED]],TblDisponibilidad[],15,FALSE), 0)</f>
        <v>0</v>
      </c>
      <c r="L399">
        <f>IFERROR(VLOOKUP(Tabla13[[#This Row],[SISMED]],TblDisponibilidad[],16,FALSE), 0)</f>
        <v>0</v>
      </c>
      <c r="M399">
        <f>IFERROR(VLOOKUP(Tabla13[[#This Row],[SISMED]],TblDisponibilidad[],17,FALSE), 0)</f>
        <v>0</v>
      </c>
      <c r="N399">
        <f>IFERROR(VLOOKUP(Tabla13[[#This Row],[SISMED]],TblDisponibilidad[],18,FALSE), 0)</f>
        <v>0</v>
      </c>
      <c r="O399">
        <f>IFERROR(VLOOKUP(Tabla13[[#This Row],[SISMED]],TblDisponibilidad[],19,FALSE), 0)</f>
        <v>0</v>
      </c>
      <c r="P399">
        <f>IFERROR(VLOOKUP(Tabla13[[#This Row],[SISMED]],TblDisponibilidad[],20,FALSE), 0)</f>
        <v>0</v>
      </c>
      <c r="Q399">
        <f>IFERROR(VLOOKUP(Tabla13[[#This Row],[SISMED]],TblDisponibilidad[],21,FALSE), 0)</f>
        <v>0</v>
      </c>
      <c r="R399">
        <f>IFERROR(VLOOKUP(Tabla13[[#This Row],[SISMED]],TblDisponibilidad[],22,FALSE), 0)</f>
        <v>0</v>
      </c>
      <c r="S399" s="15">
        <f>IFERROR(VLOOKUP(Tabla13[[#This Row],[SISMED]],TblDisponibilidad[],23,FALSE), 0)</f>
        <v>0</v>
      </c>
    </row>
    <row r="400" spans="1:19" x14ac:dyDescent="0.3">
      <c r="A400" s="15" t="s">
        <v>430</v>
      </c>
      <c r="B400" t="str">
        <f>IFERROR(VLOOKUP(Tabla13[[#This Row],[SISMED]],TblDisponibilidad[],2,FALSE), "")</f>
        <v/>
      </c>
      <c r="C400">
        <f>IFERROR(VLOOKUP(Tabla13[[#This Row],[SISMED]],TblDisponibilidad[],7,FALSE), 0)</f>
        <v>0</v>
      </c>
      <c r="D400">
        <f>IFERROR(VLOOKUP(Tabla13[[#This Row],[SISMED]],TblDisponibilidad[],8,FALSE), 0)</f>
        <v>0</v>
      </c>
      <c r="E400">
        <f>IFERROR(VLOOKUP(Tabla13[[#This Row],[SISMED]],TblDisponibilidad[],9,FALSE), 0)</f>
        <v>0</v>
      </c>
      <c r="F400">
        <f>IFERROR(VLOOKUP(Tabla13[[#This Row],[SISMED]],TblDisponibilidad[],10,FALSE), 0)</f>
        <v>0</v>
      </c>
      <c r="G400">
        <f>IFERROR(VLOOKUP(Tabla13[[#This Row],[SISMED]],TblDisponibilidad[],11,FALSE), 0)</f>
        <v>0</v>
      </c>
      <c r="H400">
        <f>IFERROR(VLOOKUP(Tabla13[[#This Row],[SISMED]],TblDisponibilidad[],12,FALSE), 0)</f>
        <v>0</v>
      </c>
      <c r="I400">
        <f>IFERROR(VLOOKUP(Tabla13[[#This Row],[SISMED]],TblDisponibilidad[],13,FALSE), 0)</f>
        <v>0</v>
      </c>
      <c r="J400">
        <f>IFERROR(VLOOKUP(Tabla13[[#This Row],[SISMED]],TblDisponibilidad[],14,FALSE), 0)</f>
        <v>0</v>
      </c>
      <c r="K400">
        <f>IFERROR(VLOOKUP(Tabla13[[#This Row],[SISMED]],TblDisponibilidad[],15,FALSE), 0)</f>
        <v>0</v>
      </c>
      <c r="L400">
        <f>IFERROR(VLOOKUP(Tabla13[[#This Row],[SISMED]],TblDisponibilidad[],16,FALSE), 0)</f>
        <v>0</v>
      </c>
      <c r="M400">
        <f>IFERROR(VLOOKUP(Tabla13[[#This Row],[SISMED]],TblDisponibilidad[],17,FALSE), 0)</f>
        <v>0</v>
      </c>
      <c r="N400">
        <f>IFERROR(VLOOKUP(Tabla13[[#This Row],[SISMED]],TblDisponibilidad[],18,FALSE), 0)</f>
        <v>0</v>
      </c>
      <c r="O400">
        <f>IFERROR(VLOOKUP(Tabla13[[#This Row],[SISMED]],TblDisponibilidad[],19,FALSE), 0)</f>
        <v>0</v>
      </c>
      <c r="P400">
        <f>IFERROR(VLOOKUP(Tabla13[[#This Row],[SISMED]],TblDisponibilidad[],20,FALSE), 0)</f>
        <v>0</v>
      </c>
      <c r="Q400">
        <f>IFERROR(VLOOKUP(Tabla13[[#This Row],[SISMED]],TblDisponibilidad[],21,FALSE), 0)</f>
        <v>0</v>
      </c>
      <c r="R400">
        <f>IFERROR(VLOOKUP(Tabla13[[#This Row],[SISMED]],TblDisponibilidad[],22,FALSE), 0)</f>
        <v>0</v>
      </c>
      <c r="S400" s="15">
        <f>IFERROR(VLOOKUP(Tabla13[[#This Row],[SISMED]],TblDisponibilidad[],23,FALSE), 0)</f>
        <v>0</v>
      </c>
    </row>
    <row r="401" spans="1:19" x14ac:dyDescent="0.3">
      <c r="A401" s="15" t="s">
        <v>431</v>
      </c>
      <c r="B401" t="str">
        <f>IFERROR(VLOOKUP(Tabla13[[#This Row],[SISMED]],TblDisponibilidad[],2,FALSE), "")</f>
        <v/>
      </c>
      <c r="C401">
        <f>IFERROR(VLOOKUP(Tabla13[[#This Row],[SISMED]],TblDisponibilidad[],7,FALSE), 0)</f>
        <v>0</v>
      </c>
      <c r="D401">
        <f>IFERROR(VLOOKUP(Tabla13[[#This Row],[SISMED]],TblDisponibilidad[],8,FALSE), 0)</f>
        <v>0</v>
      </c>
      <c r="E401">
        <f>IFERROR(VLOOKUP(Tabla13[[#This Row],[SISMED]],TblDisponibilidad[],9,FALSE), 0)</f>
        <v>0</v>
      </c>
      <c r="F401">
        <f>IFERROR(VLOOKUP(Tabla13[[#This Row],[SISMED]],TblDisponibilidad[],10,FALSE), 0)</f>
        <v>0</v>
      </c>
      <c r="G401">
        <f>IFERROR(VLOOKUP(Tabla13[[#This Row],[SISMED]],TblDisponibilidad[],11,FALSE), 0)</f>
        <v>0</v>
      </c>
      <c r="H401">
        <f>IFERROR(VLOOKUP(Tabla13[[#This Row],[SISMED]],TblDisponibilidad[],12,FALSE), 0)</f>
        <v>0</v>
      </c>
      <c r="I401">
        <f>IFERROR(VLOOKUP(Tabla13[[#This Row],[SISMED]],TblDisponibilidad[],13,FALSE), 0)</f>
        <v>0</v>
      </c>
      <c r="J401">
        <f>IFERROR(VLOOKUP(Tabla13[[#This Row],[SISMED]],TblDisponibilidad[],14,FALSE), 0)</f>
        <v>0</v>
      </c>
      <c r="K401">
        <f>IFERROR(VLOOKUP(Tabla13[[#This Row],[SISMED]],TblDisponibilidad[],15,FALSE), 0)</f>
        <v>0</v>
      </c>
      <c r="L401">
        <f>IFERROR(VLOOKUP(Tabla13[[#This Row],[SISMED]],TblDisponibilidad[],16,FALSE), 0)</f>
        <v>0</v>
      </c>
      <c r="M401">
        <f>IFERROR(VLOOKUP(Tabla13[[#This Row],[SISMED]],TblDisponibilidad[],17,FALSE), 0)</f>
        <v>0</v>
      </c>
      <c r="N401">
        <f>IFERROR(VLOOKUP(Tabla13[[#This Row],[SISMED]],TblDisponibilidad[],18,FALSE), 0)</f>
        <v>0</v>
      </c>
      <c r="O401">
        <f>IFERROR(VLOOKUP(Tabla13[[#This Row],[SISMED]],TblDisponibilidad[],19,FALSE), 0)</f>
        <v>0</v>
      </c>
      <c r="P401">
        <f>IFERROR(VLOOKUP(Tabla13[[#This Row],[SISMED]],TblDisponibilidad[],20,FALSE), 0)</f>
        <v>0</v>
      </c>
      <c r="Q401">
        <f>IFERROR(VLOOKUP(Tabla13[[#This Row],[SISMED]],TblDisponibilidad[],21,FALSE), 0)</f>
        <v>0</v>
      </c>
      <c r="R401">
        <f>IFERROR(VLOOKUP(Tabla13[[#This Row],[SISMED]],TblDisponibilidad[],22,FALSE), 0)</f>
        <v>0</v>
      </c>
      <c r="S401" s="15">
        <f>IFERROR(VLOOKUP(Tabla13[[#This Row],[SISMED]],TblDisponibilidad[],23,FALSE), 0)</f>
        <v>0</v>
      </c>
    </row>
    <row r="402" spans="1:19" x14ac:dyDescent="0.3">
      <c r="A402" s="15" t="s">
        <v>432</v>
      </c>
      <c r="B402" t="str">
        <f>IFERROR(VLOOKUP(Tabla13[[#This Row],[SISMED]],TblDisponibilidad[],2,FALSE), "")</f>
        <v/>
      </c>
      <c r="C402">
        <f>IFERROR(VLOOKUP(Tabla13[[#This Row],[SISMED]],TblDisponibilidad[],7,FALSE), 0)</f>
        <v>0</v>
      </c>
      <c r="D402">
        <f>IFERROR(VLOOKUP(Tabla13[[#This Row],[SISMED]],TblDisponibilidad[],8,FALSE), 0)</f>
        <v>0</v>
      </c>
      <c r="E402">
        <f>IFERROR(VLOOKUP(Tabla13[[#This Row],[SISMED]],TblDisponibilidad[],9,FALSE), 0)</f>
        <v>0</v>
      </c>
      <c r="F402">
        <f>IFERROR(VLOOKUP(Tabla13[[#This Row],[SISMED]],TblDisponibilidad[],10,FALSE), 0)</f>
        <v>0</v>
      </c>
      <c r="G402">
        <f>IFERROR(VLOOKUP(Tabla13[[#This Row],[SISMED]],TblDisponibilidad[],11,FALSE), 0)</f>
        <v>0</v>
      </c>
      <c r="H402">
        <f>IFERROR(VLOOKUP(Tabla13[[#This Row],[SISMED]],TblDisponibilidad[],12,FALSE), 0)</f>
        <v>0</v>
      </c>
      <c r="I402">
        <f>IFERROR(VLOOKUP(Tabla13[[#This Row],[SISMED]],TblDisponibilidad[],13,FALSE), 0)</f>
        <v>0</v>
      </c>
      <c r="J402">
        <f>IFERROR(VLOOKUP(Tabla13[[#This Row],[SISMED]],TblDisponibilidad[],14,FALSE), 0)</f>
        <v>0</v>
      </c>
      <c r="K402">
        <f>IFERROR(VLOOKUP(Tabla13[[#This Row],[SISMED]],TblDisponibilidad[],15,FALSE), 0)</f>
        <v>0</v>
      </c>
      <c r="L402">
        <f>IFERROR(VLOOKUP(Tabla13[[#This Row],[SISMED]],TblDisponibilidad[],16,FALSE), 0)</f>
        <v>0</v>
      </c>
      <c r="M402">
        <f>IFERROR(VLOOKUP(Tabla13[[#This Row],[SISMED]],TblDisponibilidad[],17,FALSE), 0)</f>
        <v>0</v>
      </c>
      <c r="N402">
        <f>IFERROR(VLOOKUP(Tabla13[[#This Row],[SISMED]],TblDisponibilidad[],18,FALSE), 0)</f>
        <v>0</v>
      </c>
      <c r="O402">
        <f>IFERROR(VLOOKUP(Tabla13[[#This Row],[SISMED]],TblDisponibilidad[],19,FALSE), 0)</f>
        <v>0</v>
      </c>
      <c r="P402">
        <f>IFERROR(VLOOKUP(Tabla13[[#This Row],[SISMED]],TblDisponibilidad[],20,FALSE), 0)</f>
        <v>0</v>
      </c>
      <c r="Q402">
        <f>IFERROR(VLOOKUP(Tabla13[[#This Row],[SISMED]],TblDisponibilidad[],21,FALSE), 0)</f>
        <v>0</v>
      </c>
      <c r="R402">
        <f>IFERROR(VLOOKUP(Tabla13[[#This Row],[SISMED]],TblDisponibilidad[],22,FALSE), 0)</f>
        <v>0</v>
      </c>
      <c r="S402" s="15">
        <f>IFERROR(VLOOKUP(Tabla13[[#This Row],[SISMED]],TblDisponibilidad[],23,FALSE), 0)</f>
        <v>0</v>
      </c>
    </row>
    <row r="403" spans="1:19" x14ac:dyDescent="0.3">
      <c r="A403" s="15" t="s">
        <v>433</v>
      </c>
      <c r="B403" t="str">
        <f>IFERROR(VLOOKUP(Tabla13[[#This Row],[SISMED]],TblDisponibilidad[],2,FALSE), "")</f>
        <v/>
      </c>
      <c r="C403">
        <f>IFERROR(VLOOKUP(Tabla13[[#This Row],[SISMED]],TblDisponibilidad[],7,FALSE), 0)</f>
        <v>0</v>
      </c>
      <c r="D403">
        <f>IFERROR(VLOOKUP(Tabla13[[#This Row],[SISMED]],TblDisponibilidad[],8,FALSE), 0)</f>
        <v>0</v>
      </c>
      <c r="E403">
        <f>IFERROR(VLOOKUP(Tabla13[[#This Row],[SISMED]],TblDisponibilidad[],9,FALSE), 0)</f>
        <v>0</v>
      </c>
      <c r="F403">
        <f>IFERROR(VLOOKUP(Tabla13[[#This Row],[SISMED]],TblDisponibilidad[],10,FALSE), 0)</f>
        <v>0</v>
      </c>
      <c r="G403">
        <f>IFERROR(VLOOKUP(Tabla13[[#This Row],[SISMED]],TblDisponibilidad[],11,FALSE), 0)</f>
        <v>0</v>
      </c>
      <c r="H403">
        <f>IFERROR(VLOOKUP(Tabla13[[#This Row],[SISMED]],TblDisponibilidad[],12,FALSE), 0)</f>
        <v>0</v>
      </c>
      <c r="I403">
        <f>IFERROR(VLOOKUP(Tabla13[[#This Row],[SISMED]],TblDisponibilidad[],13,FALSE), 0)</f>
        <v>0</v>
      </c>
      <c r="J403">
        <f>IFERROR(VLOOKUP(Tabla13[[#This Row],[SISMED]],TblDisponibilidad[],14,FALSE), 0)</f>
        <v>0</v>
      </c>
      <c r="K403">
        <f>IFERROR(VLOOKUP(Tabla13[[#This Row],[SISMED]],TblDisponibilidad[],15,FALSE), 0)</f>
        <v>0</v>
      </c>
      <c r="L403">
        <f>IFERROR(VLOOKUP(Tabla13[[#This Row],[SISMED]],TblDisponibilidad[],16,FALSE), 0)</f>
        <v>0</v>
      </c>
      <c r="M403">
        <f>IFERROR(VLOOKUP(Tabla13[[#This Row],[SISMED]],TblDisponibilidad[],17,FALSE), 0)</f>
        <v>0</v>
      </c>
      <c r="N403">
        <f>IFERROR(VLOOKUP(Tabla13[[#This Row],[SISMED]],TblDisponibilidad[],18,FALSE), 0)</f>
        <v>0</v>
      </c>
      <c r="O403">
        <f>IFERROR(VLOOKUP(Tabla13[[#This Row],[SISMED]],TblDisponibilidad[],19,FALSE), 0)</f>
        <v>0</v>
      </c>
      <c r="P403">
        <f>IFERROR(VLOOKUP(Tabla13[[#This Row],[SISMED]],TblDisponibilidad[],20,FALSE), 0)</f>
        <v>0</v>
      </c>
      <c r="Q403">
        <f>IFERROR(VLOOKUP(Tabla13[[#This Row],[SISMED]],TblDisponibilidad[],21,FALSE), 0)</f>
        <v>0</v>
      </c>
      <c r="R403">
        <f>IFERROR(VLOOKUP(Tabla13[[#This Row],[SISMED]],TblDisponibilidad[],22,FALSE), 0)</f>
        <v>0</v>
      </c>
      <c r="S403" s="15">
        <f>IFERROR(VLOOKUP(Tabla13[[#This Row],[SISMED]],TblDisponibilidad[],23,FALSE), 0)</f>
        <v>0</v>
      </c>
    </row>
    <row r="404" spans="1:19" x14ac:dyDescent="0.3">
      <c r="A404" s="15" t="s">
        <v>434</v>
      </c>
      <c r="B404" t="str">
        <f>IFERROR(VLOOKUP(Tabla13[[#This Row],[SISMED]],TblDisponibilidad[],2,FALSE), "")</f>
        <v/>
      </c>
      <c r="C404">
        <f>IFERROR(VLOOKUP(Tabla13[[#This Row],[SISMED]],TblDisponibilidad[],7,FALSE), 0)</f>
        <v>0</v>
      </c>
      <c r="D404">
        <f>IFERROR(VLOOKUP(Tabla13[[#This Row],[SISMED]],TblDisponibilidad[],8,FALSE), 0)</f>
        <v>0</v>
      </c>
      <c r="E404">
        <f>IFERROR(VLOOKUP(Tabla13[[#This Row],[SISMED]],TblDisponibilidad[],9,FALSE), 0)</f>
        <v>0</v>
      </c>
      <c r="F404">
        <f>IFERROR(VLOOKUP(Tabla13[[#This Row],[SISMED]],TblDisponibilidad[],10,FALSE), 0)</f>
        <v>0</v>
      </c>
      <c r="G404">
        <f>IFERROR(VLOOKUP(Tabla13[[#This Row],[SISMED]],TblDisponibilidad[],11,FALSE), 0)</f>
        <v>0</v>
      </c>
      <c r="H404">
        <f>IFERROR(VLOOKUP(Tabla13[[#This Row],[SISMED]],TblDisponibilidad[],12,FALSE), 0)</f>
        <v>0</v>
      </c>
      <c r="I404">
        <f>IFERROR(VLOOKUP(Tabla13[[#This Row],[SISMED]],TblDisponibilidad[],13,FALSE), 0)</f>
        <v>0</v>
      </c>
      <c r="J404">
        <f>IFERROR(VLOOKUP(Tabla13[[#This Row],[SISMED]],TblDisponibilidad[],14,FALSE), 0)</f>
        <v>0</v>
      </c>
      <c r="K404">
        <f>IFERROR(VLOOKUP(Tabla13[[#This Row],[SISMED]],TblDisponibilidad[],15,FALSE), 0)</f>
        <v>0</v>
      </c>
      <c r="L404">
        <f>IFERROR(VLOOKUP(Tabla13[[#This Row],[SISMED]],TblDisponibilidad[],16,FALSE), 0)</f>
        <v>0</v>
      </c>
      <c r="M404">
        <f>IFERROR(VLOOKUP(Tabla13[[#This Row],[SISMED]],TblDisponibilidad[],17,FALSE), 0)</f>
        <v>0</v>
      </c>
      <c r="N404">
        <f>IFERROR(VLOOKUP(Tabla13[[#This Row],[SISMED]],TblDisponibilidad[],18,FALSE), 0)</f>
        <v>0</v>
      </c>
      <c r="O404">
        <f>IFERROR(VLOOKUP(Tabla13[[#This Row],[SISMED]],TblDisponibilidad[],19,FALSE), 0)</f>
        <v>0</v>
      </c>
      <c r="P404">
        <f>IFERROR(VLOOKUP(Tabla13[[#This Row],[SISMED]],TblDisponibilidad[],20,FALSE), 0)</f>
        <v>0</v>
      </c>
      <c r="Q404">
        <f>IFERROR(VLOOKUP(Tabla13[[#This Row],[SISMED]],TblDisponibilidad[],21,FALSE), 0)</f>
        <v>0</v>
      </c>
      <c r="R404">
        <f>IFERROR(VLOOKUP(Tabla13[[#This Row],[SISMED]],TblDisponibilidad[],22,FALSE), 0)</f>
        <v>0</v>
      </c>
      <c r="S404" s="15">
        <f>IFERROR(VLOOKUP(Tabla13[[#This Row],[SISMED]],TblDisponibilidad[],23,FALSE), 0)</f>
        <v>0</v>
      </c>
    </row>
    <row r="405" spans="1:19" x14ac:dyDescent="0.3">
      <c r="A405" s="15" t="s">
        <v>435</v>
      </c>
      <c r="B405" t="str">
        <f>IFERROR(VLOOKUP(Tabla13[[#This Row],[SISMED]],TblDisponibilidad[],2,FALSE), "")</f>
        <v/>
      </c>
      <c r="C405">
        <f>IFERROR(VLOOKUP(Tabla13[[#This Row],[SISMED]],TblDisponibilidad[],7,FALSE), 0)</f>
        <v>0</v>
      </c>
      <c r="D405">
        <f>IFERROR(VLOOKUP(Tabla13[[#This Row],[SISMED]],TblDisponibilidad[],8,FALSE), 0)</f>
        <v>0</v>
      </c>
      <c r="E405">
        <f>IFERROR(VLOOKUP(Tabla13[[#This Row],[SISMED]],TblDisponibilidad[],9,FALSE), 0)</f>
        <v>0</v>
      </c>
      <c r="F405">
        <f>IFERROR(VLOOKUP(Tabla13[[#This Row],[SISMED]],TblDisponibilidad[],10,FALSE), 0)</f>
        <v>0</v>
      </c>
      <c r="G405">
        <f>IFERROR(VLOOKUP(Tabla13[[#This Row],[SISMED]],TblDisponibilidad[],11,FALSE), 0)</f>
        <v>0</v>
      </c>
      <c r="H405">
        <f>IFERROR(VLOOKUP(Tabla13[[#This Row],[SISMED]],TblDisponibilidad[],12,FALSE), 0)</f>
        <v>0</v>
      </c>
      <c r="I405">
        <f>IFERROR(VLOOKUP(Tabla13[[#This Row],[SISMED]],TblDisponibilidad[],13,FALSE), 0)</f>
        <v>0</v>
      </c>
      <c r="J405">
        <f>IFERROR(VLOOKUP(Tabla13[[#This Row],[SISMED]],TblDisponibilidad[],14,FALSE), 0)</f>
        <v>0</v>
      </c>
      <c r="K405">
        <f>IFERROR(VLOOKUP(Tabla13[[#This Row],[SISMED]],TblDisponibilidad[],15,FALSE), 0)</f>
        <v>0</v>
      </c>
      <c r="L405">
        <f>IFERROR(VLOOKUP(Tabla13[[#This Row],[SISMED]],TblDisponibilidad[],16,FALSE), 0)</f>
        <v>0</v>
      </c>
      <c r="M405">
        <f>IFERROR(VLOOKUP(Tabla13[[#This Row],[SISMED]],TblDisponibilidad[],17,FALSE), 0)</f>
        <v>0</v>
      </c>
      <c r="N405">
        <f>IFERROR(VLOOKUP(Tabla13[[#This Row],[SISMED]],TblDisponibilidad[],18,FALSE), 0)</f>
        <v>0</v>
      </c>
      <c r="O405">
        <f>IFERROR(VLOOKUP(Tabla13[[#This Row],[SISMED]],TblDisponibilidad[],19,FALSE), 0)</f>
        <v>0</v>
      </c>
      <c r="P405">
        <f>IFERROR(VLOOKUP(Tabla13[[#This Row],[SISMED]],TblDisponibilidad[],20,FALSE), 0)</f>
        <v>0</v>
      </c>
      <c r="Q405">
        <f>IFERROR(VLOOKUP(Tabla13[[#This Row],[SISMED]],TblDisponibilidad[],21,FALSE), 0)</f>
        <v>0</v>
      </c>
      <c r="R405">
        <f>IFERROR(VLOOKUP(Tabla13[[#This Row],[SISMED]],TblDisponibilidad[],22,FALSE), 0)</f>
        <v>0</v>
      </c>
      <c r="S405" s="15">
        <f>IFERROR(VLOOKUP(Tabla13[[#This Row],[SISMED]],TblDisponibilidad[],23,FALSE), 0)</f>
        <v>0</v>
      </c>
    </row>
    <row r="406" spans="1:19" x14ac:dyDescent="0.3">
      <c r="A406" s="15" t="s">
        <v>436</v>
      </c>
      <c r="B406" t="str">
        <f>IFERROR(VLOOKUP(Tabla13[[#This Row],[SISMED]],TblDisponibilidad[],2,FALSE), "")</f>
        <v/>
      </c>
      <c r="C406">
        <f>IFERROR(VLOOKUP(Tabla13[[#This Row],[SISMED]],TblDisponibilidad[],7,FALSE), 0)</f>
        <v>0</v>
      </c>
      <c r="D406">
        <f>IFERROR(VLOOKUP(Tabla13[[#This Row],[SISMED]],TblDisponibilidad[],8,FALSE), 0)</f>
        <v>0</v>
      </c>
      <c r="E406">
        <f>IFERROR(VLOOKUP(Tabla13[[#This Row],[SISMED]],TblDisponibilidad[],9,FALSE), 0)</f>
        <v>0</v>
      </c>
      <c r="F406">
        <f>IFERROR(VLOOKUP(Tabla13[[#This Row],[SISMED]],TblDisponibilidad[],10,FALSE), 0)</f>
        <v>0</v>
      </c>
      <c r="G406">
        <f>IFERROR(VLOOKUP(Tabla13[[#This Row],[SISMED]],TblDisponibilidad[],11,FALSE), 0)</f>
        <v>0</v>
      </c>
      <c r="H406">
        <f>IFERROR(VLOOKUP(Tabla13[[#This Row],[SISMED]],TblDisponibilidad[],12,FALSE), 0)</f>
        <v>0</v>
      </c>
      <c r="I406">
        <f>IFERROR(VLOOKUP(Tabla13[[#This Row],[SISMED]],TblDisponibilidad[],13,FALSE), 0)</f>
        <v>0</v>
      </c>
      <c r="J406">
        <f>IFERROR(VLOOKUP(Tabla13[[#This Row],[SISMED]],TblDisponibilidad[],14,FALSE), 0)</f>
        <v>0</v>
      </c>
      <c r="K406">
        <f>IFERROR(VLOOKUP(Tabla13[[#This Row],[SISMED]],TblDisponibilidad[],15,FALSE), 0)</f>
        <v>0</v>
      </c>
      <c r="L406">
        <f>IFERROR(VLOOKUP(Tabla13[[#This Row],[SISMED]],TblDisponibilidad[],16,FALSE), 0)</f>
        <v>0</v>
      </c>
      <c r="M406">
        <f>IFERROR(VLOOKUP(Tabla13[[#This Row],[SISMED]],TblDisponibilidad[],17,FALSE), 0)</f>
        <v>0</v>
      </c>
      <c r="N406">
        <f>IFERROR(VLOOKUP(Tabla13[[#This Row],[SISMED]],TblDisponibilidad[],18,FALSE), 0)</f>
        <v>0</v>
      </c>
      <c r="O406">
        <f>IFERROR(VLOOKUP(Tabla13[[#This Row],[SISMED]],TblDisponibilidad[],19,FALSE), 0)</f>
        <v>0</v>
      </c>
      <c r="P406">
        <f>IFERROR(VLOOKUP(Tabla13[[#This Row],[SISMED]],TblDisponibilidad[],20,FALSE), 0)</f>
        <v>0</v>
      </c>
      <c r="Q406">
        <f>IFERROR(VLOOKUP(Tabla13[[#This Row],[SISMED]],TblDisponibilidad[],21,FALSE), 0)</f>
        <v>0</v>
      </c>
      <c r="R406">
        <f>IFERROR(VLOOKUP(Tabla13[[#This Row],[SISMED]],TblDisponibilidad[],22,FALSE), 0)</f>
        <v>0</v>
      </c>
      <c r="S406" s="15">
        <f>IFERROR(VLOOKUP(Tabla13[[#This Row],[SISMED]],TblDisponibilidad[],23,FALSE), 0)</f>
        <v>0</v>
      </c>
    </row>
    <row r="407" spans="1:19" x14ac:dyDescent="0.3">
      <c r="A407" s="15" t="s">
        <v>437</v>
      </c>
      <c r="B407" t="str">
        <f>IFERROR(VLOOKUP(Tabla13[[#This Row],[SISMED]],TblDisponibilidad[],2,FALSE), "")</f>
        <v/>
      </c>
      <c r="C407">
        <f>IFERROR(VLOOKUP(Tabla13[[#This Row],[SISMED]],TblDisponibilidad[],7,FALSE), 0)</f>
        <v>0</v>
      </c>
      <c r="D407">
        <f>IFERROR(VLOOKUP(Tabla13[[#This Row],[SISMED]],TblDisponibilidad[],8,FALSE), 0)</f>
        <v>0</v>
      </c>
      <c r="E407">
        <f>IFERROR(VLOOKUP(Tabla13[[#This Row],[SISMED]],TblDisponibilidad[],9,FALSE), 0)</f>
        <v>0</v>
      </c>
      <c r="F407">
        <f>IFERROR(VLOOKUP(Tabla13[[#This Row],[SISMED]],TblDisponibilidad[],10,FALSE), 0)</f>
        <v>0</v>
      </c>
      <c r="G407">
        <f>IFERROR(VLOOKUP(Tabla13[[#This Row],[SISMED]],TblDisponibilidad[],11,FALSE), 0)</f>
        <v>0</v>
      </c>
      <c r="H407">
        <f>IFERROR(VLOOKUP(Tabla13[[#This Row],[SISMED]],TblDisponibilidad[],12,FALSE), 0)</f>
        <v>0</v>
      </c>
      <c r="I407">
        <f>IFERROR(VLOOKUP(Tabla13[[#This Row],[SISMED]],TblDisponibilidad[],13,FALSE), 0)</f>
        <v>0</v>
      </c>
      <c r="J407">
        <f>IFERROR(VLOOKUP(Tabla13[[#This Row],[SISMED]],TblDisponibilidad[],14,FALSE), 0)</f>
        <v>0</v>
      </c>
      <c r="K407">
        <f>IFERROR(VLOOKUP(Tabla13[[#This Row],[SISMED]],TblDisponibilidad[],15,FALSE), 0)</f>
        <v>0</v>
      </c>
      <c r="L407">
        <f>IFERROR(VLOOKUP(Tabla13[[#This Row],[SISMED]],TblDisponibilidad[],16,FALSE), 0)</f>
        <v>0</v>
      </c>
      <c r="M407">
        <f>IFERROR(VLOOKUP(Tabla13[[#This Row],[SISMED]],TblDisponibilidad[],17,FALSE), 0)</f>
        <v>0</v>
      </c>
      <c r="N407">
        <f>IFERROR(VLOOKUP(Tabla13[[#This Row],[SISMED]],TblDisponibilidad[],18,FALSE), 0)</f>
        <v>0</v>
      </c>
      <c r="O407">
        <f>IFERROR(VLOOKUP(Tabla13[[#This Row],[SISMED]],TblDisponibilidad[],19,FALSE), 0)</f>
        <v>0</v>
      </c>
      <c r="P407">
        <f>IFERROR(VLOOKUP(Tabla13[[#This Row],[SISMED]],TblDisponibilidad[],20,FALSE), 0)</f>
        <v>0</v>
      </c>
      <c r="Q407">
        <f>IFERROR(VLOOKUP(Tabla13[[#This Row],[SISMED]],TblDisponibilidad[],21,FALSE), 0)</f>
        <v>0</v>
      </c>
      <c r="R407">
        <f>IFERROR(VLOOKUP(Tabla13[[#This Row],[SISMED]],TblDisponibilidad[],22,FALSE), 0)</f>
        <v>0</v>
      </c>
      <c r="S407" s="15">
        <f>IFERROR(VLOOKUP(Tabla13[[#This Row],[SISMED]],TblDisponibilidad[],23,FALSE), 0)</f>
        <v>0</v>
      </c>
    </row>
    <row r="408" spans="1:19" x14ac:dyDescent="0.3">
      <c r="A408" s="15" t="s">
        <v>438</v>
      </c>
      <c r="B408" t="str">
        <f>IFERROR(VLOOKUP(Tabla13[[#This Row],[SISMED]],TblDisponibilidad[],2,FALSE), "")</f>
        <v/>
      </c>
      <c r="C408">
        <f>IFERROR(VLOOKUP(Tabla13[[#This Row],[SISMED]],TblDisponibilidad[],7,FALSE), 0)</f>
        <v>0</v>
      </c>
      <c r="D408">
        <f>IFERROR(VLOOKUP(Tabla13[[#This Row],[SISMED]],TblDisponibilidad[],8,FALSE), 0)</f>
        <v>0</v>
      </c>
      <c r="E408">
        <f>IFERROR(VLOOKUP(Tabla13[[#This Row],[SISMED]],TblDisponibilidad[],9,FALSE), 0)</f>
        <v>0</v>
      </c>
      <c r="F408">
        <f>IFERROR(VLOOKUP(Tabla13[[#This Row],[SISMED]],TblDisponibilidad[],10,FALSE), 0)</f>
        <v>0</v>
      </c>
      <c r="G408">
        <f>IFERROR(VLOOKUP(Tabla13[[#This Row],[SISMED]],TblDisponibilidad[],11,FALSE), 0)</f>
        <v>0</v>
      </c>
      <c r="H408">
        <f>IFERROR(VLOOKUP(Tabla13[[#This Row],[SISMED]],TblDisponibilidad[],12,FALSE), 0)</f>
        <v>0</v>
      </c>
      <c r="I408">
        <f>IFERROR(VLOOKUP(Tabla13[[#This Row],[SISMED]],TblDisponibilidad[],13,FALSE), 0)</f>
        <v>0</v>
      </c>
      <c r="J408">
        <f>IFERROR(VLOOKUP(Tabla13[[#This Row],[SISMED]],TblDisponibilidad[],14,FALSE), 0)</f>
        <v>0</v>
      </c>
      <c r="K408">
        <f>IFERROR(VLOOKUP(Tabla13[[#This Row],[SISMED]],TblDisponibilidad[],15,FALSE), 0)</f>
        <v>0</v>
      </c>
      <c r="L408">
        <f>IFERROR(VLOOKUP(Tabla13[[#This Row],[SISMED]],TblDisponibilidad[],16,FALSE), 0)</f>
        <v>0</v>
      </c>
      <c r="M408">
        <f>IFERROR(VLOOKUP(Tabla13[[#This Row],[SISMED]],TblDisponibilidad[],17,FALSE), 0)</f>
        <v>0</v>
      </c>
      <c r="N408">
        <f>IFERROR(VLOOKUP(Tabla13[[#This Row],[SISMED]],TblDisponibilidad[],18,FALSE), 0)</f>
        <v>0</v>
      </c>
      <c r="O408">
        <f>IFERROR(VLOOKUP(Tabla13[[#This Row],[SISMED]],TblDisponibilidad[],19,FALSE), 0)</f>
        <v>0</v>
      </c>
      <c r="P408">
        <f>IFERROR(VLOOKUP(Tabla13[[#This Row],[SISMED]],TblDisponibilidad[],20,FALSE), 0)</f>
        <v>0</v>
      </c>
      <c r="Q408">
        <f>IFERROR(VLOOKUP(Tabla13[[#This Row],[SISMED]],TblDisponibilidad[],21,FALSE), 0)</f>
        <v>0</v>
      </c>
      <c r="R408">
        <f>IFERROR(VLOOKUP(Tabla13[[#This Row],[SISMED]],TblDisponibilidad[],22,FALSE), 0)</f>
        <v>0</v>
      </c>
      <c r="S408" s="15">
        <f>IFERROR(VLOOKUP(Tabla13[[#This Row],[SISMED]],TblDisponibilidad[],23,FALSE), 0)</f>
        <v>0</v>
      </c>
    </row>
    <row r="409" spans="1:19" x14ac:dyDescent="0.3">
      <c r="A409" s="15" t="s">
        <v>439</v>
      </c>
      <c r="B409" t="str">
        <f>IFERROR(VLOOKUP(Tabla13[[#This Row],[SISMED]],TblDisponibilidad[],2,FALSE), "")</f>
        <v/>
      </c>
      <c r="C409">
        <f>IFERROR(VLOOKUP(Tabla13[[#This Row],[SISMED]],TblDisponibilidad[],7,FALSE), 0)</f>
        <v>0</v>
      </c>
      <c r="D409">
        <f>IFERROR(VLOOKUP(Tabla13[[#This Row],[SISMED]],TblDisponibilidad[],8,FALSE), 0)</f>
        <v>0</v>
      </c>
      <c r="E409">
        <f>IFERROR(VLOOKUP(Tabla13[[#This Row],[SISMED]],TblDisponibilidad[],9,FALSE), 0)</f>
        <v>0</v>
      </c>
      <c r="F409">
        <f>IFERROR(VLOOKUP(Tabla13[[#This Row],[SISMED]],TblDisponibilidad[],10,FALSE), 0)</f>
        <v>0</v>
      </c>
      <c r="G409">
        <f>IFERROR(VLOOKUP(Tabla13[[#This Row],[SISMED]],TblDisponibilidad[],11,FALSE), 0)</f>
        <v>0</v>
      </c>
      <c r="H409">
        <f>IFERROR(VLOOKUP(Tabla13[[#This Row],[SISMED]],TblDisponibilidad[],12,FALSE), 0)</f>
        <v>0</v>
      </c>
      <c r="I409">
        <f>IFERROR(VLOOKUP(Tabla13[[#This Row],[SISMED]],TblDisponibilidad[],13,FALSE), 0)</f>
        <v>0</v>
      </c>
      <c r="J409">
        <f>IFERROR(VLOOKUP(Tabla13[[#This Row],[SISMED]],TblDisponibilidad[],14,FALSE), 0)</f>
        <v>0</v>
      </c>
      <c r="K409">
        <f>IFERROR(VLOOKUP(Tabla13[[#This Row],[SISMED]],TblDisponibilidad[],15,FALSE), 0)</f>
        <v>0</v>
      </c>
      <c r="L409">
        <f>IFERROR(VLOOKUP(Tabla13[[#This Row],[SISMED]],TblDisponibilidad[],16,FALSE), 0)</f>
        <v>0</v>
      </c>
      <c r="M409">
        <f>IFERROR(VLOOKUP(Tabla13[[#This Row],[SISMED]],TblDisponibilidad[],17,FALSE), 0)</f>
        <v>0</v>
      </c>
      <c r="N409">
        <f>IFERROR(VLOOKUP(Tabla13[[#This Row],[SISMED]],TblDisponibilidad[],18,FALSE), 0)</f>
        <v>0</v>
      </c>
      <c r="O409">
        <f>IFERROR(VLOOKUP(Tabla13[[#This Row],[SISMED]],TblDisponibilidad[],19,FALSE), 0)</f>
        <v>0</v>
      </c>
      <c r="P409">
        <f>IFERROR(VLOOKUP(Tabla13[[#This Row],[SISMED]],TblDisponibilidad[],20,FALSE), 0)</f>
        <v>0</v>
      </c>
      <c r="Q409">
        <f>IFERROR(VLOOKUP(Tabla13[[#This Row],[SISMED]],TblDisponibilidad[],21,FALSE), 0)</f>
        <v>0</v>
      </c>
      <c r="R409">
        <f>IFERROR(VLOOKUP(Tabla13[[#This Row],[SISMED]],TblDisponibilidad[],22,FALSE), 0)</f>
        <v>0</v>
      </c>
      <c r="S409" s="15">
        <f>IFERROR(VLOOKUP(Tabla13[[#This Row],[SISMED]],TblDisponibilidad[],23,FALSE), 0)</f>
        <v>0</v>
      </c>
    </row>
    <row r="410" spans="1:19" x14ac:dyDescent="0.3">
      <c r="A410" s="15" t="s">
        <v>440</v>
      </c>
      <c r="B410" t="str">
        <f>IFERROR(VLOOKUP(Tabla13[[#This Row],[SISMED]],TblDisponibilidad[],2,FALSE), "")</f>
        <v/>
      </c>
      <c r="C410">
        <f>IFERROR(VLOOKUP(Tabla13[[#This Row],[SISMED]],TblDisponibilidad[],7,FALSE), 0)</f>
        <v>0</v>
      </c>
      <c r="D410">
        <f>IFERROR(VLOOKUP(Tabla13[[#This Row],[SISMED]],TblDisponibilidad[],8,FALSE), 0)</f>
        <v>0</v>
      </c>
      <c r="E410">
        <f>IFERROR(VLOOKUP(Tabla13[[#This Row],[SISMED]],TblDisponibilidad[],9,FALSE), 0)</f>
        <v>0</v>
      </c>
      <c r="F410">
        <f>IFERROR(VLOOKUP(Tabla13[[#This Row],[SISMED]],TblDisponibilidad[],10,FALSE), 0)</f>
        <v>0</v>
      </c>
      <c r="G410">
        <f>IFERROR(VLOOKUP(Tabla13[[#This Row],[SISMED]],TblDisponibilidad[],11,FALSE), 0)</f>
        <v>0</v>
      </c>
      <c r="H410">
        <f>IFERROR(VLOOKUP(Tabla13[[#This Row],[SISMED]],TblDisponibilidad[],12,FALSE), 0)</f>
        <v>0</v>
      </c>
      <c r="I410">
        <f>IFERROR(VLOOKUP(Tabla13[[#This Row],[SISMED]],TblDisponibilidad[],13,FALSE), 0)</f>
        <v>0</v>
      </c>
      <c r="J410">
        <f>IFERROR(VLOOKUP(Tabla13[[#This Row],[SISMED]],TblDisponibilidad[],14,FALSE), 0)</f>
        <v>0</v>
      </c>
      <c r="K410">
        <f>IFERROR(VLOOKUP(Tabla13[[#This Row],[SISMED]],TblDisponibilidad[],15,FALSE), 0)</f>
        <v>0</v>
      </c>
      <c r="L410">
        <f>IFERROR(VLOOKUP(Tabla13[[#This Row],[SISMED]],TblDisponibilidad[],16,FALSE), 0)</f>
        <v>0</v>
      </c>
      <c r="M410">
        <f>IFERROR(VLOOKUP(Tabla13[[#This Row],[SISMED]],TblDisponibilidad[],17,FALSE), 0)</f>
        <v>0</v>
      </c>
      <c r="N410">
        <f>IFERROR(VLOOKUP(Tabla13[[#This Row],[SISMED]],TblDisponibilidad[],18,FALSE), 0)</f>
        <v>0</v>
      </c>
      <c r="O410">
        <f>IFERROR(VLOOKUP(Tabla13[[#This Row],[SISMED]],TblDisponibilidad[],19,FALSE), 0)</f>
        <v>0</v>
      </c>
      <c r="P410">
        <f>IFERROR(VLOOKUP(Tabla13[[#This Row],[SISMED]],TblDisponibilidad[],20,FALSE), 0)</f>
        <v>0</v>
      </c>
      <c r="Q410">
        <f>IFERROR(VLOOKUP(Tabla13[[#This Row],[SISMED]],TblDisponibilidad[],21,FALSE), 0)</f>
        <v>0</v>
      </c>
      <c r="R410">
        <f>IFERROR(VLOOKUP(Tabla13[[#This Row],[SISMED]],TblDisponibilidad[],22,FALSE), 0)</f>
        <v>0</v>
      </c>
      <c r="S410" s="15">
        <f>IFERROR(VLOOKUP(Tabla13[[#This Row],[SISMED]],TblDisponibilidad[],23,FALSE), 0)</f>
        <v>0</v>
      </c>
    </row>
    <row r="411" spans="1:19" x14ac:dyDescent="0.3">
      <c r="A411" s="15" t="s">
        <v>441</v>
      </c>
      <c r="B411" t="str">
        <f>IFERROR(VLOOKUP(Tabla13[[#This Row],[SISMED]],TblDisponibilidad[],2,FALSE), "")</f>
        <v/>
      </c>
      <c r="C411">
        <f>IFERROR(VLOOKUP(Tabla13[[#This Row],[SISMED]],TblDisponibilidad[],7,FALSE), 0)</f>
        <v>0</v>
      </c>
      <c r="D411">
        <f>IFERROR(VLOOKUP(Tabla13[[#This Row],[SISMED]],TblDisponibilidad[],8,FALSE), 0)</f>
        <v>0</v>
      </c>
      <c r="E411">
        <f>IFERROR(VLOOKUP(Tabla13[[#This Row],[SISMED]],TblDisponibilidad[],9,FALSE), 0)</f>
        <v>0</v>
      </c>
      <c r="F411">
        <f>IFERROR(VLOOKUP(Tabla13[[#This Row],[SISMED]],TblDisponibilidad[],10,FALSE), 0)</f>
        <v>0</v>
      </c>
      <c r="G411">
        <f>IFERROR(VLOOKUP(Tabla13[[#This Row],[SISMED]],TblDisponibilidad[],11,FALSE), 0)</f>
        <v>0</v>
      </c>
      <c r="H411">
        <f>IFERROR(VLOOKUP(Tabla13[[#This Row],[SISMED]],TblDisponibilidad[],12,FALSE), 0)</f>
        <v>0</v>
      </c>
      <c r="I411">
        <f>IFERROR(VLOOKUP(Tabla13[[#This Row],[SISMED]],TblDisponibilidad[],13,FALSE), 0)</f>
        <v>0</v>
      </c>
      <c r="J411">
        <f>IFERROR(VLOOKUP(Tabla13[[#This Row],[SISMED]],TblDisponibilidad[],14,FALSE), 0)</f>
        <v>0</v>
      </c>
      <c r="K411">
        <f>IFERROR(VLOOKUP(Tabla13[[#This Row],[SISMED]],TblDisponibilidad[],15,FALSE), 0)</f>
        <v>0</v>
      </c>
      <c r="L411">
        <f>IFERROR(VLOOKUP(Tabla13[[#This Row],[SISMED]],TblDisponibilidad[],16,FALSE), 0)</f>
        <v>0</v>
      </c>
      <c r="M411">
        <f>IFERROR(VLOOKUP(Tabla13[[#This Row],[SISMED]],TblDisponibilidad[],17,FALSE), 0)</f>
        <v>0</v>
      </c>
      <c r="N411">
        <f>IFERROR(VLOOKUP(Tabla13[[#This Row],[SISMED]],TblDisponibilidad[],18,FALSE), 0)</f>
        <v>0</v>
      </c>
      <c r="O411">
        <f>IFERROR(VLOOKUP(Tabla13[[#This Row],[SISMED]],TblDisponibilidad[],19,FALSE), 0)</f>
        <v>0</v>
      </c>
      <c r="P411">
        <f>IFERROR(VLOOKUP(Tabla13[[#This Row],[SISMED]],TblDisponibilidad[],20,FALSE), 0)</f>
        <v>0</v>
      </c>
      <c r="Q411">
        <f>IFERROR(VLOOKUP(Tabla13[[#This Row],[SISMED]],TblDisponibilidad[],21,FALSE), 0)</f>
        <v>0</v>
      </c>
      <c r="R411">
        <f>IFERROR(VLOOKUP(Tabla13[[#This Row],[SISMED]],TblDisponibilidad[],22,FALSE), 0)</f>
        <v>0</v>
      </c>
      <c r="S411" s="15">
        <f>IFERROR(VLOOKUP(Tabla13[[#This Row],[SISMED]],TblDisponibilidad[],23,FALSE), 0)</f>
        <v>0</v>
      </c>
    </row>
    <row r="412" spans="1:19" x14ac:dyDescent="0.3">
      <c r="A412" s="15" t="s">
        <v>442</v>
      </c>
      <c r="B412" t="str">
        <f>IFERROR(VLOOKUP(Tabla13[[#This Row],[SISMED]],TblDisponibilidad[],2,FALSE), "")</f>
        <v/>
      </c>
      <c r="C412">
        <f>IFERROR(VLOOKUP(Tabla13[[#This Row],[SISMED]],TblDisponibilidad[],7,FALSE), 0)</f>
        <v>0</v>
      </c>
      <c r="D412">
        <f>IFERROR(VLOOKUP(Tabla13[[#This Row],[SISMED]],TblDisponibilidad[],8,FALSE), 0)</f>
        <v>0</v>
      </c>
      <c r="E412">
        <f>IFERROR(VLOOKUP(Tabla13[[#This Row],[SISMED]],TblDisponibilidad[],9,FALSE), 0)</f>
        <v>0</v>
      </c>
      <c r="F412">
        <f>IFERROR(VLOOKUP(Tabla13[[#This Row],[SISMED]],TblDisponibilidad[],10,FALSE), 0)</f>
        <v>0</v>
      </c>
      <c r="G412">
        <f>IFERROR(VLOOKUP(Tabla13[[#This Row],[SISMED]],TblDisponibilidad[],11,FALSE), 0)</f>
        <v>0</v>
      </c>
      <c r="H412">
        <f>IFERROR(VLOOKUP(Tabla13[[#This Row],[SISMED]],TblDisponibilidad[],12,FALSE), 0)</f>
        <v>0</v>
      </c>
      <c r="I412">
        <f>IFERROR(VLOOKUP(Tabla13[[#This Row],[SISMED]],TblDisponibilidad[],13,FALSE), 0)</f>
        <v>0</v>
      </c>
      <c r="J412">
        <f>IFERROR(VLOOKUP(Tabla13[[#This Row],[SISMED]],TblDisponibilidad[],14,FALSE), 0)</f>
        <v>0</v>
      </c>
      <c r="K412">
        <f>IFERROR(VLOOKUP(Tabla13[[#This Row],[SISMED]],TblDisponibilidad[],15,FALSE), 0)</f>
        <v>0</v>
      </c>
      <c r="L412">
        <f>IFERROR(VLOOKUP(Tabla13[[#This Row],[SISMED]],TblDisponibilidad[],16,FALSE), 0)</f>
        <v>0</v>
      </c>
      <c r="M412">
        <f>IFERROR(VLOOKUP(Tabla13[[#This Row],[SISMED]],TblDisponibilidad[],17,FALSE), 0)</f>
        <v>0</v>
      </c>
      <c r="N412">
        <f>IFERROR(VLOOKUP(Tabla13[[#This Row],[SISMED]],TblDisponibilidad[],18,FALSE), 0)</f>
        <v>0</v>
      </c>
      <c r="O412">
        <f>IFERROR(VLOOKUP(Tabla13[[#This Row],[SISMED]],TblDisponibilidad[],19,FALSE), 0)</f>
        <v>0</v>
      </c>
      <c r="P412">
        <f>IFERROR(VLOOKUP(Tabla13[[#This Row],[SISMED]],TblDisponibilidad[],20,FALSE), 0)</f>
        <v>0</v>
      </c>
      <c r="Q412">
        <f>IFERROR(VLOOKUP(Tabla13[[#This Row],[SISMED]],TblDisponibilidad[],21,FALSE), 0)</f>
        <v>0</v>
      </c>
      <c r="R412">
        <f>IFERROR(VLOOKUP(Tabla13[[#This Row],[SISMED]],TblDisponibilidad[],22,FALSE), 0)</f>
        <v>0</v>
      </c>
      <c r="S412" s="15">
        <f>IFERROR(VLOOKUP(Tabla13[[#This Row],[SISMED]],TblDisponibilidad[],23,FALSE), 0)</f>
        <v>0</v>
      </c>
    </row>
    <row r="413" spans="1:19" x14ac:dyDescent="0.3">
      <c r="A413" s="15" t="s">
        <v>443</v>
      </c>
      <c r="B413" t="str">
        <f>IFERROR(VLOOKUP(Tabla13[[#This Row],[SISMED]],TblDisponibilidad[],2,FALSE), "")</f>
        <v/>
      </c>
      <c r="C413">
        <f>IFERROR(VLOOKUP(Tabla13[[#This Row],[SISMED]],TblDisponibilidad[],7,FALSE), 0)</f>
        <v>0</v>
      </c>
      <c r="D413">
        <f>IFERROR(VLOOKUP(Tabla13[[#This Row],[SISMED]],TblDisponibilidad[],8,FALSE), 0)</f>
        <v>0</v>
      </c>
      <c r="E413">
        <f>IFERROR(VLOOKUP(Tabla13[[#This Row],[SISMED]],TblDisponibilidad[],9,FALSE), 0)</f>
        <v>0</v>
      </c>
      <c r="F413">
        <f>IFERROR(VLOOKUP(Tabla13[[#This Row],[SISMED]],TblDisponibilidad[],10,FALSE), 0)</f>
        <v>0</v>
      </c>
      <c r="G413">
        <f>IFERROR(VLOOKUP(Tabla13[[#This Row],[SISMED]],TblDisponibilidad[],11,FALSE), 0)</f>
        <v>0</v>
      </c>
      <c r="H413">
        <f>IFERROR(VLOOKUP(Tabla13[[#This Row],[SISMED]],TblDisponibilidad[],12,FALSE), 0)</f>
        <v>0</v>
      </c>
      <c r="I413">
        <f>IFERROR(VLOOKUP(Tabla13[[#This Row],[SISMED]],TblDisponibilidad[],13,FALSE), 0)</f>
        <v>0</v>
      </c>
      <c r="J413">
        <f>IFERROR(VLOOKUP(Tabla13[[#This Row],[SISMED]],TblDisponibilidad[],14,FALSE), 0)</f>
        <v>0</v>
      </c>
      <c r="K413">
        <f>IFERROR(VLOOKUP(Tabla13[[#This Row],[SISMED]],TblDisponibilidad[],15,FALSE), 0)</f>
        <v>0</v>
      </c>
      <c r="L413">
        <f>IFERROR(VLOOKUP(Tabla13[[#This Row],[SISMED]],TblDisponibilidad[],16,FALSE), 0)</f>
        <v>0</v>
      </c>
      <c r="M413">
        <f>IFERROR(VLOOKUP(Tabla13[[#This Row],[SISMED]],TblDisponibilidad[],17,FALSE), 0)</f>
        <v>0</v>
      </c>
      <c r="N413">
        <f>IFERROR(VLOOKUP(Tabla13[[#This Row],[SISMED]],TblDisponibilidad[],18,FALSE), 0)</f>
        <v>0</v>
      </c>
      <c r="O413">
        <f>IFERROR(VLOOKUP(Tabla13[[#This Row],[SISMED]],TblDisponibilidad[],19,FALSE), 0)</f>
        <v>0</v>
      </c>
      <c r="P413">
        <f>IFERROR(VLOOKUP(Tabla13[[#This Row],[SISMED]],TblDisponibilidad[],20,FALSE), 0)</f>
        <v>0</v>
      </c>
      <c r="Q413">
        <f>IFERROR(VLOOKUP(Tabla13[[#This Row],[SISMED]],TblDisponibilidad[],21,FALSE), 0)</f>
        <v>0</v>
      </c>
      <c r="R413">
        <f>IFERROR(VLOOKUP(Tabla13[[#This Row],[SISMED]],TblDisponibilidad[],22,FALSE), 0)</f>
        <v>0</v>
      </c>
      <c r="S413" s="15">
        <f>IFERROR(VLOOKUP(Tabla13[[#This Row],[SISMED]],TblDisponibilidad[],23,FALSE), 0)</f>
        <v>0</v>
      </c>
    </row>
    <row r="414" spans="1:19" x14ac:dyDescent="0.3">
      <c r="A414" s="15" t="s">
        <v>444</v>
      </c>
      <c r="B414" t="str">
        <f>IFERROR(VLOOKUP(Tabla13[[#This Row],[SISMED]],TblDisponibilidad[],2,FALSE), "")</f>
        <v/>
      </c>
      <c r="C414">
        <f>IFERROR(VLOOKUP(Tabla13[[#This Row],[SISMED]],TblDisponibilidad[],7,FALSE), 0)</f>
        <v>0</v>
      </c>
      <c r="D414">
        <f>IFERROR(VLOOKUP(Tabla13[[#This Row],[SISMED]],TblDisponibilidad[],8,FALSE), 0)</f>
        <v>0</v>
      </c>
      <c r="E414">
        <f>IFERROR(VLOOKUP(Tabla13[[#This Row],[SISMED]],TblDisponibilidad[],9,FALSE), 0)</f>
        <v>0</v>
      </c>
      <c r="F414">
        <f>IFERROR(VLOOKUP(Tabla13[[#This Row],[SISMED]],TblDisponibilidad[],10,FALSE), 0)</f>
        <v>0</v>
      </c>
      <c r="G414">
        <f>IFERROR(VLOOKUP(Tabla13[[#This Row],[SISMED]],TblDisponibilidad[],11,FALSE), 0)</f>
        <v>0</v>
      </c>
      <c r="H414">
        <f>IFERROR(VLOOKUP(Tabla13[[#This Row],[SISMED]],TblDisponibilidad[],12,FALSE), 0)</f>
        <v>0</v>
      </c>
      <c r="I414">
        <f>IFERROR(VLOOKUP(Tabla13[[#This Row],[SISMED]],TblDisponibilidad[],13,FALSE), 0)</f>
        <v>0</v>
      </c>
      <c r="J414">
        <f>IFERROR(VLOOKUP(Tabla13[[#This Row],[SISMED]],TblDisponibilidad[],14,FALSE), 0)</f>
        <v>0</v>
      </c>
      <c r="K414">
        <f>IFERROR(VLOOKUP(Tabla13[[#This Row],[SISMED]],TblDisponibilidad[],15,FALSE), 0)</f>
        <v>0</v>
      </c>
      <c r="L414">
        <f>IFERROR(VLOOKUP(Tabla13[[#This Row],[SISMED]],TblDisponibilidad[],16,FALSE), 0)</f>
        <v>0</v>
      </c>
      <c r="M414">
        <f>IFERROR(VLOOKUP(Tabla13[[#This Row],[SISMED]],TblDisponibilidad[],17,FALSE), 0)</f>
        <v>0</v>
      </c>
      <c r="N414">
        <f>IFERROR(VLOOKUP(Tabla13[[#This Row],[SISMED]],TblDisponibilidad[],18,FALSE), 0)</f>
        <v>0</v>
      </c>
      <c r="O414">
        <f>IFERROR(VLOOKUP(Tabla13[[#This Row],[SISMED]],TblDisponibilidad[],19,FALSE), 0)</f>
        <v>0</v>
      </c>
      <c r="P414">
        <f>IFERROR(VLOOKUP(Tabla13[[#This Row],[SISMED]],TblDisponibilidad[],20,FALSE), 0)</f>
        <v>0</v>
      </c>
      <c r="Q414">
        <f>IFERROR(VLOOKUP(Tabla13[[#This Row],[SISMED]],TblDisponibilidad[],21,FALSE), 0)</f>
        <v>0</v>
      </c>
      <c r="R414">
        <f>IFERROR(VLOOKUP(Tabla13[[#This Row],[SISMED]],TblDisponibilidad[],22,FALSE), 0)</f>
        <v>0</v>
      </c>
      <c r="S414" s="15">
        <f>IFERROR(VLOOKUP(Tabla13[[#This Row],[SISMED]],TblDisponibilidad[],23,FALSE), 0)</f>
        <v>0</v>
      </c>
    </row>
    <row r="415" spans="1:19" x14ac:dyDescent="0.3">
      <c r="A415" s="15" t="s">
        <v>445</v>
      </c>
      <c r="B415" t="str">
        <f>IFERROR(VLOOKUP(Tabla13[[#This Row],[SISMED]],TblDisponibilidad[],2,FALSE), "")</f>
        <v/>
      </c>
      <c r="C415">
        <f>IFERROR(VLOOKUP(Tabla13[[#This Row],[SISMED]],TblDisponibilidad[],7,FALSE), 0)</f>
        <v>0</v>
      </c>
      <c r="D415">
        <f>IFERROR(VLOOKUP(Tabla13[[#This Row],[SISMED]],TblDisponibilidad[],8,FALSE), 0)</f>
        <v>0</v>
      </c>
      <c r="E415">
        <f>IFERROR(VLOOKUP(Tabla13[[#This Row],[SISMED]],TblDisponibilidad[],9,FALSE), 0)</f>
        <v>0</v>
      </c>
      <c r="F415">
        <f>IFERROR(VLOOKUP(Tabla13[[#This Row],[SISMED]],TblDisponibilidad[],10,FALSE), 0)</f>
        <v>0</v>
      </c>
      <c r="G415">
        <f>IFERROR(VLOOKUP(Tabla13[[#This Row],[SISMED]],TblDisponibilidad[],11,FALSE), 0)</f>
        <v>0</v>
      </c>
      <c r="H415">
        <f>IFERROR(VLOOKUP(Tabla13[[#This Row],[SISMED]],TblDisponibilidad[],12,FALSE), 0)</f>
        <v>0</v>
      </c>
      <c r="I415">
        <f>IFERROR(VLOOKUP(Tabla13[[#This Row],[SISMED]],TblDisponibilidad[],13,FALSE), 0)</f>
        <v>0</v>
      </c>
      <c r="J415">
        <f>IFERROR(VLOOKUP(Tabla13[[#This Row],[SISMED]],TblDisponibilidad[],14,FALSE), 0)</f>
        <v>0</v>
      </c>
      <c r="K415">
        <f>IFERROR(VLOOKUP(Tabla13[[#This Row],[SISMED]],TblDisponibilidad[],15,FALSE), 0)</f>
        <v>0</v>
      </c>
      <c r="L415">
        <f>IFERROR(VLOOKUP(Tabla13[[#This Row],[SISMED]],TblDisponibilidad[],16,FALSE), 0)</f>
        <v>0</v>
      </c>
      <c r="M415">
        <f>IFERROR(VLOOKUP(Tabla13[[#This Row],[SISMED]],TblDisponibilidad[],17,FALSE), 0)</f>
        <v>0</v>
      </c>
      <c r="N415">
        <f>IFERROR(VLOOKUP(Tabla13[[#This Row],[SISMED]],TblDisponibilidad[],18,FALSE), 0)</f>
        <v>0</v>
      </c>
      <c r="O415">
        <f>IFERROR(VLOOKUP(Tabla13[[#This Row],[SISMED]],TblDisponibilidad[],19,FALSE), 0)</f>
        <v>0</v>
      </c>
      <c r="P415">
        <f>IFERROR(VLOOKUP(Tabla13[[#This Row],[SISMED]],TblDisponibilidad[],20,FALSE), 0)</f>
        <v>0</v>
      </c>
      <c r="Q415">
        <f>IFERROR(VLOOKUP(Tabla13[[#This Row],[SISMED]],TblDisponibilidad[],21,FALSE), 0)</f>
        <v>0</v>
      </c>
      <c r="R415">
        <f>IFERROR(VLOOKUP(Tabla13[[#This Row],[SISMED]],TblDisponibilidad[],22,FALSE), 0)</f>
        <v>0</v>
      </c>
      <c r="S415" s="15">
        <f>IFERROR(VLOOKUP(Tabla13[[#This Row],[SISMED]],TblDisponibilidad[],23,FALSE), 0)</f>
        <v>0</v>
      </c>
    </row>
    <row r="416" spans="1:19" x14ac:dyDescent="0.3">
      <c r="A416" s="15" t="s">
        <v>446</v>
      </c>
      <c r="B416" t="str">
        <f>IFERROR(VLOOKUP(Tabla13[[#This Row],[SISMED]],TblDisponibilidad[],2,FALSE), "")</f>
        <v/>
      </c>
      <c r="C416">
        <f>IFERROR(VLOOKUP(Tabla13[[#This Row],[SISMED]],TblDisponibilidad[],7,FALSE), 0)</f>
        <v>0</v>
      </c>
      <c r="D416">
        <f>IFERROR(VLOOKUP(Tabla13[[#This Row],[SISMED]],TblDisponibilidad[],8,FALSE), 0)</f>
        <v>0</v>
      </c>
      <c r="E416">
        <f>IFERROR(VLOOKUP(Tabla13[[#This Row],[SISMED]],TblDisponibilidad[],9,FALSE), 0)</f>
        <v>0</v>
      </c>
      <c r="F416">
        <f>IFERROR(VLOOKUP(Tabla13[[#This Row],[SISMED]],TblDisponibilidad[],10,FALSE), 0)</f>
        <v>0</v>
      </c>
      <c r="G416">
        <f>IFERROR(VLOOKUP(Tabla13[[#This Row],[SISMED]],TblDisponibilidad[],11,FALSE), 0)</f>
        <v>0</v>
      </c>
      <c r="H416">
        <f>IFERROR(VLOOKUP(Tabla13[[#This Row],[SISMED]],TblDisponibilidad[],12,FALSE), 0)</f>
        <v>0</v>
      </c>
      <c r="I416">
        <f>IFERROR(VLOOKUP(Tabla13[[#This Row],[SISMED]],TblDisponibilidad[],13,FALSE), 0)</f>
        <v>0</v>
      </c>
      <c r="J416">
        <f>IFERROR(VLOOKUP(Tabla13[[#This Row],[SISMED]],TblDisponibilidad[],14,FALSE), 0)</f>
        <v>0</v>
      </c>
      <c r="K416">
        <f>IFERROR(VLOOKUP(Tabla13[[#This Row],[SISMED]],TblDisponibilidad[],15,FALSE), 0)</f>
        <v>0</v>
      </c>
      <c r="L416">
        <f>IFERROR(VLOOKUP(Tabla13[[#This Row],[SISMED]],TblDisponibilidad[],16,FALSE), 0)</f>
        <v>0</v>
      </c>
      <c r="M416">
        <f>IFERROR(VLOOKUP(Tabla13[[#This Row],[SISMED]],TblDisponibilidad[],17,FALSE), 0)</f>
        <v>0</v>
      </c>
      <c r="N416">
        <f>IFERROR(VLOOKUP(Tabla13[[#This Row],[SISMED]],TblDisponibilidad[],18,FALSE), 0)</f>
        <v>0</v>
      </c>
      <c r="O416">
        <f>IFERROR(VLOOKUP(Tabla13[[#This Row],[SISMED]],TblDisponibilidad[],19,FALSE), 0)</f>
        <v>0</v>
      </c>
      <c r="P416">
        <f>IFERROR(VLOOKUP(Tabla13[[#This Row],[SISMED]],TblDisponibilidad[],20,FALSE), 0)</f>
        <v>0</v>
      </c>
      <c r="Q416">
        <f>IFERROR(VLOOKUP(Tabla13[[#This Row],[SISMED]],TblDisponibilidad[],21,FALSE), 0)</f>
        <v>0</v>
      </c>
      <c r="R416">
        <f>IFERROR(VLOOKUP(Tabla13[[#This Row],[SISMED]],TblDisponibilidad[],22,FALSE), 0)</f>
        <v>0</v>
      </c>
      <c r="S416" s="15">
        <f>IFERROR(VLOOKUP(Tabla13[[#This Row],[SISMED]],TblDisponibilidad[],23,FALSE), 0)</f>
        <v>0</v>
      </c>
    </row>
    <row r="417" spans="1:19" x14ac:dyDescent="0.3">
      <c r="A417" s="15" t="s">
        <v>447</v>
      </c>
      <c r="B417" t="str">
        <f>IFERROR(VLOOKUP(Tabla13[[#This Row],[SISMED]],TblDisponibilidad[],2,FALSE), "")</f>
        <v/>
      </c>
      <c r="C417">
        <f>IFERROR(VLOOKUP(Tabla13[[#This Row],[SISMED]],TblDisponibilidad[],7,FALSE), 0)</f>
        <v>0</v>
      </c>
      <c r="D417">
        <f>IFERROR(VLOOKUP(Tabla13[[#This Row],[SISMED]],TblDisponibilidad[],8,FALSE), 0)</f>
        <v>0</v>
      </c>
      <c r="E417">
        <f>IFERROR(VLOOKUP(Tabla13[[#This Row],[SISMED]],TblDisponibilidad[],9,FALSE), 0)</f>
        <v>0</v>
      </c>
      <c r="F417">
        <f>IFERROR(VLOOKUP(Tabla13[[#This Row],[SISMED]],TblDisponibilidad[],10,FALSE), 0)</f>
        <v>0</v>
      </c>
      <c r="G417">
        <f>IFERROR(VLOOKUP(Tabla13[[#This Row],[SISMED]],TblDisponibilidad[],11,FALSE), 0)</f>
        <v>0</v>
      </c>
      <c r="H417">
        <f>IFERROR(VLOOKUP(Tabla13[[#This Row],[SISMED]],TblDisponibilidad[],12,FALSE), 0)</f>
        <v>0</v>
      </c>
      <c r="I417">
        <f>IFERROR(VLOOKUP(Tabla13[[#This Row],[SISMED]],TblDisponibilidad[],13,FALSE), 0)</f>
        <v>0</v>
      </c>
      <c r="J417">
        <f>IFERROR(VLOOKUP(Tabla13[[#This Row],[SISMED]],TblDisponibilidad[],14,FALSE), 0)</f>
        <v>0</v>
      </c>
      <c r="K417">
        <f>IFERROR(VLOOKUP(Tabla13[[#This Row],[SISMED]],TblDisponibilidad[],15,FALSE), 0)</f>
        <v>0</v>
      </c>
      <c r="L417">
        <f>IFERROR(VLOOKUP(Tabla13[[#This Row],[SISMED]],TblDisponibilidad[],16,FALSE), 0)</f>
        <v>0</v>
      </c>
      <c r="M417">
        <f>IFERROR(VLOOKUP(Tabla13[[#This Row],[SISMED]],TblDisponibilidad[],17,FALSE), 0)</f>
        <v>0</v>
      </c>
      <c r="N417">
        <f>IFERROR(VLOOKUP(Tabla13[[#This Row],[SISMED]],TblDisponibilidad[],18,FALSE), 0)</f>
        <v>0</v>
      </c>
      <c r="O417">
        <f>IFERROR(VLOOKUP(Tabla13[[#This Row],[SISMED]],TblDisponibilidad[],19,FALSE), 0)</f>
        <v>0</v>
      </c>
      <c r="P417">
        <f>IFERROR(VLOOKUP(Tabla13[[#This Row],[SISMED]],TblDisponibilidad[],20,FALSE), 0)</f>
        <v>0</v>
      </c>
      <c r="Q417">
        <f>IFERROR(VLOOKUP(Tabla13[[#This Row],[SISMED]],TblDisponibilidad[],21,FALSE), 0)</f>
        <v>0</v>
      </c>
      <c r="R417">
        <f>IFERROR(VLOOKUP(Tabla13[[#This Row],[SISMED]],TblDisponibilidad[],22,FALSE), 0)</f>
        <v>0</v>
      </c>
      <c r="S417" s="15">
        <f>IFERROR(VLOOKUP(Tabla13[[#This Row],[SISMED]],TblDisponibilidad[],23,FALSE), 0)</f>
        <v>0</v>
      </c>
    </row>
    <row r="418" spans="1:19" x14ac:dyDescent="0.3">
      <c r="A418" s="15" t="s">
        <v>448</v>
      </c>
      <c r="B418" t="str">
        <f>IFERROR(VLOOKUP(Tabla13[[#This Row],[SISMED]],TblDisponibilidad[],2,FALSE), "")</f>
        <v/>
      </c>
      <c r="C418">
        <f>IFERROR(VLOOKUP(Tabla13[[#This Row],[SISMED]],TblDisponibilidad[],7,FALSE), 0)</f>
        <v>0</v>
      </c>
      <c r="D418">
        <f>IFERROR(VLOOKUP(Tabla13[[#This Row],[SISMED]],TblDisponibilidad[],8,FALSE), 0)</f>
        <v>0</v>
      </c>
      <c r="E418">
        <f>IFERROR(VLOOKUP(Tabla13[[#This Row],[SISMED]],TblDisponibilidad[],9,FALSE), 0)</f>
        <v>0</v>
      </c>
      <c r="F418">
        <f>IFERROR(VLOOKUP(Tabla13[[#This Row],[SISMED]],TblDisponibilidad[],10,FALSE), 0)</f>
        <v>0</v>
      </c>
      <c r="G418">
        <f>IFERROR(VLOOKUP(Tabla13[[#This Row],[SISMED]],TblDisponibilidad[],11,FALSE), 0)</f>
        <v>0</v>
      </c>
      <c r="H418">
        <f>IFERROR(VLOOKUP(Tabla13[[#This Row],[SISMED]],TblDisponibilidad[],12,FALSE), 0)</f>
        <v>0</v>
      </c>
      <c r="I418">
        <f>IFERROR(VLOOKUP(Tabla13[[#This Row],[SISMED]],TblDisponibilidad[],13,FALSE), 0)</f>
        <v>0</v>
      </c>
      <c r="J418">
        <f>IFERROR(VLOOKUP(Tabla13[[#This Row],[SISMED]],TblDisponibilidad[],14,FALSE), 0)</f>
        <v>0</v>
      </c>
      <c r="K418">
        <f>IFERROR(VLOOKUP(Tabla13[[#This Row],[SISMED]],TblDisponibilidad[],15,FALSE), 0)</f>
        <v>0</v>
      </c>
      <c r="L418">
        <f>IFERROR(VLOOKUP(Tabla13[[#This Row],[SISMED]],TblDisponibilidad[],16,FALSE), 0)</f>
        <v>0</v>
      </c>
      <c r="M418">
        <f>IFERROR(VLOOKUP(Tabla13[[#This Row],[SISMED]],TblDisponibilidad[],17,FALSE), 0)</f>
        <v>0</v>
      </c>
      <c r="N418">
        <f>IFERROR(VLOOKUP(Tabla13[[#This Row],[SISMED]],TblDisponibilidad[],18,FALSE), 0)</f>
        <v>0</v>
      </c>
      <c r="O418">
        <f>IFERROR(VLOOKUP(Tabla13[[#This Row],[SISMED]],TblDisponibilidad[],19,FALSE), 0)</f>
        <v>0</v>
      </c>
      <c r="P418">
        <f>IFERROR(VLOOKUP(Tabla13[[#This Row],[SISMED]],TblDisponibilidad[],20,FALSE), 0)</f>
        <v>0</v>
      </c>
      <c r="Q418">
        <f>IFERROR(VLOOKUP(Tabla13[[#This Row],[SISMED]],TblDisponibilidad[],21,FALSE), 0)</f>
        <v>0</v>
      </c>
      <c r="R418">
        <f>IFERROR(VLOOKUP(Tabla13[[#This Row],[SISMED]],TblDisponibilidad[],22,FALSE), 0)</f>
        <v>0</v>
      </c>
      <c r="S418" s="15">
        <f>IFERROR(VLOOKUP(Tabla13[[#This Row],[SISMED]],TblDisponibilidad[],23,FALSE), 0)</f>
        <v>0</v>
      </c>
    </row>
    <row r="419" spans="1:19" x14ac:dyDescent="0.3">
      <c r="A419" s="15" t="s">
        <v>449</v>
      </c>
      <c r="B419" t="str">
        <f>IFERROR(VLOOKUP(Tabla13[[#This Row],[SISMED]],TblDisponibilidad[],2,FALSE), "")</f>
        <v/>
      </c>
      <c r="C419">
        <f>IFERROR(VLOOKUP(Tabla13[[#This Row],[SISMED]],TblDisponibilidad[],7,FALSE), 0)</f>
        <v>0</v>
      </c>
      <c r="D419">
        <f>IFERROR(VLOOKUP(Tabla13[[#This Row],[SISMED]],TblDisponibilidad[],8,FALSE), 0)</f>
        <v>0</v>
      </c>
      <c r="E419">
        <f>IFERROR(VLOOKUP(Tabla13[[#This Row],[SISMED]],TblDisponibilidad[],9,FALSE), 0)</f>
        <v>0</v>
      </c>
      <c r="F419">
        <f>IFERROR(VLOOKUP(Tabla13[[#This Row],[SISMED]],TblDisponibilidad[],10,FALSE), 0)</f>
        <v>0</v>
      </c>
      <c r="G419">
        <f>IFERROR(VLOOKUP(Tabla13[[#This Row],[SISMED]],TblDisponibilidad[],11,FALSE), 0)</f>
        <v>0</v>
      </c>
      <c r="H419">
        <f>IFERROR(VLOOKUP(Tabla13[[#This Row],[SISMED]],TblDisponibilidad[],12,FALSE), 0)</f>
        <v>0</v>
      </c>
      <c r="I419">
        <f>IFERROR(VLOOKUP(Tabla13[[#This Row],[SISMED]],TblDisponibilidad[],13,FALSE), 0)</f>
        <v>0</v>
      </c>
      <c r="J419">
        <f>IFERROR(VLOOKUP(Tabla13[[#This Row],[SISMED]],TblDisponibilidad[],14,FALSE), 0)</f>
        <v>0</v>
      </c>
      <c r="K419">
        <f>IFERROR(VLOOKUP(Tabla13[[#This Row],[SISMED]],TblDisponibilidad[],15,FALSE), 0)</f>
        <v>0</v>
      </c>
      <c r="L419">
        <f>IFERROR(VLOOKUP(Tabla13[[#This Row],[SISMED]],TblDisponibilidad[],16,FALSE), 0)</f>
        <v>0</v>
      </c>
      <c r="M419">
        <f>IFERROR(VLOOKUP(Tabla13[[#This Row],[SISMED]],TblDisponibilidad[],17,FALSE), 0)</f>
        <v>0</v>
      </c>
      <c r="N419">
        <f>IFERROR(VLOOKUP(Tabla13[[#This Row],[SISMED]],TblDisponibilidad[],18,FALSE), 0)</f>
        <v>0</v>
      </c>
      <c r="O419">
        <f>IFERROR(VLOOKUP(Tabla13[[#This Row],[SISMED]],TblDisponibilidad[],19,FALSE), 0)</f>
        <v>0</v>
      </c>
      <c r="P419">
        <f>IFERROR(VLOOKUP(Tabla13[[#This Row],[SISMED]],TblDisponibilidad[],20,FALSE), 0)</f>
        <v>0</v>
      </c>
      <c r="Q419">
        <f>IFERROR(VLOOKUP(Tabla13[[#This Row],[SISMED]],TblDisponibilidad[],21,FALSE), 0)</f>
        <v>0</v>
      </c>
      <c r="R419">
        <f>IFERROR(VLOOKUP(Tabla13[[#This Row],[SISMED]],TblDisponibilidad[],22,FALSE), 0)</f>
        <v>0</v>
      </c>
      <c r="S419" s="15">
        <f>IFERROR(VLOOKUP(Tabla13[[#This Row],[SISMED]],TblDisponibilidad[],23,FALSE), 0)</f>
        <v>0</v>
      </c>
    </row>
    <row r="420" spans="1:19" x14ac:dyDescent="0.3">
      <c r="A420" s="15" t="s">
        <v>450</v>
      </c>
      <c r="B420" t="str">
        <f>IFERROR(VLOOKUP(Tabla13[[#This Row],[SISMED]],TblDisponibilidad[],2,FALSE), "")</f>
        <v/>
      </c>
      <c r="C420">
        <f>IFERROR(VLOOKUP(Tabla13[[#This Row],[SISMED]],TblDisponibilidad[],7,FALSE), 0)</f>
        <v>0</v>
      </c>
      <c r="D420">
        <f>IFERROR(VLOOKUP(Tabla13[[#This Row],[SISMED]],TblDisponibilidad[],8,FALSE), 0)</f>
        <v>0</v>
      </c>
      <c r="E420">
        <f>IFERROR(VLOOKUP(Tabla13[[#This Row],[SISMED]],TblDisponibilidad[],9,FALSE), 0)</f>
        <v>0</v>
      </c>
      <c r="F420">
        <f>IFERROR(VLOOKUP(Tabla13[[#This Row],[SISMED]],TblDisponibilidad[],10,FALSE), 0)</f>
        <v>0</v>
      </c>
      <c r="G420">
        <f>IFERROR(VLOOKUP(Tabla13[[#This Row],[SISMED]],TblDisponibilidad[],11,FALSE), 0)</f>
        <v>0</v>
      </c>
      <c r="H420">
        <f>IFERROR(VLOOKUP(Tabla13[[#This Row],[SISMED]],TblDisponibilidad[],12,FALSE), 0)</f>
        <v>0</v>
      </c>
      <c r="I420">
        <f>IFERROR(VLOOKUP(Tabla13[[#This Row],[SISMED]],TblDisponibilidad[],13,FALSE), 0)</f>
        <v>0</v>
      </c>
      <c r="J420">
        <f>IFERROR(VLOOKUP(Tabla13[[#This Row],[SISMED]],TblDisponibilidad[],14,FALSE), 0)</f>
        <v>0</v>
      </c>
      <c r="K420">
        <f>IFERROR(VLOOKUP(Tabla13[[#This Row],[SISMED]],TblDisponibilidad[],15,FALSE), 0)</f>
        <v>0</v>
      </c>
      <c r="L420">
        <f>IFERROR(VLOOKUP(Tabla13[[#This Row],[SISMED]],TblDisponibilidad[],16,FALSE), 0)</f>
        <v>0</v>
      </c>
      <c r="M420">
        <f>IFERROR(VLOOKUP(Tabla13[[#This Row],[SISMED]],TblDisponibilidad[],17,FALSE), 0)</f>
        <v>0</v>
      </c>
      <c r="N420">
        <f>IFERROR(VLOOKUP(Tabla13[[#This Row],[SISMED]],TblDisponibilidad[],18,FALSE), 0)</f>
        <v>0</v>
      </c>
      <c r="O420">
        <f>IFERROR(VLOOKUP(Tabla13[[#This Row],[SISMED]],TblDisponibilidad[],19,FALSE), 0)</f>
        <v>0</v>
      </c>
      <c r="P420">
        <f>IFERROR(VLOOKUP(Tabla13[[#This Row],[SISMED]],TblDisponibilidad[],20,FALSE), 0)</f>
        <v>0</v>
      </c>
      <c r="Q420">
        <f>IFERROR(VLOOKUP(Tabla13[[#This Row],[SISMED]],TblDisponibilidad[],21,FALSE), 0)</f>
        <v>0</v>
      </c>
      <c r="R420">
        <f>IFERROR(VLOOKUP(Tabla13[[#This Row],[SISMED]],TblDisponibilidad[],22,FALSE), 0)</f>
        <v>0</v>
      </c>
      <c r="S420" s="15">
        <f>IFERROR(VLOOKUP(Tabla13[[#This Row],[SISMED]],TblDisponibilidad[],23,FALSE), 0)</f>
        <v>0</v>
      </c>
    </row>
    <row r="421" spans="1:19" x14ac:dyDescent="0.3">
      <c r="A421" s="15" t="s">
        <v>451</v>
      </c>
      <c r="B421" t="str">
        <f>IFERROR(VLOOKUP(Tabla13[[#This Row],[SISMED]],TblDisponibilidad[],2,FALSE), "")</f>
        <v/>
      </c>
      <c r="C421">
        <f>IFERROR(VLOOKUP(Tabla13[[#This Row],[SISMED]],TblDisponibilidad[],7,FALSE), 0)</f>
        <v>0</v>
      </c>
      <c r="D421">
        <f>IFERROR(VLOOKUP(Tabla13[[#This Row],[SISMED]],TblDisponibilidad[],8,FALSE), 0)</f>
        <v>0</v>
      </c>
      <c r="E421">
        <f>IFERROR(VLOOKUP(Tabla13[[#This Row],[SISMED]],TblDisponibilidad[],9,FALSE), 0)</f>
        <v>0</v>
      </c>
      <c r="F421">
        <f>IFERROR(VLOOKUP(Tabla13[[#This Row],[SISMED]],TblDisponibilidad[],10,FALSE), 0)</f>
        <v>0</v>
      </c>
      <c r="G421">
        <f>IFERROR(VLOOKUP(Tabla13[[#This Row],[SISMED]],TblDisponibilidad[],11,FALSE), 0)</f>
        <v>0</v>
      </c>
      <c r="H421">
        <f>IFERROR(VLOOKUP(Tabla13[[#This Row],[SISMED]],TblDisponibilidad[],12,FALSE), 0)</f>
        <v>0</v>
      </c>
      <c r="I421">
        <f>IFERROR(VLOOKUP(Tabla13[[#This Row],[SISMED]],TblDisponibilidad[],13,FALSE), 0)</f>
        <v>0</v>
      </c>
      <c r="J421">
        <f>IFERROR(VLOOKUP(Tabla13[[#This Row],[SISMED]],TblDisponibilidad[],14,FALSE), 0)</f>
        <v>0</v>
      </c>
      <c r="K421">
        <f>IFERROR(VLOOKUP(Tabla13[[#This Row],[SISMED]],TblDisponibilidad[],15,FALSE), 0)</f>
        <v>0</v>
      </c>
      <c r="L421">
        <f>IFERROR(VLOOKUP(Tabla13[[#This Row],[SISMED]],TblDisponibilidad[],16,FALSE), 0)</f>
        <v>0</v>
      </c>
      <c r="M421">
        <f>IFERROR(VLOOKUP(Tabla13[[#This Row],[SISMED]],TblDisponibilidad[],17,FALSE), 0)</f>
        <v>0</v>
      </c>
      <c r="N421">
        <f>IFERROR(VLOOKUP(Tabla13[[#This Row],[SISMED]],TblDisponibilidad[],18,FALSE), 0)</f>
        <v>0</v>
      </c>
      <c r="O421">
        <f>IFERROR(VLOOKUP(Tabla13[[#This Row],[SISMED]],TblDisponibilidad[],19,FALSE), 0)</f>
        <v>0</v>
      </c>
      <c r="P421">
        <f>IFERROR(VLOOKUP(Tabla13[[#This Row],[SISMED]],TblDisponibilidad[],20,FALSE), 0)</f>
        <v>0</v>
      </c>
      <c r="Q421">
        <f>IFERROR(VLOOKUP(Tabla13[[#This Row],[SISMED]],TblDisponibilidad[],21,FALSE), 0)</f>
        <v>0</v>
      </c>
      <c r="R421">
        <f>IFERROR(VLOOKUP(Tabla13[[#This Row],[SISMED]],TblDisponibilidad[],22,FALSE), 0)</f>
        <v>0</v>
      </c>
      <c r="S421" s="15">
        <f>IFERROR(VLOOKUP(Tabla13[[#This Row],[SISMED]],TblDisponibilidad[],23,FALSE), 0)</f>
        <v>0</v>
      </c>
    </row>
    <row r="422" spans="1:19" x14ac:dyDescent="0.3">
      <c r="A422" s="15" t="s">
        <v>452</v>
      </c>
      <c r="B422" t="str">
        <f>IFERROR(VLOOKUP(Tabla13[[#This Row],[SISMED]],TblDisponibilidad[],2,FALSE), "")</f>
        <v/>
      </c>
      <c r="C422">
        <f>IFERROR(VLOOKUP(Tabla13[[#This Row],[SISMED]],TblDisponibilidad[],7,FALSE), 0)</f>
        <v>0</v>
      </c>
      <c r="D422">
        <f>IFERROR(VLOOKUP(Tabla13[[#This Row],[SISMED]],TblDisponibilidad[],8,FALSE), 0)</f>
        <v>0</v>
      </c>
      <c r="E422">
        <f>IFERROR(VLOOKUP(Tabla13[[#This Row],[SISMED]],TblDisponibilidad[],9,FALSE), 0)</f>
        <v>0</v>
      </c>
      <c r="F422">
        <f>IFERROR(VLOOKUP(Tabla13[[#This Row],[SISMED]],TblDisponibilidad[],10,FALSE), 0)</f>
        <v>0</v>
      </c>
      <c r="G422">
        <f>IFERROR(VLOOKUP(Tabla13[[#This Row],[SISMED]],TblDisponibilidad[],11,FALSE), 0)</f>
        <v>0</v>
      </c>
      <c r="H422">
        <f>IFERROR(VLOOKUP(Tabla13[[#This Row],[SISMED]],TblDisponibilidad[],12,FALSE), 0)</f>
        <v>0</v>
      </c>
      <c r="I422">
        <f>IFERROR(VLOOKUP(Tabla13[[#This Row],[SISMED]],TblDisponibilidad[],13,FALSE), 0)</f>
        <v>0</v>
      </c>
      <c r="J422">
        <f>IFERROR(VLOOKUP(Tabla13[[#This Row],[SISMED]],TblDisponibilidad[],14,FALSE), 0)</f>
        <v>0</v>
      </c>
      <c r="K422">
        <f>IFERROR(VLOOKUP(Tabla13[[#This Row],[SISMED]],TblDisponibilidad[],15,FALSE), 0)</f>
        <v>0</v>
      </c>
      <c r="L422">
        <f>IFERROR(VLOOKUP(Tabla13[[#This Row],[SISMED]],TblDisponibilidad[],16,FALSE), 0)</f>
        <v>0</v>
      </c>
      <c r="M422">
        <f>IFERROR(VLOOKUP(Tabla13[[#This Row],[SISMED]],TblDisponibilidad[],17,FALSE), 0)</f>
        <v>0</v>
      </c>
      <c r="N422">
        <f>IFERROR(VLOOKUP(Tabla13[[#This Row],[SISMED]],TblDisponibilidad[],18,FALSE), 0)</f>
        <v>0</v>
      </c>
      <c r="O422">
        <f>IFERROR(VLOOKUP(Tabla13[[#This Row],[SISMED]],TblDisponibilidad[],19,FALSE), 0)</f>
        <v>0</v>
      </c>
      <c r="P422">
        <f>IFERROR(VLOOKUP(Tabla13[[#This Row],[SISMED]],TblDisponibilidad[],20,FALSE), 0)</f>
        <v>0</v>
      </c>
      <c r="Q422">
        <f>IFERROR(VLOOKUP(Tabla13[[#This Row],[SISMED]],TblDisponibilidad[],21,FALSE), 0)</f>
        <v>0</v>
      </c>
      <c r="R422">
        <f>IFERROR(VLOOKUP(Tabla13[[#This Row],[SISMED]],TblDisponibilidad[],22,FALSE), 0)</f>
        <v>0</v>
      </c>
      <c r="S422" s="15">
        <f>IFERROR(VLOOKUP(Tabla13[[#This Row],[SISMED]],TblDisponibilidad[],23,FALSE), 0)</f>
        <v>0</v>
      </c>
    </row>
    <row r="423" spans="1:19" x14ac:dyDescent="0.3">
      <c r="A423" s="15" t="s">
        <v>453</v>
      </c>
      <c r="B423" t="str">
        <f>IFERROR(VLOOKUP(Tabla13[[#This Row],[SISMED]],TblDisponibilidad[],2,FALSE), "")</f>
        <v/>
      </c>
      <c r="C423">
        <f>IFERROR(VLOOKUP(Tabla13[[#This Row],[SISMED]],TblDisponibilidad[],7,FALSE), 0)</f>
        <v>0</v>
      </c>
      <c r="D423">
        <f>IFERROR(VLOOKUP(Tabla13[[#This Row],[SISMED]],TblDisponibilidad[],8,FALSE), 0)</f>
        <v>0</v>
      </c>
      <c r="E423">
        <f>IFERROR(VLOOKUP(Tabla13[[#This Row],[SISMED]],TblDisponibilidad[],9,FALSE), 0)</f>
        <v>0</v>
      </c>
      <c r="F423">
        <f>IFERROR(VLOOKUP(Tabla13[[#This Row],[SISMED]],TblDisponibilidad[],10,FALSE), 0)</f>
        <v>0</v>
      </c>
      <c r="G423">
        <f>IFERROR(VLOOKUP(Tabla13[[#This Row],[SISMED]],TblDisponibilidad[],11,FALSE), 0)</f>
        <v>0</v>
      </c>
      <c r="H423">
        <f>IFERROR(VLOOKUP(Tabla13[[#This Row],[SISMED]],TblDisponibilidad[],12,FALSE), 0)</f>
        <v>0</v>
      </c>
      <c r="I423">
        <f>IFERROR(VLOOKUP(Tabla13[[#This Row],[SISMED]],TblDisponibilidad[],13,FALSE), 0)</f>
        <v>0</v>
      </c>
      <c r="J423">
        <f>IFERROR(VLOOKUP(Tabla13[[#This Row],[SISMED]],TblDisponibilidad[],14,FALSE), 0)</f>
        <v>0</v>
      </c>
      <c r="K423">
        <f>IFERROR(VLOOKUP(Tabla13[[#This Row],[SISMED]],TblDisponibilidad[],15,FALSE), 0)</f>
        <v>0</v>
      </c>
      <c r="L423">
        <f>IFERROR(VLOOKUP(Tabla13[[#This Row],[SISMED]],TblDisponibilidad[],16,FALSE), 0)</f>
        <v>0</v>
      </c>
      <c r="M423">
        <f>IFERROR(VLOOKUP(Tabla13[[#This Row],[SISMED]],TblDisponibilidad[],17,FALSE), 0)</f>
        <v>0</v>
      </c>
      <c r="N423">
        <f>IFERROR(VLOOKUP(Tabla13[[#This Row],[SISMED]],TblDisponibilidad[],18,FALSE), 0)</f>
        <v>0</v>
      </c>
      <c r="O423">
        <f>IFERROR(VLOOKUP(Tabla13[[#This Row],[SISMED]],TblDisponibilidad[],19,FALSE), 0)</f>
        <v>0</v>
      </c>
      <c r="P423">
        <f>IFERROR(VLOOKUP(Tabla13[[#This Row],[SISMED]],TblDisponibilidad[],20,FALSE), 0)</f>
        <v>0</v>
      </c>
      <c r="Q423">
        <f>IFERROR(VLOOKUP(Tabla13[[#This Row],[SISMED]],TblDisponibilidad[],21,FALSE), 0)</f>
        <v>0</v>
      </c>
      <c r="R423">
        <f>IFERROR(VLOOKUP(Tabla13[[#This Row],[SISMED]],TblDisponibilidad[],22,FALSE), 0)</f>
        <v>0</v>
      </c>
      <c r="S423" s="15">
        <f>IFERROR(VLOOKUP(Tabla13[[#This Row],[SISMED]],TblDisponibilidad[],23,FALSE), 0)</f>
        <v>0</v>
      </c>
    </row>
    <row r="424" spans="1:19" x14ac:dyDescent="0.3">
      <c r="A424" s="15" t="s">
        <v>454</v>
      </c>
      <c r="B424" t="str">
        <f>IFERROR(VLOOKUP(Tabla13[[#This Row],[SISMED]],TblDisponibilidad[],2,FALSE), "")</f>
        <v/>
      </c>
      <c r="C424">
        <f>IFERROR(VLOOKUP(Tabla13[[#This Row],[SISMED]],TblDisponibilidad[],7,FALSE), 0)</f>
        <v>0</v>
      </c>
      <c r="D424">
        <f>IFERROR(VLOOKUP(Tabla13[[#This Row],[SISMED]],TblDisponibilidad[],8,FALSE), 0)</f>
        <v>0</v>
      </c>
      <c r="E424">
        <f>IFERROR(VLOOKUP(Tabla13[[#This Row],[SISMED]],TblDisponibilidad[],9,FALSE), 0)</f>
        <v>0</v>
      </c>
      <c r="F424">
        <f>IFERROR(VLOOKUP(Tabla13[[#This Row],[SISMED]],TblDisponibilidad[],10,FALSE), 0)</f>
        <v>0</v>
      </c>
      <c r="G424">
        <f>IFERROR(VLOOKUP(Tabla13[[#This Row],[SISMED]],TblDisponibilidad[],11,FALSE), 0)</f>
        <v>0</v>
      </c>
      <c r="H424">
        <f>IFERROR(VLOOKUP(Tabla13[[#This Row],[SISMED]],TblDisponibilidad[],12,FALSE), 0)</f>
        <v>0</v>
      </c>
      <c r="I424">
        <f>IFERROR(VLOOKUP(Tabla13[[#This Row],[SISMED]],TblDisponibilidad[],13,FALSE), 0)</f>
        <v>0</v>
      </c>
      <c r="J424">
        <f>IFERROR(VLOOKUP(Tabla13[[#This Row],[SISMED]],TblDisponibilidad[],14,FALSE), 0)</f>
        <v>0</v>
      </c>
      <c r="K424">
        <f>IFERROR(VLOOKUP(Tabla13[[#This Row],[SISMED]],TblDisponibilidad[],15,FALSE), 0)</f>
        <v>0</v>
      </c>
      <c r="L424">
        <f>IFERROR(VLOOKUP(Tabla13[[#This Row],[SISMED]],TblDisponibilidad[],16,FALSE), 0)</f>
        <v>0</v>
      </c>
      <c r="M424">
        <f>IFERROR(VLOOKUP(Tabla13[[#This Row],[SISMED]],TblDisponibilidad[],17,FALSE), 0)</f>
        <v>0</v>
      </c>
      <c r="N424">
        <f>IFERROR(VLOOKUP(Tabla13[[#This Row],[SISMED]],TblDisponibilidad[],18,FALSE), 0)</f>
        <v>0</v>
      </c>
      <c r="O424">
        <f>IFERROR(VLOOKUP(Tabla13[[#This Row],[SISMED]],TblDisponibilidad[],19,FALSE), 0)</f>
        <v>0</v>
      </c>
      <c r="P424">
        <f>IFERROR(VLOOKUP(Tabla13[[#This Row],[SISMED]],TblDisponibilidad[],20,FALSE), 0)</f>
        <v>0</v>
      </c>
      <c r="Q424">
        <f>IFERROR(VLOOKUP(Tabla13[[#This Row],[SISMED]],TblDisponibilidad[],21,FALSE), 0)</f>
        <v>0</v>
      </c>
      <c r="R424">
        <f>IFERROR(VLOOKUP(Tabla13[[#This Row],[SISMED]],TblDisponibilidad[],22,FALSE), 0)</f>
        <v>0</v>
      </c>
      <c r="S424" s="15">
        <f>IFERROR(VLOOKUP(Tabla13[[#This Row],[SISMED]],TblDisponibilidad[],23,FALSE), 0)</f>
        <v>0</v>
      </c>
    </row>
    <row r="425" spans="1:19" x14ac:dyDescent="0.3">
      <c r="A425" s="15" t="s">
        <v>455</v>
      </c>
      <c r="B425" t="str">
        <f>IFERROR(VLOOKUP(Tabla13[[#This Row],[SISMED]],TblDisponibilidad[],2,FALSE), "")</f>
        <v/>
      </c>
      <c r="C425">
        <f>IFERROR(VLOOKUP(Tabla13[[#This Row],[SISMED]],TblDisponibilidad[],7,FALSE), 0)</f>
        <v>0</v>
      </c>
      <c r="D425">
        <f>IFERROR(VLOOKUP(Tabla13[[#This Row],[SISMED]],TblDisponibilidad[],8,FALSE), 0)</f>
        <v>0</v>
      </c>
      <c r="E425">
        <f>IFERROR(VLOOKUP(Tabla13[[#This Row],[SISMED]],TblDisponibilidad[],9,FALSE), 0)</f>
        <v>0</v>
      </c>
      <c r="F425">
        <f>IFERROR(VLOOKUP(Tabla13[[#This Row],[SISMED]],TblDisponibilidad[],10,FALSE), 0)</f>
        <v>0</v>
      </c>
      <c r="G425">
        <f>IFERROR(VLOOKUP(Tabla13[[#This Row],[SISMED]],TblDisponibilidad[],11,FALSE), 0)</f>
        <v>0</v>
      </c>
      <c r="H425">
        <f>IFERROR(VLOOKUP(Tabla13[[#This Row],[SISMED]],TblDisponibilidad[],12,FALSE), 0)</f>
        <v>0</v>
      </c>
      <c r="I425">
        <f>IFERROR(VLOOKUP(Tabla13[[#This Row],[SISMED]],TblDisponibilidad[],13,FALSE), 0)</f>
        <v>0</v>
      </c>
      <c r="J425">
        <f>IFERROR(VLOOKUP(Tabla13[[#This Row],[SISMED]],TblDisponibilidad[],14,FALSE), 0)</f>
        <v>0</v>
      </c>
      <c r="K425">
        <f>IFERROR(VLOOKUP(Tabla13[[#This Row],[SISMED]],TblDisponibilidad[],15,FALSE), 0)</f>
        <v>0</v>
      </c>
      <c r="L425">
        <f>IFERROR(VLOOKUP(Tabla13[[#This Row],[SISMED]],TblDisponibilidad[],16,FALSE), 0)</f>
        <v>0</v>
      </c>
      <c r="M425">
        <f>IFERROR(VLOOKUP(Tabla13[[#This Row],[SISMED]],TblDisponibilidad[],17,FALSE), 0)</f>
        <v>0</v>
      </c>
      <c r="N425">
        <f>IFERROR(VLOOKUP(Tabla13[[#This Row],[SISMED]],TblDisponibilidad[],18,FALSE), 0)</f>
        <v>0</v>
      </c>
      <c r="O425">
        <f>IFERROR(VLOOKUP(Tabla13[[#This Row],[SISMED]],TblDisponibilidad[],19,FALSE), 0)</f>
        <v>0</v>
      </c>
      <c r="P425">
        <f>IFERROR(VLOOKUP(Tabla13[[#This Row],[SISMED]],TblDisponibilidad[],20,FALSE), 0)</f>
        <v>0</v>
      </c>
      <c r="Q425">
        <f>IFERROR(VLOOKUP(Tabla13[[#This Row],[SISMED]],TblDisponibilidad[],21,FALSE), 0)</f>
        <v>0</v>
      </c>
      <c r="R425">
        <f>IFERROR(VLOOKUP(Tabla13[[#This Row],[SISMED]],TblDisponibilidad[],22,FALSE), 0)</f>
        <v>0</v>
      </c>
      <c r="S425" s="15">
        <f>IFERROR(VLOOKUP(Tabla13[[#This Row],[SISMED]],TblDisponibilidad[],23,FALSE), 0)</f>
        <v>0</v>
      </c>
    </row>
    <row r="426" spans="1:19" x14ac:dyDescent="0.3">
      <c r="A426" s="15" t="s">
        <v>456</v>
      </c>
      <c r="B426" t="str">
        <f>IFERROR(VLOOKUP(Tabla13[[#This Row],[SISMED]],TblDisponibilidad[],2,FALSE), "")</f>
        <v/>
      </c>
      <c r="C426">
        <f>IFERROR(VLOOKUP(Tabla13[[#This Row],[SISMED]],TblDisponibilidad[],7,FALSE), 0)</f>
        <v>0</v>
      </c>
      <c r="D426">
        <f>IFERROR(VLOOKUP(Tabla13[[#This Row],[SISMED]],TblDisponibilidad[],8,FALSE), 0)</f>
        <v>0</v>
      </c>
      <c r="E426">
        <f>IFERROR(VLOOKUP(Tabla13[[#This Row],[SISMED]],TblDisponibilidad[],9,FALSE), 0)</f>
        <v>0</v>
      </c>
      <c r="F426">
        <f>IFERROR(VLOOKUP(Tabla13[[#This Row],[SISMED]],TblDisponibilidad[],10,FALSE), 0)</f>
        <v>0</v>
      </c>
      <c r="G426">
        <f>IFERROR(VLOOKUP(Tabla13[[#This Row],[SISMED]],TblDisponibilidad[],11,FALSE), 0)</f>
        <v>0</v>
      </c>
      <c r="H426">
        <f>IFERROR(VLOOKUP(Tabla13[[#This Row],[SISMED]],TblDisponibilidad[],12,FALSE), 0)</f>
        <v>0</v>
      </c>
      <c r="I426">
        <f>IFERROR(VLOOKUP(Tabla13[[#This Row],[SISMED]],TblDisponibilidad[],13,FALSE), 0)</f>
        <v>0</v>
      </c>
      <c r="J426">
        <f>IFERROR(VLOOKUP(Tabla13[[#This Row],[SISMED]],TblDisponibilidad[],14,FALSE), 0)</f>
        <v>0</v>
      </c>
      <c r="K426">
        <f>IFERROR(VLOOKUP(Tabla13[[#This Row],[SISMED]],TblDisponibilidad[],15,FALSE), 0)</f>
        <v>0</v>
      </c>
      <c r="L426">
        <f>IFERROR(VLOOKUP(Tabla13[[#This Row],[SISMED]],TblDisponibilidad[],16,FALSE), 0)</f>
        <v>0</v>
      </c>
      <c r="M426">
        <f>IFERROR(VLOOKUP(Tabla13[[#This Row],[SISMED]],TblDisponibilidad[],17,FALSE), 0)</f>
        <v>0</v>
      </c>
      <c r="N426">
        <f>IFERROR(VLOOKUP(Tabla13[[#This Row],[SISMED]],TblDisponibilidad[],18,FALSE), 0)</f>
        <v>0</v>
      </c>
      <c r="O426">
        <f>IFERROR(VLOOKUP(Tabla13[[#This Row],[SISMED]],TblDisponibilidad[],19,FALSE), 0)</f>
        <v>0</v>
      </c>
      <c r="P426">
        <f>IFERROR(VLOOKUP(Tabla13[[#This Row],[SISMED]],TblDisponibilidad[],20,FALSE), 0)</f>
        <v>0</v>
      </c>
      <c r="Q426">
        <f>IFERROR(VLOOKUP(Tabla13[[#This Row],[SISMED]],TblDisponibilidad[],21,FALSE), 0)</f>
        <v>0</v>
      </c>
      <c r="R426">
        <f>IFERROR(VLOOKUP(Tabla13[[#This Row],[SISMED]],TblDisponibilidad[],22,FALSE), 0)</f>
        <v>0</v>
      </c>
      <c r="S426" s="15">
        <f>IFERROR(VLOOKUP(Tabla13[[#This Row],[SISMED]],TblDisponibilidad[],23,FALSE), 0)</f>
        <v>0</v>
      </c>
    </row>
    <row r="427" spans="1:19" x14ac:dyDescent="0.3">
      <c r="A427" s="15" t="s">
        <v>457</v>
      </c>
      <c r="B427" t="str">
        <f>IFERROR(VLOOKUP(Tabla13[[#This Row],[SISMED]],TblDisponibilidad[],2,FALSE), "")</f>
        <v/>
      </c>
      <c r="C427">
        <f>IFERROR(VLOOKUP(Tabla13[[#This Row],[SISMED]],TblDisponibilidad[],7,FALSE), 0)</f>
        <v>0</v>
      </c>
      <c r="D427">
        <f>IFERROR(VLOOKUP(Tabla13[[#This Row],[SISMED]],TblDisponibilidad[],8,FALSE), 0)</f>
        <v>0</v>
      </c>
      <c r="E427">
        <f>IFERROR(VLOOKUP(Tabla13[[#This Row],[SISMED]],TblDisponibilidad[],9,FALSE), 0)</f>
        <v>0</v>
      </c>
      <c r="F427">
        <f>IFERROR(VLOOKUP(Tabla13[[#This Row],[SISMED]],TblDisponibilidad[],10,FALSE), 0)</f>
        <v>0</v>
      </c>
      <c r="G427">
        <f>IFERROR(VLOOKUP(Tabla13[[#This Row],[SISMED]],TblDisponibilidad[],11,FALSE), 0)</f>
        <v>0</v>
      </c>
      <c r="H427">
        <f>IFERROR(VLOOKUP(Tabla13[[#This Row],[SISMED]],TblDisponibilidad[],12,FALSE), 0)</f>
        <v>0</v>
      </c>
      <c r="I427">
        <f>IFERROR(VLOOKUP(Tabla13[[#This Row],[SISMED]],TblDisponibilidad[],13,FALSE), 0)</f>
        <v>0</v>
      </c>
      <c r="J427">
        <f>IFERROR(VLOOKUP(Tabla13[[#This Row],[SISMED]],TblDisponibilidad[],14,FALSE), 0)</f>
        <v>0</v>
      </c>
      <c r="K427">
        <f>IFERROR(VLOOKUP(Tabla13[[#This Row],[SISMED]],TblDisponibilidad[],15,FALSE), 0)</f>
        <v>0</v>
      </c>
      <c r="L427">
        <f>IFERROR(VLOOKUP(Tabla13[[#This Row],[SISMED]],TblDisponibilidad[],16,FALSE), 0)</f>
        <v>0</v>
      </c>
      <c r="M427">
        <f>IFERROR(VLOOKUP(Tabla13[[#This Row],[SISMED]],TblDisponibilidad[],17,FALSE), 0)</f>
        <v>0</v>
      </c>
      <c r="N427">
        <f>IFERROR(VLOOKUP(Tabla13[[#This Row],[SISMED]],TblDisponibilidad[],18,FALSE), 0)</f>
        <v>0</v>
      </c>
      <c r="O427">
        <f>IFERROR(VLOOKUP(Tabla13[[#This Row],[SISMED]],TblDisponibilidad[],19,FALSE), 0)</f>
        <v>0</v>
      </c>
      <c r="P427">
        <f>IFERROR(VLOOKUP(Tabla13[[#This Row],[SISMED]],TblDisponibilidad[],20,FALSE), 0)</f>
        <v>0</v>
      </c>
      <c r="Q427">
        <f>IFERROR(VLOOKUP(Tabla13[[#This Row],[SISMED]],TblDisponibilidad[],21,FALSE), 0)</f>
        <v>0</v>
      </c>
      <c r="R427">
        <f>IFERROR(VLOOKUP(Tabla13[[#This Row],[SISMED]],TblDisponibilidad[],22,FALSE), 0)</f>
        <v>0</v>
      </c>
      <c r="S427" s="15">
        <f>IFERROR(VLOOKUP(Tabla13[[#This Row],[SISMED]],TblDisponibilidad[],23,FALSE), 0)</f>
        <v>0</v>
      </c>
    </row>
    <row r="428" spans="1:19" x14ac:dyDescent="0.3">
      <c r="A428" s="15" t="s">
        <v>458</v>
      </c>
      <c r="B428" t="str">
        <f>IFERROR(VLOOKUP(Tabla13[[#This Row],[SISMED]],TblDisponibilidad[],2,FALSE), "")</f>
        <v/>
      </c>
      <c r="C428">
        <f>IFERROR(VLOOKUP(Tabla13[[#This Row],[SISMED]],TblDisponibilidad[],7,FALSE), 0)</f>
        <v>0</v>
      </c>
      <c r="D428">
        <f>IFERROR(VLOOKUP(Tabla13[[#This Row],[SISMED]],TblDisponibilidad[],8,FALSE), 0)</f>
        <v>0</v>
      </c>
      <c r="E428">
        <f>IFERROR(VLOOKUP(Tabla13[[#This Row],[SISMED]],TblDisponibilidad[],9,FALSE), 0)</f>
        <v>0</v>
      </c>
      <c r="F428">
        <f>IFERROR(VLOOKUP(Tabla13[[#This Row],[SISMED]],TblDisponibilidad[],10,FALSE), 0)</f>
        <v>0</v>
      </c>
      <c r="G428">
        <f>IFERROR(VLOOKUP(Tabla13[[#This Row],[SISMED]],TblDisponibilidad[],11,FALSE), 0)</f>
        <v>0</v>
      </c>
      <c r="H428">
        <f>IFERROR(VLOOKUP(Tabla13[[#This Row],[SISMED]],TblDisponibilidad[],12,FALSE), 0)</f>
        <v>0</v>
      </c>
      <c r="I428">
        <f>IFERROR(VLOOKUP(Tabla13[[#This Row],[SISMED]],TblDisponibilidad[],13,FALSE), 0)</f>
        <v>0</v>
      </c>
      <c r="J428">
        <f>IFERROR(VLOOKUP(Tabla13[[#This Row],[SISMED]],TblDisponibilidad[],14,FALSE), 0)</f>
        <v>0</v>
      </c>
      <c r="K428">
        <f>IFERROR(VLOOKUP(Tabla13[[#This Row],[SISMED]],TblDisponibilidad[],15,FALSE), 0)</f>
        <v>0</v>
      </c>
      <c r="L428">
        <f>IFERROR(VLOOKUP(Tabla13[[#This Row],[SISMED]],TblDisponibilidad[],16,FALSE), 0)</f>
        <v>0</v>
      </c>
      <c r="M428">
        <f>IFERROR(VLOOKUP(Tabla13[[#This Row],[SISMED]],TblDisponibilidad[],17,FALSE), 0)</f>
        <v>0</v>
      </c>
      <c r="N428">
        <f>IFERROR(VLOOKUP(Tabla13[[#This Row],[SISMED]],TblDisponibilidad[],18,FALSE), 0)</f>
        <v>0</v>
      </c>
      <c r="O428">
        <f>IFERROR(VLOOKUP(Tabla13[[#This Row],[SISMED]],TblDisponibilidad[],19,FALSE), 0)</f>
        <v>0</v>
      </c>
      <c r="P428">
        <f>IFERROR(VLOOKUP(Tabla13[[#This Row],[SISMED]],TblDisponibilidad[],20,FALSE), 0)</f>
        <v>0</v>
      </c>
      <c r="Q428">
        <f>IFERROR(VLOOKUP(Tabla13[[#This Row],[SISMED]],TblDisponibilidad[],21,FALSE), 0)</f>
        <v>0</v>
      </c>
      <c r="R428">
        <f>IFERROR(VLOOKUP(Tabla13[[#This Row],[SISMED]],TblDisponibilidad[],22,FALSE), 0)</f>
        <v>0</v>
      </c>
      <c r="S428" s="15">
        <f>IFERROR(VLOOKUP(Tabla13[[#This Row],[SISMED]],TblDisponibilidad[],23,FALSE), 0)</f>
        <v>0</v>
      </c>
    </row>
    <row r="429" spans="1:19" x14ac:dyDescent="0.3">
      <c r="A429" s="15" t="s">
        <v>459</v>
      </c>
      <c r="B429" t="str">
        <f>IFERROR(VLOOKUP(Tabla13[[#This Row],[SISMED]],TblDisponibilidad[],2,FALSE), "")</f>
        <v/>
      </c>
      <c r="C429">
        <f>IFERROR(VLOOKUP(Tabla13[[#This Row],[SISMED]],TblDisponibilidad[],7,FALSE), 0)</f>
        <v>0</v>
      </c>
      <c r="D429">
        <f>IFERROR(VLOOKUP(Tabla13[[#This Row],[SISMED]],TblDisponibilidad[],8,FALSE), 0)</f>
        <v>0</v>
      </c>
      <c r="E429">
        <f>IFERROR(VLOOKUP(Tabla13[[#This Row],[SISMED]],TblDisponibilidad[],9,FALSE), 0)</f>
        <v>0</v>
      </c>
      <c r="F429">
        <f>IFERROR(VLOOKUP(Tabla13[[#This Row],[SISMED]],TblDisponibilidad[],10,FALSE), 0)</f>
        <v>0</v>
      </c>
      <c r="G429">
        <f>IFERROR(VLOOKUP(Tabla13[[#This Row],[SISMED]],TblDisponibilidad[],11,FALSE), 0)</f>
        <v>0</v>
      </c>
      <c r="H429">
        <f>IFERROR(VLOOKUP(Tabla13[[#This Row],[SISMED]],TblDisponibilidad[],12,FALSE), 0)</f>
        <v>0</v>
      </c>
      <c r="I429">
        <f>IFERROR(VLOOKUP(Tabla13[[#This Row],[SISMED]],TblDisponibilidad[],13,FALSE), 0)</f>
        <v>0</v>
      </c>
      <c r="J429">
        <f>IFERROR(VLOOKUP(Tabla13[[#This Row],[SISMED]],TblDisponibilidad[],14,FALSE), 0)</f>
        <v>0</v>
      </c>
      <c r="K429">
        <f>IFERROR(VLOOKUP(Tabla13[[#This Row],[SISMED]],TblDisponibilidad[],15,FALSE), 0)</f>
        <v>0</v>
      </c>
      <c r="L429">
        <f>IFERROR(VLOOKUP(Tabla13[[#This Row],[SISMED]],TblDisponibilidad[],16,FALSE), 0)</f>
        <v>0</v>
      </c>
      <c r="M429">
        <f>IFERROR(VLOOKUP(Tabla13[[#This Row],[SISMED]],TblDisponibilidad[],17,FALSE), 0)</f>
        <v>0</v>
      </c>
      <c r="N429">
        <f>IFERROR(VLOOKUP(Tabla13[[#This Row],[SISMED]],TblDisponibilidad[],18,FALSE), 0)</f>
        <v>0</v>
      </c>
      <c r="O429">
        <f>IFERROR(VLOOKUP(Tabla13[[#This Row],[SISMED]],TblDisponibilidad[],19,FALSE), 0)</f>
        <v>0</v>
      </c>
      <c r="P429">
        <f>IFERROR(VLOOKUP(Tabla13[[#This Row],[SISMED]],TblDisponibilidad[],20,FALSE), 0)</f>
        <v>0</v>
      </c>
      <c r="Q429">
        <f>IFERROR(VLOOKUP(Tabla13[[#This Row],[SISMED]],TblDisponibilidad[],21,FALSE), 0)</f>
        <v>0</v>
      </c>
      <c r="R429">
        <f>IFERROR(VLOOKUP(Tabla13[[#This Row],[SISMED]],TblDisponibilidad[],22,FALSE), 0)</f>
        <v>0</v>
      </c>
      <c r="S429" s="15">
        <f>IFERROR(VLOOKUP(Tabla13[[#This Row],[SISMED]],TblDisponibilidad[],23,FALSE), 0)</f>
        <v>0</v>
      </c>
    </row>
    <row r="430" spans="1:19" x14ac:dyDescent="0.3">
      <c r="A430" s="15" t="s">
        <v>460</v>
      </c>
      <c r="B430" t="str">
        <f>IFERROR(VLOOKUP(Tabla13[[#This Row],[SISMED]],TblDisponibilidad[],2,FALSE), "")</f>
        <v/>
      </c>
      <c r="C430">
        <f>IFERROR(VLOOKUP(Tabla13[[#This Row],[SISMED]],TblDisponibilidad[],7,FALSE), 0)</f>
        <v>0</v>
      </c>
      <c r="D430">
        <f>IFERROR(VLOOKUP(Tabla13[[#This Row],[SISMED]],TblDisponibilidad[],8,FALSE), 0)</f>
        <v>0</v>
      </c>
      <c r="E430">
        <f>IFERROR(VLOOKUP(Tabla13[[#This Row],[SISMED]],TblDisponibilidad[],9,FALSE), 0)</f>
        <v>0</v>
      </c>
      <c r="F430">
        <f>IFERROR(VLOOKUP(Tabla13[[#This Row],[SISMED]],TblDisponibilidad[],10,FALSE), 0)</f>
        <v>0</v>
      </c>
      <c r="G430">
        <f>IFERROR(VLOOKUP(Tabla13[[#This Row],[SISMED]],TblDisponibilidad[],11,FALSE), 0)</f>
        <v>0</v>
      </c>
      <c r="H430">
        <f>IFERROR(VLOOKUP(Tabla13[[#This Row],[SISMED]],TblDisponibilidad[],12,FALSE), 0)</f>
        <v>0</v>
      </c>
      <c r="I430">
        <f>IFERROR(VLOOKUP(Tabla13[[#This Row],[SISMED]],TblDisponibilidad[],13,FALSE), 0)</f>
        <v>0</v>
      </c>
      <c r="J430">
        <f>IFERROR(VLOOKUP(Tabla13[[#This Row],[SISMED]],TblDisponibilidad[],14,FALSE), 0)</f>
        <v>0</v>
      </c>
      <c r="K430">
        <f>IFERROR(VLOOKUP(Tabla13[[#This Row],[SISMED]],TblDisponibilidad[],15,FALSE), 0)</f>
        <v>0</v>
      </c>
      <c r="L430">
        <f>IFERROR(VLOOKUP(Tabla13[[#This Row],[SISMED]],TblDisponibilidad[],16,FALSE), 0)</f>
        <v>0</v>
      </c>
      <c r="M430">
        <f>IFERROR(VLOOKUP(Tabla13[[#This Row],[SISMED]],TblDisponibilidad[],17,FALSE), 0)</f>
        <v>0</v>
      </c>
      <c r="N430">
        <f>IFERROR(VLOOKUP(Tabla13[[#This Row],[SISMED]],TblDisponibilidad[],18,FALSE), 0)</f>
        <v>0</v>
      </c>
      <c r="O430">
        <f>IFERROR(VLOOKUP(Tabla13[[#This Row],[SISMED]],TblDisponibilidad[],19,FALSE), 0)</f>
        <v>0</v>
      </c>
      <c r="P430">
        <f>IFERROR(VLOOKUP(Tabla13[[#This Row],[SISMED]],TblDisponibilidad[],20,FALSE), 0)</f>
        <v>0</v>
      </c>
      <c r="Q430">
        <f>IFERROR(VLOOKUP(Tabla13[[#This Row],[SISMED]],TblDisponibilidad[],21,FALSE), 0)</f>
        <v>0</v>
      </c>
      <c r="R430">
        <f>IFERROR(VLOOKUP(Tabla13[[#This Row],[SISMED]],TblDisponibilidad[],22,FALSE), 0)</f>
        <v>0</v>
      </c>
      <c r="S430" s="15">
        <f>IFERROR(VLOOKUP(Tabla13[[#This Row],[SISMED]],TblDisponibilidad[],23,FALSE), 0)</f>
        <v>0</v>
      </c>
    </row>
    <row r="431" spans="1:19" x14ac:dyDescent="0.3">
      <c r="A431" s="15" t="s">
        <v>461</v>
      </c>
      <c r="B431" t="str">
        <f>IFERROR(VLOOKUP(Tabla13[[#This Row],[SISMED]],TblDisponibilidad[],2,FALSE), "")</f>
        <v/>
      </c>
      <c r="C431">
        <f>IFERROR(VLOOKUP(Tabla13[[#This Row],[SISMED]],TblDisponibilidad[],7,FALSE), 0)</f>
        <v>0</v>
      </c>
      <c r="D431">
        <f>IFERROR(VLOOKUP(Tabla13[[#This Row],[SISMED]],TblDisponibilidad[],8,FALSE), 0)</f>
        <v>0</v>
      </c>
      <c r="E431">
        <f>IFERROR(VLOOKUP(Tabla13[[#This Row],[SISMED]],TblDisponibilidad[],9,FALSE), 0)</f>
        <v>0</v>
      </c>
      <c r="F431">
        <f>IFERROR(VLOOKUP(Tabla13[[#This Row],[SISMED]],TblDisponibilidad[],10,FALSE), 0)</f>
        <v>0</v>
      </c>
      <c r="G431">
        <f>IFERROR(VLOOKUP(Tabla13[[#This Row],[SISMED]],TblDisponibilidad[],11,FALSE), 0)</f>
        <v>0</v>
      </c>
      <c r="H431">
        <f>IFERROR(VLOOKUP(Tabla13[[#This Row],[SISMED]],TblDisponibilidad[],12,FALSE), 0)</f>
        <v>0</v>
      </c>
      <c r="I431">
        <f>IFERROR(VLOOKUP(Tabla13[[#This Row],[SISMED]],TblDisponibilidad[],13,FALSE), 0)</f>
        <v>0</v>
      </c>
      <c r="J431">
        <f>IFERROR(VLOOKUP(Tabla13[[#This Row],[SISMED]],TblDisponibilidad[],14,FALSE), 0)</f>
        <v>0</v>
      </c>
      <c r="K431">
        <f>IFERROR(VLOOKUP(Tabla13[[#This Row],[SISMED]],TblDisponibilidad[],15,FALSE), 0)</f>
        <v>0</v>
      </c>
      <c r="L431">
        <f>IFERROR(VLOOKUP(Tabla13[[#This Row],[SISMED]],TblDisponibilidad[],16,FALSE), 0)</f>
        <v>0</v>
      </c>
      <c r="M431">
        <f>IFERROR(VLOOKUP(Tabla13[[#This Row],[SISMED]],TblDisponibilidad[],17,FALSE), 0)</f>
        <v>0</v>
      </c>
      <c r="N431">
        <f>IFERROR(VLOOKUP(Tabla13[[#This Row],[SISMED]],TblDisponibilidad[],18,FALSE), 0)</f>
        <v>0</v>
      </c>
      <c r="O431">
        <f>IFERROR(VLOOKUP(Tabla13[[#This Row],[SISMED]],TblDisponibilidad[],19,FALSE), 0)</f>
        <v>0</v>
      </c>
      <c r="P431">
        <f>IFERROR(VLOOKUP(Tabla13[[#This Row],[SISMED]],TblDisponibilidad[],20,FALSE), 0)</f>
        <v>0</v>
      </c>
      <c r="Q431">
        <f>IFERROR(VLOOKUP(Tabla13[[#This Row],[SISMED]],TblDisponibilidad[],21,FALSE), 0)</f>
        <v>0</v>
      </c>
      <c r="R431">
        <f>IFERROR(VLOOKUP(Tabla13[[#This Row],[SISMED]],TblDisponibilidad[],22,FALSE), 0)</f>
        <v>0</v>
      </c>
      <c r="S431" s="15">
        <f>IFERROR(VLOOKUP(Tabla13[[#This Row],[SISMED]],TblDisponibilidad[],23,FALSE), 0)</f>
        <v>0</v>
      </c>
    </row>
    <row r="432" spans="1:19" x14ac:dyDescent="0.3">
      <c r="A432" s="15" t="s">
        <v>462</v>
      </c>
      <c r="B432" t="str">
        <f>IFERROR(VLOOKUP(Tabla13[[#This Row],[SISMED]],TblDisponibilidad[],2,FALSE), "")</f>
        <v/>
      </c>
      <c r="C432">
        <f>IFERROR(VLOOKUP(Tabla13[[#This Row],[SISMED]],TblDisponibilidad[],7,FALSE), 0)</f>
        <v>0</v>
      </c>
      <c r="D432">
        <f>IFERROR(VLOOKUP(Tabla13[[#This Row],[SISMED]],TblDisponibilidad[],8,FALSE), 0)</f>
        <v>0</v>
      </c>
      <c r="E432">
        <f>IFERROR(VLOOKUP(Tabla13[[#This Row],[SISMED]],TblDisponibilidad[],9,FALSE), 0)</f>
        <v>0</v>
      </c>
      <c r="F432">
        <f>IFERROR(VLOOKUP(Tabla13[[#This Row],[SISMED]],TblDisponibilidad[],10,FALSE), 0)</f>
        <v>0</v>
      </c>
      <c r="G432">
        <f>IFERROR(VLOOKUP(Tabla13[[#This Row],[SISMED]],TblDisponibilidad[],11,FALSE), 0)</f>
        <v>0</v>
      </c>
      <c r="H432">
        <f>IFERROR(VLOOKUP(Tabla13[[#This Row],[SISMED]],TblDisponibilidad[],12,FALSE), 0)</f>
        <v>0</v>
      </c>
      <c r="I432">
        <f>IFERROR(VLOOKUP(Tabla13[[#This Row],[SISMED]],TblDisponibilidad[],13,FALSE), 0)</f>
        <v>0</v>
      </c>
      <c r="J432">
        <f>IFERROR(VLOOKUP(Tabla13[[#This Row],[SISMED]],TblDisponibilidad[],14,FALSE), 0)</f>
        <v>0</v>
      </c>
      <c r="K432">
        <f>IFERROR(VLOOKUP(Tabla13[[#This Row],[SISMED]],TblDisponibilidad[],15,FALSE), 0)</f>
        <v>0</v>
      </c>
      <c r="L432">
        <f>IFERROR(VLOOKUP(Tabla13[[#This Row],[SISMED]],TblDisponibilidad[],16,FALSE), 0)</f>
        <v>0</v>
      </c>
      <c r="M432">
        <f>IFERROR(VLOOKUP(Tabla13[[#This Row],[SISMED]],TblDisponibilidad[],17,FALSE), 0)</f>
        <v>0</v>
      </c>
      <c r="N432">
        <f>IFERROR(VLOOKUP(Tabla13[[#This Row],[SISMED]],TblDisponibilidad[],18,FALSE), 0)</f>
        <v>0</v>
      </c>
      <c r="O432">
        <f>IFERROR(VLOOKUP(Tabla13[[#This Row],[SISMED]],TblDisponibilidad[],19,FALSE), 0)</f>
        <v>0</v>
      </c>
      <c r="P432">
        <f>IFERROR(VLOOKUP(Tabla13[[#This Row],[SISMED]],TblDisponibilidad[],20,FALSE), 0)</f>
        <v>0</v>
      </c>
      <c r="Q432">
        <f>IFERROR(VLOOKUP(Tabla13[[#This Row],[SISMED]],TblDisponibilidad[],21,FALSE), 0)</f>
        <v>0</v>
      </c>
      <c r="R432">
        <f>IFERROR(VLOOKUP(Tabla13[[#This Row],[SISMED]],TblDisponibilidad[],22,FALSE), 0)</f>
        <v>0</v>
      </c>
      <c r="S432" s="15">
        <f>IFERROR(VLOOKUP(Tabla13[[#This Row],[SISMED]],TblDisponibilidad[],23,FALSE), 0)</f>
        <v>0</v>
      </c>
    </row>
    <row r="433" spans="1:19" x14ac:dyDescent="0.3">
      <c r="A433" s="15" t="s">
        <v>463</v>
      </c>
      <c r="B433" t="str">
        <f>IFERROR(VLOOKUP(Tabla13[[#This Row],[SISMED]],TblDisponibilidad[],2,FALSE), "")</f>
        <v/>
      </c>
      <c r="C433">
        <f>IFERROR(VLOOKUP(Tabla13[[#This Row],[SISMED]],TblDisponibilidad[],7,FALSE), 0)</f>
        <v>0</v>
      </c>
      <c r="D433">
        <f>IFERROR(VLOOKUP(Tabla13[[#This Row],[SISMED]],TblDisponibilidad[],8,FALSE), 0)</f>
        <v>0</v>
      </c>
      <c r="E433">
        <f>IFERROR(VLOOKUP(Tabla13[[#This Row],[SISMED]],TblDisponibilidad[],9,FALSE), 0)</f>
        <v>0</v>
      </c>
      <c r="F433">
        <f>IFERROR(VLOOKUP(Tabla13[[#This Row],[SISMED]],TblDisponibilidad[],10,FALSE), 0)</f>
        <v>0</v>
      </c>
      <c r="G433">
        <f>IFERROR(VLOOKUP(Tabla13[[#This Row],[SISMED]],TblDisponibilidad[],11,FALSE), 0)</f>
        <v>0</v>
      </c>
      <c r="H433">
        <f>IFERROR(VLOOKUP(Tabla13[[#This Row],[SISMED]],TblDisponibilidad[],12,FALSE), 0)</f>
        <v>0</v>
      </c>
      <c r="I433">
        <f>IFERROR(VLOOKUP(Tabla13[[#This Row],[SISMED]],TblDisponibilidad[],13,FALSE), 0)</f>
        <v>0</v>
      </c>
      <c r="J433">
        <f>IFERROR(VLOOKUP(Tabla13[[#This Row],[SISMED]],TblDisponibilidad[],14,FALSE), 0)</f>
        <v>0</v>
      </c>
      <c r="K433">
        <f>IFERROR(VLOOKUP(Tabla13[[#This Row],[SISMED]],TblDisponibilidad[],15,FALSE), 0)</f>
        <v>0</v>
      </c>
      <c r="L433">
        <f>IFERROR(VLOOKUP(Tabla13[[#This Row],[SISMED]],TblDisponibilidad[],16,FALSE), 0)</f>
        <v>0</v>
      </c>
      <c r="M433">
        <f>IFERROR(VLOOKUP(Tabla13[[#This Row],[SISMED]],TblDisponibilidad[],17,FALSE), 0)</f>
        <v>0</v>
      </c>
      <c r="N433">
        <f>IFERROR(VLOOKUP(Tabla13[[#This Row],[SISMED]],TblDisponibilidad[],18,FALSE), 0)</f>
        <v>0</v>
      </c>
      <c r="O433">
        <f>IFERROR(VLOOKUP(Tabla13[[#This Row],[SISMED]],TblDisponibilidad[],19,FALSE), 0)</f>
        <v>0</v>
      </c>
      <c r="P433">
        <f>IFERROR(VLOOKUP(Tabla13[[#This Row],[SISMED]],TblDisponibilidad[],20,FALSE), 0)</f>
        <v>0</v>
      </c>
      <c r="Q433">
        <f>IFERROR(VLOOKUP(Tabla13[[#This Row],[SISMED]],TblDisponibilidad[],21,FALSE), 0)</f>
        <v>0</v>
      </c>
      <c r="R433">
        <f>IFERROR(VLOOKUP(Tabla13[[#This Row],[SISMED]],TblDisponibilidad[],22,FALSE), 0)</f>
        <v>0</v>
      </c>
      <c r="S433" s="15">
        <f>IFERROR(VLOOKUP(Tabla13[[#This Row],[SISMED]],TblDisponibilidad[],23,FALSE), 0)</f>
        <v>0</v>
      </c>
    </row>
    <row r="434" spans="1:19" x14ac:dyDescent="0.3">
      <c r="A434" s="15" t="s">
        <v>464</v>
      </c>
      <c r="B434" t="str">
        <f>IFERROR(VLOOKUP(Tabla13[[#This Row],[SISMED]],TblDisponibilidad[],2,FALSE), "")</f>
        <v/>
      </c>
      <c r="C434">
        <f>IFERROR(VLOOKUP(Tabla13[[#This Row],[SISMED]],TblDisponibilidad[],7,FALSE), 0)</f>
        <v>0</v>
      </c>
      <c r="D434">
        <f>IFERROR(VLOOKUP(Tabla13[[#This Row],[SISMED]],TblDisponibilidad[],8,FALSE), 0)</f>
        <v>0</v>
      </c>
      <c r="E434">
        <f>IFERROR(VLOOKUP(Tabla13[[#This Row],[SISMED]],TblDisponibilidad[],9,FALSE), 0)</f>
        <v>0</v>
      </c>
      <c r="F434">
        <f>IFERROR(VLOOKUP(Tabla13[[#This Row],[SISMED]],TblDisponibilidad[],10,FALSE), 0)</f>
        <v>0</v>
      </c>
      <c r="G434">
        <f>IFERROR(VLOOKUP(Tabla13[[#This Row],[SISMED]],TblDisponibilidad[],11,FALSE), 0)</f>
        <v>0</v>
      </c>
      <c r="H434">
        <f>IFERROR(VLOOKUP(Tabla13[[#This Row],[SISMED]],TblDisponibilidad[],12,FALSE), 0)</f>
        <v>0</v>
      </c>
      <c r="I434">
        <f>IFERROR(VLOOKUP(Tabla13[[#This Row],[SISMED]],TblDisponibilidad[],13,FALSE), 0)</f>
        <v>0</v>
      </c>
      <c r="J434">
        <f>IFERROR(VLOOKUP(Tabla13[[#This Row],[SISMED]],TblDisponibilidad[],14,FALSE), 0)</f>
        <v>0</v>
      </c>
      <c r="K434">
        <f>IFERROR(VLOOKUP(Tabla13[[#This Row],[SISMED]],TblDisponibilidad[],15,FALSE), 0)</f>
        <v>0</v>
      </c>
      <c r="L434">
        <f>IFERROR(VLOOKUP(Tabla13[[#This Row],[SISMED]],TblDisponibilidad[],16,FALSE), 0)</f>
        <v>0</v>
      </c>
      <c r="M434">
        <f>IFERROR(VLOOKUP(Tabla13[[#This Row],[SISMED]],TblDisponibilidad[],17,FALSE), 0)</f>
        <v>0</v>
      </c>
      <c r="N434">
        <f>IFERROR(VLOOKUP(Tabla13[[#This Row],[SISMED]],TblDisponibilidad[],18,FALSE), 0)</f>
        <v>0</v>
      </c>
      <c r="O434">
        <f>IFERROR(VLOOKUP(Tabla13[[#This Row],[SISMED]],TblDisponibilidad[],19,FALSE), 0)</f>
        <v>0</v>
      </c>
      <c r="P434">
        <f>IFERROR(VLOOKUP(Tabla13[[#This Row],[SISMED]],TblDisponibilidad[],20,FALSE), 0)</f>
        <v>0</v>
      </c>
      <c r="Q434">
        <f>IFERROR(VLOOKUP(Tabla13[[#This Row],[SISMED]],TblDisponibilidad[],21,FALSE), 0)</f>
        <v>0</v>
      </c>
      <c r="R434">
        <f>IFERROR(VLOOKUP(Tabla13[[#This Row],[SISMED]],TblDisponibilidad[],22,FALSE), 0)</f>
        <v>0</v>
      </c>
      <c r="S434" s="15">
        <f>IFERROR(VLOOKUP(Tabla13[[#This Row],[SISMED]],TblDisponibilidad[],23,FALSE), 0)</f>
        <v>0</v>
      </c>
    </row>
    <row r="435" spans="1:19" x14ac:dyDescent="0.3">
      <c r="A435" s="15" t="s">
        <v>465</v>
      </c>
      <c r="B435" t="str">
        <f>IFERROR(VLOOKUP(Tabla13[[#This Row],[SISMED]],TblDisponibilidad[],2,FALSE), "")</f>
        <v/>
      </c>
      <c r="C435">
        <f>IFERROR(VLOOKUP(Tabla13[[#This Row],[SISMED]],TblDisponibilidad[],7,FALSE), 0)</f>
        <v>0</v>
      </c>
      <c r="D435">
        <f>IFERROR(VLOOKUP(Tabla13[[#This Row],[SISMED]],TblDisponibilidad[],8,FALSE), 0)</f>
        <v>0</v>
      </c>
      <c r="E435">
        <f>IFERROR(VLOOKUP(Tabla13[[#This Row],[SISMED]],TblDisponibilidad[],9,FALSE), 0)</f>
        <v>0</v>
      </c>
      <c r="F435">
        <f>IFERROR(VLOOKUP(Tabla13[[#This Row],[SISMED]],TblDisponibilidad[],10,FALSE), 0)</f>
        <v>0</v>
      </c>
      <c r="G435">
        <f>IFERROR(VLOOKUP(Tabla13[[#This Row],[SISMED]],TblDisponibilidad[],11,FALSE), 0)</f>
        <v>0</v>
      </c>
      <c r="H435">
        <f>IFERROR(VLOOKUP(Tabla13[[#This Row],[SISMED]],TblDisponibilidad[],12,FALSE), 0)</f>
        <v>0</v>
      </c>
      <c r="I435">
        <f>IFERROR(VLOOKUP(Tabla13[[#This Row],[SISMED]],TblDisponibilidad[],13,FALSE), 0)</f>
        <v>0</v>
      </c>
      <c r="J435">
        <f>IFERROR(VLOOKUP(Tabla13[[#This Row],[SISMED]],TblDisponibilidad[],14,FALSE), 0)</f>
        <v>0</v>
      </c>
      <c r="K435">
        <f>IFERROR(VLOOKUP(Tabla13[[#This Row],[SISMED]],TblDisponibilidad[],15,FALSE), 0)</f>
        <v>0</v>
      </c>
      <c r="L435">
        <f>IFERROR(VLOOKUP(Tabla13[[#This Row],[SISMED]],TblDisponibilidad[],16,FALSE), 0)</f>
        <v>0</v>
      </c>
      <c r="M435">
        <f>IFERROR(VLOOKUP(Tabla13[[#This Row],[SISMED]],TblDisponibilidad[],17,FALSE), 0)</f>
        <v>0</v>
      </c>
      <c r="N435">
        <f>IFERROR(VLOOKUP(Tabla13[[#This Row],[SISMED]],TblDisponibilidad[],18,FALSE), 0)</f>
        <v>0</v>
      </c>
      <c r="O435">
        <f>IFERROR(VLOOKUP(Tabla13[[#This Row],[SISMED]],TblDisponibilidad[],19,FALSE), 0)</f>
        <v>0</v>
      </c>
      <c r="P435">
        <f>IFERROR(VLOOKUP(Tabla13[[#This Row],[SISMED]],TblDisponibilidad[],20,FALSE), 0)</f>
        <v>0</v>
      </c>
      <c r="Q435">
        <f>IFERROR(VLOOKUP(Tabla13[[#This Row],[SISMED]],TblDisponibilidad[],21,FALSE), 0)</f>
        <v>0</v>
      </c>
      <c r="R435">
        <f>IFERROR(VLOOKUP(Tabla13[[#This Row],[SISMED]],TblDisponibilidad[],22,FALSE), 0)</f>
        <v>0</v>
      </c>
      <c r="S435" s="15">
        <f>IFERROR(VLOOKUP(Tabla13[[#This Row],[SISMED]],TblDisponibilidad[],23,FALSE), 0)</f>
        <v>0</v>
      </c>
    </row>
    <row r="436" spans="1:19" x14ac:dyDescent="0.3">
      <c r="A436" s="15" t="s">
        <v>466</v>
      </c>
      <c r="B436" t="str">
        <f>IFERROR(VLOOKUP(Tabla13[[#This Row],[SISMED]],TblDisponibilidad[],2,FALSE), "")</f>
        <v/>
      </c>
      <c r="C436">
        <f>IFERROR(VLOOKUP(Tabla13[[#This Row],[SISMED]],TblDisponibilidad[],7,FALSE), 0)</f>
        <v>0</v>
      </c>
      <c r="D436">
        <f>IFERROR(VLOOKUP(Tabla13[[#This Row],[SISMED]],TblDisponibilidad[],8,FALSE), 0)</f>
        <v>0</v>
      </c>
      <c r="E436">
        <f>IFERROR(VLOOKUP(Tabla13[[#This Row],[SISMED]],TblDisponibilidad[],9,FALSE), 0)</f>
        <v>0</v>
      </c>
      <c r="F436">
        <f>IFERROR(VLOOKUP(Tabla13[[#This Row],[SISMED]],TblDisponibilidad[],10,FALSE), 0)</f>
        <v>0</v>
      </c>
      <c r="G436">
        <f>IFERROR(VLOOKUP(Tabla13[[#This Row],[SISMED]],TblDisponibilidad[],11,FALSE), 0)</f>
        <v>0</v>
      </c>
      <c r="H436">
        <f>IFERROR(VLOOKUP(Tabla13[[#This Row],[SISMED]],TblDisponibilidad[],12,FALSE), 0)</f>
        <v>0</v>
      </c>
      <c r="I436">
        <f>IFERROR(VLOOKUP(Tabla13[[#This Row],[SISMED]],TblDisponibilidad[],13,FALSE), 0)</f>
        <v>0</v>
      </c>
      <c r="J436">
        <f>IFERROR(VLOOKUP(Tabla13[[#This Row],[SISMED]],TblDisponibilidad[],14,FALSE), 0)</f>
        <v>0</v>
      </c>
      <c r="K436">
        <f>IFERROR(VLOOKUP(Tabla13[[#This Row],[SISMED]],TblDisponibilidad[],15,FALSE), 0)</f>
        <v>0</v>
      </c>
      <c r="L436">
        <f>IFERROR(VLOOKUP(Tabla13[[#This Row],[SISMED]],TblDisponibilidad[],16,FALSE), 0)</f>
        <v>0</v>
      </c>
      <c r="M436">
        <f>IFERROR(VLOOKUP(Tabla13[[#This Row],[SISMED]],TblDisponibilidad[],17,FALSE), 0)</f>
        <v>0</v>
      </c>
      <c r="N436">
        <f>IFERROR(VLOOKUP(Tabla13[[#This Row],[SISMED]],TblDisponibilidad[],18,FALSE), 0)</f>
        <v>0</v>
      </c>
      <c r="O436">
        <f>IFERROR(VLOOKUP(Tabla13[[#This Row],[SISMED]],TblDisponibilidad[],19,FALSE), 0)</f>
        <v>0</v>
      </c>
      <c r="P436">
        <f>IFERROR(VLOOKUP(Tabla13[[#This Row],[SISMED]],TblDisponibilidad[],20,FALSE), 0)</f>
        <v>0</v>
      </c>
      <c r="Q436">
        <f>IFERROR(VLOOKUP(Tabla13[[#This Row],[SISMED]],TblDisponibilidad[],21,FALSE), 0)</f>
        <v>0</v>
      </c>
      <c r="R436">
        <f>IFERROR(VLOOKUP(Tabla13[[#This Row],[SISMED]],TblDisponibilidad[],22,FALSE), 0)</f>
        <v>0</v>
      </c>
      <c r="S436" s="15">
        <f>IFERROR(VLOOKUP(Tabla13[[#This Row],[SISMED]],TblDisponibilidad[],23,FALSE), 0)</f>
        <v>0</v>
      </c>
    </row>
    <row r="437" spans="1:19" x14ac:dyDescent="0.3">
      <c r="A437" s="15" t="s">
        <v>467</v>
      </c>
      <c r="B437" t="str">
        <f>IFERROR(VLOOKUP(Tabla13[[#This Row],[SISMED]],TblDisponibilidad[],2,FALSE), "")</f>
        <v/>
      </c>
      <c r="C437">
        <f>IFERROR(VLOOKUP(Tabla13[[#This Row],[SISMED]],TblDisponibilidad[],7,FALSE), 0)</f>
        <v>0</v>
      </c>
      <c r="D437">
        <f>IFERROR(VLOOKUP(Tabla13[[#This Row],[SISMED]],TblDisponibilidad[],8,FALSE), 0)</f>
        <v>0</v>
      </c>
      <c r="E437">
        <f>IFERROR(VLOOKUP(Tabla13[[#This Row],[SISMED]],TblDisponibilidad[],9,FALSE), 0)</f>
        <v>0</v>
      </c>
      <c r="F437">
        <f>IFERROR(VLOOKUP(Tabla13[[#This Row],[SISMED]],TblDisponibilidad[],10,FALSE), 0)</f>
        <v>0</v>
      </c>
      <c r="G437">
        <f>IFERROR(VLOOKUP(Tabla13[[#This Row],[SISMED]],TblDisponibilidad[],11,FALSE), 0)</f>
        <v>0</v>
      </c>
      <c r="H437">
        <f>IFERROR(VLOOKUP(Tabla13[[#This Row],[SISMED]],TblDisponibilidad[],12,FALSE), 0)</f>
        <v>0</v>
      </c>
      <c r="I437">
        <f>IFERROR(VLOOKUP(Tabla13[[#This Row],[SISMED]],TblDisponibilidad[],13,FALSE), 0)</f>
        <v>0</v>
      </c>
      <c r="J437">
        <f>IFERROR(VLOOKUP(Tabla13[[#This Row],[SISMED]],TblDisponibilidad[],14,FALSE), 0)</f>
        <v>0</v>
      </c>
      <c r="K437">
        <f>IFERROR(VLOOKUP(Tabla13[[#This Row],[SISMED]],TblDisponibilidad[],15,FALSE), 0)</f>
        <v>0</v>
      </c>
      <c r="L437">
        <f>IFERROR(VLOOKUP(Tabla13[[#This Row],[SISMED]],TblDisponibilidad[],16,FALSE), 0)</f>
        <v>0</v>
      </c>
      <c r="M437">
        <f>IFERROR(VLOOKUP(Tabla13[[#This Row],[SISMED]],TblDisponibilidad[],17,FALSE), 0)</f>
        <v>0</v>
      </c>
      <c r="N437">
        <f>IFERROR(VLOOKUP(Tabla13[[#This Row],[SISMED]],TblDisponibilidad[],18,FALSE), 0)</f>
        <v>0</v>
      </c>
      <c r="O437">
        <f>IFERROR(VLOOKUP(Tabla13[[#This Row],[SISMED]],TblDisponibilidad[],19,FALSE), 0)</f>
        <v>0</v>
      </c>
      <c r="P437">
        <f>IFERROR(VLOOKUP(Tabla13[[#This Row],[SISMED]],TblDisponibilidad[],20,FALSE), 0)</f>
        <v>0</v>
      </c>
      <c r="Q437">
        <f>IFERROR(VLOOKUP(Tabla13[[#This Row],[SISMED]],TblDisponibilidad[],21,FALSE), 0)</f>
        <v>0</v>
      </c>
      <c r="R437">
        <f>IFERROR(VLOOKUP(Tabla13[[#This Row],[SISMED]],TblDisponibilidad[],22,FALSE), 0)</f>
        <v>0</v>
      </c>
      <c r="S437" s="15">
        <f>IFERROR(VLOOKUP(Tabla13[[#This Row],[SISMED]],TblDisponibilidad[],23,FALSE), 0)</f>
        <v>0</v>
      </c>
    </row>
    <row r="438" spans="1:19" x14ac:dyDescent="0.3">
      <c r="A438" s="15" t="s">
        <v>468</v>
      </c>
      <c r="B438" t="str">
        <f>IFERROR(VLOOKUP(Tabla13[[#This Row],[SISMED]],TblDisponibilidad[],2,FALSE), "")</f>
        <v/>
      </c>
      <c r="C438">
        <f>IFERROR(VLOOKUP(Tabla13[[#This Row],[SISMED]],TblDisponibilidad[],7,FALSE), 0)</f>
        <v>0</v>
      </c>
      <c r="D438">
        <f>IFERROR(VLOOKUP(Tabla13[[#This Row],[SISMED]],TblDisponibilidad[],8,FALSE), 0)</f>
        <v>0</v>
      </c>
      <c r="E438">
        <f>IFERROR(VLOOKUP(Tabla13[[#This Row],[SISMED]],TblDisponibilidad[],9,FALSE), 0)</f>
        <v>0</v>
      </c>
      <c r="F438">
        <f>IFERROR(VLOOKUP(Tabla13[[#This Row],[SISMED]],TblDisponibilidad[],10,FALSE), 0)</f>
        <v>0</v>
      </c>
      <c r="G438">
        <f>IFERROR(VLOOKUP(Tabla13[[#This Row],[SISMED]],TblDisponibilidad[],11,FALSE), 0)</f>
        <v>0</v>
      </c>
      <c r="H438">
        <f>IFERROR(VLOOKUP(Tabla13[[#This Row],[SISMED]],TblDisponibilidad[],12,FALSE), 0)</f>
        <v>0</v>
      </c>
      <c r="I438">
        <f>IFERROR(VLOOKUP(Tabla13[[#This Row],[SISMED]],TblDisponibilidad[],13,FALSE), 0)</f>
        <v>0</v>
      </c>
      <c r="J438">
        <f>IFERROR(VLOOKUP(Tabla13[[#This Row],[SISMED]],TblDisponibilidad[],14,FALSE), 0)</f>
        <v>0</v>
      </c>
      <c r="K438">
        <f>IFERROR(VLOOKUP(Tabla13[[#This Row],[SISMED]],TblDisponibilidad[],15,FALSE), 0)</f>
        <v>0</v>
      </c>
      <c r="L438">
        <f>IFERROR(VLOOKUP(Tabla13[[#This Row],[SISMED]],TblDisponibilidad[],16,FALSE), 0)</f>
        <v>0</v>
      </c>
      <c r="M438">
        <f>IFERROR(VLOOKUP(Tabla13[[#This Row],[SISMED]],TblDisponibilidad[],17,FALSE), 0)</f>
        <v>0</v>
      </c>
      <c r="N438">
        <f>IFERROR(VLOOKUP(Tabla13[[#This Row],[SISMED]],TblDisponibilidad[],18,FALSE), 0)</f>
        <v>0</v>
      </c>
      <c r="O438">
        <f>IFERROR(VLOOKUP(Tabla13[[#This Row],[SISMED]],TblDisponibilidad[],19,FALSE), 0)</f>
        <v>0</v>
      </c>
      <c r="P438">
        <f>IFERROR(VLOOKUP(Tabla13[[#This Row],[SISMED]],TblDisponibilidad[],20,FALSE), 0)</f>
        <v>0</v>
      </c>
      <c r="Q438">
        <f>IFERROR(VLOOKUP(Tabla13[[#This Row],[SISMED]],TblDisponibilidad[],21,FALSE), 0)</f>
        <v>0</v>
      </c>
      <c r="R438">
        <f>IFERROR(VLOOKUP(Tabla13[[#This Row],[SISMED]],TblDisponibilidad[],22,FALSE), 0)</f>
        <v>0</v>
      </c>
      <c r="S438" s="15">
        <f>IFERROR(VLOOKUP(Tabla13[[#This Row],[SISMED]],TblDisponibilidad[],23,FALSE), 0)</f>
        <v>0</v>
      </c>
    </row>
    <row r="439" spans="1:19" x14ac:dyDescent="0.3">
      <c r="A439" s="15" t="s">
        <v>469</v>
      </c>
      <c r="B439" t="str">
        <f>IFERROR(VLOOKUP(Tabla13[[#This Row],[SISMED]],TblDisponibilidad[],2,FALSE), "")</f>
        <v/>
      </c>
      <c r="C439">
        <f>IFERROR(VLOOKUP(Tabla13[[#This Row],[SISMED]],TblDisponibilidad[],7,FALSE), 0)</f>
        <v>0</v>
      </c>
      <c r="D439">
        <f>IFERROR(VLOOKUP(Tabla13[[#This Row],[SISMED]],TblDisponibilidad[],8,FALSE), 0)</f>
        <v>0</v>
      </c>
      <c r="E439">
        <f>IFERROR(VLOOKUP(Tabla13[[#This Row],[SISMED]],TblDisponibilidad[],9,FALSE), 0)</f>
        <v>0</v>
      </c>
      <c r="F439">
        <f>IFERROR(VLOOKUP(Tabla13[[#This Row],[SISMED]],TblDisponibilidad[],10,FALSE), 0)</f>
        <v>0</v>
      </c>
      <c r="G439">
        <f>IFERROR(VLOOKUP(Tabla13[[#This Row],[SISMED]],TblDisponibilidad[],11,FALSE), 0)</f>
        <v>0</v>
      </c>
      <c r="H439">
        <f>IFERROR(VLOOKUP(Tabla13[[#This Row],[SISMED]],TblDisponibilidad[],12,FALSE), 0)</f>
        <v>0</v>
      </c>
      <c r="I439">
        <f>IFERROR(VLOOKUP(Tabla13[[#This Row],[SISMED]],TblDisponibilidad[],13,FALSE), 0)</f>
        <v>0</v>
      </c>
      <c r="J439">
        <f>IFERROR(VLOOKUP(Tabla13[[#This Row],[SISMED]],TblDisponibilidad[],14,FALSE), 0)</f>
        <v>0</v>
      </c>
      <c r="K439">
        <f>IFERROR(VLOOKUP(Tabla13[[#This Row],[SISMED]],TblDisponibilidad[],15,FALSE), 0)</f>
        <v>0</v>
      </c>
      <c r="L439">
        <f>IFERROR(VLOOKUP(Tabla13[[#This Row],[SISMED]],TblDisponibilidad[],16,FALSE), 0)</f>
        <v>0</v>
      </c>
      <c r="M439">
        <f>IFERROR(VLOOKUP(Tabla13[[#This Row],[SISMED]],TblDisponibilidad[],17,FALSE), 0)</f>
        <v>0</v>
      </c>
      <c r="N439">
        <f>IFERROR(VLOOKUP(Tabla13[[#This Row],[SISMED]],TblDisponibilidad[],18,FALSE), 0)</f>
        <v>0</v>
      </c>
      <c r="O439">
        <f>IFERROR(VLOOKUP(Tabla13[[#This Row],[SISMED]],TblDisponibilidad[],19,FALSE), 0)</f>
        <v>0</v>
      </c>
      <c r="P439">
        <f>IFERROR(VLOOKUP(Tabla13[[#This Row],[SISMED]],TblDisponibilidad[],20,FALSE), 0)</f>
        <v>0</v>
      </c>
      <c r="Q439">
        <f>IFERROR(VLOOKUP(Tabla13[[#This Row],[SISMED]],TblDisponibilidad[],21,FALSE), 0)</f>
        <v>0</v>
      </c>
      <c r="R439">
        <f>IFERROR(VLOOKUP(Tabla13[[#This Row],[SISMED]],TblDisponibilidad[],22,FALSE), 0)</f>
        <v>0</v>
      </c>
      <c r="S439" s="15">
        <f>IFERROR(VLOOKUP(Tabla13[[#This Row],[SISMED]],TblDisponibilidad[],23,FALSE), 0)</f>
        <v>0</v>
      </c>
    </row>
    <row r="440" spans="1:19" x14ac:dyDescent="0.3">
      <c r="A440" s="15" t="s">
        <v>470</v>
      </c>
      <c r="B440" t="str">
        <f>IFERROR(VLOOKUP(Tabla13[[#This Row],[SISMED]],TblDisponibilidad[],2,FALSE), "")</f>
        <v/>
      </c>
      <c r="C440">
        <f>IFERROR(VLOOKUP(Tabla13[[#This Row],[SISMED]],TblDisponibilidad[],7,FALSE), 0)</f>
        <v>0</v>
      </c>
      <c r="D440">
        <f>IFERROR(VLOOKUP(Tabla13[[#This Row],[SISMED]],TblDisponibilidad[],8,FALSE), 0)</f>
        <v>0</v>
      </c>
      <c r="E440">
        <f>IFERROR(VLOOKUP(Tabla13[[#This Row],[SISMED]],TblDisponibilidad[],9,FALSE), 0)</f>
        <v>0</v>
      </c>
      <c r="F440">
        <f>IFERROR(VLOOKUP(Tabla13[[#This Row],[SISMED]],TblDisponibilidad[],10,FALSE), 0)</f>
        <v>0</v>
      </c>
      <c r="G440">
        <f>IFERROR(VLOOKUP(Tabla13[[#This Row],[SISMED]],TblDisponibilidad[],11,FALSE), 0)</f>
        <v>0</v>
      </c>
      <c r="H440">
        <f>IFERROR(VLOOKUP(Tabla13[[#This Row],[SISMED]],TblDisponibilidad[],12,FALSE), 0)</f>
        <v>0</v>
      </c>
      <c r="I440">
        <f>IFERROR(VLOOKUP(Tabla13[[#This Row],[SISMED]],TblDisponibilidad[],13,FALSE), 0)</f>
        <v>0</v>
      </c>
      <c r="J440">
        <f>IFERROR(VLOOKUP(Tabla13[[#This Row],[SISMED]],TblDisponibilidad[],14,FALSE), 0)</f>
        <v>0</v>
      </c>
      <c r="K440">
        <f>IFERROR(VLOOKUP(Tabla13[[#This Row],[SISMED]],TblDisponibilidad[],15,FALSE), 0)</f>
        <v>0</v>
      </c>
      <c r="L440">
        <f>IFERROR(VLOOKUP(Tabla13[[#This Row],[SISMED]],TblDisponibilidad[],16,FALSE), 0)</f>
        <v>0</v>
      </c>
      <c r="M440">
        <f>IFERROR(VLOOKUP(Tabla13[[#This Row],[SISMED]],TblDisponibilidad[],17,FALSE), 0)</f>
        <v>0</v>
      </c>
      <c r="N440">
        <f>IFERROR(VLOOKUP(Tabla13[[#This Row],[SISMED]],TblDisponibilidad[],18,FALSE), 0)</f>
        <v>0</v>
      </c>
      <c r="O440">
        <f>IFERROR(VLOOKUP(Tabla13[[#This Row],[SISMED]],TblDisponibilidad[],19,FALSE), 0)</f>
        <v>0</v>
      </c>
      <c r="P440">
        <f>IFERROR(VLOOKUP(Tabla13[[#This Row],[SISMED]],TblDisponibilidad[],20,FALSE), 0)</f>
        <v>0</v>
      </c>
      <c r="Q440">
        <f>IFERROR(VLOOKUP(Tabla13[[#This Row],[SISMED]],TblDisponibilidad[],21,FALSE), 0)</f>
        <v>0</v>
      </c>
      <c r="R440">
        <f>IFERROR(VLOOKUP(Tabla13[[#This Row],[SISMED]],TblDisponibilidad[],22,FALSE), 0)</f>
        <v>0</v>
      </c>
      <c r="S440" s="15">
        <f>IFERROR(VLOOKUP(Tabla13[[#This Row],[SISMED]],TblDisponibilidad[],23,FALSE), 0)</f>
        <v>0</v>
      </c>
    </row>
    <row r="441" spans="1:19" x14ac:dyDescent="0.3">
      <c r="A441" s="15" t="s">
        <v>471</v>
      </c>
      <c r="B441" t="str">
        <f>IFERROR(VLOOKUP(Tabla13[[#This Row],[SISMED]],TblDisponibilidad[],2,FALSE), "")</f>
        <v/>
      </c>
      <c r="C441">
        <f>IFERROR(VLOOKUP(Tabla13[[#This Row],[SISMED]],TblDisponibilidad[],7,FALSE), 0)</f>
        <v>0</v>
      </c>
      <c r="D441">
        <f>IFERROR(VLOOKUP(Tabla13[[#This Row],[SISMED]],TblDisponibilidad[],8,FALSE), 0)</f>
        <v>0</v>
      </c>
      <c r="E441">
        <f>IFERROR(VLOOKUP(Tabla13[[#This Row],[SISMED]],TblDisponibilidad[],9,FALSE), 0)</f>
        <v>0</v>
      </c>
      <c r="F441">
        <f>IFERROR(VLOOKUP(Tabla13[[#This Row],[SISMED]],TblDisponibilidad[],10,FALSE), 0)</f>
        <v>0</v>
      </c>
      <c r="G441">
        <f>IFERROR(VLOOKUP(Tabla13[[#This Row],[SISMED]],TblDisponibilidad[],11,FALSE), 0)</f>
        <v>0</v>
      </c>
      <c r="H441">
        <f>IFERROR(VLOOKUP(Tabla13[[#This Row],[SISMED]],TblDisponibilidad[],12,FALSE), 0)</f>
        <v>0</v>
      </c>
      <c r="I441">
        <f>IFERROR(VLOOKUP(Tabla13[[#This Row],[SISMED]],TblDisponibilidad[],13,FALSE), 0)</f>
        <v>0</v>
      </c>
      <c r="J441">
        <f>IFERROR(VLOOKUP(Tabla13[[#This Row],[SISMED]],TblDisponibilidad[],14,FALSE), 0)</f>
        <v>0</v>
      </c>
      <c r="K441">
        <f>IFERROR(VLOOKUP(Tabla13[[#This Row],[SISMED]],TblDisponibilidad[],15,FALSE), 0)</f>
        <v>0</v>
      </c>
      <c r="L441">
        <f>IFERROR(VLOOKUP(Tabla13[[#This Row],[SISMED]],TblDisponibilidad[],16,FALSE), 0)</f>
        <v>0</v>
      </c>
      <c r="M441">
        <f>IFERROR(VLOOKUP(Tabla13[[#This Row],[SISMED]],TblDisponibilidad[],17,FALSE), 0)</f>
        <v>0</v>
      </c>
      <c r="N441">
        <f>IFERROR(VLOOKUP(Tabla13[[#This Row],[SISMED]],TblDisponibilidad[],18,FALSE), 0)</f>
        <v>0</v>
      </c>
      <c r="O441">
        <f>IFERROR(VLOOKUP(Tabla13[[#This Row],[SISMED]],TblDisponibilidad[],19,FALSE), 0)</f>
        <v>0</v>
      </c>
      <c r="P441">
        <f>IFERROR(VLOOKUP(Tabla13[[#This Row],[SISMED]],TblDisponibilidad[],20,FALSE), 0)</f>
        <v>0</v>
      </c>
      <c r="Q441">
        <f>IFERROR(VLOOKUP(Tabla13[[#This Row],[SISMED]],TblDisponibilidad[],21,FALSE), 0)</f>
        <v>0</v>
      </c>
      <c r="R441">
        <f>IFERROR(VLOOKUP(Tabla13[[#This Row],[SISMED]],TblDisponibilidad[],22,FALSE), 0)</f>
        <v>0</v>
      </c>
      <c r="S441" s="15">
        <f>IFERROR(VLOOKUP(Tabla13[[#This Row],[SISMED]],TblDisponibilidad[],23,FALSE), 0)</f>
        <v>0</v>
      </c>
    </row>
    <row r="442" spans="1:19" x14ac:dyDescent="0.3">
      <c r="A442" s="15" t="s">
        <v>472</v>
      </c>
      <c r="B442" t="str">
        <f>IFERROR(VLOOKUP(Tabla13[[#This Row],[SISMED]],TblDisponibilidad[],2,FALSE), "")</f>
        <v/>
      </c>
      <c r="C442">
        <f>IFERROR(VLOOKUP(Tabla13[[#This Row],[SISMED]],TblDisponibilidad[],7,FALSE), 0)</f>
        <v>0</v>
      </c>
      <c r="D442">
        <f>IFERROR(VLOOKUP(Tabla13[[#This Row],[SISMED]],TblDisponibilidad[],8,FALSE), 0)</f>
        <v>0</v>
      </c>
      <c r="E442">
        <f>IFERROR(VLOOKUP(Tabla13[[#This Row],[SISMED]],TblDisponibilidad[],9,FALSE), 0)</f>
        <v>0</v>
      </c>
      <c r="F442">
        <f>IFERROR(VLOOKUP(Tabla13[[#This Row],[SISMED]],TblDisponibilidad[],10,FALSE), 0)</f>
        <v>0</v>
      </c>
      <c r="G442">
        <f>IFERROR(VLOOKUP(Tabla13[[#This Row],[SISMED]],TblDisponibilidad[],11,FALSE), 0)</f>
        <v>0</v>
      </c>
      <c r="H442">
        <f>IFERROR(VLOOKUP(Tabla13[[#This Row],[SISMED]],TblDisponibilidad[],12,FALSE), 0)</f>
        <v>0</v>
      </c>
      <c r="I442">
        <f>IFERROR(VLOOKUP(Tabla13[[#This Row],[SISMED]],TblDisponibilidad[],13,FALSE), 0)</f>
        <v>0</v>
      </c>
      <c r="J442">
        <f>IFERROR(VLOOKUP(Tabla13[[#This Row],[SISMED]],TblDisponibilidad[],14,FALSE), 0)</f>
        <v>0</v>
      </c>
      <c r="K442">
        <f>IFERROR(VLOOKUP(Tabla13[[#This Row],[SISMED]],TblDisponibilidad[],15,FALSE), 0)</f>
        <v>0</v>
      </c>
      <c r="L442">
        <f>IFERROR(VLOOKUP(Tabla13[[#This Row],[SISMED]],TblDisponibilidad[],16,FALSE), 0)</f>
        <v>0</v>
      </c>
      <c r="M442">
        <f>IFERROR(VLOOKUP(Tabla13[[#This Row],[SISMED]],TblDisponibilidad[],17,FALSE), 0)</f>
        <v>0</v>
      </c>
      <c r="N442">
        <f>IFERROR(VLOOKUP(Tabla13[[#This Row],[SISMED]],TblDisponibilidad[],18,FALSE), 0)</f>
        <v>0</v>
      </c>
      <c r="O442">
        <f>IFERROR(VLOOKUP(Tabla13[[#This Row],[SISMED]],TblDisponibilidad[],19,FALSE), 0)</f>
        <v>0</v>
      </c>
      <c r="P442">
        <f>IFERROR(VLOOKUP(Tabla13[[#This Row],[SISMED]],TblDisponibilidad[],20,FALSE), 0)</f>
        <v>0</v>
      </c>
      <c r="Q442">
        <f>IFERROR(VLOOKUP(Tabla13[[#This Row],[SISMED]],TblDisponibilidad[],21,FALSE), 0)</f>
        <v>0</v>
      </c>
      <c r="R442">
        <f>IFERROR(VLOOKUP(Tabla13[[#This Row],[SISMED]],TblDisponibilidad[],22,FALSE), 0)</f>
        <v>0</v>
      </c>
      <c r="S442" s="15">
        <f>IFERROR(VLOOKUP(Tabla13[[#This Row],[SISMED]],TblDisponibilidad[],23,FALSE), 0)</f>
        <v>0</v>
      </c>
    </row>
    <row r="443" spans="1:19" x14ac:dyDescent="0.3">
      <c r="A443" s="15" t="s">
        <v>473</v>
      </c>
      <c r="B443" t="str">
        <f>IFERROR(VLOOKUP(Tabla13[[#This Row],[SISMED]],TblDisponibilidad[],2,FALSE), "")</f>
        <v/>
      </c>
      <c r="C443">
        <f>IFERROR(VLOOKUP(Tabla13[[#This Row],[SISMED]],TblDisponibilidad[],7,FALSE), 0)</f>
        <v>0</v>
      </c>
      <c r="D443">
        <f>IFERROR(VLOOKUP(Tabla13[[#This Row],[SISMED]],TblDisponibilidad[],8,FALSE), 0)</f>
        <v>0</v>
      </c>
      <c r="E443">
        <f>IFERROR(VLOOKUP(Tabla13[[#This Row],[SISMED]],TblDisponibilidad[],9,FALSE), 0)</f>
        <v>0</v>
      </c>
      <c r="F443">
        <f>IFERROR(VLOOKUP(Tabla13[[#This Row],[SISMED]],TblDisponibilidad[],10,FALSE), 0)</f>
        <v>0</v>
      </c>
      <c r="G443">
        <f>IFERROR(VLOOKUP(Tabla13[[#This Row],[SISMED]],TblDisponibilidad[],11,FALSE), 0)</f>
        <v>0</v>
      </c>
      <c r="H443">
        <f>IFERROR(VLOOKUP(Tabla13[[#This Row],[SISMED]],TblDisponibilidad[],12,FALSE), 0)</f>
        <v>0</v>
      </c>
      <c r="I443">
        <f>IFERROR(VLOOKUP(Tabla13[[#This Row],[SISMED]],TblDisponibilidad[],13,FALSE), 0)</f>
        <v>0</v>
      </c>
      <c r="J443">
        <f>IFERROR(VLOOKUP(Tabla13[[#This Row],[SISMED]],TblDisponibilidad[],14,FALSE), 0)</f>
        <v>0</v>
      </c>
      <c r="K443">
        <f>IFERROR(VLOOKUP(Tabla13[[#This Row],[SISMED]],TblDisponibilidad[],15,FALSE), 0)</f>
        <v>0</v>
      </c>
      <c r="L443">
        <f>IFERROR(VLOOKUP(Tabla13[[#This Row],[SISMED]],TblDisponibilidad[],16,FALSE), 0)</f>
        <v>0</v>
      </c>
      <c r="M443">
        <f>IFERROR(VLOOKUP(Tabla13[[#This Row],[SISMED]],TblDisponibilidad[],17,FALSE), 0)</f>
        <v>0</v>
      </c>
      <c r="N443">
        <f>IFERROR(VLOOKUP(Tabla13[[#This Row],[SISMED]],TblDisponibilidad[],18,FALSE), 0)</f>
        <v>0</v>
      </c>
      <c r="O443">
        <f>IFERROR(VLOOKUP(Tabla13[[#This Row],[SISMED]],TblDisponibilidad[],19,FALSE), 0)</f>
        <v>0</v>
      </c>
      <c r="P443">
        <f>IFERROR(VLOOKUP(Tabla13[[#This Row],[SISMED]],TblDisponibilidad[],20,FALSE), 0)</f>
        <v>0</v>
      </c>
      <c r="Q443">
        <f>IFERROR(VLOOKUP(Tabla13[[#This Row],[SISMED]],TblDisponibilidad[],21,FALSE), 0)</f>
        <v>0</v>
      </c>
      <c r="R443">
        <f>IFERROR(VLOOKUP(Tabla13[[#This Row],[SISMED]],TblDisponibilidad[],22,FALSE), 0)</f>
        <v>0</v>
      </c>
      <c r="S443" s="15">
        <f>IFERROR(VLOOKUP(Tabla13[[#This Row],[SISMED]],TblDisponibilidad[],23,FALSE), 0)</f>
        <v>0</v>
      </c>
    </row>
    <row r="444" spans="1:19" x14ac:dyDescent="0.3">
      <c r="A444" s="15" t="s">
        <v>474</v>
      </c>
      <c r="B444" t="str">
        <f>IFERROR(VLOOKUP(Tabla13[[#This Row],[SISMED]],TblDisponibilidad[],2,FALSE), "")</f>
        <v/>
      </c>
      <c r="C444">
        <f>IFERROR(VLOOKUP(Tabla13[[#This Row],[SISMED]],TblDisponibilidad[],7,FALSE), 0)</f>
        <v>0</v>
      </c>
      <c r="D444">
        <f>IFERROR(VLOOKUP(Tabla13[[#This Row],[SISMED]],TblDisponibilidad[],8,FALSE), 0)</f>
        <v>0</v>
      </c>
      <c r="E444">
        <f>IFERROR(VLOOKUP(Tabla13[[#This Row],[SISMED]],TblDisponibilidad[],9,FALSE), 0)</f>
        <v>0</v>
      </c>
      <c r="F444">
        <f>IFERROR(VLOOKUP(Tabla13[[#This Row],[SISMED]],TblDisponibilidad[],10,FALSE), 0)</f>
        <v>0</v>
      </c>
      <c r="G444">
        <f>IFERROR(VLOOKUP(Tabla13[[#This Row],[SISMED]],TblDisponibilidad[],11,FALSE), 0)</f>
        <v>0</v>
      </c>
      <c r="H444">
        <f>IFERROR(VLOOKUP(Tabla13[[#This Row],[SISMED]],TblDisponibilidad[],12,FALSE), 0)</f>
        <v>0</v>
      </c>
      <c r="I444">
        <f>IFERROR(VLOOKUP(Tabla13[[#This Row],[SISMED]],TblDisponibilidad[],13,FALSE), 0)</f>
        <v>0</v>
      </c>
      <c r="J444">
        <f>IFERROR(VLOOKUP(Tabla13[[#This Row],[SISMED]],TblDisponibilidad[],14,FALSE), 0)</f>
        <v>0</v>
      </c>
      <c r="K444">
        <f>IFERROR(VLOOKUP(Tabla13[[#This Row],[SISMED]],TblDisponibilidad[],15,FALSE), 0)</f>
        <v>0</v>
      </c>
      <c r="L444">
        <f>IFERROR(VLOOKUP(Tabla13[[#This Row],[SISMED]],TblDisponibilidad[],16,FALSE), 0)</f>
        <v>0</v>
      </c>
      <c r="M444">
        <f>IFERROR(VLOOKUP(Tabla13[[#This Row],[SISMED]],TblDisponibilidad[],17,FALSE), 0)</f>
        <v>0</v>
      </c>
      <c r="N444">
        <f>IFERROR(VLOOKUP(Tabla13[[#This Row],[SISMED]],TblDisponibilidad[],18,FALSE), 0)</f>
        <v>0</v>
      </c>
      <c r="O444">
        <f>IFERROR(VLOOKUP(Tabla13[[#This Row],[SISMED]],TblDisponibilidad[],19,FALSE), 0)</f>
        <v>0</v>
      </c>
      <c r="P444">
        <f>IFERROR(VLOOKUP(Tabla13[[#This Row],[SISMED]],TblDisponibilidad[],20,FALSE), 0)</f>
        <v>0</v>
      </c>
      <c r="Q444">
        <f>IFERROR(VLOOKUP(Tabla13[[#This Row],[SISMED]],TblDisponibilidad[],21,FALSE), 0)</f>
        <v>0</v>
      </c>
      <c r="R444">
        <f>IFERROR(VLOOKUP(Tabla13[[#This Row],[SISMED]],TblDisponibilidad[],22,FALSE), 0)</f>
        <v>0</v>
      </c>
      <c r="S444" s="15">
        <f>IFERROR(VLOOKUP(Tabla13[[#This Row],[SISMED]],TblDisponibilidad[],23,FALSE), 0)</f>
        <v>0</v>
      </c>
    </row>
    <row r="445" spans="1:19" x14ac:dyDescent="0.3">
      <c r="A445" s="15" t="s">
        <v>475</v>
      </c>
      <c r="B445" t="str">
        <f>IFERROR(VLOOKUP(Tabla13[[#This Row],[SISMED]],TblDisponibilidad[],2,FALSE), "")</f>
        <v/>
      </c>
      <c r="C445">
        <f>IFERROR(VLOOKUP(Tabla13[[#This Row],[SISMED]],TblDisponibilidad[],7,FALSE), 0)</f>
        <v>0</v>
      </c>
      <c r="D445">
        <f>IFERROR(VLOOKUP(Tabla13[[#This Row],[SISMED]],TblDisponibilidad[],8,FALSE), 0)</f>
        <v>0</v>
      </c>
      <c r="E445">
        <f>IFERROR(VLOOKUP(Tabla13[[#This Row],[SISMED]],TblDisponibilidad[],9,FALSE), 0)</f>
        <v>0</v>
      </c>
      <c r="F445">
        <f>IFERROR(VLOOKUP(Tabla13[[#This Row],[SISMED]],TblDisponibilidad[],10,FALSE), 0)</f>
        <v>0</v>
      </c>
      <c r="G445">
        <f>IFERROR(VLOOKUP(Tabla13[[#This Row],[SISMED]],TblDisponibilidad[],11,FALSE), 0)</f>
        <v>0</v>
      </c>
      <c r="H445">
        <f>IFERROR(VLOOKUP(Tabla13[[#This Row],[SISMED]],TblDisponibilidad[],12,FALSE), 0)</f>
        <v>0</v>
      </c>
      <c r="I445">
        <f>IFERROR(VLOOKUP(Tabla13[[#This Row],[SISMED]],TblDisponibilidad[],13,FALSE), 0)</f>
        <v>0</v>
      </c>
      <c r="J445">
        <f>IFERROR(VLOOKUP(Tabla13[[#This Row],[SISMED]],TblDisponibilidad[],14,FALSE), 0)</f>
        <v>0</v>
      </c>
      <c r="K445">
        <f>IFERROR(VLOOKUP(Tabla13[[#This Row],[SISMED]],TblDisponibilidad[],15,FALSE), 0)</f>
        <v>0</v>
      </c>
      <c r="L445">
        <f>IFERROR(VLOOKUP(Tabla13[[#This Row],[SISMED]],TblDisponibilidad[],16,FALSE), 0)</f>
        <v>0</v>
      </c>
      <c r="M445">
        <f>IFERROR(VLOOKUP(Tabla13[[#This Row],[SISMED]],TblDisponibilidad[],17,FALSE), 0)</f>
        <v>0</v>
      </c>
      <c r="N445">
        <f>IFERROR(VLOOKUP(Tabla13[[#This Row],[SISMED]],TblDisponibilidad[],18,FALSE), 0)</f>
        <v>0</v>
      </c>
      <c r="O445">
        <f>IFERROR(VLOOKUP(Tabla13[[#This Row],[SISMED]],TblDisponibilidad[],19,FALSE), 0)</f>
        <v>0</v>
      </c>
      <c r="P445">
        <f>IFERROR(VLOOKUP(Tabla13[[#This Row],[SISMED]],TblDisponibilidad[],20,FALSE), 0)</f>
        <v>0</v>
      </c>
      <c r="Q445">
        <f>IFERROR(VLOOKUP(Tabla13[[#This Row],[SISMED]],TblDisponibilidad[],21,FALSE), 0)</f>
        <v>0</v>
      </c>
      <c r="R445">
        <f>IFERROR(VLOOKUP(Tabla13[[#This Row],[SISMED]],TblDisponibilidad[],22,FALSE), 0)</f>
        <v>0</v>
      </c>
      <c r="S445" s="15">
        <f>IFERROR(VLOOKUP(Tabla13[[#This Row],[SISMED]],TblDisponibilidad[],23,FALSE), 0)</f>
        <v>0</v>
      </c>
    </row>
    <row r="446" spans="1:19" x14ac:dyDescent="0.3">
      <c r="A446" s="15" t="s">
        <v>476</v>
      </c>
      <c r="B446" t="str">
        <f>IFERROR(VLOOKUP(Tabla13[[#This Row],[SISMED]],TblDisponibilidad[],2,FALSE), "")</f>
        <v/>
      </c>
      <c r="C446">
        <f>IFERROR(VLOOKUP(Tabla13[[#This Row],[SISMED]],TblDisponibilidad[],7,FALSE), 0)</f>
        <v>0</v>
      </c>
      <c r="D446">
        <f>IFERROR(VLOOKUP(Tabla13[[#This Row],[SISMED]],TblDisponibilidad[],8,FALSE), 0)</f>
        <v>0</v>
      </c>
      <c r="E446">
        <f>IFERROR(VLOOKUP(Tabla13[[#This Row],[SISMED]],TblDisponibilidad[],9,FALSE), 0)</f>
        <v>0</v>
      </c>
      <c r="F446">
        <f>IFERROR(VLOOKUP(Tabla13[[#This Row],[SISMED]],TblDisponibilidad[],10,FALSE), 0)</f>
        <v>0</v>
      </c>
      <c r="G446">
        <f>IFERROR(VLOOKUP(Tabla13[[#This Row],[SISMED]],TblDisponibilidad[],11,FALSE), 0)</f>
        <v>0</v>
      </c>
      <c r="H446">
        <f>IFERROR(VLOOKUP(Tabla13[[#This Row],[SISMED]],TblDisponibilidad[],12,FALSE), 0)</f>
        <v>0</v>
      </c>
      <c r="I446">
        <f>IFERROR(VLOOKUP(Tabla13[[#This Row],[SISMED]],TblDisponibilidad[],13,FALSE), 0)</f>
        <v>0</v>
      </c>
      <c r="J446">
        <f>IFERROR(VLOOKUP(Tabla13[[#This Row],[SISMED]],TblDisponibilidad[],14,FALSE), 0)</f>
        <v>0</v>
      </c>
      <c r="K446">
        <f>IFERROR(VLOOKUP(Tabla13[[#This Row],[SISMED]],TblDisponibilidad[],15,FALSE), 0)</f>
        <v>0</v>
      </c>
      <c r="L446">
        <f>IFERROR(VLOOKUP(Tabla13[[#This Row],[SISMED]],TblDisponibilidad[],16,FALSE), 0)</f>
        <v>0</v>
      </c>
      <c r="M446">
        <f>IFERROR(VLOOKUP(Tabla13[[#This Row],[SISMED]],TblDisponibilidad[],17,FALSE), 0)</f>
        <v>0</v>
      </c>
      <c r="N446">
        <f>IFERROR(VLOOKUP(Tabla13[[#This Row],[SISMED]],TblDisponibilidad[],18,FALSE), 0)</f>
        <v>0</v>
      </c>
      <c r="O446">
        <f>IFERROR(VLOOKUP(Tabla13[[#This Row],[SISMED]],TblDisponibilidad[],19,FALSE), 0)</f>
        <v>0</v>
      </c>
      <c r="P446">
        <f>IFERROR(VLOOKUP(Tabla13[[#This Row],[SISMED]],TblDisponibilidad[],20,FALSE), 0)</f>
        <v>0</v>
      </c>
      <c r="Q446">
        <f>IFERROR(VLOOKUP(Tabla13[[#This Row],[SISMED]],TblDisponibilidad[],21,FALSE), 0)</f>
        <v>0</v>
      </c>
      <c r="R446">
        <f>IFERROR(VLOOKUP(Tabla13[[#This Row],[SISMED]],TblDisponibilidad[],22,FALSE), 0)</f>
        <v>0</v>
      </c>
      <c r="S446" s="15">
        <f>IFERROR(VLOOKUP(Tabla13[[#This Row],[SISMED]],TblDisponibilidad[],23,FALSE), 0)</f>
        <v>0</v>
      </c>
    </row>
    <row r="447" spans="1:19" x14ac:dyDescent="0.3">
      <c r="A447" s="15" t="s">
        <v>477</v>
      </c>
      <c r="B447" t="str">
        <f>IFERROR(VLOOKUP(Tabla13[[#This Row],[SISMED]],TblDisponibilidad[],2,FALSE), "")</f>
        <v/>
      </c>
      <c r="C447">
        <f>IFERROR(VLOOKUP(Tabla13[[#This Row],[SISMED]],TblDisponibilidad[],7,FALSE), 0)</f>
        <v>0</v>
      </c>
      <c r="D447">
        <f>IFERROR(VLOOKUP(Tabla13[[#This Row],[SISMED]],TblDisponibilidad[],8,FALSE), 0)</f>
        <v>0</v>
      </c>
      <c r="E447">
        <f>IFERROR(VLOOKUP(Tabla13[[#This Row],[SISMED]],TblDisponibilidad[],9,FALSE), 0)</f>
        <v>0</v>
      </c>
      <c r="F447">
        <f>IFERROR(VLOOKUP(Tabla13[[#This Row],[SISMED]],TblDisponibilidad[],10,FALSE), 0)</f>
        <v>0</v>
      </c>
      <c r="G447">
        <f>IFERROR(VLOOKUP(Tabla13[[#This Row],[SISMED]],TblDisponibilidad[],11,FALSE), 0)</f>
        <v>0</v>
      </c>
      <c r="H447">
        <f>IFERROR(VLOOKUP(Tabla13[[#This Row],[SISMED]],TblDisponibilidad[],12,FALSE), 0)</f>
        <v>0</v>
      </c>
      <c r="I447">
        <f>IFERROR(VLOOKUP(Tabla13[[#This Row],[SISMED]],TblDisponibilidad[],13,FALSE), 0)</f>
        <v>0</v>
      </c>
      <c r="J447">
        <f>IFERROR(VLOOKUP(Tabla13[[#This Row],[SISMED]],TblDisponibilidad[],14,FALSE), 0)</f>
        <v>0</v>
      </c>
      <c r="K447">
        <f>IFERROR(VLOOKUP(Tabla13[[#This Row],[SISMED]],TblDisponibilidad[],15,FALSE), 0)</f>
        <v>0</v>
      </c>
      <c r="L447">
        <f>IFERROR(VLOOKUP(Tabla13[[#This Row],[SISMED]],TblDisponibilidad[],16,FALSE), 0)</f>
        <v>0</v>
      </c>
      <c r="M447">
        <f>IFERROR(VLOOKUP(Tabla13[[#This Row],[SISMED]],TblDisponibilidad[],17,FALSE), 0)</f>
        <v>0</v>
      </c>
      <c r="N447">
        <f>IFERROR(VLOOKUP(Tabla13[[#This Row],[SISMED]],TblDisponibilidad[],18,FALSE), 0)</f>
        <v>0</v>
      </c>
      <c r="O447">
        <f>IFERROR(VLOOKUP(Tabla13[[#This Row],[SISMED]],TblDisponibilidad[],19,FALSE), 0)</f>
        <v>0</v>
      </c>
      <c r="P447">
        <f>IFERROR(VLOOKUP(Tabla13[[#This Row],[SISMED]],TblDisponibilidad[],20,FALSE), 0)</f>
        <v>0</v>
      </c>
      <c r="Q447">
        <f>IFERROR(VLOOKUP(Tabla13[[#This Row],[SISMED]],TblDisponibilidad[],21,FALSE), 0)</f>
        <v>0</v>
      </c>
      <c r="R447">
        <f>IFERROR(VLOOKUP(Tabla13[[#This Row],[SISMED]],TblDisponibilidad[],22,FALSE), 0)</f>
        <v>0</v>
      </c>
      <c r="S447" s="15">
        <f>IFERROR(VLOOKUP(Tabla13[[#This Row],[SISMED]],TblDisponibilidad[],23,FALSE), 0)</f>
        <v>0</v>
      </c>
    </row>
    <row r="448" spans="1:19" x14ac:dyDescent="0.3">
      <c r="A448" s="15" t="s">
        <v>478</v>
      </c>
      <c r="B448" t="str">
        <f>IFERROR(VLOOKUP(Tabla13[[#This Row],[SISMED]],TblDisponibilidad[],2,FALSE), "")</f>
        <v/>
      </c>
      <c r="C448">
        <f>IFERROR(VLOOKUP(Tabla13[[#This Row],[SISMED]],TblDisponibilidad[],7,FALSE), 0)</f>
        <v>0</v>
      </c>
      <c r="D448">
        <f>IFERROR(VLOOKUP(Tabla13[[#This Row],[SISMED]],TblDisponibilidad[],8,FALSE), 0)</f>
        <v>0</v>
      </c>
      <c r="E448">
        <f>IFERROR(VLOOKUP(Tabla13[[#This Row],[SISMED]],TblDisponibilidad[],9,FALSE), 0)</f>
        <v>0</v>
      </c>
      <c r="F448">
        <f>IFERROR(VLOOKUP(Tabla13[[#This Row],[SISMED]],TblDisponibilidad[],10,FALSE), 0)</f>
        <v>0</v>
      </c>
      <c r="G448">
        <f>IFERROR(VLOOKUP(Tabla13[[#This Row],[SISMED]],TblDisponibilidad[],11,FALSE), 0)</f>
        <v>0</v>
      </c>
      <c r="H448">
        <f>IFERROR(VLOOKUP(Tabla13[[#This Row],[SISMED]],TblDisponibilidad[],12,FALSE), 0)</f>
        <v>0</v>
      </c>
      <c r="I448">
        <f>IFERROR(VLOOKUP(Tabla13[[#This Row],[SISMED]],TblDisponibilidad[],13,FALSE), 0)</f>
        <v>0</v>
      </c>
      <c r="J448">
        <f>IFERROR(VLOOKUP(Tabla13[[#This Row],[SISMED]],TblDisponibilidad[],14,FALSE), 0)</f>
        <v>0</v>
      </c>
      <c r="K448">
        <f>IFERROR(VLOOKUP(Tabla13[[#This Row],[SISMED]],TblDisponibilidad[],15,FALSE), 0)</f>
        <v>0</v>
      </c>
      <c r="L448">
        <f>IFERROR(VLOOKUP(Tabla13[[#This Row],[SISMED]],TblDisponibilidad[],16,FALSE), 0)</f>
        <v>0</v>
      </c>
      <c r="M448">
        <f>IFERROR(VLOOKUP(Tabla13[[#This Row],[SISMED]],TblDisponibilidad[],17,FALSE), 0)</f>
        <v>0</v>
      </c>
      <c r="N448">
        <f>IFERROR(VLOOKUP(Tabla13[[#This Row],[SISMED]],TblDisponibilidad[],18,FALSE), 0)</f>
        <v>0</v>
      </c>
      <c r="O448">
        <f>IFERROR(VLOOKUP(Tabla13[[#This Row],[SISMED]],TblDisponibilidad[],19,FALSE), 0)</f>
        <v>0</v>
      </c>
      <c r="P448">
        <f>IFERROR(VLOOKUP(Tabla13[[#This Row],[SISMED]],TblDisponibilidad[],20,FALSE), 0)</f>
        <v>0</v>
      </c>
      <c r="Q448">
        <f>IFERROR(VLOOKUP(Tabla13[[#This Row],[SISMED]],TblDisponibilidad[],21,FALSE), 0)</f>
        <v>0</v>
      </c>
      <c r="R448">
        <f>IFERROR(VLOOKUP(Tabla13[[#This Row],[SISMED]],TblDisponibilidad[],22,FALSE), 0)</f>
        <v>0</v>
      </c>
      <c r="S448" s="15">
        <f>IFERROR(VLOOKUP(Tabla13[[#This Row],[SISMED]],TblDisponibilidad[],23,FALSE), 0)</f>
        <v>0</v>
      </c>
    </row>
    <row r="449" spans="1:19" x14ac:dyDescent="0.3">
      <c r="A449" s="15" t="s">
        <v>479</v>
      </c>
      <c r="B449" t="str">
        <f>IFERROR(VLOOKUP(Tabla13[[#This Row],[SISMED]],TblDisponibilidad[],2,FALSE), "")</f>
        <v/>
      </c>
      <c r="C449">
        <f>IFERROR(VLOOKUP(Tabla13[[#This Row],[SISMED]],TblDisponibilidad[],7,FALSE), 0)</f>
        <v>0</v>
      </c>
      <c r="D449">
        <f>IFERROR(VLOOKUP(Tabla13[[#This Row],[SISMED]],TblDisponibilidad[],8,FALSE), 0)</f>
        <v>0</v>
      </c>
      <c r="E449">
        <f>IFERROR(VLOOKUP(Tabla13[[#This Row],[SISMED]],TblDisponibilidad[],9,FALSE), 0)</f>
        <v>0</v>
      </c>
      <c r="F449">
        <f>IFERROR(VLOOKUP(Tabla13[[#This Row],[SISMED]],TblDisponibilidad[],10,FALSE), 0)</f>
        <v>0</v>
      </c>
      <c r="G449">
        <f>IFERROR(VLOOKUP(Tabla13[[#This Row],[SISMED]],TblDisponibilidad[],11,FALSE), 0)</f>
        <v>0</v>
      </c>
      <c r="H449">
        <f>IFERROR(VLOOKUP(Tabla13[[#This Row],[SISMED]],TblDisponibilidad[],12,FALSE), 0)</f>
        <v>0</v>
      </c>
      <c r="I449">
        <f>IFERROR(VLOOKUP(Tabla13[[#This Row],[SISMED]],TblDisponibilidad[],13,FALSE), 0)</f>
        <v>0</v>
      </c>
      <c r="J449">
        <f>IFERROR(VLOOKUP(Tabla13[[#This Row],[SISMED]],TblDisponibilidad[],14,FALSE), 0)</f>
        <v>0</v>
      </c>
      <c r="K449">
        <f>IFERROR(VLOOKUP(Tabla13[[#This Row],[SISMED]],TblDisponibilidad[],15,FALSE), 0)</f>
        <v>0</v>
      </c>
      <c r="L449">
        <f>IFERROR(VLOOKUP(Tabla13[[#This Row],[SISMED]],TblDisponibilidad[],16,FALSE), 0)</f>
        <v>0</v>
      </c>
      <c r="M449">
        <f>IFERROR(VLOOKUP(Tabla13[[#This Row],[SISMED]],TblDisponibilidad[],17,FALSE), 0)</f>
        <v>0</v>
      </c>
      <c r="N449">
        <f>IFERROR(VLOOKUP(Tabla13[[#This Row],[SISMED]],TblDisponibilidad[],18,FALSE), 0)</f>
        <v>0</v>
      </c>
      <c r="O449">
        <f>IFERROR(VLOOKUP(Tabla13[[#This Row],[SISMED]],TblDisponibilidad[],19,FALSE), 0)</f>
        <v>0</v>
      </c>
      <c r="P449">
        <f>IFERROR(VLOOKUP(Tabla13[[#This Row],[SISMED]],TblDisponibilidad[],20,FALSE), 0)</f>
        <v>0</v>
      </c>
      <c r="Q449">
        <f>IFERROR(VLOOKUP(Tabla13[[#This Row],[SISMED]],TblDisponibilidad[],21,FALSE), 0)</f>
        <v>0</v>
      </c>
      <c r="R449">
        <f>IFERROR(VLOOKUP(Tabla13[[#This Row],[SISMED]],TblDisponibilidad[],22,FALSE), 0)</f>
        <v>0</v>
      </c>
      <c r="S449" s="15">
        <f>IFERROR(VLOOKUP(Tabla13[[#This Row],[SISMED]],TblDisponibilidad[],23,FALSE), 0)</f>
        <v>0</v>
      </c>
    </row>
    <row r="450" spans="1:19" x14ac:dyDescent="0.3">
      <c r="A450" s="15" t="s">
        <v>480</v>
      </c>
      <c r="B450" t="str">
        <f>IFERROR(VLOOKUP(Tabla13[[#This Row],[SISMED]],TblDisponibilidad[],2,FALSE), "")</f>
        <v/>
      </c>
      <c r="C450">
        <f>IFERROR(VLOOKUP(Tabla13[[#This Row],[SISMED]],TblDisponibilidad[],7,FALSE), 0)</f>
        <v>0</v>
      </c>
      <c r="D450">
        <f>IFERROR(VLOOKUP(Tabla13[[#This Row],[SISMED]],TblDisponibilidad[],8,FALSE), 0)</f>
        <v>0</v>
      </c>
      <c r="E450">
        <f>IFERROR(VLOOKUP(Tabla13[[#This Row],[SISMED]],TblDisponibilidad[],9,FALSE), 0)</f>
        <v>0</v>
      </c>
      <c r="F450">
        <f>IFERROR(VLOOKUP(Tabla13[[#This Row],[SISMED]],TblDisponibilidad[],10,FALSE), 0)</f>
        <v>0</v>
      </c>
      <c r="G450">
        <f>IFERROR(VLOOKUP(Tabla13[[#This Row],[SISMED]],TblDisponibilidad[],11,FALSE), 0)</f>
        <v>0</v>
      </c>
      <c r="H450">
        <f>IFERROR(VLOOKUP(Tabla13[[#This Row],[SISMED]],TblDisponibilidad[],12,FALSE), 0)</f>
        <v>0</v>
      </c>
      <c r="I450">
        <f>IFERROR(VLOOKUP(Tabla13[[#This Row],[SISMED]],TblDisponibilidad[],13,FALSE), 0)</f>
        <v>0</v>
      </c>
      <c r="J450">
        <f>IFERROR(VLOOKUP(Tabla13[[#This Row],[SISMED]],TblDisponibilidad[],14,FALSE), 0)</f>
        <v>0</v>
      </c>
      <c r="K450">
        <f>IFERROR(VLOOKUP(Tabla13[[#This Row],[SISMED]],TblDisponibilidad[],15,FALSE), 0)</f>
        <v>0</v>
      </c>
      <c r="L450">
        <f>IFERROR(VLOOKUP(Tabla13[[#This Row],[SISMED]],TblDisponibilidad[],16,FALSE), 0)</f>
        <v>0</v>
      </c>
      <c r="M450">
        <f>IFERROR(VLOOKUP(Tabla13[[#This Row],[SISMED]],TblDisponibilidad[],17,FALSE), 0)</f>
        <v>0</v>
      </c>
      <c r="N450">
        <f>IFERROR(VLOOKUP(Tabla13[[#This Row],[SISMED]],TblDisponibilidad[],18,FALSE), 0)</f>
        <v>0</v>
      </c>
      <c r="O450">
        <f>IFERROR(VLOOKUP(Tabla13[[#This Row],[SISMED]],TblDisponibilidad[],19,FALSE), 0)</f>
        <v>0</v>
      </c>
      <c r="P450">
        <f>IFERROR(VLOOKUP(Tabla13[[#This Row],[SISMED]],TblDisponibilidad[],20,FALSE), 0)</f>
        <v>0</v>
      </c>
      <c r="Q450">
        <f>IFERROR(VLOOKUP(Tabla13[[#This Row],[SISMED]],TblDisponibilidad[],21,FALSE), 0)</f>
        <v>0</v>
      </c>
      <c r="R450">
        <f>IFERROR(VLOOKUP(Tabla13[[#This Row],[SISMED]],TblDisponibilidad[],22,FALSE), 0)</f>
        <v>0</v>
      </c>
      <c r="S450" s="15">
        <f>IFERROR(VLOOKUP(Tabla13[[#This Row],[SISMED]],TblDisponibilidad[],23,FALSE), 0)</f>
        <v>0</v>
      </c>
    </row>
    <row r="451" spans="1:19" x14ac:dyDescent="0.3">
      <c r="A451" s="15" t="s">
        <v>481</v>
      </c>
      <c r="B451" t="str">
        <f>IFERROR(VLOOKUP(Tabla13[[#This Row],[SISMED]],TblDisponibilidad[],2,FALSE), "")</f>
        <v/>
      </c>
      <c r="C451">
        <f>IFERROR(VLOOKUP(Tabla13[[#This Row],[SISMED]],TblDisponibilidad[],7,FALSE), 0)</f>
        <v>0</v>
      </c>
      <c r="D451">
        <f>IFERROR(VLOOKUP(Tabla13[[#This Row],[SISMED]],TblDisponibilidad[],8,FALSE), 0)</f>
        <v>0</v>
      </c>
      <c r="E451">
        <f>IFERROR(VLOOKUP(Tabla13[[#This Row],[SISMED]],TblDisponibilidad[],9,FALSE), 0)</f>
        <v>0</v>
      </c>
      <c r="F451">
        <f>IFERROR(VLOOKUP(Tabla13[[#This Row],[SISMED]],TblDisponibilidad[],10,FALSE), 0)</f>
        <v>0</v>
      </c>
      <c r="G451">
        <f>IFERROR(VLOOKUP(Tabla13[[#This Row],[SISMED]],TblDisponibilidad[],11,FALSE), 0)</f>
        <v>0</v>
      </c>
      <c r="H451">
        <f>IFERROR(VLOOKUP(Tabla13[[#This Row],[SISMED]],TblDisponibilidad[],12,FALSE), 0)</f>
        <v>0</v>
      </c>
      <c r="I451">
        <f>IFERROR(VLOOKUP(Tabla13[[#This Row],[SISMED]],TblDisponibilidad[],13,FALSE), 0)</f>
        <v>0</v>
      </c>
      <c r="J451">
        <f>IFERROR(VLOOKUP(Tabla13[[#This Row],[SISMED]],TblDisponibilidad[],14,FALSE), 0)</f>
        <v>0</v>
      </c>
      <c r="K451">
        <f>IFERROR(VLOOKUP(Tabla13[[#This Row],[SISMED]],TblDisponibilidad[],15,FALSE), 0)</f>
        <v>0</v>
      </c>
      <c r="L451">
        <f>IFERROR(VLOOKUP(Tabla13[[#This Row],[SISMED]],TblDisponibilidad[],16,FALSE), 0)</f>
        <v>0</v>
      </c>
      <c r="M451">
        <f>IFERROR(VLOOKUP(Tabla13[[#This Row],[SISMED]],TblDisponibilidad[],17,FALSE), 0)</f>
        <v>0</v>
      </c>
      <c r="N451">
        <f>IFERROR(VLOOKUP(Tabla13[[#This Row],[SISMED]],TblDisponibilidad[],18,FALSE), 0)</f>
        <v>0</v>
      </c>
      <c r="O451">
        <f>IFERROR(VLOOKUP(Tabla13[[#This Row],[SISMED]],TblDisponibilidad[],19,FALSE), 0)</f>
        <v>0</v>
      </c>
      <c r="P451">
        <f>IFERROR(VLOOKUP(Tabla13[[#This Row],[SISMED]],TblDisponibilidad[],20,FALSE), 0)</f>
        <v>0</v>
      </c>
      <c r="Q451">
        <f>IFERROR(VLOOKUP(Tabla13[[#This Row],[SISMED]],TblDisponibilidad[],21,FALSE), 0)</f>
        <v>0</v>
      </c>
      <c r="R451">
        <f>IFERROR(VLOOKUP(Tabla13[[#This Row],[SISMED]],TblDisponibilidad[],22,FALSE), 0)</f>
        <v>0</v>
      </c>
      <c r="S451" s="15">
        <f>IFERROR(VLOOKUP(Tabla13[[#This Row],[SISMED]],TblDisponibilidad[],23,FALSE), 0)</f>
        <v>0</v>
      </c>
    </row>
    <row r="452" spans="1:19" x14ac:dyDescent="0.3">
      <c r="A452" s="15" t="s">
        <v>482</v>
      </c>
      <c r="B452" t="str">
        <f>IFERROR(VLOOKUP(Tabla13[[#This Row],[SISMED]],TblDisponibilidad[],2,FALSE), "")</f>
        <v/>
      </c>
      <c r="C452">
        <f>IFERROR(VLOOKUP(Tabla13[[#This Row],[SISMED]],TblDisponibilidad[],7,FALSE), 0)</f>
        <v>0</v>
      </c>
      <c r="D452">
        <f>IFERROR(VLOOKUP(Tabla13[[#This Row],[SISMED]],TblDisponibilidad[],8,FALSE), 0)</f>
        <v>0</v>
      </c>
      <c r="E452">
        <f>IFERROR(VLOOKUP(Tabla13[[#This Row],[SISMED]],TblDisponibilidad[],9,FALSE), 0)</f>
        <v>0</v>
      </c>
      <c r="F452">
        <f>IFERROR(VLOOKUP(Tabla13[[#This Row],[SISMED]],TblDisponibilidad[],10,FALSE), 0)</f>
        <v>0</v>
      </c>
      <c r="G452">
        <f>IFERROR(VLOOKUP(Tabla13[[#This Row],[SISMED]],TblDisponibilidad[],11,FALSE), 0)</f>
        <v>0</v>
      </c>
      <c r="H452">
        <f>IFERROR(VLOOKUP(Tabla13[[#This Row],[SISMED]],TblDisponibilidad[],12,FALSE), 0)</f>
        <v>0</v>
      </c>
      <c r="I452">
        <f>IFERROR(VLOOKUP(Tabla13[[#This Row],[SISMED]],TblDisponibilidad[],13,FALSE), 0)</f>
        <v>0</v>
      </c>
      <c r="J452">
        <f>IFERROR(VLOOKUP(Tabla13[[#This Row],[SISMED]],TblDisponibilidad[],14,FALSE), 0)</f>
        <v>0</v>
      </c>
      <c r="K452">
        <f>IFERROR(VLOOKUP(Tabla13[[#This Row],[SISMED]],TblDisponibilidad[],15,FALSE), 0)</f>
        <v>0</v>
      </c>
      <c r="L452">
        <f>IFERROR(VLOOKUP(Tabla13[[#This Row],[SISMED]],TblDisponibilidad[],16,FALSE), 0)</f>
        <v>0</v>
      </c>
      <c r="M452">
        <f>IFERROR(VLOOKUP(Tabla13[[#This Row],[SISMED]],TblDisponibilidad[],17,FALSE), 0)</f>
        <v>0</v>
      </c>
      <c r="N452">
        <f>IFERROR(VLOOKUP(Tabla13[[#This Row],[SISMED]],TblDisponibilidad[],18,FALSE), 0)</f>
        <v>0</v>
      </c>
      <c r="O452">
        <f>IFERROR(VLOOKUP(Tabla13[[#This Row],[SISMED]],TblDisponibilidad[],19,FALSE), 0)</f>
        <v>0</v>
      </c>
      <c r="P452">
        <f>IFERROR(VLOOKUP(Tabla13[[#This Row],[SISMED]],TblDisponibilidad[],20,FALSE), 0)</f>
        <v>0</v>
      </c>
      <c r="Q452">
        <f>IFERROR(VLOOKUP(Tabla13[[#This Row],[SISMED]],TblDisponibilidad[],21,FALSE), 0)</f>
        <v>0</v>
      </c>
      <c r="R452">
        <f>IFERROR(VLOOKUP(Tabla13[[#This Row],[SISMED]],TblDisponibilidad[],22,FALSE), 0)</f>
        <v>0</v>
      </c>
      <c r="S452" s="15">
        <f>IFERROR(VLOOKUP(Tabla13[[#This Row],[SISMED]],TblDisponibilidad[],23,FALSE), 0)</f>
        <v>0</v>
      </c>
    </row>
    <row r="453" spans="1:19" x14ac:dyDescent="0.3">
      <c r="A453" s="15" t="s">
        <v>483</v>
      </c>
      <c r="B453" t="str">
        <f>IFERROR(VLOOKUP(Tabla13[[#This Row],[SISMED]],TblDisponibilidad[],2,FALSE), "")</f>
        <v/>
      </c>
      <c r="C453">
        <f>IFERROR(VLOOKUP(Tabla13[[#This Row],[SISMED]],TblDisponibilidad[],7,FALSE), 0)</f>
        <v>0</v>
      </c>
      <c r="D453">
        <f>IFERROR(VLOOKUP(Tabla13[[#This Row],[SISMED]],TblDisponibilidad[],8,FALSE), 0)</f>
        <v>0</v>
      </c>
      <c r="E453">
        <f>IFERROR(VLOOKUP(Tabla13[[#This Row],[SISMED]],TblDisponibilidad[],9,FALSE), 0)</f>
        <v>0</v>
      </c>
      <c r="F453">
        <f>IFERROR(VLOOKUP(Tabla13[[#This Row],[SISMED]],TblDisponibilidad[],10,FALSE), 0)</f>
        <v>0</v>
      </c>
      <c r="G453">
        <f>IFERROR(VLOOKUP(Tabla13[[#This Row],[SISMED]],TblDisponibilidad[],11,FALSE), 0)</f>
        <v>0</v>
      </c>
      <c r="H453">
        <f>IFERROR(VLOOKUP(Tabla13[[#This Row],[SISMED]],TblDisponibilidad[],12,FALSE), 0)</f>
        <v>0</v>
      </c>
      <c r="I453">
        <f>IFERROR(VLOOKUP(Tabla13[[#This Row],[SISMED]],TblDisponibilidad[],13,FALSE), 0)</f>
        <v>0</v>
      </c>
      <c r="J453">
        <f>IFERROR(VLOOKUP(Tabla13[[#This Row],[SISMED]],TblDisponibilidad[],14,FALSE), 0)</f>
        <v>0</v>
      </c>
      <c r="K453">
        <f>IFERROR(VLOOKUP(Tabla13[[#This Row],[SISMED]],TblDisponibilidad[],15,FALSE), 0)</f>
        <v>0</v>
      </c>
      <c r="L453">
        <f>IFERROR(VLOOKUP(Tabla13[[#This Row],[SISMED]],TblDisponibilidad[],16,FALSE), 0)</f>
        <v>0</v>
      </c>
      <c r="M453">
        <f>IFERROR(VLOOKUP(Tabla13[[#This Row],[SISMED]],TblDisponibilidad[],17,FALSE), 0)</f>
        <v>0</v>
      </c>
      <c r="N453">
        <f>IFERROR(VLOOKUP(Tabla13[[#This Row],[SISMED]],TblDisponibilidad[],18,FALSE), 0)</f>
        <v>0</v>
      </c>
      <c r="O453">
        <f>IFERROR(VLOOKUP(Tabla13[[#This Row],[SISMED]],TblDisponibilidad[],19,FALSE), 0)</f>
        <v>0</v>
      </c>
      <c r="P453">
        <f>IFERROR(VLOOKUP(Tabla13[[#This Row],[SISMED]],TblDisponibilidad[],20,FALSE), 0)</f>
        <v>0</v>
      </c>
      <c r="Q453">
        <f>IFERROR(VLOOKUP(Tabla13[[#This Row],[SISMED]],TblDisponibilidad[],21,FALSE), 0)</f>
        <v>0</v>
      </c>
      <c r="R453">
        <f>IFERROR(VLOOKUP(Tabla13[[#This Row],[SISMED]],TblDisponibilidad[],22,FALSE), 0)</f>
        <v>0</v>
      </c>
      <c r="S453" s="15">
        <f>IFERROR(VLOOKUP(Tabla13[[#This Row],[SISMED]],TblDisponibilidad[],23,FALSE), 0)</f>
        <v>0</v>
      </c>
    </row>
    <row r="454" spans="1:19" x14ac:dyDescent="0.3">
      <c r="A454" s="15" t="s">
        <v>484</v>
      </c>
      <c r="B454" t="str">
        <f>IFERROR(VLOOKUP(Tabla13[[#This Row],[SISMED]],TblDisponibilidad[],2,FALSE), "")</f>
        <v/>
      </c>
      <c r="C454">
        <f>IFERROR(VLOOKUP(Tabla13[[#This Row],[SISMED]],TblDisponibilidad[],7,FALSE), 0)</f>
        <v>0</v>
      </c>
      <c r="D454">
        <f>IFERROR(VLOOKUP(Tabla13[[#This Row],[SISMED]],TblDisponibilidad[],8,FALSE), 0)</f>
        <v>0</v>
      </c>
      <c r="E454">
        <f>IFERROR(VLOOKUP(Tabla13[[#This Row],[SISMED]],TblDisponibilidad[],9,FALSE), 0)</f>
        <v>0</v>
      </c>
      <c r="F454">
        <f>IFERROR(VLOOKUP(Tabla13[[#This Row],[SISMED]],TblDisponibilidad[],10,FALSE), 0)</f>
        <v>0</v>
      </c>
      <c r="G454">
        <f>IFERROR(VLOOKUP(Tabla13[[#This Row],[SISMED]],TblDisponibilidad[],11,FALSE), 0)</f>
        <v>0</v>
      </c>
      <c r="H454">
        <f>IFERROR(VLOOKUP(Tabla13[[#This Row],[SISMED]],TblDisponibilidad[],12,FALSE), 0)</f>
        <v>0</v>
      </c>
      <c r="I454">
        <f>IFERROR(VLOOKUP(Tabla13[[#This Row],[SISMED]],TblDisponibilidad[],13,FALSE), 0)</f>
        <v>0</v>
      </c>
      <c r="J454">
        <f>IFERROR(VLOOKUP(Tabla13[[#This Row],[SISMED]],TblDisponibilidad[],14,FALSE), 0)</f>
        <v>0</v>
      </c>
      <c r="K454">
        <f>IFERROR(VLOOKUP(Tabla13[[#This Row],[SISMED]],TblDisponibilidad[],15,FALSE), 0)</f>
        <v>0</v>
      </c>
      <c r="L454">
        <f>IFERROR(VLOOKUP(Tabla13[[#This Row],[SISMED]],TblDisponibilidad[],16,FALSE), 0)</f>
        <v>0</v>
      </c>
      <c r="M454">
        <f>IFERROR(VLOOKUP(Tabla13[[#This Row],[SISMED]],TblDisponibilidad[],17,FALSE), 0)</f>
        <v>0</v>
      </c>
      <c r="N454">
        <f>IFERROR(VLOOKUP(Tabla13[[#This Row],[SISMED]],TblDisponibilidad[],18,FALSE), 0)</f>
        <v>0</v>
      </c>
      <c r="O454">
        <f>IFERROR(VLOOKUP(Tabla13[[#This Row],[SISMED]],TblDisponibilidad[],19,FALSE), 0)</f>
        <v>0</v>
      </c>
      <c r="P454">
        <f>IFERROR(VLOOKUP(Tabla13[[#This Row],[SISMED]],TblDisponibilidad[],20,FALSE), 0)</f>
        <v>0</v>
      </c>
      <c r="Q454">
        <f>IFERROR(VLOOKUP(Tabla13[[#This Row],[SISMED]],TblDisponibilidad[],21,FALSE), 0)</f>
        <v>0</v>
      </c>
      <c r="R454">
        <f>IFERROR(VLOOKUP(Tabla13[[#This Row],[SISMED]],TblDisponibilidad[],22,FALSE), 0)</f>
        <v>0</v>
      </c>
      <c r="S454" s="15">
        <f>IFERROR(VLOOKUP(Tabla13[[#This Row],[SISMED]],TblDisponibilidad[],23,FALSE), 0)</f>
        <v>0</v>
      </c>
    </row>
    <row r="455" spans="1:19" x14ac:dyDescent="0.3">
      <c r="A455" s="15" t="s">
        <v>485</v>
      </c>
      <c r="B455" t="str">
        <f>IFERROR(VLOOKUP(Tabla13[[#This Row],[SISMED]],TblDisponibilidad[],2,FALSE), "")</f>
        <v/>
      </c>
      <c r="C455">
        <f>IFERROR(VLOOKUP(Tabla13[[#This Row],[SISMED]],TblDisponibilidad[],7,FALSE), 0)</f>
        <v>0</v>
      </c>
      <c r="D455">
        <f>IFERROR(VLOOKUP(Tabla13[[#This Row],[SISMED]],TblDisponibilidad[],8,FALSE), 0)</f>
        <v>0</v>
      </c>
      <c r="E455">
        <f>IFERROR(VLOOKUP(Tabla13[[#This Row],[SISMED]],TblDisponibilidad[],9,FALSE), 0)</f>
        <v>0</v>
      </c>
      <c r="F455">
        <f>IFERROR(VLOOKUP(Tabla13[[#This Row],[SISMED]],TblDisponibilidad[],10,FALSE), 0)</f>
        <v>0</v>
      </c>
      <c r="G455">
        <f>IFERROR(VLOOKUP(Tabla13[[#This Row],[SISMED]],TblDisponibilidad[],11,FALSE), 0)</f>
        <v>0</v>
      </c>
      <c r="H455">
        <f>IFERROR(VLOOKUP(Tabla13[[#This Row],[SISMED]],TblDisponibilidad[],12,FALSE), 0)</f>
        <v>0</v>
      </c>
      <c r="I455">
        <f>IFERROR(VLOOKUP(Tabla13[[#This Row],[SISMED]],TblDisponibilidad[],13,FALSE), 0)</f>
        <v>0</v>
      </c>
      <c r="J455">
        <f>IFERROR(VLOOKUP(Tabla13[[#This Row],[SISMED]],TblDisponibilidad[],14,FALSE), 0)</f>
        <v>0</v>
      </c>
      <c r="K455">
        <f>IFERROR(VLOOKUP(Tabla13[[#This Row],[SISMED]],TblDisponibilidad[],15,FALSE), 0)</f>
        <v>0</v>
      </c>
      <c r="L455">
        <f>IFERROR(VLOOKUP(Tabla13[[#This Row],[SISMED]],TblDisponibilidad[],16,FALSE), 0)</f>
        <v>0</v>
      </c>
      <c r="M455">
        <f>IFERROR(VLOOKUP(Tabla13[[#This Row],[SISMED]],TblDisponibilidad[],17,FALSE), 0)</f>
        <v>0</v>
      </c>
      <c r="N455">
        <f>IFERROR(VLOOKUP(Tabla13[[#This Row],[SISMED]],TblDisponibilidad[],18,FALSE), 0)</f>
        <v>0</v>
      </c>
      <c r="O455">
        <f>IFERROR(VLOOKUP(Tabla13[[#This Row],[SISMED]],TblDisponibilidad[],19,FALSE), 0)</f>
        <v>0</v>
      </c>
      <c r="P455">
        <f>IFERROR(VLOOKUP(Tabla13[[#This Row],[SISMED]],TblDisponibilidad[],20,FALSE), 0)</f>
        <v>0</v>
      </c>
      <c r="Q455">
        <f>IFERROR(VLOOKUP(Tabla13[[#This Row],[SISMED]],TblDisponibilidad[],21,FALSE), 0)</f>
        <v>0</v>
      </c>
      <c r="R455">
        <f>IFERROR(VLOOKUP(Tabla13[[#This Row],[SISMED]],TblDisponibilidad[],22,FALSE), 0)</f>
        <v>0</v>
      </c>
      <c r="S455" s="15">
        <f>IFERROR(VLOOKUP(Tabla13[[#This Row],[SISMED]],TblDisponibilidad[],23,FALSE), 0)</f>
        <v>0</v>
      </c>
    </row>
    <row r="456" spans="1:19" x14ac:dyDescent="0.3">
      <c r="A456" s="15" t="s">
        <v>486</v>
      </c>
      <c r="B456" t="str">
        <f>IFERROR(VLOOKUP(Tabla13[[#This Row],[SISMED]],TblDisponibilidad[],2,FALSE), "")</f>
        <v/>
      </c>
      <c r="C456">
        <f>IFERROR(VLOOKUP(Tabla13[[#This Row],[SISMED]],TblDisponibilidad[],7,FALSE), 0)</f>
        <v>0</v>
      </c>
      <c r="D456">
        <f>IFERROR(VLOOKUP(Tabla13[[#This Row],[SISMED]],TblDisponibilidad[],8,FALSE), 0)</f>
        <v>0</v>
      </c>
      <c r="E456">
        <f>IFERROR(VLOOKUP(Tabla13[[#This Row],[SISMED]],TblDisponibilidad[],9,FALSE), 0)</f>
        <v>0</v>
      </c>
      <c r="F456">
        <f>IFERROR(VLOOKUP(Tabla13[[#This Row],[SISMED]],TblDisponibilidad[],10,FALSE), 0)</f>
        <v>0</v>
      </c>
      <c r="G456">
        <f>IFERROR(VLOOKUP(Tabla13[[#This Row],[SISMED]],TblDisponibilidad[],11,FALSE), 0)</f>
        <v>0</v>
      </c>
      <c r="H456">
        <f>IFERROR(VLOOKUP(Tabla13[[#This Row],[SISMED]],TblDisponibilidad[],12,FALSE), 0)</f>
        <v>0</v>
      </c>
      <c r="I456">
        <f>IFERROR(VLOOKUP(Tabla13[[#This Row],[SISMED]],TblDisponibilidad[],13,FALSE), 0)</f>
        <v>0</v>
      </c>
      <c r="J456">
        <f>IFERROR(VLOOKUP(Tabla13[[#This Row],[SISMED]],TblDisponibilidad[],14,FALSE), 0)</f>
        <v>0</v>
      </c>
      <c r="K456">
        <f>IFERROR(VLOOKUP(Tabla13[[#This Row],[SISMED]],TblDisponibilidad[],15,FALSE), 0)</f>
        <v>0</v>
      </c>
      <c r="L456">
        <f>IFERROR(VLOOKUP(Tabla13[[#This Row],[SISMED]],TblDisponibilidad[],16,FALSE), 0)</f>
        <v>0</v>
      </c>
      <c r="M456">
        <f>IFERROR(VLOOKUP(Tabla13[[#This Row],[SISMED]],TblDisponibilidad[],17,FALSE), 0)</f>
        <v>0</v>
      </c>
      <c r="N456">
        <f>IFERROR(VLOOKUP(Tabla13[[#This Row],[SISMED]],TblDisponibilidad[],18,FALSE), 0)</f>
        <v>0</v>
      </c>
      <c r="O456">
        <f>IFERROR(VLOOKUP(Tabla13[[#This Row],[SISMED]],TblDisponibilidad[],19,FALSE), 0)</f>
        <v>0</v>
      </c>
      <c r="P456">
        <f>IFERROR(VLOOKUP(Tabla13[[#This Row],[SISMED]],TblDisponibilidad[],20,FALSE), 0)</f>
        <v>0</v>
      </c>
      <c r="Q456">
        <f>IFERROR(VLOOKUP(Tabla13[[#This Row],[SISMED]],TblDisponibilidad[],21,FALSE), 0)</f>
        <v>0</v>
      </c>
      <c r="R456">
        <f>IFERROR(VLOOKUP(Tabla13[[#This Row],[SISMED]],TblDisponibilidad[],22,FALSE), 0)</f>
        <v>0</v>
      </c>
      <c r="S456" s="15">
        <f>IFERROR(VLOOKUP(Tabla13[[#This Row],[SISMED]],TblDisponibilidad[],23,FALSE), 0)</f>
        <v>0</v>
      </c>
    </row>
    <row r="457" spans="1:19" x14ac:dyDescent="0.3">
      <c r="A457" s="15" t="s">
        <v>487</v>
      </c>
      <c r="B457" t="str">
        <f>IFERROR(VLOOKUP(Tabla13[[#This Row],[SISMED]],TblDisponibilidad[],2,FALSE), "")</f>
        <v/>
      </c>
      <c r="C457">
        <f>IFERROR(VLOOKUP(Tabla13[[#This Row],[SISMED]],TblDisponibilidad[],7,FALSE), 0)</f>
        <v>0</v>
      </c>
      <c r="D457">
        <f>IFERROR(VLOOKUP(Tabla13[[#This Row],[SISMED]],TblDisponibilidad[],8,FALSE), 0)</f>
        <v>0</v>
      </c>
      <c r="E457">
        <f>IFERROR(VLOOKUP(Tabla13[[#This Row],[SISMED]],TblDisponibilidad[],9,FALSE), 0)</f>
        <v>0</v>
      </c>
      <c r="F457">
        <f>IFERROR(VLOOKUP(Tabla13[[#This Row],[SISMED]],TblDisponibilidad[],10,FALSE), 0)</f>
        <v>0</v>
      </c>
      <c r="G457">
        <f>IFERROR(VLOOKUP(Tabla13[[#This Row],[SISMED]],TblDisponibilidad[],11,FALSE), 0)</f>
        <v>0</v>
      </c>
      <c r="H457">
        <f>IFERROR(VLOOKUP(Tabla13[[#This Row],[SISMED]],TblDisponibilidad[],12,FALSE), 0)</f>
        <v>0</v>
      </c>
      <c r="I457">
        <f>IFERROR(VLOOKUP(Tabla13[[#This Row],[SISMED]],TblDisponibilidad[],13,FALSE), 0)</f>
        <v>0</v>
      </c>
      <c r="J457">
        <f>IFERROR(VLOOKUP(Tabla13[[#This Row],[SISMED]],TblDisponibilidad[],14,FALSE), 0)</f>
        <v>0</v>
      </c>
      <c r="K457">
        <f>IFERROR(VLOOKUP(Tabla13[[#This Row],[SISMED]],TblDisponibilidad[],15,FALSE), 0)</f>
        <v>0</v>
      </c>
      <c r="L457">
        <f>IFERROR(VLOOKUP(Tabla13[[#This Row],[SISMED]],TblDisponibilidad[],16,FALSE), 0)</f>
        <v>0</v>
      </c>
      <c r="M457">
        <f>IFERROR(VLOOKUP(Tabla13[[#This Row],[SISMED]],TblDisponibilidad[],17,FALSE), 0)</f>
        <v>0</v>
      </c>
      <c r="N457">
        <f>IFERROR(VLOOKUP(Tabla13[[#This Row],[SISMED]],TblDisponibilidad[],18,FALSE), 0)</f>
        <v>0</v>
      </c>
      <c r="O457">
        <f>IFERROR(VLOOKUP(Tabla13[[#This Row],[SISMED]],TblDisponibilidad[],19,FALSE), 0)</f>
        <v>0</v>
      </c>
      <c r="P457">
        <f>IFERROR(VLOOKUP(Tabla13[[#This Row],[SISMED]],TblDisponibilidad[],20,FALSE), 0)</f>
        <v>0</v>
      </c>
      <c r="Q457">
        <f>IFERROR(VLOOKUP(Tabla13[[#This Row],[SISMED]],TblDisponibilidad[],21,FALSE), 0)</f>
        <v>0</v>
      </c>
      <c r="R457">
        <f>IFERROR(VLOOKUP(Tabla13[[#This Row],[SISMED]],TblDisponibilidad[],22,FALSE), 0)</f>
        <v>0</v>
      </c>
      <c r="S457" s="15">
        <f>IFERROR(VLOOKUP(Tabla13[[#This Row],[SISMED]],TblDisponibilidad[],23,FALSE), 0)</f>
        <v>0</v>
      </c>
    </row>
    <row r="458" spans="1:19" x14ac:dyDescent="0.3">
      <c r="A458" s="15" t="s">
        <v>488</v>
      </c>
      <c r="B458" t="str">
        <f>IFERROR(VLOOKUP(Tabla13[[#This Row],[SISMED]],TblDisponibilidad[],2,FALSE), "")</f>
        <v/>
      </c>
      <c r="C458">
        <f>IFERROR(VLOOKUP(Tabla13[[#This Row],[SISMED]],TblDisponibilidad[],7,FALSE), 0)</f>
        <v>0</v>
      </c>
      <c r="D458">
        <f>IFERROR(VLOOKUP(Tabla13[[#This Row],[SISMED]],TblDisponibilidad[],8,FALSE), 0)</f>
        <v>0</v>
      </c>
      <c r="E458">
        <f>IFERROR(VLOOKUP(Tabla13[[#This Row],[SISMED]],TblDisponibilidad[],9,FALSE), 0)</f>
        <v>0</v>
      </c>
      <c r="F458">
        <f>IFERROR(VLOOKUP(Tabla13[[#This Row],[SISMED]],TblDisponibilidad[],10,FALSE), 0)</f>
        <v>0</v>
      </c>
      <c r="G458">
        <f>IFERROR(VLOOKUP(Tabla13[[#This Row],[SISMED]],TblDisponibilidad[],11,FALSE), 0)</f>
        <v>0</v>
      </c>
      <c r="H458">
        <f>IFERROR(VLOOKUP(Tabla13[[#This Row],[SISMED]],TblDisponibilidad[],12,FALSE), 0)</f>
        <v>0</v>
      </c>
      <c r="I458">
        <f>IFERROR(VLOOKUP(Tabla13[[#This Row],[SISMED]],TblDisponibilidad[],13,FALSE), 0)</f>
        <v>0</v>
      </c>
      <c r="J458">
        <f>IFERROR(VLOOKUP(Tabla13[[#This Row],[SISMED]],TblDisponibilidad[],14,FALSE), 0)</f>
        <v>0</v>
      </c>
      <c r="K458">
        <f>IFERROR(VLOOKUP(Tabla13[[#This Row],[SISMED]],TblDisponibilidad[],15,FALSE), 0)</f>
        <v>0</v>
      </c>
      <c r="L458">
        <f>IFERROR(VLOOKUP(Tabla13[[#This Row],[SISMED]],TblDisponibilidad[],16,FALSE), 0)</f>
        <v>0</v>
      </c>
      <c r="M458">
        <f>IFERROR(VLOOKUP(Tabla13[[#This Row],[SISMED]],TblDisponibilidad[],17,FALSE), 0)</f>
        <v>0</v>
      </c>
      <c r="N458">
        <f>IFERROR(VLOOKUP(Tabla13[[#This Row],[SISMED]],TblDisponibilidad[],18,FALSE), 0)</f>
        <v>0</v>
      </c>
      <c r="O458">
        <f>IFERROR(VLOOKUP(Tabla13[[#This Row],[SISMED]],TblDisponibilidad[],19,FALSE), 0)</f>
        <v>0</v>
      </c>
      <c r="P458">
        <f>IFERROR(VLOOKUP(Tabla13[[#This Row],[SISMED]],TblDisponibilidad[],20,FALSE), 0)</f>
        <v>0</v>
      </c>
      <c r="Q458">
        <f>IFERROR(VLOOKUP(Tabla13[[#This Row],[SISMED]],TblDisponibilidad[],21,FALSE), 0)</f>
        <v>0</v>
      </c>
      <c r="R458">
        <f>IFERROR(VLOOKUP(Tabla13[[#This Row],[SISMED]],TblDisponibilidad[],22,FALSE), 0)</f>
        <v>0</v>
      </c>
      <c r="S458" s="15">
        <f>IFERROR(VLOOKUP(Tabla13[[#This Row],[SISMED]],TblDisponibilidad[],23,FALSE), 0)</f>
        <v>0</v>
      </c>
    </row>
    <row r="459" spans="1:19" x14ac:dyDescent="0.3">
      <c r="A459" s="15" t="s">
        <v>489</v>
      </c>
      <c r="B459" t="str">
        <f>IFERROR(VLOOKUP(Tabla13[[#This Row],[SISMED]],TblDisponibilidad[],2,FALSE), "")</f>
        <v/>
      </c>
      <c r="C459">
        <f>IFERROR(VLOOKUP(Tabla13[[#This Row],[SISMED]],TblDisponibilidad[],7,FALSE), 0)</f>
        <v>0</v>
      </c>
      <c r="D459">
        <f>IFERROR(VLOOKUP(Tabla13[[#This Row],[SISMED]],TblDisponibilidad[],8,FALSE), 0)</f>
        <v>0</v>
      </c>
      <c r="E459">
        <f>IFERROR(VLOOKUP(Tabla13[[#This Row],[SISMED]],TblDisponibilidad[],9,FALSE), 0)</f>
        <v>0</v>
      </c>
      <c r="F459">
        <f>IFERROR(VLOOKUP(Tabla13[[#This Row],[SISMED]],TblDisponibilidad[],10,FALSE), 0)</f>
        <v>0</v>
      </c>
      <c r="G459">
        <f>IFERROR(VLOOKUP(Tabla13[[#This Row],[SISMED]],TblDisponibilidad[],11,FALSE), 0)</f>
        <v>0</v>
      </c>
      <c r="H459">
        <f>IFERROR(VLOOKUP(Tabla13[[#This Row],[SISMED]],TblDisponibilidad[],12,FALSE), 0)</f>
        <v>0</v>
      </c>
      <c r="I459">
        <f>IFERROR(VLOOKUP(Tabla13[[#This Row],[SISMED]],TblDisponibilidad[],13,FALSE), 0)</f>
        <v>0</v>
      </c>
      <c r="J459">
        <f>IFERROR(VLOOKUP(Tabla13[[#This Row],[SISMED]],TblDisponibilidad[],14,FALSE), 0)</f>
        <v>0</v>
      </c>
      <c r="K459">
        <f>IFERROR(VLOOKUP(Tabla13[[#This Row],[SISMED]],TblDisponibilidad[],15,FALSE), 0)</f>
        <v>0</v>
      </c>
      <c r="L459">
        <f>IFERROR(VLOOKUP(Tabla13[[#This Row],[SISMED]],TblDisponibilidad[],16,FALSE), 0)</f>
        <v>0</v>
      </c>
      <c r="M459">
        <f>IFERROR(VLOOKUP(Tabla13[[#This Row],[SISMED]],TblDisponibilidad[],17,FALSE), 0)</f>
        <v>0</v>
      </c>
      <c r="N459">
        <f>IFERROR(VLOOKUP(Tabla13[[#This Row],[SISMED]],TblDisponibilidad[],18,FALSE), 0)</f>
        <v>0</v>
      </c>
      <c r="O459">
        <f>IFERROR(VLOOKUP(Tabla13[[#This Row],[SISMED]],TblDisponibilidad[],19,FALSE), 0)</f>
        <v>0</v>
      </c>
      <c r="P459">
        <f>IFERROR(VLOOKUP(Tabla13[[#This Row],[SISMED]],TblDisponibilidad[],20,FALSE), 0)</f>
        <v>0</v>
      </c>
      <c r="Q459">
        <f>IFERROR(VLOOKUP(Tabla13[[#This Row],[SISMED]],TblDisponibilidad[],21,FALSE), 0)</f>
        <v>0</v>
      </c>
      <c r="R459">
        <f>IFERROR(VLOOKUP(Tabla13[[#This Row],[SISMED]],TblDisponibilidad[],22,FALSE), 0)</f>
        <v>0</v>
      </c>
      <c r="S459" s="15">
        <f>IFERROR(VLOOKUP(Tabla13[[#This Row],[SISMED]],TblDisponibilidad[],23,FALSE), 0)</f>
        <v>0</v>
      </c>
    </row>
    <row r="460" spans="1:19" x14ac:dyDescent="0.3">
      <c r="A460" s="15" t="s">
        <v>490</v>
      </c>
      <c r="B460" t="str">
        <f>IFERROR(VLOOKUP(Tabla13[[#This Row],[SISMED]],TblDisponibilidad[],2,FALSE), "")</f>
        <v/>
      </c>
      <c r="C460">
        <f>IFERROR(VLOOKUP(Tabla13[[#This Row],[SISMED]],TblDisponibilidad[],7,FALSE), 0)</f>
        <v>0</v>
      </c>
      <c r="D460">
        <f>IFERROR(VLOOKUP(Tabla13[[#This Row],[SISMED]],TblDisponibilidad[],8,FALSE), 0)</f>
        <v>0</v>
      </c>
      <c r="E460">
        <f>IFERROR(VLOOKUP(Tabla13[[#This Row],[SISMED]],TblDisponibilidad[],9,FALSE), 0)</f>
        <v>0</v>
      </c>
      <c r="F460">
        <f>IFERROR(VLOOKUP(Tabla13[[#This Row],[SISMED]],TblDisponibilidad[],10,FALSE), 0)</f>
        <v>0</v>
      </c>
      <c r="G460">
        <f>IFERROR(VLOOKUP(Tabla13[[#This Row],[SISMED]],TblDisponibilidad[],11,FALSE), 0)</f>
        <v>0</v>
      </c>
      <c r="H460">
        <f>IFERROR(VLOOKUP(Tabla13[[#This Row],[SISMED]],TblDisponibilidad[],12,FALSE), 0)</f>
        <v>0</v>
      </c>
      <c r="I460">
        <f>IFERROR(VLOOKUP(Tabla13[[#This Row],[SISMED]],TblDisponibilidad[],13,FALSE), 0)</f>
        <v>0</v>
      </c>
      <c r="J460">
        <f>IFERROR(VLOOKUP(Tabla13[[#This Row],[SISMED]],TblDisponibilidad[],14,FALSE), 0)</f>
        <v>0</v>
      </c>
      <c r="K460">
        <f>IFERROR(VLOOKUP(Tabla13[[#This Row],[SISMED]],TblDisponibilidad[],15,FALSE), 0)</f>
        <v>0</v>
      </c>
      <c r="L460">
        <f>IFERROR(VLOOKUP(Tabla13[[#This Row],[SISMED]],TblDisponibilidad[],16,FALSE), 0)</f>
        <v>0</v>
      </c>
      <c r="M460">
        <f>IFERROR(VLOOKUP(Tabla13[[#This Row],[SISMED]],TblDisponibilidad[],17,FALSE), 0)</f>
        <v>0</v>
      </c>
      <c r="N460">
        <f>IFERROR(VLOOKUP(Tabla13[[#This Row],[SISMED]],TblDisponibilidad[],18,FALSE), 0)</f>
        <v>0</v>
      </c>
      <c r="O460">
        <f>IFERROR(VLOOKUP(Tabla13[[#This Row],[SISMED]],TblDisponibilidad[],19,FALSE), 0)</f>
        <v>0</v>
      </c>
      <c r="P460">
        <f>IFERROR(VLOOKUP(Tabla13[[#This Row],[SISMED]],TblDisponibilidad[],20,FALSE), 0)</f>
        <v>0</v>
      </c>
      <c r="Q460">
        <f>IFERROR(VLOOKUP(Tabla13[[#This Row],[SISMED]],TblDisponibilidad[],21,FALSE), 0)</f>
        <v>0</v>
      </c>
      <c r="R460">
        <f>IFERROR(VLOOKUP(Tabla13[[#This Row],[SISMED]],TblDisponibilidad[],22,FALSE), 0)</f>
        <v>0</v>
      </c>
      <c r="S460" s="15">
        <f>IFERROR(VLOOKUP(Tabla13[[#This Row],[SISMED]],TblDisponibilidad[],23,FALSE), 0)</f>
        <v>0</v>
      </c>
    </row>
    <row r="461" spans="1:19" x14ac:dyDescent="0.3">
      <c r="A461" s="15" t="s">
        <v>491</v>
      </c>
      <c r="B461" t="str">
        <f>IFERROR(VLOOKUP(Tabla13[[#This Row],[SISMED]],TblDisponibilidad[],2,FALSE), "")</f>
        <v/>
      </c>
      <c r="C461">
        <f>IFERROR(VLOOKUP(Tabla13[[#This Row],[SISMED]],TblDisponibilidad[],7,FALSE), 0)</f>
        <v>0</v>
      </c>
      <c r="D461">
        <f>IFERROR(VLOOKUP(Tabla13[[#This Row],[SISMED]],TblDisponibilidad[],8,FALSE), 0)</f>
        <v>0</v>
      </c>
      <c r="E461">
        <f>IFERROR(VLOOKUP(Tabla13[[#This Row],[SISMED]],TblDisponibilidad[],9,FALSE), 0)</f>
        <v>0</v>
      </c>
      <c r="F461">
        <f>IFERROR(VLOOKUP(Tabla13[[#This Row],[SISMED]],TblDisponibilidad[],10,FALSE), 0)</f>
        <v>0</v>
      </c>
      <c r="G461">
        <f>IFERROR(VLOOKUP(Tabla13[[#This Row],[SISMED]],TblDisponibilidad[],11,FALSE), 0)</f>
        <v>0</v>
      </c>
      <c r="H461">
        <f>IFERROR(VLOOKUP(Tabla13[[#This Row],[SISMED]],TblDisponibilidad[],12,FALSE), 0)</f>
        <v>0</v>
      </c>
      <c r="I461">
        <f>IFERROR(VLOOKUP(Tabla13[[#This Row],[SISMED]],TblDisponibilidad[],13,FALSE), 0)</f>
        <v>0</v>
      </c>
      <c r="J461">
        <f>IFERROR(VLOOKUP(Tabla13[[#This Row],[SISMED]],TblDisponibilidad[],14,FALSE), 0)</f>
        <v>0</v>
      </c>
      <c r="K461">
        <f>IFERROR(VLOOKUP(Tabla13[[#This Row],[SISMED]],TblDisponibilidad[],15,FALSE), 0)</f>
        <v>0</v>
      </c>
      <c r="L461">
        <f>IFERROR(VLOOKUP(Tabla13[[#This Row],[SISMED]],TblDisponibilidad[],16,FALSE), 0)</f>
        <v>0</v>
      </c>
      <c r="M461">
        <f>IFERROR(VLOOKUP(Tabla13[[#This Row],[SISMED]],TblDisponibilidad[],17,FALSE), 0)</f>
        <v>0</v>
      </c>
      <c r="N461">
        <f>IFERROR(VLOOKUP(Tabla13[[#This Row],[SISMED]],TblDisponibilidad[],18,FALSE), 0)</f>
        <v>0</v>
      </c>
      <c r="O461">
        <f>IFERROR(VLOOKUP(Tabla13[[#This Row],[SISMED]],TblDisponibilidad[],19,FALSE), 0)</f>
        <v>0</v>
      </c>
      <c r="P461">
        <f>IFERROR(VLOOKUP(Tabla13[[#This Row],[SISMED]],TblDisponibilidad[],20,FALSE), 0)</f>
        <v>0</v>
      </c>
      <c r="Q461">
        <f>IFERROR(VLOOKUP(Tabla13[[#This Row],[SISMED]],TblDisponibilidad[],21,FALSE), 0)</f>
        <v>0</v>
      </c>
      <c r="R461">
        <f>IFERROR(VLOOKUP(Tabla13[[#This Row],[SISMED]],TblDisponibilidad[],22,FALSE), 0)</f>
        <v>0</v>
      </c>
      <c r="S461" s="15">
        <f>IFERROR(VLOOKUP(Tabla13[[#This Row],[SISMED]],TblDisponibilidad[],23,FALSE), 0)</f>
        <v>0</v>
      </c>
    </row>
    <row r="462" spans="1:19" x14ac:dyDescent="0.3">
      <c r="A462" s="15" t="s">
        <v>492</v>
      </c>
      <c r="B462" t="str">
        <f>IFERROR(VLOOKUP(Tabla13[[#This Row],[SISMED]],TblDisponibilidad[],2,FALSE), "")</f>
        <v/>
      </c>
      <c r="C462">
        <f>IFERROR(VLOOKUP(Tabla13[[#This Row],[SISMED]],TblDisponibilidad[],7,FALSE), 0)</f>
        <v>0</v>
      </c>
      <c r="D462">
        <f>IFERROR(VLOOKUP(Tabla13[[#This Row],[SISMED]],TblDisponibilidad[],8,FALSE), 0)</f>
        <v>0</v>
      </c>
      <c r="E462">
        <f>IFERROR(VLOOKUP(Tabla13[[#This Row],[SISMED]],TblDisponibilidad[],9,FALSE), 0)</f>
        <v>0</v>
      </c>
      <c r="F462">
        <f>IFERROR(VLOOKUP(Tabla13[[#This Row],[SISMED]],TblDisponibilidad[],10,FALSE), 0)</f>
        <v>0</v>
      </c>
      <c r="G462">
        <f>IFERROR(VLOOKUP(Tabla13[[#This Row],[SISMED]],TblDisponibilidad[],11,FALSE), 0)</f>
        <v>0</v>
      </c>
      <c r="H462">
        <f>IFERROR(VLOOKUP(Tabla13[[#This Row],[SISMED]],TblDisponibilidad[],12,FALSE), 0)</f>
        <v>0</v>
      </c>
      <c r="I462">
        <f>IFERROR(VLOOKUP(Tabla13[[#This Row],[SISMED]],TblDisponibilidad[],13,FALSE), 0)</f>
        <v>0</v>
      </c>
      <c r="J462">
        <f>IFERROR(VLOOKUP(Tabla13[[#This Row],[SISMED]],TblDisponibilidad[],14,FALSE), 0)</f>
        <v>0</v>
      </c>
      <c r="K462">
        <f>IFERROR(VLOOKUP(Tabla13[[#This Row],[SISMED]],TblDisponibilidad[],15,FALSE), 0)</f>
        <v>0</v>
      </c>
      <c r="L462">
        <f>IFERROR(VLOOKUP(Tabla13[[#This Row],[SISMED]],TblDisponibilidad[],16,FALSE), 0)</f>
        <v>0</v>
      </c>
      <c r="M462">
        <f>IFERROR(VLOOKUP(Tabla13[[#This Row],[SISMED]],TblDisponibilidad[],17,FALSE), 0)</f>
        <v>0</v>
      </c>
      <c r="N462">
        <f>IFERROR(VLOOKUP(Tabla13[[#This Row],[SISMED]],TblDisponibilidad[],18,FALSE), 0)</f>
        <v>0</v>
      </c>
      <c r="O462">
        <f>IFERROR(VLOOKUP(Tabla13[[#This Row],[SISMED]],TblDisponibilidad[],19,FALSE), 0)</f>
        <v>0</v>
      </c>
      <c r="P462">
        <f>IFERROR(VLOOKUP(Tabla13[[#This Row],[SISMED]],TblDisponibilidad[],20,FALSE), 0)</f>
        <v>0</v>
      </c>
      <c r="Q462">
        <f>IFERROR(VLOOKUP(Tabla13[[#This Row],[SISMED]],TblDisponibilidad[],21,FALSE), 0)</f>
        <v>0</v>
      </c>
      <c r="R462">
        <f>IFERROR(VLOOKUP(Tabla13[[#This Row],[SISMED]],TblDisponibilidad[],22,FALSE), 0)</f>
        <v>0</v>
      </c>
      <c r="S462" s="15">
        <f>IFERROR(VLOOKUP(Tabla13[[#This Row],[SISMED]],TblDisponibilidad[],23,FALSE), 0)</f>
        <v>0</v>
      </c>
    </row>
    <row r="463" spans="1:19" x14ac:dyDescent="0.3">
      <c r="A463" s="15" t="s">
        <v>493</v>
      </c>
      <c r="B463" t="str">
        <f>IFERROR(VLOOKUP(Tabla13[[#This Row],[SISMED]],TblDisponibilidad[],2,FALSE), "")</f>
        <v/>
      </c>
      <c r="C463">
        <f>IFERROR(VLOOKUP(Tabla13[[#This Row],[SISMED]],TblDisponibilidad[],7,FALSE), 0)</f>
        <v>0</v>
      </c>
      <c r="D463">
        <f>IFERROR(VLOOKUP(Tabla13[[#This Row],[SISMED]],TblDisponibilidad[],8,FALSE), 0)</f>
        <v>0</v>
      </c>
      <c r="E463">
        <f>IFERROR(VLOOKUP(Tabla13[[#This Row],[SISMED]],TblDisponibilidad[],9,FALSE), 0)</f>
        <v>0</v>
      </c>
      <c r="F463">
        <f>IFERROR(VLOOKUP(Tabla13[[#This Row],[SISMED]],TblDisponibilidad[],10,FALSE), 0)</f>
        <v>0</v>
      </c>
      <c r="G463">
        <f>IFERROR(VLOOKUP(Tabla13[[#This Row],[SISMED]],TblDisponibilidad[],11,FALSE), 0)</f>
        <v>0</v>
      </c>
      <c r="H463">
        <f>IFERROR(VLOOKUP(Tabla13[[#This Row],[SISMED]],TblDisponibilidad[],12,FALSE), 0)</f>
        <v>0</v>
      </c>
      <c r="I463">
        <f>IFERROR(VLOOKUP(Tabla13[[#This Row],[SISMED]],TblDisponibilidad[],13,FALSE), 0)</f>
        <v>0</v>
      </c>
      <c r="J463">
        <f>IFERROR(VLOOKUP(Tabla13[[#This Row],[SISMED]],TblDisponibilidad[],14,FALSE), 0)</f>
        <v>0</v>
      </c>
      <c r="K463">
        <f>IFERROR(VLOOKUP(Tabla13[[#This Row],[SISMED]],TblDisponibilidad[],15,FALSE), 0)</f>
        <v>0</v>
      </c>
      <c r="L463">
        <f>IFERROR(VLOOKUP(Tabla13[[#This Row],[SISMED]],TblDisponibilidad[],16,FALSE), 0)</f>
        <v>0</v>
      </c>
      <c r="M463">
        <f>IFERROR(VLOOKUP(Tabla13[[#This Row],[SISMED]],TblDisponibilidad[],17,FALSE), 0)</f>
        <v>0</v>
      </c>
      <c r="N463">
        <f>IFERROR(VLOOKUP(Tabla13[[#This Row],[SISMED]],TblDisponibilidad[],18,FALSE), 0)</f>
        <v>0</v>
      </c>
      <c r="O463">
        <f>IFERROR(VLOOKUP(Tabla13[[#This Row],[SISMED]],TblDisponibilidad[],19,FALSE), 0)</f>
        <v>0</v>
      </c>
      <c r="P463">
        <f>IFERROR(VLOOKUP(Tabla13[[#This Row],[SISMED]],TblDisponibilidad[],20,FALSE), 0)</f>
        <v>0</v>
      </c>
      <c r="Q463">
        <f>IFERROR(VLOOKUP(Tabla13[[#This Row],[SISMED]],TblDisponibilidad[],21,FALSE), 0)</f>
        <v>0</v>
      </c>
      <c r="R463">
        <f>IFERROR(VLOOKUP(Tabla13[[#This Row],[SISMED]],TblDisponibilidad[],22,FALSE), 0)</f>
        <v>0</v>
      </c>
      <c r="S463" s="15">
        <f>IFERROR(VLOOKUP(Tabla13[[#This Row],[SISMED]],TblDisponibilidad[],23,FALSE), 0)</f>
        <v>0</v>
      </c>
    </row>
    <row r="464" spans="1:19" x14ac:dyDescent="0.3">
      <c r="A464" s="15" t="s">
        <v>494</v>
      </c>
      <c r="B464" t="str">
        <f>IFERROR(VLOOKUP(Tabla13[[#This Row],[SISMED]],TblDisponibilidad[],2,FALSE), "")</f>
        <v/>
      </c>
      <c r="C464">
        <f>IFERROR(VLOOKUP(Tabla13[[#This Row],[SISMED]],TblDisponibilidad[],7,FALSE), 0)</f>
        <v>0</v>
      </c>
      <c r="D464">
        <f>IFERROR(VLOOKUP(Tabla13[[#This Row],[SISMED]],TblDisponibilidad[],8,FALSE), 0)</f>
        <v>0</v>
      </c>
      <c r="E464">
        <f>IFERROR(VLOOKUP(Tabla13[[#This Row],[SISMED]],TblDisponibilidad[],9,FALSE), 0)</f>
        <v>0</v>
      </c>
      <c r="F464">
        <f>IFERROR(VLOOKUP(Tabla13[[#This Row],[SISMED]],TblDisponibilidad[],10,FALSE), 0)</f>
        <v>0</v>
      </c>
      <c r="G464">
        <f>IFERROR(VLOOKUP(Tabla13[[#This Row],[SISMED]],TblDisponibilidad[],11,FALSE), 0)</f>
        <v>0</v>
      </c>
      <c r="H464">
        <f>IFERROR(VLOOKUP(Tabla13[[#This Row],[SISMED]],TblDisponibilidad[],12,FALSE), 0)</f>
        <v>0</v>
      </c>
      <c r="I464">
        <f>IFERROR(VLOOKUP(Tabla13[[#This Row],[SISMED]],TblDisponibilidad[],13,FALSE), 0)</f>
        <v>0</v>
      </c>
      <c r="J464">
        <f>IFERROR(VLOOKUP(Tabla13[[#This Row],[SISMED]],TblDisponibilidad[],14,FALSE), 0)</f>
        <v>0</v>
      </c>
      <c r="K464">
        <f>IFERROR(VLOOKUP(Tabla13[[#This Row],[SISMED]],TblDisponibilidad[],15,FALSE), 0)</f>
        <v>0</v>
      </c>
      <c r="L464">
        <f>IFERROR(VLOOKUP(Tabla13[[#This Row],[SISMED]],TblDisponibilidad[],16,FALSE), 0)</f>
        <v>0</v>
      </c>
      <c r="M464">
        <f>IFERROR(VLOOKUP(Tabla13[[#This Row],[SISMED]],TblDisponibilidad[],17,FALSE), 0)</f>
        <v>0</v>
      </c>
      <c r="N464">
        <f>IFERROR(VLOOKUP(Tabla13[[#This Row],[SISMED]],TblDisponibilidad[],18,FALSE), 0)</f>
        <v>0</v>
      </c>
      <c r="O464">
        <f>IFERROR(VLOOKUP(Tabla13[[#This Row],[SISMED]],TblDisponibilidad[],19,FALSE), 0)</f>
        <v>0</v>
      </c>
      <c r="P464">
        <f>IFERROR(VLOOKUP(Tabla13[[#This Row],[SISMED]],TblDisponibilidad[],20,FALSE), 0)</f>
        <v>0</v>
      </c>
      <c r="Q464">
        <f>IFERROR(VLOOKUP(Tabla13[[#This Row],[SISMED]],TblDisponibilidad[],21,FALSE), 0)</f>
        <v>0</v>
      </c>
      <c r="R464">
        <f>IFERROR(VLOOKUP(Tabla13[[#This Row],[SISMED]],TblDisponibilidad[],22,FALSE), 0)</f>
        <v>0</v>
      </c>
      <c r="S464" s="15">
        <f>IFERROR(VLOOKUP(Tabla13[[#This Row],[SISMED]],TblDisponibilidad[],23,FALSE), 0)</f>
        <v>0</v>
      </c>
    </row>
    <row r="465" spans="1:19" x14ac:dyDescent="0.3">
      <c r="A465" s="15" t="s">
        <v>495</v>
      </c>
      <c r="B465" t="str">
        <f>IFERROR(VLOOKUP(Tabla13[[#This Row],[SISMED]],TblDisponibilidad[],2,FALSE), "")</f>
        <v/>
      </c>
      <c r="C465">
        <f>IFERROR(VLOOKUP(Tabla13[[#This Row],[SISMED]],TblDisponibilidad[],7,FALSE), 0)</f>
        <v>0</v>
      </c>
      <c r="D465">
        <f>IFERROR(VLOOKUP(Tabla13[[#This Row],[SISMED]],TblDisponibilidad[],8,FALSE), 0)</f>
        <v>0</v>
      </c>
      <c r="E465">
        <f>IFERROR(VLOOKUP(Tabla13[[#This Row],[SISMED]],TblDisponibilidad[],9,FALSE), 0)</f>
        <v>0</v>
      </c>
      <c r="F465">
        <f>IFERROR(VLOOKUP(Tabla13[[#This Row],[SISMED]],TblDisponibilidad[],10,FALSE), 0)</f>
        <v>0</v>
      </c>
      <c r="G465">
        <f>IFERROR(VLOOKUP(Tabla13[[#This Row],[SISMED]],TblDisponibilidad[],11,FALSE), 0)</f>
        <v>0</v>
      </c>
      <c r="H465">
        <f>IFERROR(VLOOKUP(Tabla13[[#This Row],[SISMED]],TblDisponibilidad[],12,FALSE), 0)</f>
        <v>0</v>
      </c>
      <c r="I465">
        <f>IFERROR(VLOOKUP(Tabla13[[#This Row],[SISMED]],TblDisponibilidad[],13,FALSE), 0)</f>
        <v>0</v>
      </c>
      <c r="J465">
        <f>IFERROR(VLOOKUP(Tabla13[[#This Row],[SISMED]],TblDisponibilidad[],14,FALSE), 0)</f>
        <v>0</v>
      </c>
      <c r="K465">
        <f>IFERROR(VLOOKUP(Tabla13[[#This Row],[SISMED]],TblDisponibilidad[],15,FALSE), 0)</f>
        <v>0</v>
      </c>
      <c r="L465">
        <f>IFERROR(VLOOKUP(Tabla13[[#This Row],[SISMED]],TblDisponibilidad[],16,FALSE), 0)</f>
        <v>0</v>
      </c>
      <c r="M465">
        <f>IFERROR(VLOOKUP(Tabla13[[#This Row],[SISMED]],TblDisponibilidad[],17,FALSE), 0)</f>
        <v>0</v>
      </c>
      <c r="N465">
        <f>IFERROR(VLOOKUP(Tabla13[[#This Row],[SISMED]],TblDisponibilidad[],18,FALSE), 0)</f>
        <v>0</v>
      </c>
      <c r="O465">
        <f>IFERROR(VLOOKUP(Tabla13[[#This Row],[SISMED]],TblDisponibilidad[],19,FALSE), 0)</f>
        <v>0</v>
      </c>
      <c r="P465">
        <f>IFERROR(VLOOKUP(Tabla13[[#This Row],[SISMED]],TblDisponibilidad[],20,FALSE), 0)</f>
        <v>0</v>
      </c>
      <c r="Q465">
        <f>IFERROR(VLOOKUP(Tabla13[[#This Row],[SISMED]],TblDisponibilidad[],21,FALSE), 0)</f>
        <v>0</v>
      </c>
      <c r="R465">
        <f>IFERROR(VLOOKUP(Tabla13[[#This Row],[SISMED]],TblDisponibilidad[],22,FALSE), 0)</f>
        <v>0</v>
      </c>
      <c r="S465" s="15">
        <f>IFERROR(VLOOKUP(Tabla13[[#This Row],[SISMED]],TblDisponibilidad[],23,FALSE), 0)</f>
        <v>0</v>
      </c>
    </row>
    <row r="466" spans="1:19" x14ac:dyDescent="0.3">
      <c r="A466" s="15" t="s">
        <v>496</v>
      </c>
      <c r="B466" t="str">
        <f>IFERROR(VLOOKUP(Tabla13[[#This Row],[SISMED]],TblDisponibilidad[],2,FALSE), "")</f>
        <v/>
      </c>
      <c r="C466">
        <f>IFERROR(VLOOKUP(Tabla13[[#This Row],[SISMED]],TblDisponibilidad[],7,FALSE), 0)</f>
        <v>0</v>
      </c>
      <c r="D466">
        <f>IFERROR(VLOOKUP(Tabla13[[#This Row],[SISMED]],TblDisponibilidad[],8,FALSE), 0)</f>
        <v>0</v>
      </c>
      <c r="E466">
        <f>IFERROR(VLOOKUP(Tabla13[[#This Row],[SISMED]],TblDisponibilidad[],9,FALSE), 0)</f>
        <v>0</v>
      </c>
      <c r="F466">
        <f>IFERROR(VLOOKUP(Tabla13[[#This Row],[SISMED]],TblDisponibilidad[],10,FALSE), 0)</f>
        <v>0</v>
      </c>
      <c r="G466">
        <f>IFERROR(VLOOKUP(Tabla13[[#This Row],[SISMED]],TblDisponibilidad[],11,FALSE), 0)</f>
        <v>0</v>
      </c>
      <c r="H466">
        <f>IFERROR(VLOOKUP(Tabla13[[#This Row],[SISMED]],TblDisponibilidad[],12,FALSE), 0)</f>
        <v>0</v>
      </c>
      <c r="I466">
        <f>IFERROR(VLOOKUP(Tabla13[[#This Row],[SISMED]],TblDisponibilidad[],13,FALSE), 0)</f>
        <v>0</v>
      </c>
      <c r="J466">
        <f>IFERROR(VLOOKUP(Tabla13[[#This Row],[SISMED]],TblDisponibilidad[],14,FALSE), 0)</f>
        <v>0</v>
      </c>
      <c r="K466">
        <f>IFERROR(VLOOKUP(Tabla13[[#This Row],[SISMED]],TblDisponibilidad[],15,FALSE), 0)</f>
        <v>0</v>
      </c>
      <c r="L466">
        <f>IFERROR(VLOOKUP(Tabla13[[#This Row],[SISMED]],TblDisponibilidad[],16,FALSE), 0)</f>
        <v>0</v>
      </c>
      <c r="M466">
        <f>IFERROR(VLOOKUP(Tabla13[[#This Row],[SISMED]],TblDisponibilidad[],17,FALSE), 0)</f>
        <v>0</v>
      </c>
      <c r="N466">
        <f>IFERROR(VLOOKUP(Tabla13[[#This Row],[SISMED]],TblDisponibilidad[],18,FALSE), 0)</f>
        <v>0</v>
      </c>
      <c r="O466">
        <f>IFERROR(VLOOKUP(Tabla13[[#This Row],[SISMED]],TblDisponibilidad[],19,FALSE), 0)</f>
        <v>0</v>
      </c>
      <c r="P466">
        <f>IFERROR(VLOOKUP(Tabla13[[#This Row],[SISMED]],TblDisponibilidad[],20,FALSE), 0)</f>
        <v>0</v>
      </c>
      <c r="Q466">
        <f>IFERROR(VLOOKUP(Tabla13[[#This Row],[SISMED]],TblDisponibilidad[],21,FALSE), 0)</f>
        <v>0</v>
      </c>
      <c r="R466">
        <f>IFERROR(VLOOKUP(Tabla13[[#This Row],[SISMED]],TblDisponibilidad[],22,FALSE), 0)</f>
        <v>0</v>
      </c>
      <c r="S466" s="15">
        <f>IFERROR(VLOOKUP(Tabla13[[#This Row],[SISMED]],TblDisponibilidad[],23,FALSE), 0)</f>
        <v>0</v>
      </c>
    </row>
    <row r="467" spans="1:19" x14ac:dyDescent="0.3">
      <c r="A467" s="15" t="s">
        <v>497</v>
      </c>
      <c r="B467" t="str">
        <f>IFERROR(VLOOKUP(Tabla13[[#This Row],[SISMED]],TblDisponibilidad[],2,FALSE), "")</f>
        <v/>
      </c>
      <c r="C467">
        <f>IFERROR(VLOOKUP(Tabla13[[#This Row],[SISMED]],TblDisponibilidad[],7,FALSE), 0)</f>
        <v>0</v>
      </c>
      <c r="D467">
        <f>IFERROR(VLOOKUP(Tabla13[[#This Row],[SISMED]],TblDisponibilidad[],8,FALSE), 0)</f>
        <v>0</v>
      </c>
      <c r="E467">
        <f>IFERROR(VLOOKUP(Tabla13[[#This Row],[SISMED]],TblDisponibilidad[],9,FALSE), 0)</f>
        <v>0</v>
      </c>
      <c r="F467">
        <f>IFERROR(VLOOKUP(Tabla13[[#This Row],[SISMED]],TblDisponibilidad[],10,FALSE), 0)</f>
        <v>0</v>
      </c>
      <c r="G467">
        <f>IFERROR(VLOOKUP(Tabla13[[#This Row],[SISMED]],TblDisponibilidad[],11,FALSE), 0)</f>
        <v>0</v>
      </c>
      <c r="H467">
        <f>IFERROR(VLOOKUP(Tabla13[[#This Row],[SISMED]],TblDisponibilidad[],12,FALSE), 0)</f>
        <v>0</v>
      </c>
      <c r="I467">
        <f>IFERROR(VLOOKUP(Tabla13[[#This Row],[SISMED]],TblDisponibilidad[],13,FALSE), 0)</f>
        <v>0</v>
      </c>
      <c r="J467">
        <f>IFERROR(VLOOKUP(Tabla13[[#This Row],[SISMED]],TblDisponibilidad[],14,FALSE), 0)</f>
        <v>0</v>
      </c>
      <c r="K467">
        <f>IFERROR(VLOOKUP(Tabla13[[#This Row],[SISMED]],TblDisponibilidad[],15,FALSE), 0)</f>
        <v>0</v>
      </c>
      <c r="L467">
        <f>IFERROR(VLOOKUP(Tabla13[[#This Row],[SISMED]],TblDisponibilidad[],16,FALSE), 0)</f>
        <v>0</v>
      </c>
      <c r="M467">
        <f>IFERROR(VLOOKUP(Tabla13[[#This Row],[SISMED]],TblDisponibilidad[],17,FALSE), 0)</f>
        <v>0</v>
      </c>
      <c r="N467">
        <f>IFERROR(VLOOKUP(Tabla13[[#This Row],[SISMED]],TblDisponibilidad[],18,FALSE), 0)</f>
        <v>0</v>
      </c>
      <c r="O467">
        <f>IFERROR(VLOOKUP(Tabla13[[#This Row],[SISMED]],TblDisponibilidad[],19,FALSE), 0)</f>
        <v>0</v>
      </c>
      <c r="P467">
        <f>IFERROR(VLOOKUP(Tabla13[[#This Row],[SISMED]],TblDisponibilidad[],20,FALSE), 0)</f>
        <v>0</v>
      </c>
      <c r="Q467">
        <f>IFERROR(VLOOKUP(Tabla13[[#This Row],[SISMED]],TblDisponibilidad[],21,FALSE), 0)</f>
        <v>0</v>
      </c>
      <c r="R467">
        <f>IFERROR(VLOOKUP(Tabla13[[#This Row],[SISMED]],TblDisponibilidad[],22,FALSE), 0)</f>
        <v>0</v>
      </c>
      <c r="S467" s="15">
        <f>IFERROR(VLOOKUP(Tabla13[[#This Row],[SISMED]],TblDisponibilidad[],23,FALSE), 0)</f>
        <v>0</v>
      </c>
    </row>
    <row r="468" spans="1:19" x14ac:dyDescent="0.3">
      <c r="A468" s="15" t="s">
        <v>498</v>
      </c>
      <c r="B468" t="str">
        <f>IFERROR(VLOOKUP(Tabla13[[#This Row],[SISMED]],TblDisponibilidad[],2,FALSE), "")</f>
        <v/>
      </c>
      <c r="C468">
        <f>IFERROR(VLOOKUP(Tabla13[[#This Row],[SISMED]],TblDisponibilidad[],7,FALSE), 0)</f>
        <v>0</v>
      </c>
      <c r="D468">
        <f>IFERROR(VLOOKUP(Tabla13[[#This Row],[SISMED]],TblDisponibilidad[],8,FALSE), 0)</f>
        <v>0</v>
      </c>
      <c r="E468">
        <f>IFERROR(VLOOKUP(Tabla13[[#This Row],[SISMED]],TblDisponibilidad[],9,FALSE), 0)</f>
        <v>0</v>
      </c>
      <c r="F468">
        <f>IFERROR(VLOOKUP(Tabla13[[#This Row],[SISMED]],TblDisponibilidad[],10,FALSE), 0)</f>
        <v>0</v>
      </c>
      <c r="G468">
        <f>IFERROR(VLOOKUP(Tabla13[[#This Row],[SISMED]],TblDisponibilidad[],11,FALSE), 0)</f>
        <v>0</v>
      </c>
      <c r="H468">
        <f>IFERROR(VLOOKUP(Tabla13[[#This Row],[SISMED]],TblDisponibilidad[],12,FALSE), 0)</f>
        <v>0</v>
      </c>
      <c r="I468">
        <f>IFERROR(VLOOKUP(Tabla13[[#This Row],[SISMED]],TblDisponibilidad[],13,FALSE), 0)</f>
        <v>0</v>
      </c>
      <c r="J468">
        <f>IFERROR(VLOOKUP(Tabla13[[#This Row],[SISMED]],TblDisponibilidad[],14,FALSE), 0)</f>
        <v>0</v>
      </c>
      <c r="K468">
        <f>IFERROR(VLOOKUP(Tabla13[[#This Row],[SISMED]],TblDisponibilidad[],15,FALSE), 0)</f>
        <v>0</v>
      </c>
      <c r="L468">
        <f>IFERROR(VLOOKUP(Tabla13[[#This Row],[SISMED]],TblDisponibilidad[],16,FALSE), 0)</f>
        <v>0</v>
      </c>
      <c r="M468">
        <f>IFERROR(VLOOKUP(Tabla13[[#This Row],[SISMED]],TblDisponibilidad[],17,FALSE), 0)</f>
        <v>0</v>
      </c>
      <c r="N468">
        <f>IFERROR(VLOOKUP(Tabla13[[#This Row],[SISMED]],TblDisponibilidad[],18,FALSE), 0)</f>
        <v>0</v>
      </c>
      <c r="O468">
        <f>IFERROR(VLOOKUP(Tabla13[[#This Row],[SISMED]],TblDisponibilidad[],19,FALSE), 0)</f>
        <v>0</v>
      </c>
      <c r="P468">
        <f>IFERROR(VLOOKUP(Tabla13[[#This Row],[SISMED]],TblDisponibilidad[],20,FALSE), 0)</f>
        <v>0</v>
      </c>
      <c r="Q468">
        <f>IFERROR(VLOOKUP(Tabla13[[#This Row],[SISMED]],TblDisponibilidad[],21,FALSE), 0)</f>
        <v>0</v>
      </c>
      <c r="R468">
        <f>IFERROR(VLOOKUP(Tabla13[[#This Row],[SISMED]],TblDisponibilidad[],22,FALSE), 0)</f>
        <v>0</v>
      </c>
      <c r="S468" s="15">
        <f>IFERROR(VLOOKUP(Tabla13[[#This Row],[SISMED]],TblDisponibilidad[],23,FALSE), 0)</f>
        <v>0</v>
      </c>
    </row>
    <row r="469" spans="1:19" x14ac:dyDescent="0.3">
      <c r="A469" s="15" t="s">
        <v>499</v>
      </c>
      <c r="B469" t="str">
        <f>IFERROR(VLOOKUP(Tabla13[[#This Row],[SISMED]],TblDisponibilidad[],2,FALSE), "")</f>
        <v/>
      </c>
      <c r="C469">
        <f>IFERROR(VLOOKUP(Tabla13[[#This Row],[SISMED]],TblDisponibilidad[],7,FALSE), 0)</f>
        <v>0</v>
      </c>
      <c r="D469">
        <f>IFERROR(VLOOKUP(Tabla13[[#This Row],[SISMED]],TblDisponibilidad[],8,FALSE), 0)</f>
        <v>0</v>
      </c>
      <c r="E469">
        <f>IFERROR(VLOOKUP(Tabla13[[#This Row],[SISMED]],TblDisponibilidad[],9,FALSE), 0)</f>
        <v>0</v>
      </c>
      <c r="F469">
        <f>IFERROR(VLOOKUP(Tabla13[[#This Row],[SISMED]],TblDisponibilidad[],10,FALSE), 0)</f>
        <v>0</v>
      </c>
      <c r="G469">
        <f>IFERROR(VLOOKUP(Tabla13[[#This Row],[SISMED]],TblDisponibilidad[],11,FALSE), 0)</f>
        <v>0</v>
      </c>
      <c r="H469">
        <f>IFERROR(VLOOKUP(Tabla13[[#This Row],[SISMED]],TblDisponibilidad[],12,FALSE), 0)</f>
        <v>0</v>
      </c>
      <c r="I469">
        <f>IFERROR(VLOOKUP(Tabla13[[#This Row],[SISMED]],TblDisponibilidad[],13,FALSE), 0)</f>
        <v>0</v>
      </c>
      <c r="J469">
        <f>IFERROR(VLOOKUP(Tabla13[[#This Row],[SISMED]],TblDisponibilidad[],14,FALSE), 0)</f>
        <v>0</v>
      </c>
      <c r="K469">
        <f>IFERROR(VLOOKUP(Tabla13[[#This Row],[SISMED]],TblDisponibilidad[],15,FALSE), 0)</f>
        <v>0</v>
      </c>
      <c r="L469">
        <f>IFERROR(VLOOKUP(Tabla13[[#This Row],[SISMED]],TblDisponibilidad[],16,FALSE), 0)</f>
        <v>0</v>
      </c>
      <c r="M469">
        <f>IFERROR(VLOOKUP(Tabla13[[#This Row],[SISMED]],TblDisponibilidad[],17,FALSE), 0)</f>
        <v>0</v>
      </c>
      <c r="N469">
        <f>IFERROR(VLOOKUP(Tabla13[[#This Row],[SISMED]],TblDisponibilidad[],18,FALSE), 0)</f>
        <v>0</v>
      </c>
      <c r="O469">
        <f>IFERROR(VLOOKUP(Tabla13[[#This Row],[SISMED]],TblDisponibilidad[],19,FALSE), 0)</f>
        <v>0</v>
      </c>
      <c r="P469">
        <f>IFERROR(VLOOKUP(Tabla13[[#This Row],[SISMED]],TblDisponibilidad[],20,FALSE), 0)</f>
        <v>0</v>
      </c>
      <c r="Q469">
        <f>IFERROR(VLOOKUP(Tabla13[[#This Row],[SISMED]],TblDisponibilidad[],21,FALSE), 0)</f>
        <v>0</v>
      </c>
      <c r="R469">
        <f>IFERROR(VLOOKUP(Tabla13[[#This Row],[SISMED]],TblDisponibilidad[],22,FALSE), 0)</f>
        <v>0</v>
      </c>
      <c r="S469" s="15">
        <f>IFERROR(VLOOKUP(Tabla13[[#This Row],[SISMED]],TblDisponibilidad[],23,FALSE), 0)</f>
        <v>0</v>
      </c>
    </row>
    <row r="470" spans="1:19" x14ac:dyDescent="0.3">
      <c r="A470" s="15" t="s">
        <v>500</v>
      </c>
      <c r="B470" t="str">
        <f>IFERROR(VLOOKUP(Tabla13[[#This Row],[SISMED]],TblDisponibilidad[],2,FALSE), "")</f>
        <v/>
      </c>
      <c r="C470">
        <f>IFERROR(VLOOKUP(Tabla13[[#This Row],[SISMED]],TblDisponibilidad[],7,FALSE), 0)</f>
        <v>0</v>
      </c>
      <c r="D470">
        <f>IFERROR(VLOOKUP(Tabla13[[#This Row],[SISMED]],TblDisponibilidad[],8,FALSE), 0)</f>
        <v>0</v>
      </c>
      <c r="E470">
        <f>IFERROR(VLOOKUP(Tabla13[[#This Row],[SISMED]],TblDisponibilidad[],9,FALSE), 0)</f>
        <v>0</v>
      </c>
      <c r="F470">
        <f>IFERROR(VLOOKUP(Tabla13[[#This Row],[SISMED]],TblDisponibilidad[],10,FALSE), 0)</f>
        <v>0</v>
      </c>
      <c r="G470">
        <f>IFERROR(VLOOKUP(Tabla13[[#This Row],[SISMED]],TblDisponibilidad[],11,FALSE), 0)</f>
        <v>0</v>
      </c>
      <c r="H470">
        <f>IFERROR(VLOOKUP(Tabla13[[#This Row],[SISMED]],TblDisponibilidad[],12,FALSE), 0)</f>
        <v>0</v>
      </c>
      <c r="I470">
        <f>IFERROR(VLOOKUP(Tabla13[[#This Row],[SISMED]],TblDisponibilidad[],13,FALSE), 0)</f>
        <v>0</v>
      </c>
      <c r="J470">
        <f>IFERROR(VLOOKUP(Tabla13[[#This Row],[SISMED]],TblDisponibilidad[],14,FALSE), 0)</f>
        <v>0</v>
      </c>
      <c r="K470">
        <f>IFERROR(VLOOKUP(Tabla13[[#This Row],[SISMED]],TblDisponibilidad[],15,FALSE), 0)</f>
        <v>0</v>
      </c>
      <c r="L470">
        <f>IFERROR(VLOOKUP(Tabla13[[#This Row],[SISMED]],TblDisponibilidad[],16,FALSE), 0)</f>
        <v>0</v>
      </c>
      <c r="M470">
        <f>IFERROR(VLOOKUP(Tabla13[[#This Row],[SISMED]],TblDisponibilidad[],17,FALSE), 0)</f>
        <v>0</v>
      </c>
      <c r="N470">
        <f>IFERROR(VLOOKUP(Tabla13[[#This Row],[SISMED]],TblDisponibilidad[],18,FALSE), 0)</f>
        <v>0</v>
      </c>
      <c r="O470">
        <f>IFERROR(VLOOKUP(Tabla13[[#This Row],[SISMED]],TblDisponibilidad[],19,FALSE), 0)</f>
        <v>0</v>
      </c>
      <c r="P470">
        <f>IFERROR(VLOOKUP(Tabla13[[#This Row],[SISMED]],TblDisponibilidad[],20,FALSE), 0)</f>
        <v>0</v>
      </c>
      <c r="Q470">
        <f>IFERROR(VLOOKUP(Tabla13[[#This Row],[SISMED]],TblDisponibilidad[],21,FALSE), 0)</f>
        <v>0</v>
      </c>
      <c r="R470">
        <f>IFERROR(VLOOKUP(Tabla13[[#This Row],[SISMED]],TblDisponibilidad[],22,FALSE), 0)</f>
        <v>0</v>
      </c>
      <c r="S470" s="15">
        <f>IFERROR(VLOOKUP(Tabla13[[#This Row],[SISMED]],TblDisponibilidad[],23,FALSE), 0)</f>
        <v>0</v>
      </c>
    </row>
    <row r="471" spans="1:19" x14ac:dyDescent="0.3">
      <c r="A471" s="15" t="s">
        <v>501</v>
      </c>
      <c r="B471" t="str">
        <f>IFERROR(VLOOKUP(Tabla13[[#This Row],[SISMED]],TblDisponibilidad[],2,FALSE), "")</f>
        <v/>
      </c>
      <c r="C471">
        <f>IFERROR(VLOOKUP(Tabla13[[#This Row],[SISMED]],TblDisponibilidad[],7,FALSE), 0)</f>
        <v>0</v>
      </c>
      <c r="D471">
        <f>IFERROR(VLOOKUP(Tabla13[[#This Row],[SISMED]],TblDisponibilidad[],8,FALSE), 0)</f>
        <v>0</v>
      </c>
      <c r="E471">
        <f>IFERROR(VLOOKUP(Tabla13[[#This Row],[SISMED]],TblDisponibilidad[],9,FALSE), 0)</f>
        <v>0</v>
      </c>
      <c r="F471">
        <f>IFERROR(VLOOKUP(Tabla13[[#This Row],[SISMED]],TblDisponibilidad[],10,FALSE), 0)</f>
        <v>0</v>
      </c>
      <c r="G471">
        <f>IFERROR(VLOOKUP(Tabla13[[#This Row],[SISMED]],TblDisponibilidad[],11,FALSE), 0)</f>
        <v>0</v>
      </c>
      <c r="H471">
        <f>IFERROR(VLOOKUP(Tabla13[[#This Row],[SISMED]],TblDisponibilidad[],12,FALSE), 0)</f>
        <v>0</v>
      </c>
      <c r="I471">
        <f>IFERROR(VLOOKUP(Tabla13[[#This Row],[SISMED]],TblDisponibilidad[],13,FALSE), 0)</f>
        <v>0</v>
      </c>
      <c r="J471">
        <f>IFERROR(VLOOKUP(Tabla13[[#This Row],[SISMED]],TblDisponibilidad[],14,FALSE), 0)</f>
        <v>0</v>
      </c>
      <c r="K471">
        <f>IFERROR(VLOOKUP(Tabla13[[#This Row],[SISMED]],TblDisponibilidad[],15,FALSE), 0)</f>
        <v>0</v>
      </c>
      <c r="L471">
        <f>IFERROR(VLOOKUP(Tabla13[[#This Row],[SISMED]],TblDisponibilidad[],16,FALSE), 0)</f>
        <v>0</v>
      </c>
      <c r="M471">
        <f>IFERROR(VLOOKUP(Tabla13[[#This Row],[SISMED]],TblDisponibilidad[],17,FALSE), 0)</f>
        <v>0</v>
      </c>
      <c r="N471">
        <f>IFERROR(VLOOKUP(Tabla13[[#This Row],[SISMED]],TblDisponibilidad[],18,FALSE), 0)</f>
        <v>0</v>
      </c>
      <c r="O471">
        <f>IFERROR(VLOOKUP(Tabla13[[#This Row],[SISMED]],TblDisponibilidad[],19,FALSE), 0)</f>
        <v>0</v>
      </c>
      <c r="P471">
        <f>IFERROR(VLOOKUP(Tabla13[[#This Row],[SISMED]],TblDisponibilidad[],20,FALSE), 0)</f>
        <v>0</v>
      </c>
      <c r="Q471">
        <f>IFERROR(VLOOKUP(Tabla13[[#This Row],[SISMED]],TblDisponibilidad[],21,FALSE), 0)</f>
        <v>0</v>
      </c>
      <c r="R471">
        <f>IFERROR(VLOOKUP(Tabla13[[#This Row],[SISMED]],TblDisponibilidad[],22,FALSE), 0)</f>
        <v>0</v>
      </c>
      <c r="S471" s="15">
        <f>IFERROR(VLOOKUP(Tabla13[[#This Row],[SISMED]],TblDisponibilidad[],23,FALSE), 0)</f>
        <v>0</v>
      </c>
    </row>
    <row r="472" spans="1:19" x14ac:dyDescent="0.3">
      <c r="A472" s="15" t="s">
        <v>502</v>
      </c>
      <c r="B472" t="str">
        <f>IFERROR(VLOOKUP(Tabla13[[#This Row],[SISMED]],TblDisponibilidad[],2,FALSE), "")</f>
        <v/>
      </c>
      <c r="C472">
        <f>IFERROR(VLOOKUP(Tabla13[[#This Row],[SISMED]],TblDisponibilidad[],7,FALSE), 0)</f>
        <v>0</v>
      </c>
      <c r="D472">
        <f>IFERROR(VLOOKUP(Tabla13[[#This Row],[SISMED]],TblDisponibilidad[],8,FALSE), 0)</f>
        <v>0</v>
      </c>
      <c r="E472">
        <f>IFERROR(VLOOKUP(Tabla13[[#This Row],[SISMED]],TblDisponibilidad[],9,FALSE), 0)</f>
        <v>0</v>
      </c>
      <c r="F472">
        <f>IFERROR(VLOOKUP(Tabla13[[#This Row],[SISMED]],TblDisponibilidad[],10,FALSE), 0)</f>
        <v>0</v>
      </c>
      <c r="G472">
        <f>IFERROR(VLOOKUP(Tabla13[[#This Row],[SISMED]],TblDisponibilidad[],11,FALSE), 0)</f>
        <v>0</v>
      </c>
      <c r="H472">
        <f>IFERROR(VLOOKUP(Tabla13[[#This Row],[SISMED]],TblDisponibilidad[],12,FALSE), 0)</f>
        <v>0</v>
      </c>
      <c r="I472">
        <f>IFERROR(VLOOKUP(Tabla13[[#This Row],[SISMED]],TblDisponibilidad[],13,FALSE), 0)</f>
        <v>0</v>
      </c>
      <c r="J472">
        <f>IFERROR(VLOOKUP(Tabla13[[#This Row],[SISMED]],TblDisponibilidad[],14,FALSE), 0)</f>
        <v>0</v>
      </c>
      <c r="K472">
        <f>IFERROR(VLOOKUP(Tabla13[[#This Row],[SISMED]],TblDisponibilidad[],15,FALSE), 0)</f>
        <v>0</v>
      </c>
      <c r="L472">
        <f>IFERROR(VLOOKUP(Tabla13[[#This Row],[SISMED]],TblDisponibilidad[],16,FALSE), 0)</f>
        <v>0</v>
      </c>
      <c r="M472">
        <f>IFERROR(VLOOKUP(Tabla13[[#This Row],[SISMED]],TblDisponibilidad[],17,FALSE), 0)</f>
        <v>0</v>
      </c>
      <c r="N472">
        <f>IFERROR(VLOOKUP(Tabla13[[#This Row],[SISMED]],TblDisponibilidad[],18,FALSE), 0)</f>
        <v>0</v>
      </c>
      <c r="O472">
        <f>IFERROR(VLOOKUP(Tabla13[[#This Row],[SISMED]],TblDisponibilidad[],19,FALSE), 0)</f>
        <v>0</v>
      </c>
      <c r="P472">
        <f>IFERROR(VLOOKUP(Tabla13[[#This Row],[SISMED]],TblDisponibilidad[],20,FALSE), 0)</f>
        <v>0</v>
      </c>
      <c r="Q472">
        <f>IFERROR(VLOOKUP(Tabla13[[#This Row],[SISMED]],TblDisponibilidad[],21,FALSE), 0)</f>
        <v>0</v>
      </c>
      <c r="R472">
        <f>IFERROR(VLOOKUP(Tabla13[[#This Row],[SISMED]],TblDisponibilidad[],22,FALSE), 0)</f>
        <v>0</v>
      </c>
      <c r="S472" s="15">
        <f>IFERROR(VLOOKUP(Tabla13[[#This Row],[SISMED]],TblDisponibilidad[],23,FALSE), 0)</f>
        <v>0</v>
      </c>
    </row>
    <row r="473" spans="1:19" x14ac:dyDescent="0.3">
      <c r="A473" s="15" t="s">
        <v>503</v>
      </c>
      <c r="B473" t="str">
        <f>IFERROR(VLOOKUP(Tabla13[[#This Row],[SISMED]],TblDisponibilidad[],2,FALSE), "")</f>
        <v/>
      </c>
      <c r="C473">
        <f>IFERROR(VLOOKUP(Tabla13[[#This Row],[SISMED]],TblDisponibilidad[],7,FALSE), 0)</f>
        <v>0</v>
      </c>
      <c r="D473">
        <f>IFERROR(VLOOKUP(Tabla13[[#This Row],[SISMED]],TblDisponibilidad[],8,FALSE), 0)</f>
        <v>0</v>
      </c>
      <c r="E473">
        <f>IFERROR(VLOOKUP(Tabla13[[#This Row],[SISMED]],TblDisponibilidad[],9,FALSE), 0)</f>
        <v>0</v>
      </c>
      <c r="F473">
        <f>IFERROR(VLOOKUP(Tabla13[[#This Row],[SISMED]],TblDisponibilidad[],10,FALSE), 0)</f>
        <v>0</v>
      </c>
      <c r="G473">
        <f>IFERROR(VLOOKUP(Tabla13[[#This Row],[SISMED]],TblDisponibilidad[],11,FALSE), 0)</f>
        <v>0</v>
      </c>
      <c r="H473">
        <f>IFERROR(VLOOKUP(Tabla13[[#This Row],[SISMED]],TblDisponibilidad[],12,FALSE), 0)</f>
        <v>0</v>
      </c>
      <c r="I473">
        <f>IFERROR(VLOOKUP(Tabla13[[#This Row],[SISMED]],TblDisponibilidad[],13,FALSE), 0)</f>
        <v>0</v>
      </c>
      <c r="J473">
        <f>IFERROR(VLOOKUP(Tabla13[[#This Row],[SISMED]],TblDisponibilidad[],14,FALSE), 0)</f>
        <v>0</v>
      </c>
      <c r="K473">
        <f>IFERROR(VLOOKUP(Tabla13[[#This Row],[SISMED]],TblDisponibilidad[],15,FALSE), 0)</f>
        <v>0</v>
      </c>
      <c r="L473">
        <f>IFERROR(VLOOKUP(Tabla13[[#This Row],[SISMED]],TblDisponibilidad[],16,FALSE), 0)</f>
        <v>0</v>
      </c>
      <c r="M473">
        <f>IFERROR(VLOOKUP(Tabla13[[#This Row],[SISMED]],TblDisponibilidad[],17,FALSE), 0)</f>
        <v>0</v>
      </c>
      <c r="N473">
        <f>IFERROR(VLOOKUP(Tabla13[[#This Row],[SISMED]],TblDisponibilidad[],18,FALSE), 0)</f>
        <v>0</v>
      </c>
      <c r="O473">
        <f>IFERROR(VLOOKUP(Tabla13[[#This Row],[SISMED]],TblDisponibilidad[],19,FALSE), 0)</f>
        <v>0</v>
      </c>
      <c r="P473">
        <f>IFERROR(VLOOKUP(Tabla13[[#This Row],[SISMED]],TblDisponibilidad[],20,FALSE), 0)</f>
        <v>0</v>
      </c>
      <c r="Q473">
        <f>IFERROR(VLOOKUP(Tabla13[[#This Row],[SISMED]],TblDisponibilidad[],21,FALSE), 0)</f>
        <v>0</v>
      </c>
      <c r="R473">
        <f>IFERROR(VLOOKUP(Tabla13[[#This Row],[SISMED]],TblDisponibilidad[],22,FALSE), 0)</f>
        <v>0</v>
      </c>
      <c r="S473" s="15">
        <f>IFERROR(VLOOKUP(Tabla13[[#This Row],[SISMED]],TblDisponibilidad[],23,FALSE), 0)</f>
        <v>0</v>
      </c>
    </row>
    <row r="474" spans="1:19" x14ac:dyDescent="0.3">
      <c r="A474" s="15" t="s">
        <v>504</v>
      </c>
      <c r="B474" t="str">
        <f>IFERROR(VLOOKUP(Tabla13[[#This Row],[SISMED]],TblDisponibilidad[],2,FALSE), "")</f>
        <v/>
      </c>
      <c r="C474">
        <f>IFERROR(VLOOKUP(Tabla13[[#This Row],[SISMED]],TblDisponibilidad[],7,FALSE), 0)</f>
        <v>0</v>
      </c>
      <c r="D474">
        <f>IFERROR(VLOOKUP(Tabla13[[#This Row],[SISMED]],TblDisponibilidad[],8,FALSE), 0)</f>
        <v>0</v>
      </c>
      <c r="E474">
        <f>IFERROR(VLOOKUP(Tabla13[[#This Row],[SISMED]],TblDisponibilidad[],9,FALSE), 0)</f>
        <v>0</v>
      </c>
      <c r="F474">
        <f>IFERROR(VLOOKUP(Tabla13[[#This Row],[SISMED]],TblDisponibilidad[],10,FALSE), 0)</f>
        <v>0</v>
      </c>
      <c r="G474">
        <f>IFERROR(VLOOKUP(Tabla13[[#This Row],[SISMED]],TblDisponibilidad[],11,FALSE), 0)</f>
        <v>0</v>
      </c>
      <c r="H474">
        <f>IFERROR(VLOOKUP(Tabla13[[#This Row],[SISMED]],TblDisponibilidad[],12,FALSE), 0)</f>
        <v>0</v>
      </c>
      <c r="I474">
        <f>IFERROR(VLOOKUP(Tabla13[[#This Row],[SISMED]],TblDisponibilidad[],13,FALSE), 0)</f>
        <v>0</v>
      </c>
      <c r="J474">
        <f>IFERROR(VLOOKUP(Tabla13[[#This Row],[SISMED]],TblDisponibilidad[],14,FALSE), 0)</f>
        <v>0</v>
      </c>
      <c r="K474">
        <f>IFERROR(VLOOKUP(Tabla13[[#This Row],[SISMED]],TblDisponibilidad[],15,FALSE), 0)</f>
        <v>0</v>
      </c>
      <c r="L474">
        <f>IFERROR(VLOOKUP(Tabla13[[#This Row],[SISMED]],TblDisponibilidad[],16,FALSE), 0)</f>
        <v>0</v>
      </c>
      <c r="M474">
        <f>IFERROR(VLOOKUP(Tabla13[[#This Row],[SISMED]],TblDisponibilidad[],17,FALSE), 0)</f>
        <v>0</v>
      </c>
      <c r="N474">
        <f>IFERROR(VLOOKUP(Tabla13[[#This Row],[SISMED]],TblDisponibilidad[],18,FALSE), 0)</f>
        <v>0</v>
      </c>
      <c r="O474">
        <f>IFERROR(VLOOKUP(Tabla13[[#This Row],[SISMED]],TblDisponibilidad[],19,FALSE), 0)</f>
        <v>0</v>
      </c>
      <c r="P474">
        <f>IFERROR(VLOOKUP(Tabla13[[#This Row],[SISMED]],TblDisponibilidad[],20,FALSE), 0)</f>
        <v>0</v>
      </c>
      <c r="Q474">
        <f>IFERROR(VLOOKUP(Tabla13[[#This Row],[SISMED]],TblDisponibilidad[],21,FALSE), 0)</f>
        <v>0</v>
      </c>
      <c r="R474">
        <f>IFERROR(VLOOKUP(Tabla13[[#This Row],[SISMED]],TblDisponibilidad[],22,FALSE), 0)</f>
        <v>0</v>
      </c>
      <c r="S474" s="15">
        <f>IFERROR(VLOOKUP(Tabla13[[#This Row],[SISMED]],TblDisponibilidad[],23,FALSE), 0)</f>
        <v>0</v>
      </c>
    </row>
    <row r="475" spans="1:19" x14ac:dyDescent="0.3">
      <c r="A475" s="15" t="s">
        <v>505</v>
      </c>
      <c r="B475" t="str">
        <f>IFERROR(VLOOKUP(Tabla13[[#This Row],[SISMED]],TblDisponibilidad[],2,FALSE), "")</f>
        <v/>
      </c>
      <c r="C475">
        <f>IFERROR(VLOOKUP(Tabla13[[#This Row],[SISMED]],TblDisponibilidad[],7,FALSE), 0)</f>
        <v>0</v>
      </c>
      <c r="D475">
        <f>IFERROR(VLOOKUP(Tabla13[[#This Row],[SISMED]],TblDisponibilidad[],8,FALSE), 0)</f>
        <v>0</v>
      </c>
      <c r="E475">
        <f>IFERROR(VLOOKUP(Tabla13[[#This Row],[SISMED]],TblDisponibilidad[],9,FALSE), 0)</f>
        <v>0</v>
      </c>
      <c r="F475">
        <f>IFERROR(VLOOKUP(Tabla13[[#This Row],[SISMED]],TblDisponibilidad[],10,FALSE), 0)</f>
        <v>0</v>
      </c>
      <c r="G475">
        <f>IFERROR(VLOOKUP(Tabla13[[#This Row],[SISMED]],TblDisponibilidad[],11,FALSE), 0)</f>
        <v>0</v>
      </c>
      <c r="H475">
        <f>IFERROR(VLOOKUP(Tabla13[[#This Row],[SISMED]],TblDisponibilidad[],12,FALSE), 0)</f>
        <v>0</v>
      </c>
      <c r="I475">
        <f>IFERROR(VLOOKUP(Tabla13[[#This Row],[SISMED]],TblDisponibilidad[],13,FALSE), 0)</f>
        <v>0</v>
      </c>
      <c r="J475">
        <f>IFERROR(VLOOKUP(Tabla13[[#This Row],[SISMED]],TblDisponibilidad[],14,FALSE), 0)</f>
        <v>0</v>
      </c>
      <c r="K475">
        <f>IFERROR(VLOOKUP(Tabla13[[#This Row],[SISMED]],TblDisponibilidad[],15,FALSE), 0)</f>
        <v>0</v>
      </c>
      <c r="L475">
        <f>IFERROR(VLOOKUP(Tabla13[[#This Row],[SISMED]],TblDisponibilidad[],16,FALSE), 0)</f>
        <v>0</v>
      </c>
      <c r="M475">
        <f>IFERROR(VLOOKUP(Tabla13[[#This Row],[SISMED]],TblDisponibilidad[],17,FALSE), 0)</f>
        <v>0</v>
      </c>
      <c r="N475">
        <f>IFERROR(VLOOKUP(Tabla13[[#This Row],[SISMED]],TblDisponibilidad[],18,FALSE), 0)</f>
        <v>0</v>
      </c>
      <c r="O475">
        <f>IFERROR(VLOOKUP(Tabla13[[#This Row],[SISMED]],TblDisponibilidad[],19,FALSE), 0)</f>
        <v>0</v>
      </c>
      <c r="P475">
        <f>IFERROR(VLOOKUP(Tabla13[[#This Row],[SISMED]],TblDisponibilidad[],20,FALSE), 0)</f>
        <v>0</v>
      </c>
      <c r="Q475">
        <f>IFERROR(VLOOKUP(Tabla13[[#This Row],[SISMED]],TblDisponibilidad[],21,FALSE), 0)</f>
        <v>0</v>
      </c>
      <c r="R475">
        <f>IFERROR(VLOOKUP(Tabla13[[#This Row],[SISMED]],TblDisponibilidad[],22,FALSE), 0)</f>
        <v>0</v>
      </c>
      <c r="S475" s="15">
        <f>IFERROR(VLOOKUP(Tabla13[[#This Row],[SISMED]],TblDisponibilidad[],23,FALSE), 0)</f>
        <v>0</v>
      </c>
    </row>
    <row r="476" spans="1:19" x14ac:dyDescent="0.3">
      <c r="A476" s="15" t="s">
        <v>506</v>
      </c>
      <c r="B476" t="str">
        <f>IFERROR(VLOOKUP(Tabla13[[#This Row],[SISMED]],TblDisponibilidad[],2,FALSE), "")</f>
        <v/>
      </c>
      <c r="C476">
        <f>IFERROR(VLOOKUP(Tabla13[[#This Row],[SISMED]],TblDisponibilidad[],7,FALSE), 0)</f>
        <v>0</v>
      </c>
      <c r="D476">
        <f>IFERROR(VLOOKUP(Tabla13[[#This Row],[SISMED]],TblDisponibilidad[],8,FALSE), 0)</f>
        <v>0</v>
      </c>
      <c r="E476">
        <f>IFERROR(VLOOKUP(Tabla13[[#This Row],[SISMED]],TblDisponibilidad[],9,FALSE), 0)</f>
        <v>0</v>
      </c>
      <c r="F476">
        <f>IFERROR(VLOOKUP(Tabla13[[#This Row],[SISMED]],TblDisponibilidad[],10,FALSE), 0)</f>
        <v>0</v>
      </c>
      <c r="G476">
        <f>IFERROR(VLOOKUP(Tabla13[[#This Row],[SISMED]],TblDisponibilidad[],11,FALSE), 0)</f>
        <v>0</v>
      </c>
      <c r="H476">
        <f>IFERROR(VLOOKUP(Tabla13[[#This Row],[SISMED]],TblDisponibilidad[],12,FALSE), 0)</f>
        <v>0</v>
      </c>
      <c r="I476">
        <f>IFERROR(VLOOKUP(Tabla13[[#This Row],[SISMED]],TblDisponibilidad[],13,FALSE), 0)</f>
        <v>0</v>
      </c>
      <c r="J476">
        <f>IFERROR(VLOOKUP(Tabla13[[#This Row],[SISMED]],TblDisponibilidad[],14,FALSE), 0)</f>
        <v>0</v>
      </c>
      <c r="K476">
        <f>IFERROR(VLOOKUP(Tabla13[[#This Row],[SISMED]],TblDisponibilidad[],15,FALSE), 0)</f>
        <v>0</v>
      </c>
      <c r="L476">
        <f>IFERROR(VLOOKUP(Tabla13[[#This Row],[SISMED]],TblDisponibilidad[],16,FALSE), 0)</f>
        <v>0</v>
      </c>
      <c r="M476">
        <f>IFERROR(VLOOKUP(Tabla13[[#This Row],[SISMED]],TblDisponibilidad[],17,FALSE), 0)</f>
        <v>0</v>
      </c>
      <c r="N476">
        <f>IFERROR(VLOOKUP(Tabla13[[#This Row],[SISMED]],TblDisponibilidad[],18,FALSE), 0)</f>
        <v>0</v>
      </c>
      <c r="O476">
        <f>IFERROR(VLOOKUP(Tabla13[[#This Row],[SISMED]],TblDisponibilidad[],19,FALSE), 0)</f>
        <v>0</v>
      </c>
      <c r="P476">
        <f>IFERROR(VLOOKUP(Tabla13[[#This Row],[SISMED]],TblDisponibilidad[],20,FALSE), 0)</f>
        <v>0</v>
      </c>
      <c r="Q476">
        <f>IFERROR(VLOOKUP(Tabla13[[#This Row],[SISMED]],TblDisponibilidad[],21,FALSE), 0)</f>
        <v>0</v>
      </c>
      <c r="R476">
        <f>IFERROR(VLOOKUP(Tabla13[[#This Row],[SISMED]],TblDisponibilidad[],22,FALSE), 0)</f>
        <v>0</v>
      </c>
      <c r="S476" s="15">
        <f>IFERROR(VLOOKUP(Tabla13[[#This Row],[SISMED]],TblDisponibilidad[],23,FALSE), 0)</f>
        <v>0</v>
      </c>
    </row>
    <row r="477" spans="1:19" x14ac:dyDescent="0.3">
      <c r="A477" s="15" t="s">
        <v>507</v>
      </c>
      <c r="B477" t="str">
        <f>IFERROR(VLOOKUP(Tabla13[[#This Row],[SISMED]],TblDisponibilidad[],2,FALSE), "")</f>
        <v/>
      </c>
      <c r="C477">
        <f>IFERROR(VLOOKUP(Tabla13[[#This Row],[SISMED]],TblDisponibilidad[],7,FALSE), 0)</f>
        <v>0</v>
      </c>
      <c r="D477">
        <f>IFERROR(VLOOKUP(Tabla13[[#This Row],[SISMED]],TblDisponibilidad[],8,FALSE), 0)</f>
        <v>0</v>
      </c>
      <c r="E477">
        <f>IFERROR(VLOOKUP(Tabla13[[#This Row],[SISMED]],TblDisponibilidad[],9,FALSE), 0)</f>
        <v>0</v>
      </c>
      <c r="F477">
        <f>IFERROR(VLOOKUP(Tabla13[[#This Row],[SISMED]],TblDisponibilidad[],10,FALSE), 0)</f>
        <v>0</v>
      </c>
      <c r="G477">
        <f>IFERROR(VLOOKUP(Tabla13[[#This Row],[SISMED]],TblDisponibilidad[],11,FALSE), 0)</f>
        <v>0</v>
      </c>
      <c r="H477">
        <f>IFERROR(VLOOKUP(Tabla13[[#This Row],[SISMED]],TblDisponibilidad[],12,FALSE), 0)</f>
        <v>0</v>
      </c>
      <c r="I477">
        <f>IFERROR(VLOOKUP(Tabla13[[#This Row],[SISMED]],TblDisponibilidad[],13,FALSE), 0)</f>
        <v>0</v>
      </c>
      <c r="J477">
        <f>IFERROR(VLOOKUP(Tabla13[[#This Row],[SISMED]],TblDisponibilidad[],14,FALSE), 0)</f>
        <v>0</v>
      </c>
      <c r="K477">
        <f>IFERROR(VLOOKUP(Tabla13[[#This Row],[SISMED]],TblDisponibilidad[],15,FALSE), 0)</f>
        <v>0</v>
      </c>
      <c r="L477">
        <f>IFERROR(VLOOKUP(Tabla13[[#This Row],[SISMED]],TblDisponibilidad[],16,FALSE), 0)</f>
        <v>0</v>
      </c>
      <c r="M477">
        <f>IFERROR(VLOOKUP(Tabla13[[#This Row],[SISMED]],TblDisponibilidad[],17,FALSE), 0)</f>
        <v>0</v>
      </c>
      <c r="N477">
        <f>IFERROR(VLOOKUP(Tabla13[[#This Row],[SISMED]],TblDisponibilidad[],18,FALSE), 0)</f>
        <v>0</v>
      </c>
      <c r="O477">
        <f>IFERROR(VLOOKUP(Tabla13[[#This Row],[SISMED]],TblDisponibilidad[],19,FALSE), 0)</f>
        <v>0</v>
      </c>
      <c r="P477">
        <f>IFERROR(VLOOKUP(Tabla13[[#This Row],[SISMED]],TblDisponibilidad[],20,FALSE), 0)</f>
        <v>0</v>
      </c>
      <c r="Q477">
        <f>IFERROR(VLOOKUP(Tabla13[[#This Row],[SISMED]],TblDisponibilidad[],21,FALSE), 0)</f>
        <v>0</v>
      </c>
      <c r="R477">
        <f>IFERROR(VLOOKUP(Tabla13[[#This Row],[SISMED]],TblDisponibilidad[],22,FALSE), 0)</f>
        <v>0</v>
      </c>
      <c r="S477" s="15">
        <f>IFERROR(VLOOKUP(Tabla13[[#This Row],[SISMED]],TblDisponibilidad[],23,FALSE), 0)</f>
        <v>0</v>
      </c>
    </row>
    <row r="478" spans="1:19" x14ac:dyDescent="0.3">
      <c r="A478" s="15" t="s">
        <v>508</v>
      </c>
      <c r="B478" t="str">
        <f>IFERROR(VLOOKUP(Tabla13[[#This Row],[SISMED]],TblDisponibilidad[],2,FALSE), "")</f>
        <v/>
      </c>
      <c r="C478">
        <f>IFERROR(VLOOKUP(Tabla13[[#This Row],[SISMED]],TblDisponibilidad[],7,FALSE), 0)</f>
        <v>0</v>
      </c>
      <c r="D478">
        <f>IFERROR(VLOOKUP(Tabla13[[#This Row],[SISMED]],TblDisponibilidad[],8,FALSE), 0)</f>
        <v>0</v>
      </c>
      <c r="E478">
        <f>IFERROR(VLOOKUP(Tabla13[[#This Row],[SISMED]],TblDisponibilidad[],9,FALSE), 0)</f>
        <v>0</v>
      </c>
      <c r="F478">
        <f>IFERROR(VLOOKUP(Tabla13[[#This Row],[SISMED]],TblDisponibilidad[],10,FALSE), 0)</f>
        <v>0</v>
      </c>
      <c r="G478">
        <f>IFERROR(VLOOKUP(Tabla13[[#This Row],[SISMED]],TblDisponibilidad[],11,FALSE), 0)</f>
        <v>0</v>
      </c>
      <c r="H478">
        <f>IFERROR(VLOOKUP(Tabla13[[#This Row],[SISMED]],TblDisponibilidad[],12,FALSE), 0)</f>
        <v>0</v>
      </c>
      <c r="I478">
        <f>IFERROR(VLOOKUP(Tabla13[[#This Row],[SISMED]],TblDisponibilidad[],13,FALSE), 0)</f>
        <v>0</v>
      </c>
      <c r="J478">
        <f>IFERROR(VLOOKUP(Tabla13[[#This Row],[SISMED]],TblDisponibilidad[],14,FALSE), 0)</f>
        <v>0</v>
      </c>
      <c r="K478">
        <f>IFERROR(VLOOKUP(Tabla13[[#This Row],[SISMED]],TblDisponibilidad[],15,FALSE), 0)</f>
        <v>0</v>
      </c>
      <c r="L478">
        <f>IFERROR(VLOOKUP(Tabla13[[#This Row],[SISMED]],TblDisponibilidad[],16,FALSE), 0)</f>
        <v>0</v>
      </c>
      <c r="M478">
        <f>IFERROR(VLOOKUP(Tabla13[[#This Row],[SISMED]],TblDisponibilidad[],17,FALSE), 0)</f>
        <v>0</v>
      </c>
      <c r="N478">
        <f>IFERROR(VLOOKUP(Tabla13[[#This Row],[SISMED]],TblDisponibilidad[],18,FALSE), 0)</f>
        <v>0</v>
      </c>
      <c r="O478">
        <f>IFERROR(VLOOKUP(Tabla13[[#This Row],[SISMED]],TblDisponibilidad[],19,FALSE), 0)</f>
        <v>0</v>
      </c>
      <c r="P478">
        <f>IFERROR(VLOOKUP(Tabla13[[#This Row],[SISMED]],TblDisponibilidad[],20,FALSE), 0)</f>
        <v>0</v>
      </c>
      <c r="Q478">
        <f>IFERROR(VLOOKUP(Tabla13[[#This Row],[SISMED]],TblDisponibilidad[],21,FALSE), 0)</f>
        <v>0</v>
      </c>
      <c r="R478">
        <f>IFERROR(VLOOKUP(Tabla13[[#This Row],[SISMED]],TblDisponibilidad[],22,FALSE), 0)</f>
        <v>0</v>
      </c>
      <c r="S478" s="15">
        <f>IFERROR(VLOOKUP(Tabla13[[#This Row],[SISMED]],TblDisponibilidad[],23,FALSE), 0)</f>
        <v>0</v>
      </c>
    </row>
    <row r="479" spans="1:19" x14ac:dyDescent="0.3">
      <c r="A479" s="15" t="s">
        <v>509</v>
      </c>
      <c r="B479" t="str">
        <f>IFERROR(VLOOKUP(Tabla13[[#This Row],[SISMED]],TblDisponibilidad[],2,FALSE), "")</f>
        <v/>
      </c>
      <c r="C479">
        <f>IFERROR(VLOOKUP(Tabla13[[#This Row],[SISMED]],TblDisponibilidad[],7,FALSE), 0)</f>
        <v>0</v>
      </c>
      <c r="D479">
        <f>IFERROR(VLOOKUP(Tabla13[[#This Row],[SISMED]],TblDisponibilidad[],8,FALSE), 0)</f>
        <v>0</v>
      </c>
      <c r="E479">
        <f>IFERROR(VLOOKUP(Tabla13[[#This Row],[SISMED]],TblDisponibilidad[],9,FALSE), 0)</f>
        <v>0</v>
      </c>
      <c r="F479">
        <f>IFERROR(VLOOKUP(Tabla13[[#This Row],[SISMED]],TblDisponibilidad[],10,FALSE), 0)</f>
        <v>0</v>
      </c>
      <c r="G479">
        <f>IFERROR(VLOOKUP(Tabla13[[#This Row],[SISMED]],TblDisponibilidad[],11,FALSE), 0)</f>
        <v>0</v>
      </c>
      <c r="H479">
        <f>IFERROR(VLOOKUP(Tabla13[[#This Row],[SISMED]],TblDisponibilidad[],12,FALSE), 0)</f>
        <v>0</v>
      </c>
      <c r="I479">
        <f>IFERROR(VLOOKUP(Tabla13[[#This Row],[SISMED]],TblDisponibilidad[],13,FALSE), 0)</f>
        <v>0</v>
      </c>
      <c r="J479">
        <f>IFERROR(VLOOKUP(Tabla13[[#This Row],[SISMED]],TblDisponibilidad[],14,FALSE), 0)</f>
        <v>0</v>
      </c>
      <c r="K479">
        <f>IFERROR(VLOOKUP(Tabla13[[#This Row],[SISMED]],TblDisponibilidad[],15,FALSE), 0)</f>
        <v>0</v>
      </c>
      <c r="L479">
        <f>IFERROR(VLOOKUP(Tabla13[[#This Row],[SISMED]],TblDisponibilidad[],16,FALSE), 0)</f>
        <v>0</v>
      </c>
      <c r="M479">
        <f>IFERROR(VLOOKUP(Tabla13[[#This Row],[SISMED]],TblDisponibilidad[],17,FALSE), 0)</f>
        <v>0</v>
      </c>
      <c r="N479">
        <f>IFERROR(VLOOKUP(Tabla13[[#This Row],[SISMED]],TblDisponibilidad[],18,FALSE), 0)</f>
        <v>0</v>
      </c>
      <c r="O479">
        <f>IFERROR(VLOOKUP(Tabla13[[#This Row],[SISMED]],TblDisponibilidad[],19,FALSE), 0)</f>
        <v>0</v>
      </c>
      <c r="P479">
        <f>IFERROR(VLOOKUP(Tabla13[[#This Row],[SISMED]],TblDisponibilidad[],20,FALSE), 0)</f>
        <v>0</v>
      </c>
      <c r="Q479">
        <f>IFERROR(VLOOKUP(Tabla13[[#This Row],[SISMED]],TblDisponibilidad[],21,FALSE), 0)</f>
        <v>0</v>
      </c>
      <c r="R479">
        <f>IFERROR(VLOOKUP(Tabla13[[#This Row],[SISMED]],TblDisponibilidad[],22,FALSE), 0)</f>
        <v>0</v>
      </c>
      <c r="S479" s="15">
        <f>IFERROR(VLOOKUP(Tabla13[[#This Row],[SISMED]],TblDisponibilidad[],23,FALSE), 0)</f>
        <v>0</v>
      </c>
    </row>
    <row r="480" spans="1:19" x14ac:dyDescent="0.3">
      <c r="A480" s="15" t="s">
        <v>510</v>
      </c>
      <c r="B480" t="str">
        <f>IFERROR(VLOOKUP(Tabla13[[#This Row],[SISMED]],TblDisponibilidad[],2,FALSE), "")</f>
        <v/>
      </c>
      <c r="C480">
        <f>IFERROR(VLOOKUP(Tabla13[[#This Row],[SISMED]],TblDisponibilidad[],7,FALSE), 0)</f>
        <v>0</v>
      </c>
      <c r="D480">
        <f>IFERROR(VLOOKUP(Tabla13[[#This Row],[SISMED]],TblDisponibilidad[],8,FALSE), 0)</f>
        <v>0</v>
      </c>
      <c r="E480">
        <f>IFERROR(VLOOKUP(Tabla13[[#This Row],[SISMED]],TblDisponibilidad[],9,FALSE), 0)</f>
        <v>0</v>
      </c>
      <c r="F480">
        <f>IFERROR(VLOOKUP(Tabla13[[#This Row],[SISMED]],TblDisponibilidad[],10,FALSE), 0)</f>
        <v>0</v>
      </c>
      <c r="G480">
        <f>IFERROR(VLOOKUP(Tabla13[[#This Row],[SISMED]],TblDisponibilidad[],11,FALSE), 0)</f>
        <v>0</v>
      </c>
      <c r="H480">
        <f>IFERROR(VLOOKUP(Tabla13[[#This Row],[SISMED]],TblDisponibilidad[],12,FALSE), 0)</f>
        <v>0</v>
      </c>
      <c r="I480">
        <f>IFERROR(VLOOKUP(Tabla13[[#This Row],[SISMED]],TblDisponibilidad[],13,FALSE), 0)</f>
        <v>0</v>
      </c>
      <c r="J480">
        <f>IFERROR(VLOOKUP(Tabla13[[#This Row],[SISMED]],TblDisponibilidad[],14,FALSE), 0)</f>
        <v>0</v>
      </c>
      <c r="K480">
        <f>IFERROR(VLOOKUP(Tabla13[[#This Row],[SISMED]],TblDisponibilidad[],15,FALSE), 0)</f>
        <v>0</v>
      </c>
      <c r="L480">
        <f>IFERROR(VLOOKUP(Tabla13[[#This Row],[SISMED]],TblDisponibilidad[],16,FALSE), 0)</f>
        <v>0</v>
      </c>
      <c r="M480">
        <f>IFERROR(VLOOKUP(Tabla13[[#This Row],[SISMED]],TblDisponibilidad[],17,FALSE), 0)</f>
        <v>0</v>
      </c>
      <c r="N480">
        <f>IFERROR(VLOOKUP(Tabla13[[#This Row],[SISMED]],TblDisponibilidad[],18,FALSE), 0)</f>
        <v>0</v>
      </c>
      <c r="O480">
        <f>IFERROR(VLOOKUP(Tabla13[[#This Row],[SISMED]],TblDisponibilidad[],19,FALSE), 0)</f>
        <v>0</v>
      </c>
      <c r="P480">
        <f>IFERROR(VLOOKUP(Tabla13[[#This Row],[SISMED]],TblDisponibilidad[],20,FALSE), 0)</f>
        <v>0</v>
      </c>
      <c r="Q480">
        <f>IFERROR(VLOOKUP(Tabla13[[#This Row],[SISMED]],TblDisponibilidad[],21,FALSE), 0)</f>
        <v>0</v>
      </c>
      <c r="R480">
        <f>IFERROR(VLOOKUP(Tabla13[[#This Row],[SISMED]],TblDisponibilidad[],22,FALSE), 0)</f>
        <v>0</v>
      </c>
      <c r="S480" s="15">
        <f>IFERROR(VLOOKUP(Tabla13[[#This Row],[SISMED]],TblDisponibilidad[],23,FALSE), 0)</f>
        <v>0</v>
      </c>
    </row>
    <row r="481" spans="1:19" x14ac:dyDescent="0.3">
      <c r="A481" s="15" t="s">
        <v>511</v>
      </c>
      <c r="B481" t="str">
        <f>IFERROR(VLOOKUP(Tabla13[[#This Row],[SISMED]],TblDisponibilidad[],2,FALSE), "")</f>
        <v/>
      </c>
      <c r="C481">
        <f>IFERROR(VLOOKUP(Tabla13[[#This Row],[SISMED]],TblDisponibilidad[],7,FALSE), 0)</f>
        <v>0</v>
      </c>
      <c r="D481">
        <f>IFERROR(VLOOKUP(Tabla13[[#This Row],[SISMED]],TblDisponibilidad[],8,FALSE), 0)</f>
        <v>0</v>
      </c>
      <c r="E481">
        <f>IFERROR(VLOOKUP(Tabla13[[#This Row],[SISMED]],TblDisponibilidad[],9,FALSE), 0)</f>
        <v>0</v>
      </c>
      <c r="F481">
        <f>IFERROR(VLOOKUP(Tabla13[[#This Row],[SISMED]],TblDisponibilidad[],10,FALSE), 0)</f>
        <v>0</v>
      </c>
      <c r="G481">
        <f>IFERROR(VLOOKUP(Tabla13[[#This Row],[SISMED]],TblDisponibilidad[],11,FALSE), 0)</f>
        <v>0</v>
      </c>
      <c r="H481">
        <f>IFERROR(VLOOKUP(Tabla13[[#This Row],[SISMED]],TblDisponibilidad[],12,FALSE), 0)</f>
        <v>0</v>
      </c>
      <c r="I481">
        <f>IFERROR(VLOOKUP(Tabla13[[#This Row],[SISMED]],TblDisponibilidad[],13,FALSE), 0)</f>
        <v>0</v>
      </c>
      <c r="J481">
        <f>IFERROR(VLOOKUP(Tabla13[[#This Row],[SISMED]],TblDisponibilidad[],14,FALSE), 0)</f>
        <v>0</v>
      </c>
      <c r="K481">
        <f>IFERROR(VLOOKUP(Tabla13[[#This Row],[SISMED]],TblDisponibilidad[],15,FALSE), 0)</f>
        <v>0</v>
      </c>
      <c r="L481">
        <f>IFERROR(VLOOKUP(Tabla13[[#This Row],[SISMED]],TblDisponibilidad[],16,FALSE), 0)</f>
        <v>0</v>
      </c>
      <c r="M481">
        <f>IFERROR(VLOOKUP(Tabla13[[#This Row],[SISMED]],TblDisponibilidad[],17,FALSE), 0)</f>
        <v>0</v>
      </c>
      <c r="N481">
        <f>IFERROR(VLOOKUP(Tabla13[[#This Row],[SISMED]],TblDisponibilidad[],18,FALSE), 0)</f>
        <v>0</v>
      </c>
      <c r="O481">
        <f>IFERROR(VLOOKUP(Tabla13[[#This Row],[SISMED]],TblDisponibilidad[],19,FALSE), 0)</f>
        <v>0</v>
      </c>
      <c r="P481">
        <f>IFERROR(VLOOKUP(Tabla13[[#This Row],[SISMED]],TblDisponibilidad[],20,FALSE), 0)</f>
        <v>0</v>
      </c>
      <c r="Q481">
        <f>IFERROR(VLOOKUP(Tabla13[[#This Row],[SISMED]],TblDisponibilidad[],21,FALSE), 0)</f>
        <v>0</v>
      </c>
      <c r="R481">
        <f>IFERROR(VLOOKUP(Tabla13[[#This Row],[SISMED]],TblDisponibilidad[],22,FALSE), 0)</f>
        <v>0</v>
      </c>
      <c r="S481" s="15">
        <f>IFERROR(VLOOKUP(Tabla13[[#This Row],[SISMED]],TblDisponibilidad[],23,FALSE), 0)</f>
        <v>0</v>
      </c>
    </row>
    <row r="482" spans="1:19" x14ac:dyDescent="0.3">
      <c r="A482" s="15" t="s">
        <v>512</v>
      </c>
      <c r="B482" t="str">
        <f>IFERROR(VLOOKUP(Tabla13[[#This Row],[SISMED]],TblDisponibilidad[],2,FALSE), "")</f>
        <v/>
      </c>
      <c r="C482">
        <f>IFERROR(VLOOKUP(Tabla13[[#This Row],[SISMED]],TblDisponibilidad[],7,FALSE), 0)</f>
        <v>0</v>
      </c>
      <c r="D482">
        <f>IFERROR(VLOOKUP(Tabla13[[#This Row],[SISMED]],TblDisponibilidad[],8,FALSE), 0)</f>
        <v>0</v>
      </c>
      <c r="E482">
        <f>IFERROR(VLOOKUP(Tabla13[[#This Row],[SISMED]],TblDisponibilidad[],9,FALSE), 0)</f>
        <v>0</v>
      </c>
      <c r="F482">
        <f>IFERROR(VLOOKUP(Tabla13[[#This Row],[SISMED]],TblDisponibilidad[],10,FALSE), 0)</f>
        <v>0</v>
      </c>
      <c r="G482">
        <f>IFERROR(VLOOKUP(Tabla13[[#This Row],[SISMED]],TblDisponibilidad[],11,FALSE), 0)</f>
        <v>0</v>
      </c>
      <c r="H482">
        <f>IFERROR(VLOOKUP(Tabla13[[#This Row],[SISMED]],TblDisponibilidad[],12,FALSE), 0)</f>
        <v>0</v>
      </c>
      <c r="I482">
        <f>IFERROR(VLOOKUP(Tabla13[[#This Row],[SISMED]],TblDisponibilidad[],13,FALSE), 0)</f>
        <v>0</v>
      </c>
      <c r="J482">
        <f>IFERROR(VLOOKUP(Tabla13[[#This Row],[SISMED]],TblDisponibilidad[],14,FALSE), 0)</f>
        <v>0</v>
      </c>
      <c r="K482">
        <f>IFERROR(VLOOKUP(Tabla13[[#This Row],[SISMED]],TblDisponibilidad[],15,FALSE), 0)</f>
        <v>0</v>
      </c>
      <c r="L482">
        <f>IFERROR(VLOOKUP(Tabla13[[#This Row],[SISMED]],TblDisponibilidad[],16,FALSE), 0)</f>
        <v>0</v>
      </c>
      <c r="M482">
        <f>IFERROR(VLOOKUP(Tabla13[[#This Row],[SISMED]],TblDisponibilidad[],17,FALSE), 0)</f>
        <v>0</v>
      </c>
      <c r="N482">
        <f>IFERROR(VLOOKUP(Tabla13[[#This Row],[SISMED]],TblDisponibilidad[],18,FALSE), 0)</f>
        <v>0</v>
      </c>
      <c r="O482">
        <f>IFERROR(VLOOKUP(Tabla13[[#This Row],[SISMED]],TblDisponibilidad[],19,FALSE), 0)</f>
        <v>0</v>
      </c>
      <c r="P482">
        <f>IFERROR(VLOOKUP(Tabla13[[#This Row],[SISMED]],TblDisponibilidad[],20,FALSE), 0)</f>
        <v>0</v>
      </c>
      <c r="Q482">
        <f>IFERROR(VLOOKUP(Tabla13[[#This Row],[SISMED]],TblDisponibilidad[],21,FALSE), 0)</f>
        <v>0</v>
      </c>
      <c r="R482">
        <f>IFERROR(VLOOKUP(Tabla13[[#This Row],[SISMED]],TblDisponibilidad[],22,FALSE), 0)</f>
        <v>0</v>
      </c>
      <c r="S482" s="15">
        <f>IFERROR(VLOOKUP(Tabla13[[#This Row],[SISMED]],TblDisponibilidad[],23,FALSE), 0)</f>
        <v>0</v>
      </c>
    </row>
    <row r="483" spans="1:19" x14ac:dyDescent="0.3">
      <c r="A483" s="15" t="s">
        <v>513</v>
      </c>
      <c r="B483" t="str">
        <f>IFERROR(VLOOKUP(Tabla13[[#This Row],[SISMED]],TblDisponibilidad[],2,FALSE), "")</f>
        <v/>
      </c>
      <c r="C483">
        <f>IFERROR(VLOOKUP(Tabla13[[#This Row],[SISMED]],TblDisponibilidad[],7,FALSE), 0)</f>
        <v>0</v>
      </c>
      <c r="D483">
        <f>IFERROR(VLOOKUP(Tabla13[[#This Row],[SISMED]],TblDisponibilidad[],8,FALSE), 0)</f>
        <v>0</v>
      </c>
      <c r="E483">
        <f>IFERROR(VLOOKUP(Tabla13[[#This Row],[SISMED]],TblDisponibilidad[],9,FALSE), 0)</f>
        <v>0</v>
      </c>
      <c r="F483">
        <f>IFERROR(VLOOKUP(Tabla13[[#This Row],[SISMED]],TblDisponibilidad[],10,FALSE), 0)</f>
        <v>0</v>
      </c>
      <c r="G483">
        <f>IFERROR(VLOOKUP(Tabla13[[#This Row],[SISMED]],TblDisponibilidad[],11,FALSE), 0)</f>
        <v>0</v>
      </c>
      <c r="H483">
        <f>IFERROR(VLOOKUP(Tabla13[[#This Row],[SISMED]],TblDisponibilidad[],12,FALSE), 0)</f>
        <v>0</v>
      </c>
      <c r="I483">
        <f>IFERROR(VLOOKUP(Tabla13[[#This Row],[SISMED]],TblDisponibilidad[],13,FALSE), 0)</f>
        <v>0</v>
      </c>
      <c r="J483">
        <f>IFERROR(VLOOKUP(Tabla13[[#This Row],[SISMED]],TblDisponibilidad[],14,FALSE), 0)</f>
        <v>0</v>
      </c>
      <c r="K483">
        <f>IFERROR(VLOOKUP(Tabla13[[#This Row],[SISMED]],TblDisponibilidad[],15,FALSE), 0)</f>
        <v>0</v>
      </c>
      <c r="L483">
        <f>IFERROR(VLOOKUP(Tabla13[[#This Row],[SISMED]],TblDisponibilidad[],16,FALSE), 0)</f>
        <v>0</v>
      </c>
      <c r="M483">
        <f>IFERROR(VLOOKUP(Tabla13[[#This Row],[SISMED]],TblDisponibilidad[],17,FALSE), 0)</f>
        <v>0</v>
      </c>
      <c r="N483">
        <f>IFERROR(VLOOKUP(Tabla13[[#This Row],[SISMED]],TblDisponibilidad[],18,FALSE), 0)</f>
        <v>0</v>
      </c>
      <c r="O483">
        <f>IFERROR(VLOOKUP(Tabla13[[#This Row],[SISMED]],TblDisponibilidad[],19,FALSE), 0)</f>
        <v>0</v>
      </c>
      <c r="P483">
        <f>IFERROR(VLOOKUP(Tabla13[[#This Row],[SISMED]],TblDisponibilidad[],20,FALSE), 0)</f>
        <v>0</v>
      </c>
      <c r="Q483">
        <f>IFERROR(VLOOKUP(Tabla13[[#This Row],[SISMED]],TblDisponibilidad[],21,FALSE), 0)</f>
        <v>0</v>
      </c>
      <c r="R483">
        <f>IFERROR(VLOOKUP(Tabla13[[#This Row],[SISMED]],TblDisponibilidad[],22,FALSE), 0)</f>
        <v>0</v>
      </c>
      <c r="S483" s="15">
        <f>IFERROR(VLOOKUP(Tabla13[[#This Row],[SISMED]],TblDisponibilidad[],23,FALSE), 0)</f>
        <v>0</v>
      </c>
    </row>
    <row r="484" spans="1:19" x14ac:dyDescent="0.3">
      <c r="A484" s="15" t="s">
        <v>514</v>
      </c>
      <c r="B484" t="str">
        <f>IFERROR(VLOOKUP(Tabla13[[#This Row],[SISMED]],TblDisponibilidad[],2,FALSE), "")</f>
        <v/>
      </c>
      <c r="C484">
        <f>IFERROR(VLOOKUP(Tabla13[[#This Row],[SISMED]],TblDisponibilidad[],7,FALSE), 0)</f>
        <v>0</v>
      </c>
      <c r="D484">
        <f>IFERROR(VLOOKUP(Tabla13[[#This Row],[SISMED]],TblDisponibilidad[],8,FALSE), 0)</f>
        <v>0</v>
      </c>
      <c r="E484">
        <f>IFERROR(VLOOKUP(Tabla13[[#This Row],[SISMED]],TblDisponibilidad[],9,FALSE), 0)</f>
        <v>0</v>
      </c>
      <c r="F484">
        <f>IFERROR(VLOOKUP(Tabla13[[#This Row],[SISMED]],TblDisponibilidad[],10,FALSE), 0)</f>
        <v>0</v>
      </c>
      <c r="G484">
        <f>IFERROR(VLOOKUP(Tabla13[[#This Row],[SISMED]],TblDisponibilidad[],11,FALSE), 0)</f>
        <v>0</v>
      </c>
      <c r="H484">
        <f>IFERROR(VLOOKUP(Tabla13[[#This Row],[SISMED]],TblDisponibilidad[],12,FALSE), 0)</f>
        <v>0</v>
      </c>
      <c r="I484">
        <f>IFERROR(VLOOKUP(Tabla13[[#This Row],[SISMED]],TblDisponibilidad[],13,FALSE), 0)</f>
        <v>0</v>
      </c>
      <c r="J484">
        <f>IFERROR(VLOOKUP(Tabla13[[#This Row],[SISMED]],TblDisponibilidad[],14,FALSE), 0)</f>
        <v>0</v>
      </c>
      <c r="K484">
        <f>IFERROR(VLOOKUP(Tabla13[[#This Row],[SISMED]],TblDisponibilidad[],15,FALSE), 0)</f>
        <v>0</v>
      </c>
      <c r="L484">
        <f>IFERROR(VLOOKUP(Tabla13[[#This Row],[SISMED]],TblDisponibilidad[],16,FALSE), 0)</f>
        <v>0</v>
      </c>
      <c r="M484">
        <f>IFERROR(VLOOKUP(Tabla13[[#This Row],[SISMED]],TblDisponibilidad[],17,FALSE), 0)</f>
        <v>0</v>
      </c>
      <c r="N484">
        <f>IFERROR(VLOOKUP(Tabla13[[#This Row],[SISMED]],TblDisponibilidad[],18,FALSE), 0)</f>
        <v>0</v>
      </c>
      <c r="O484">
        <f>IFERROR(VLOOKUP(Tabla13[[#This Row],[SISMED]],TblDisponibilidad[],19,FALSE), 0)</f>
        <v>0</v>
      </c>
      <c r="P484">
        <f>IFERROR(VLOOKUP(Tabla13[[#This Row],[SISMED]],TblDisponibilidad[],20,FALSE), 0)</f>
        <v>0</v>
      </c>
      <c r="Q484">
        <f>IFERROR(VLOOKUP(Tabla13[[#This Row],[SISMED]],TblDisponibilidad[],21,FALSE), 0)</f>
        <v>0</v>
      </c>
      <c r="R484">
        <f>IFERROR(VLOOKUP(Tabla13[[#This Row],[SISMED]],TblDisponibilidad[],22,FALSE), 0)</f>
        <v>0</v>
      </c>
      <c r="S484" s="15">
        <f>IFERROR(VLOOKUP(Tabla13[[#This Row],[SISMED]],TblDisponibilidad[],23,FALSE), 0)</f>
        <v>0</v>
      </c>
    </row>
    <row r="485" spans="1:19" x14ac:dyDescent="0.3">
      <c r="A485" s="15" t="s">
        <v>515</v>
      </c>
      <c r="B485" t="str">
        <f>IFERROR(VLOOKUP(Tabla13[[#This Row],[SISMED]],TblDisponibilidad[],2,FALSE), "")</f>
        <v/>
      </c>
      <c r="C485">
        <f>IFERROR(VLOOKUP(Tabla13[[#This Row],[SISMED]],TblDisponibilidad[],7,FALSE), 0)</f>
        <v>0</v>
      </c>
      <c r="D485">
        <f>IFERROR(VLOOKUP(Tabla13[[#This Row],[SISMED]],TblDisponibilidad[],8,FALSE), 0)</f>
        <v>0</v>
      </c>
      <c r="E485">
        <f>IFERROR(VLOOKUP(Tabla13[[#This Row],[SISMED]],TblDisponibilidad[],9,FALSE), 0)</f>
        <v>0</v>
      </c>
      <c r="F485">
        <f>IFERROR(VLOOKUP(Tabla13[[#This Row],[SISMED]],TblDisponibilidad[],10,FALSE), 0)</f>
        <v>0</v>
      </c>
      <c r="G485">
        <f>IFERROR(VLOOKUP(Tabla13[[#This Row],[SISMED]],TblDisponibilidad[],11,FALSE), 0)</f>
        <v>0</v>
      </c>
      <c r="H485">
        <f>IFERROR(VLOOKUP(Tabla13[[#This Row],[SISMED]],TblDisponibilidad[],12,FALSE), 0)</f>
        <v>0</v>
      </c>
      <c r="I485">
        <f>IFERROR(VLOOKUP(Tabla13[[#This Row],[SISMED]],TblDisponibilidad[],13,FALSE), 0)</f>
        <v>0</v>
      </c>
      <c r="J485">
        <f>IFERROR(VLOOKUP(Tabla13[[#This Row],[SISMED]],TblDisponibilidad[],14,FALSE), 0)</f>
        <v>0</v>
      </c>
      <c r="K485">
        <f>IFERROR(VLOOKUP(Tabla13[[#This Row],[SISMED]],TblDisponibilidad[],15,FALSE), 0)</f>
        <v>0</v>
      </c>
      <c r="L485">
        <f>IFERROR(VLOOKUP(Tabla13[[#This Row],[SISMED]],TblDisponibilidad[],16,FALSE), 0)</f>
        <v>0</v>
      </c>
      <c r="M485">
        <f>IFERROR(VLOOKUP(Tabla13[[#This Row],[SISMED]],TblDisponibilidad[],17,FALSE), 0)</f>
        <v>0</v>
      </c>
      <c r="N485">
        <f>IFERROR(VLOOKUP(Tabla13[[#This Row],[SISMED]],TblDisponibilidad[],18,FALSE), 0)</f>
        <v>0</v>
      </c>
      <c r="O485">
        <f>IFERROR(VLOOKUP(Tabla13[[#This Row],[SISMED]],TblDisponibilidad[],19,FALSE), 0)</f>
        <v>0</v>
      </c>
      <c r="P485">
        <f>IFERROR(VLOOKUP(Tabla13[[#This Row],[SISMED]],TblDisponibilidad[],20,FALSE), 0)</f>
        <v>0</v>
      </c>
      <c r="Q485">
        <f>IFERROR(VLOOKUP(Tabla13[[#This Row],[SISMED]],TblDisponibilidad[],21,FALSE), 0)</f>
        <v>0</v>
      </c>
      <c r="R485">
        <f>IFERROR(VLOOKUP(Tabla13[[#This Row],[SISMED]],TblDisponibilidad[],22,FALSE), 0)</f>
        <v>0</v>
      </c>
      <c r="S485" s="15">
        <f>IFERROR(VLOOKUP(Tabla13[[#This Row],[SISMED]],TblDisponibilidad[],23,FALSE), 0)</f>
        <v>0</v>
      </c>
    </row>
    <row r="486" spans="1:19" x14ac:dyDescent="0.3">
      <c r="A486" s="15" t="s">
        <v>516</v>
      </c>
      <c r="B486" t="str">
        <f>IFERROR(VLOOKUP(Tabla13[[#This Row],[SISMED]],TblDisponibilidad[],2,FALSE), "")</f>
        <v/>
      </c>
      <c r="C486">
        <f>IFERROR(VLOOKUP(Tabla13[[#This Row],[SISMED]],TblDisponibilidad[],7,FALSE), 0)</f>
        <v>0</v>
      </c>
      <c r="D486">
        <f>IFERROR(VLOOKUP(Tabla13[[#This Row],[SISMED]],TblDisponibilidad[],8,FALSE), 0)</f>
        <v>0</v>
      </c>
      <c r="E486">
        <f>IFERROR(VLOOKUP(Tabla13[[#This Row],[SISMED]],TblDisponibilidad[],9,FALSE), 0)</f>
        <v>0</v>
      </c>
      <c r="F486">
        <f>IFERROR(VLOOKUP(Tabla13[[#This Row],[SISMED]],TblDisponibilidad[],10,FALSE), 0)</f>
        <v>0</v>
      </c>
      <c r="G486">
        <f>IFERROR(VLOOKUP(Tabla13[[#This Row],[SISMED]],TblDisponibilidad[],11,FALSE), 0)</f>
        <v>0</v>
      </c>
      <c r="H486">
        <f>IFERROR(VLOOKUP(Tabla13[[#This Row],[SISMED]],TblDisponibilidad[],12,FALSE), 0)</f>
        <v>0</v>
      </c>
      <c r="I486">
        <f>IFERROR(VLOOKUP(Tabla13[[#This Row],[SISMED]],TblDisponibilidad[],13,FALSE), 0)</f>
        <v>0</v>
      </c>
      <c r="J486">
        <f>IFERROR(VLOOKUP(Tabla13[[#This Row],[SISMED]],TblDisponibilidad[],14,FALSE), 0)</f>
        <v>0</v>
      </c>
      <c r="K486">
        <f>IFERROR(VLOOKUP(Tabla13[[#This Row],[SISMED]],TblDisponibilidad[],15,FALSE), 0)</f>
        <v>0</v>
      </c>
      <c r="L486">
        <f>IFERROR(VLOOKUP(Tabla13[[#This Row],[SISMED]],TblDisponibilidad[],16,FALSE), 0)</f>
        <v>0</v>
      </c>
      <c r="M486">
        <f>IFERROR(VLOOKUP(Tabla13[[#This Row],[SISMED]],TblDisponibilidad[],17,FALSE), 0)</f>
        <v>0</v>
      </c>
      <c r="N486">
        <f>IFERROR(VLOOKUP(Tabla13[[#This Row],[SISMED]],TblDisponibilidad[],18,FALSE), 0)</f>
        <v>0</v>
      </c>
      <c r="O486">
        <f>IFERROR(VLOOKUP(Tabla13[[#This Row],[SISMED]],TblDisponibilidad[],19,FALSE), 0)</f>
        <v>0</v>
      </c>
      <c r="P486">
        <f>IFERROR(VLOOKUP(Tabla13[[#This Row],[SISMED]],TblDisponibilidad[],20,FALSE), 0)</f>
        <v>0</v>
      </c>
      <c r="Q486">
        <f>IFERROR(VLOOKUP(Tabla13[[#This Row],[SISMED]],TblDisponibilidad[],21,FALSE), 0)</f>
        <v>0</v>
      </c>
      <c r="R486">
        <f>IFERROR(VLOOKUP(Tabla13[[#This Row],[SISMED]],TblDisponibilidad[],22,FALSE), 0)</f>
        <v>0</v>
      </c>
      <c r="S486" s="15">
        <f>IFERROR(VLOOKUP(Tabla13[[#This Row],[SISMED]],TblDisponibilidad[],23,FALSE), 0)</f>
        <v>0</v>
      </c>
    </row>
    <row r="487" spans="1:19" x14ac:dyDescent="0.3">
      <c r="A487" s="15" t="s">
        <v>517</v>
      </c>
      <c r="B487" t="str">
        <f>IFERROR(VLOOKUP(Tabla13[[#This Row],[SISMED]],TblDisponibilidad[],2,FALSE), "")</f>
        <v/>
      </c>
      <c r="C487">
        <f>IFERROR(VLOOKUP(Tabla13[[#This Row],[SISMED]],TblDisponibilidad[],7,FALSE), 0)</f>
        <v>0</v>
      </c>
      <c r="D487">
        <f>IFERROR(VLOOKUP(Tabla13[[#This Row],[SISMED]],TblDisponibilidad[],8,FALSE), 0)</f>
        <v>0</v>
      </c>
      <c r="E487">
        <f>IFERROR(VLOOKUP(Tabla13[[#This Row],[SISMED]],TblDisponibilidad[],9,FALSE), 0)</f>
        <v>0</v>
      </c>
      <c r="F487">
        <f>IFERROR(VLOOKUP(Tabla13[[#This Row],[SISMED]],TblDisponibilidad[],10,FALSE), 0)</f>
        <v>0</v>
      </c>
      <c r="G487">
        <f>IFERROR(VLOOKUP(Tabla13[[#This Row],[SISMED]],TblDisponibilidad[],11,FALSE), 0)</f>
        <v>0</v>
      </c>
      <c r="H487">
        <f>IFERROR(VLOOKUP(Tabla13[[#This Row],[SISMED]],TblDisponibilidad[],12,FALSE), 0)</f>
        <v>0</v>
      </c>
      <c r="I487">
        <f>IFERROR(VLOOKUP(Tabla13[[#This Row],[SISMED]],TblDisponibilidad[],13,FALSE), 0)</f>
        <v>0</v>
      </c>
      <c r="J487">
        <f>IFERROR(VLOOKUP(Tabla13[[#This Row],[SISMED]],TblDisponibilidad[],14,FALSE), 0)</f>
        <v>0</v>
      </c>
      <c r="K487">
        <f>IFERROR(VLOOKUP(Tabla13[[#This Row],[SISMED]],TblDisponibilidad[],15,FALSE), 0)</f>
        <v>0</v>
      </c>
      <c r="L487">
        <f>IFERROR(VLOOKUP(Tabla13[[#This Row],[SISMED]],TblDisponibilidad[],16,FALSE), 0)</f>
        <v>0</v>
      </c>
      <c r="M487">
        <f>IFERROR(VLOOKUP(Tabla13[[#This Row],[SISMED]],TblDisponibilidad[],17,FALSE), 0)</f>
        <v>0</v>
      </c>
      <c r="N487">
        <f>IFERROR(VLOOKUP(Tabla13[[#This Row],[SISMED]],TblDisponibilidad[],18,FALSE), 0)</f>
        <v>0</v>
      </c>
      <c r="O487">
        <f>IFERROR(VLOOKUP(Tabla13[[#This Row],[SISMED]],TblDisponibilidad[],19,FALSE), 0)</f>
        <v>0</v>
      </c>
      <c r="P487">
        <f>IFERROR(VLOOKUP(Tabla13[[#This Row],[SISMED]],TblDisponibilidad[],20,FALSE), 0)</f>
        <v>0</v>
      </c>
      <c r="Q487">
        <f>IFERROR(VLOOKUP(Tabla13[[#This Row],[SISMED]],TblDisponibilidad[],21,FALSE), 0)</f>
        <v>0</v>
      </c>
      <c r="R487">
        <f>IFERROR(VLOOKUP(Tabla13[[#This Row],[SISMED]],TblDisponibilidad[],22,FALSE), 0)</f>
        <v>0</v>
      </c>
      <c r="S487" s="15">
        <f>IFERROR(VLOOKUP(Tabla13[[#This Row],[SISMED]],TblDisponibilidad[],23,FALSE), 0)</f>
        <v>0</v>
      </c>
    </row>
    <row r="488" spans="1:19" x14ac:dyDescent="0.3">
      <c r="A488" s="15" t="s">
        <v>518</v>
      </c>
      <c r="B488" t="str">
        <f>IFERROR(VLOOKUP(Tabla13[[#This Row],[SISMED]],TblDisponibilidad[],2,FALSE), "")</f>
        <v/>
      </c>
      <c r="C488">
        <f>IFERROR(VLOOKUP(Tabla13[[#This Row],[SISMED]],TblDisponibilidad[],7,FALSE), 0)</f>
        <v>0</v>
      </c>
      <c r="D488">
        <f>IFERROR(VLOOKUP(Tabla13[[#This Row],[SISMED]],TblDisponibilidad[],8,FALSE), 0)</f>
        <v>0</v>
      </c>
      <c r="E488">
        <f>IFERROR(VLOOKUP(Tabla13[[#This Row],[SISMED]],TblDisponibilidad[],9,FALSE), 0)</f>
        <v>0</v>
      </c>
      <c r="F488">
        <f>IFERROR(VLOOKUP(Tabla13[[#This Row],[SISMED]],TblDisponibilidad[],10,FALSE), 0)</f>
        <v>0</v>
      </c>
      <c r="G488">
        <f>IFERROR(VLOOKUP(Tabla13[[#This Row],[SISMED]],TblDisponibilidad[],11,FALSE), 0)</f>
        <v>0</v>
      </c>
      <c r="H488">
        <f>IFERROR(VLOOKUP(Tabla13[[#This Row],[SISMED]],TblDisponibilidad[],12,FALSE), 0)</f>
        <v>0</v>
      </c>
      <c r="I488">
        <f>IFERROR(VLOOKUP(Tabla13[[#This Row],[SISMED]],TblDisponibilidad[],13,FALSE), 0)</f>
        <v>0</v>
      </c>
      <c r="J488">
        <f>IFERROR(VLOOKUP(Tabla13[[#This Row],[SISMED]],TblDisponibilidad[],14,FALSE), 0)</f>
        <v>0</v>
      </c>
      <c r="K488">
        <f>IFERROR(VLOOKUP(Tabla13[[#This Row],[SISMED]],TblDisponibilidad[],15,FALSE), 0)</f>
        <v>0</v>
      </c>
      <c r="L488">
        <f>IFERROR(VLOOKUP(Tabla13[[#This Row],[SISMED]],TblDisponibilidad[],16,FALSE), 0)</f>
        <v>0</v>
      </c>
      <c r="M488">
        <f>IFERROR(VLOOKUP(Tabla13[[#This Row],[SISMED]],TblDisponibilidad[],17,FALSE), 0)</f>
        <v>0</v>
      </c>
      <c r="N488">
        <f>IFERROR(VLOOKUP(Tabla13[[#This Row],[SISMED]],TblDisponibilidad[],18,FALSE), 0)</f>
        <v>0</v>
      </c>
      <c r="O488">
        <f>IFERROR(VLOOKUP(Tabla13[[#This Row],[SISMED]],TblDisponibilidad[],19,FALSE), 0)</f>
        <v>0</v>
      </c>
      <c r="P488">
        <f>IFERROR(VLOOKUP(Tabla13[[#This Row],[SISMED]],TblDisponibilidad[],20,FALSE), 0)</f>
        <v>0</v>
      </c>
      <c r="Q488">
        <f>IFERROR(VLOOKUP(Tabla13[[#This Row],[SISMED]],TblDisponibilidad[],21,FALSE), 0)</f>
        <v>0</v>
      </c>
      <c r="R488">
        <f>IFERROR(VLOOKUP(Tabla13[[#This Row],[SISMED]],TblDisponibilidad[],22,FALSE), 0)</f>
        <v>0</v>
      </c>
      <c r="S488" s="15">
        <f>IFERROR(VLOOKUP(Tabla13[[#This Row],[SISMED]],TblDisponibilidad[],23,FALSE), 0)</f>
        <v>0</v>
      </c>
    </row>
    <row r="489" spans="1:19" x14ac:dyDescent="0.3">
      <c r="A489" s="15" t="s">
        <v>519</v>
      </c>
      <c r="B489" t="str">
        <f>IFERROR(VLOOKUP(Tabla13[[#This Row],[SISMED]],TblDisponibilidad[],2,FALSE), "")</f>
        <v/>
      </c>
      <c r="C489">
        <f>IFERROR(VLOOKUP(Tabla13[[#This Row],[SISMED]],TblDisponibilidad[],7,FALSE), 0)</f>
        <v>0</v>
      </c>
      <c r="D489">
        <f>IFERROR(VLOOKUP(Tabla13[[#This Row],[SISMED]],TblDisponibilidad[],8,FALSE), 0)</f>
        <v>0</v>
      </c>
      <c r="E489">
        <f>IFERROR(VLOOKUP(Tabla13[[#This Row],[SISMED]],TblDisponibilidad[],9,FALSE), 0)</f>
        <v>0</v>
      </c>
      <c r="F489">
        <f>IFERROR(VLOOKUP(Tabla13[[#This Row],[SISMED]],TblDisponibilidad[],10,FALSE), 0)</f>
        <v>0</v>
      </c>
      <c r="G489">
        <f>IFERROR(VLOOKUP(Tabla13[[#This Row],[SISMED]],TblDisponibilidad[],11,FALSE), 0)</f>
        <v>0</v>
      </c>
      <c r="H489">
        <f>IFERROR(VLOOKUP(Tabla13[[#This Row],[SISMED]],TblDisponibilidad[],12,FALSE), 0)</f>
        <v>0</v>
      </c>
      <c r="I489">
        <f>IFERROR(VLOOKUP(Tabla13[[#This Row],[SISMED]],TblDisponibilidad[],13,FALSE), 0)</f>
        <v>0</v>
      </c>
      <c r="J489">
        <f>IFERROR(VLOOKUP(Tabla13[[#This Row],[SISMED]],TblDisponibilidad[],14,FALSE), 0)</f>
        <v>0</v>
      </c>
      <c r="K489">
        <f>IFERROR(VLOOKUP(Tabla13[[#This Row],[SISMED]],TblDisponibilidad[],15,FALSE), 0)</f>
        <v>0</v>
      </c>
      <c r="L489">
        <f>IFERROR(VLOOKUP(Tabla13[[#This Row],[SISMED]],TblDisponibilidad[],16,FALSE), 0)</f>
        <v>0</v>
      </c>
      <c r="M489">
        <f>IFERROR(VLOOKUP(Tabla13[[#This Row],[SISMED]],TblDisponibilidad[],17,FALSE), 0)</f>
        <v>0</v>
      </c>
      <c r="N489">
        <f>IFERROR(VLOOKUP(Tabla13[[#This Row],[SISMED]],TblDisponibilidad[],18,FALSE), 0)</f>
        <v>0</v>
      </c>
      <c r="O489">
        <f>IFERROR(VLOOKUP(Tabla13[[#This Row],[SISMED]],TblDisponibilidad[],19,FALSE), 0)</f>
        <v>0</v>
      </c>
      <c r="P489">
        <f>IFERROR(VLOOKUP(Tabla13[[#This Row],[SISMED]],TblDisponibilidad[],20,FALSE), 0)</f>
        <v>0</v>
      </c>
      <c r="Q489">
        <f>IFERROR(VLOOKUP(Tabla13[[#This Row],[SISMED]],TblDisponibilidad[],21,FALSE), 0)</f>
        <v>0</v>
      </c>
      <c r="R489">
        <f>IFERROR(VLOOKUP(Tabla13[[#This Row],[SISMED]],TblDisponibilidad[],22,FALSE), 0)</f>
        <v>0</v>
      </c>
      <c r="S489" s="15">
        <f>IFERROR(VLOOKUP(Tabla13[[#This Row],[SISMED]],TblDisponibilidad[],23,FALSE), 0)</f>
        <v>0</v>
      </c>
    </row>
    <row r="490" spans="1:19" x14ac:dyDescent="0.3">
      <c r="A490" s="15" t="s">
        <v>520</v>
      </c>
      <c r="B490" t="str">
        <f>IFERROR(VLOOKUP(Tabla13[[#This Row],[SISMED]],TblDisponibilidad[],2,FALSE), "")</f>
        <v/>
      </c>
      <c r="C490">
        <f>IFERROR(VLOOKUP(Tabla13[[#This Row],[SISMED]],TblDisponibilidad[],7,FALSE), 0)</f>
        <v>0</v>
      </c>
      <c r="D490">
        <f>IFERROR(VLOOKUP(Tabla13[[#This Row],[SISMED]],TblDisponibilidad[],8,FALSE), 0)</f>
        <v>0</v>
      </c>
      <c r="E490">
        <f>IFERROR(VLOOKUP(Tabla13[[#This Row],[SISMED]],TblDisponibilidad[],9,FALSE), 0)</f>
        <v>0</v>
      </c>
      <c r="F490">
        <f>IFERROR(VLOOKUP(Tabla13[[#This Row],[SISMED]],TblDisponibilidad[],10,FALSE), 0)</f>
        <v>0</v>
      </c>
      <c r="G490">
        <f>IFERROR(VLOOKUP(Tabla13[[#This Row],[SISMED]],TblDisponibilidad[],11,FALSE), 0)</f>
        <v>0</v>
      </c>
      <c r="H490">
        <f>IFERROR(VLOOKUP(Tabla13[[#This Row],[SISMED]],TblDisponibilidad[],12,FALSE), 0)</f>
        <v>0</v>
      </c>
      <c r="I490">
        <f>IFERROR(VLOOKUP(Tabla13[[#This Row],[SISMED]],TblDisponibilidad[],13,FALSE), 0)</f>
        <v>0</v>
      </c>
      <c r="J490">
        <f>IFERROR(VLOOKUP(Tabla13[[#This Row],[SISMED]],TblDisponibilidad[],14,FALSE), 0)</f>
        <v>0</v>
      </c>
      <c r="K490">
        <f>IFERROR(VLOOKUP(Tabla13[[#This Row],[SISMED]],TblDisponibilidad[],15,FALSE), 0)</f>
        <v>0</v>
      </c>
      <c r="L490">
        <f>IFERROR(VLOOKUP(Tabla13[[#This Row],[SISMED]],TblDisponibilidad[],16,FALSE), 0)</f>
        <v>0</v>
      </c>
      <c r="M490">
        <f>IFERROR(VLOOKUP(Tabla13[[#This Row],[SISMED]],TblDisponibilidad[],17,FALSE), 0)</f>
        <v>0</v>
      </c>
      <c r="N490">
        <f>IFERROR(VLOOKUP(Tabla13[[#This Row],[SISMED]],TblDisponibilidad[],18,FALSE), 0)</f>
        <v>0</v>
      </c>
      <c r="O490">
        <f>IFERROR(VLOOKUP(Tabla13[[#This Row],[SISMED]],TblDisponibilidad[],19,FALSE), 0)</f>
        <v>0</v>
      </c>
      <c r="P490">
        <f>IFERROR(VLOOKUP(Tabla13[[#This Row],[SISMED]],TblDisponibilidad[],20,FALSE), 0)</f>
        <v>0</v>
      </c>
      <c r="Q490">
        <f>IFERROR(VLOOKUP(Tabla13[[#This Row],[SISMED]],TblDisponibilidad[],21,FALSE), 0)</f>
        <v>0</v>
      </c>
      <c r="R490">
        <f>IFERROR(VLOOKUP(Tabla13[[#This Row],[SISMED]],TblDisponibilidad[],22,FALSE), 0)</f>
        <v>0</v>
      </c>
      <c r="S490" s="15">
        <f>IFERROR(VLOOKUP(Tabla13[[#This Row],[SISMED]],TblDisponibilidad[],23,FALSE), 0)</f>
        <v>0</v>
      </c>
    </row>
    <row r="491" spans="1:19" x14ac:dyDescent="0.3">
      <c r="A491" s="15" t="s">
        <v>521</v>
      </c>
      <c r="B491" t="str">
        <f>IFERROR(VLOOKUP(Tabla13[[#This Row],[SISMED]],TblDisponibilidad[],2,FALSE), "")</f>
        <v/>
      </c>
      <c r="C491">
        <f>IFERROR(VLOOKUP(Tabla13[[#This Row],[SISMED]],TblDisponibilidad[],7,FALSE), 0)</f>
        <v>0</v>
      </c>
      <c r="D491">
        <f>IFERROR(VLOOKUP(Tabla13[[#This Row],[SISMED]],TblDisponibilidad[],8,FALSE), 0)</f>
        <v>0</v>
      </c>
      <c r="E491">
        <f>IFERROR(VLOOKUP(Tabla13[[#This Row],[SISMED]],TblDisponibilidad[],9,FALSE), 0)</f>
        <v>0</v>
      </c>
      <c r="F491">
        <f>IFERROR(VLOOKUP(Tabla13[[#This Row],[SISMED]],TblDisponibilidad[],10,FALSE), 0)</f>
        <v>0</v>
      </c>
      <c r="G491">
        <f>IFERROR(VLOOKUP(Tabla13[[#This Row],[SISMED]],TblDisponibilidad[],11,FALSE), 0)</f>
        <v>0</v>
      </c>
      <c r="H491">
        <f>IFERROR(VLOOKUP(Tabla13[[#This Row],[SISMED]],TblDisponibilidad[],12,FALSE), 0)</f>
        <v>0</v>
      </c>
      <c r="I491">
        <f>IFERROR(VLOOKUP(Tabla13[[#This Row],[SISMED]],TblDisponibilidad[],13,FALSE), 0)</f>
        <v>0</v>
      </c>
      <c r="J491">
        <f>IFERROR(VLOOKUP(Tabla13[[#This Row],[SISMED]],TblDisponibilidad[],14,FALSE), 0)</f>
        <v>0</v>
      </c>
      <c r="K491">
        <f>IFERROR(VLOOKUP(Tabla13[[#This Row],[SISMED]],TblDisponibilidad[],15,FALSE), 0)</f>
        <v>0</v>
      </c>
      <c r="L491">
        <f>IFERROR(VLOOKUP(Tabla13[[#This Row],[SISMED]],TblDisponibilidad[],16,FALSE), 0)</f>
        <v>0</v>
      </c>
      <c r="M491">
        <f>IFERROR(VLOOKUP(Tabla13[[#This Row],[SISMED]],TblDisponibilidad[],17,FALSE), 0)</f>
        <v>0</v>
      </c>
      <c r="N491">
        <f>IFERROR(VLOOKUP(Tabla13[[#This Row],[SISMED]],TblDisponibilidad[],18,FALSE), 0)</f>
        <v>0</v>
      </c>
      <c r="O491">
        <f>IFERROR(VLOOKUP(Tabla13[[#This Row],[SISMED]],TblDisponibilidad[],19,FALSE), 0)</f>
        <v>0</v>
      </c>
      <c r="P491">
        <f>IFERROR(VLOOKUP(Tabla13[[#This Row],[SISMED]],TblDisponibilidad[],20,FALSE), 0)</f>
        <v>0</v>
      </c>
      <c r="Q491">
        <f>IFERROR(VLOOKUP(Tabla13[[#This Row],[SISMED]],TblDisponibilidad[],21,FALSE), 0)</f>
        <v>0</v>
      </c>
      <c r="R491">
        <f>IFERROR(VLOOKUP(Tabla13[[#This Row],[SISMED]],TblDisponibilidad[],22,FALSE), 0)</f>
        <v>0</v>
      </c>
      <c r="S491" s="15">
        <f>IFERROR(VLOOKUP(Tabla13[[#This Row],[SISMED]],TblDisponibilidad[],23,FALSE), 0)</f>
        <v>0</v>
      </c>
    </row>
    <row r="492" spans="1:19" x14ac:dyDescent="0.3">
      <c r="A492" s="15" t="s">
        <v>522</v>
      </c>
      <c r="B492" t="str">
        <f>IFERROR(VLOOKUP(Tabla13[[#This Row],[SISMED]],TblDisponibilidad[],2,FALSE), "")</f>
        <v/>
      </c>
      <c r="C492">
        <f>IFERROR(VLOOKUP(Tabla13[[#This Row],[SISMED]],TblDisponibilidad[],7,FALSE), 0)</f>
        <v>0</v>
      </c>
      <c r="D492">
        <f>IFERROR(VLOOKUP(Tabla13[[#This Row],[SISMED]],TblDisponibilidad[],8,FALSE), 0)</f>
        <v>0</v>
      </c>
      <c r="E492">
        <f>IFERROR(VLOOKUP(Tabla13[[#This Row],[SISMED]],TblDisponibilidad[],9,FALSE), 0)</f>
        <v>0</v>
      </c>
      <c r="F492">
        <f>IFERROR(VLOOKUP(Tabla13[[#This Row],[SISMED]],TblDisponibilidad[],10,FALSE), 0)</f>
        <v>0</v>
      </c>
      <c r="G492">
        <f>IFERROR(VLOOKUP(Tabla13[[#This Row],[SISMED]],TblDisponibilidad[],11,FALSE), 0)</f>
        <v>0</v>
      </c>
      <c r="H492">
        <f>IFERROR(VLOOKUP(Tabla13[[#This Row],[SISMED]],TblDisponibilidad[],12,FALSE), 0)</f>
        <v>0</v>
      </c>
      <c r="I492">
        <f>IFERROR(VLOOKUP(Tabla13[[#This Row],[SISMED]],TblDisponibilidad[],13,FALSE), 0)</f>
        <v>0</v>
      </c>
      <c r="J492">
        <f>IFERROR(VLOOKUP(Tabla13[[#This Row],[SISMED]],TblDisponibilidad[],14,FALSE), 0)</f>
        <v>0</v>
      </c>
      <c r="K492">
        <f>IFERROR(VLOOKUP(Tabla13[[#This Row],[SISMED]],TblDisponibilidad[],15,FALSE), 0)</f>
        <v>0</v>
      </c>
      <c r="L492">
        <f>IFERROR(VLOOKUP(Tabla13[[#This Row],[SISMED]],TblDisponibilidad[],16,FALSE), 0)</f>
        <v>0</v>
      </c>
      <c r="M492">
        <f>IFERROR(VLOOKUP(Tabla13[[#This Row],[SISMED]],TblDisponibilidad[],17,FALSE), 0)</f>
        <v>0</v>
      </c>
      <c r="N492">
        <f>IFERROR(VLOOKUP(Tabla13[[#This Row],[SISMED]],TblDisponibilidad[],18,FALSE), 0)</f>
        <v>0</v>
      </c>
      <c r="O492">
        <f>IFERROR(VLOOKUP(Tabla13[[#This Row],[SISMED]],TblDisponibilidad[],19,FALSE), 0)</f>
        <v>0</v>
      </c>
      <c r="P492">
        <f>IFERROR(VLOOKUP(Tabla13[[#This Row],[SISMED]],TblDisponibilidad[],20,FALSE), 0)</f>
        <v>0</v>
      </c>
      <c r="Q492">
        <f>IFERROR(VLOOKUP(Tabla13[[#This Row],[SISMED]],TblDisponibilidad[],21,FALSE), 0)</f>
        <v>0</v>
      </c>
      <c r="R492">
        <f>IFERROR(VLOOKUP(Tabla13[[#This Row],[SISMED]],TblDisponibilidad[],22,FALSE), 0)</f>
        <v>0</v>
      </c>
      <c r="S492" s="15">
        <f>IFERROR(VLOOKUP(Tabla13[[#This Row],[SISMED]],TblDisponibilidad[],23,FALSE), 0)</f>
        <v>0</v>
      </c>
    </row>
    <row r="493" spans="1:19" x14ac:dyDescent="0.3">
      <c r="A493" s="15" t="s">
        <v>523</v>
      </c>
      <c r="B493" t="str">
        <f>IFERROR(VLOOKUP(Tabla13[[#This Row],[SISMED]],TblDisponibilidad[],2,FALSE), "")</f>
        <v/>
      </c>
      <c r="C493">
        <f>IFERROR(VLOOKUP(Tabla13[[#This Row],[SISMED]],TblDisponibilidad[],7,FALSE), 0)</f>
        <v>0</v>
      </c>
      <c r="D493">
        <f>IFERROR(VLOOKUP(Tabla13[[#This Row],[SISMED]],TblDisponibilidad[],8,FALSE), 0)</f>
        <v>0</v>
      </c>
      <c r="E493">
        <f>IFERROR(VLOOKUP(Tabla13[[#This Row],[SISMED]],TblDisponibilidad[],9,FALSE), 0)</f>
        <v>0</v>
      </c>
      <c r="F493">
        <f>IFERROR(VLOOKUP(Tabla13[[#This Row],[SISMED]],TblDisponibilidad[],10,FALSE), 0)</f>
        <v>0</v>
      </c>
      <c r="G493">
        <f>IFERROR(VLOOKUP(Tabla13[[#This Row],[SISMED]],TblDisponibilidad[],11,FALSE), 0)</f>
        <v>0</v>
      </c>
      <c r="H493">
        <f>IFERROR(VLOOKUP(Tabla13[[#This Row],[SISMED]],TblDisponibilidad[],12,FALSE), 0)</f>
        <v>0</v>
      </c>
      <c r="I493">
        <f>IFERROR(VLOOKUP(Tabla13[[#This Row],[SISMED]],TblDisponibilidad[],13,FALSE), 0)</f>
        <v>0</v>
      </c>
      <c r="J493">
        <f>IFERROR(VLOOKUP(Tabla13[[#This Row],[SISMED]],TblDisponibilidad[],14,FALSE), 0)</f>
        <v>0</v>
      </c>
      <c r="K493">
        <f>IFERROR(VLOOKUP(Tabla13[[#This Row],[SISMED]],TblDisponibilidad[],15,FALSE), 0)</f>
        <v>0</v>
      </c>
      <c r="L493">
        <f>IFERROR(VLOOKUP(Tabla13[[#This Row],[SISMED]],TblDisponibilidad[],16,FALSE), 0)</f>
        <v>0</v>
      </c>
      <c r="M493">
        <f>IFERROR(VLOOKUP(Tabla13[[#This Row],[SISMED]],TblDisponibilidad[],17,FALSE), 0)</f>
        <v>0</v>
      </c>
      <c r="N493">
        <f>IFERROR(VLOOKUP(Tabla13[[#This Row],[SISMED]],TblDisponibilidad[],18,FALSE), 0)</f>
        <v>0</v>
      </c>
      <c r="O493">
        <f>IFERROR(VLOOKUP(Tabla13[[#This Row],[SISMED]],TblDisponibilidad[],19,FALSE), 0)</f>
        <v>0</v>
      </c>
      <c r="P493">
        <f>IFERROR(VLOOKUP(Tabla13[[#This Row],[SISMED]],TblDisponibilidad[],20,FALSE), 0)</f>
        <v>0</v>
      </c>
      <c r="Q493">
        <f>IFERROR(VLOOKUP(Tabla13[[#This Row],[SISMED]],TblDisponibilidad[],21,FALSE), 0)</f>
        <v>0</v>
      </c>
      <c r="R493">
        <f>IFERROR(VLOOKUP(Tabla13[[#This Row],[SISMED]],TblDisponibilidad[],22,FALSE), 0)</f>
        <v>0</v>
      </c>
      <c r="S493" s="15">
        <f>IFERROR(VLOOKUP(Tabla13[[#This Row],[SISMED]],TblDisponibilidad[],23,FALSE), 0)</f>
        <v>0</v>
      </c>
    </row>
    <row r="494" spans="1:19" x14ac:dyDescent="0.3">
      <c r="A494" s="15" t="s">
        <v>524</v>
      </c>
      <c r="B494" t="str">
        <f>IFERROR(VLOOKUP(Tabla13[[#This Row],[SISMED]],TblDisponibilidad[],2,FALSE), "")</f>
        <v/>
      </c>
      <c r="C494">
        <f>IFERROR(VLOOKUP(Tabla13[[#This Row],[SISMED]],TblDisponibilidad[],7,FALSE), 0)</f>
        <v>0</v>
      </c>
      <c r="D494">
        <f>IFERROR(VLOOKUP(Tabla13[[#This Row],[SISMED]],TblDisponibilidad[],8,FALSE), 0)</f>
        <v>0</v>
      </c>
      <c r="E494">
        <f>IFERROR(VLOOKUP(Tabla13[[#This Row],[SISMED]],TblDisponibilidad[],9,FALSE), 0)</f>
        <v>0</v>
      </c>
      <c r="F494">
        <f>IFERROR(VLOOKUP(Tabla13[[#This Row],[SISMED]],TblDisponibilidad[],10,FALSE), 0)</f>
        <v>0</v>
      </c>
      <c r="G494">
        <f>IFERROR(VLOOKUP(Tabla13[[#This Row],[SISMED]],TblDisponibilidad[],11,FALSE), 0)</f>
        <v>0</v>
      </c>
      <c r="H494">
        <f>IFERROR(VLOOKUP(Tabla13[[#This Row],[SISMED]],TblDisponibilidad[],12,FALSE), 0)</f>
        <v>0</v>
      </c>
      <c r="I494">
        <f>IFERROR(VLOOKUP(Tabla13[[#This Row],[SISMED]],TblDisponibilidad[],13,FALSE), 0)</f>
        <v>0</v>
      </c>
      <c r="J494">
        <f>IFERROR(VLOOKUP(Tabla13[[#This Row],[SISMED]],TblDisponibilidad[],14,FALSE), 0)</f>
        <v>0</v>
      </c>
      <c r="K494">
        <f>IFERROR(VLOOKUP(Tabla13[[#This Row],[SISMED]],TblDisponibilidad[],15,FALSE), 0)</f>
        <v>0</v>
      </c>
      <c r="L494">
        <f>IFERROR(VLOOKUP(Tabla13[[#This Row],[SISMED]],TblDisponibilidad[],16,FALSE), 0)</f>
        <v>0</v>
      </c>
      <c r="M494">
        <f>IFERROR(VLOOKUP(Tabla13[[#This Row],[SISMED]],TblDisponibilidad[],17,FALSE), 0)</f>
        <v>0</v>
      </c>
      <c r="N494">
        <f>IFERROR(VLOOKUP(Tabla13[[#This Row],[SISMED]],TblDisponibilidad[],18,FALSE), 0)</f>
        <v>0</v>
      </c>
      <c r="O494">
        <f>IFERROR(VLOOKUP(Tabla13[[#This Row],[SISMED]],TblDisponibilidad[],19,FALSE), 0)</f>
        <v>0</v>
      </c>
      <c r="P494">
        <f>IFERROR(VLOOKUP(Tabla13[[#This Row],[SISMED]],TblDisponibilidad[],20,FALSE), 0)</f>
        <v>0</v>
      </c>
      <c r="Q494">
        <f>IFERROR(VLOOKUP(Tabla13[[#This Row],[SISMED]],TblDisponibilidad[],21,FALSE), 0)</f>
        <v>0</v>
      </c>
      <c r="R494">
        <f>IFERROR(VLOOKUP(Tabla13[[#This Row],[SISMED]],TblDisponibilidad[],22,FALSE), 0)</f>
        <v>0</v>
      </c>
      <c r="S494" s="15">
        <f>IFERROR(VLOOKUP(Tabla13[[#This Row],[SISMED]],TblDisponibilidad[],23,FALSE), 0)</f>
        <v>0</v>
      </c>
    </row>
    <row r="495" spans="1:19" x14ac:dyDescent="0.3">
      <c r="A495" s="15" t="s">
        <v>525</v>
      </c>
      <c r="B495" t="str">
        <f>IFERROR(VLOOKUP(Tabla13[[#This Row],[SISMED]],TblDisponibilidad[],2,FALSE), "")</f>
        <v/>
      </c>
      <c r="C495">
        <f>IFERROR(VLOOKUP(Tabla13[[#This Row],[SISMED]],TblDisponibilidad[],7,FALSE), 0)</f>
        <v>0</v>
      </c>
      <c r="D495">
        <f>IFERROR(VLOOKUP(Tabla13[[#This Row],[SISMED]],TblDisponibilidad[],8,FALSE), 0)</f>
        <v>0</v>
      </c>
      <c r="E495">
        <f>IFERROR(VLOOKUP(Tabla13[[#This Row],[SISMED]],TblDisponibilidad[],9,FALSE), 0)</f>
        <v>0</v>
      </c>
      <c r="F495">
        <f>IFERROR(VLOOKUP(Tabla13[[#This Row],[SISMED]],TblDisponibilidad[],10,FALSE), 0)</f>
        <v>0</v>
      </c>
      <c r="G495">
        <f>IFERROR(VLOOKUP(Tabla13[[#This Row],[SISMED]],TblDisponibilidad[],11,FALSE), 0)</f>
        <v>0</v>
      </c>
      <c r="H495">
        <f>IFERROR(VLOOKUP(Tabla13[[#This Row],[SISMED]],TblDisponibilidad[],12,FALSE), 0)</f>
        <v>0</v>
      </c>
      <c r="I495">
        <f>IFERROR(VLOOKUP(Tabla13[[#This Row],[SISMED]],TblDisponibilidad[],13,FALSE), 0)</f>
        <v>0</v>
      </c>
      <c r="J495">
        <f>IFERROR(VLOOKUP(Tabla13[[#This Row],[SISMED]],TblDisponibilidad[],14,FALSE), 0)</f>
        <v>0</v>
      </c>
      <c r="K495">
        <f>IFERROR(VLOOKUP(Tabla13[[#This Row],[SISMED]],TblDisponibilidad[],15,FALSE), 0)</f>
        <v>0</v>
      </c>
      <c r="L495">
        <f>IFERROR(VLOOKUP(Tabla13[[#This Row],[SISMED]],TblDisponibilidad[],16,FALSE), 0)</f>
        <v>0</v>
      </c>
      <c r="M495">
        <f>IFERROR(VLOOKUP(Tabla13[[#This Row],[SISMED]],TblDisponibilidad[],17,FALSE), 0)</f>
        <v>0</v>
      </c>
      <c r="N495">
        <f>IFERROR(VLOOKUP(Tabla13[[#This Row],[SISMED]],TblDisponibilidad[],18,FALSE), 0)</f>
        <v>0</v>
      </c>
      <c r="O495">
        <f>IFERROR(VLOOKUP(Tabla13[[#This Row],[SISMED]],TblDisponibilidad[],19,FALSE), 0)</f>
        <v>0</v>
      </c>
      <c r="P495">
        <f>IFERROR(VLOOKUP(Tabla13[[#This Row],[SISMED]],TblDisponibilidad[],20,FALSE), 0)</f>
        <v>0</v>
      </c>
      <c r="Q495">
        <f>IFERROR(VLOOKUP(Tabla13[[#This Row],[SISMED]],TblDisponibilidad[],21,FALSE), 0)</f>
        <v>0</v>
      </c>
      <c r="R495">
        <f>IFERROR(VLOOKUP(Tabla13[[#This Row],[SISMED]],TblDisponibilidad[],22,FALSE), 0)</f>
        <v>0</v>
      </c>
      <c r="S495" s="15">
        <f>IFERROR(VLOOKUP(Tabla13[[#This Row],[SISMED]],TblDisponibilidad[],23,FALSE), 0)</f>
        <v>0</v>
      </c>
    </row>
    <row r="496" spans="1:19" x14ac:dyDescent="0.3">
      <c r="A496" s="15" t="s">
        <v>526</v>
      </c>
      <c r="B496" t="str">
        <f>IFERROR(VLOOKUP(Tabla13[[#This Row],[SISMED]],TblDisponibilidad[],2,FALSE), "")</f>
        <v/>
      </c>
      <c r="C496">
        <f>IFERROR(VLOOKUP(Tabla13[[#This Row],[SISMED]],TblDisponibilidad[],7,FALSE), 0)</f>
        <v>0</v>
      </c>
      <c r="D496">
        <f>IFERROR(VLOOKUP(Tabla13[[#This Row],[SISMED]],TblDisponibilidad[],8,FALSE), 0)</f>
        <v>0</v>
      </c>
      <c r="E496">
        <f>IFERROR(VLOOKUP(Tabla13[[#This Row],[SISMED]],TblDisponibilidad[],9,FALSE), 0)</f>
        <v>0</v>
      </c>
      <c r="F496">
        <f>IFERROR(VLOOKUP(Tabla13[[#This Row],[SISMED]],TblDisponibilidad[],10,FALSE), 0)</f>
        <v>0</v>
      </c>
      <c r="G496">
        <f>IFERROR(VLOOKUP(Tabla13[[#This Row],[SISMED]],TblDisponibilidad[],11,FALSE), 0)</f>
        <v>0</v>
      </c>
      <c r="H496">
        <f>IFERROR(VLOOKUP(Tabla13[[#This Row],[SISMED]],TblDisponibilidad[],12,FALSE), 0)</f>
        <v>0</v>
      </c>
      <c r="I496">
        <f>IFERROR(VLOOKUP(Tabla13[[#This Row],[SISMED]],TblDisponibilidad[],13,FALSE), 0)</f>
        <v>0</v>
      </c>
      <c r="J496">
        <f>IFERROR(VLOOKUP(Tabla13[[#This Row],[SISMED]],TblDisponibilidad[],14,FALSE), 0)</f>
        <v>0</v>
      </c>
      <c r="K496">
        <f>IFERROR(VLOOKUP(Tabla13[[#This Row],[SISMED]],TblDisponibilidad[],15,FALSE), 0)</f>
        <v>0</v>
      </c>
      <c r="L496">
        <f>IFERROR(VLOOKUP(Tabla13[[#This Row],[SISMED]],TblDisponibilidad[],16,FALSE), 0)</f>
        <v>0</v>
      </c>
      <c r="M496">
        <f>IFERROR(VLOOKUP(Tabla13[[#This Row],[SISMED]],TblDisponibilidad[],17,FALSE), 0)</f>
        <v>0</v>
      </c>
      <c r="N496">
        <f>IFERROR(VLOOKUP(Tabla13[[#This Row],[SISMED]],TblDisponibilidad[],18,FALSE), 0)</f>
        <v>0</v>
      </c>
      <c r="O496">
        <f>IFERROR(VLOOKUP(Tabla13[[#This Row],[SISMED]],TblDisponibilidad[],19,FALSE), 0)</f>
        <v>0</v>
      </c>
      <c r="P496">
        <f>IFERROR(VLOOKUP(Tabla13[[#This Row],[SISMED]],TblDisponibilidad[],20,FALSE), 0)</f>
        <v>0</v>
      </c>
      <c r="Q496">
        <f>IFERROR(VLOOKUP(Tabla13[[#This Row],[SISMED]],TblDisponibilidad[],21,FALSE), 0)</f>
        <v>0</v>
      </c>
      <c r="R496">
        <f>IFERROR(VLOOKUP(Tabla13[[#This Row],[SISMED]],TblDisponibilidad[],22,FALSE), 0)</f>
        <v>0</v>
      </c>
      <c r="S496" s="15">
        <f>IFERROR(VLOOKUP(Tabla13[[#This Row],[SISMED]],TblDisponibilidad[],23,FALSE), 0)</f>
        <v>0</v>
      </c>
    </row>
    <row r="497" spans="1:19" x14ac:dyDescent="0.3">
      <c r="A497" s="15" t="s">
        <v>527</v>
      </c>
      <c r="B497" t="str">
        <f>IFERROR(VLOOKUP(Tabla13[[#This Row],[SISMED]],TblDisponibilidad[],2,FALSE), "")</f>
        <v/>
      </c>
      <c r="C497">
        <f>IFERROR(VLOOKUP(Tabla13[[#This Row],[SISMED]],TblDisponibilidad[],7,FALSE), 0)</f>
        <v>0</v>
      </c>
      <c r="D497">
        <f>IFERROR(VLOOKUP(Tabla13[[#This Row],[SISMED]],TblDisponibilidad[],8,FALSE), 0)</f>
        <v>0</v>
      </c>
      <c r="E497">
        <f>IFERROR(VLOOKUP(Tabla13[[#This Row],[SISMED]],TblDisponibilidad[],9,FALSE), 0)</f>
        <v>0</v>
      </c>
      <c r="F497">
        <f>IFERROR(VLOOKUP(Tabla13[[#This Row],[SISMED]],TblDisponibilidad[],10,FALSE), 0)</f>
        <v>0</v>
      </c>
      <c r="G497">
        <f>IFERROR(VLOOKUP(Tabla13[[#This Row],[SISMED]],TblDisponibilidad[],11,FALSE), 0)</f>
        <v>0</v>
      </c>
      <c r="H497">
        <f>IFERROR(VLOOKUP(Tabla13[[#This Row],[SISMED]],TblDisponibilidad[],12,FALSE), 0)</f>
        <v>0</v>
      </c>
      <c r="I497">
        <f>IFERROR(VLOOKUP(Tabla13[[#This Row],[SISMED]],TblDisponibilidad[],13,FALSE), 0)</f>
        <v>0</v>
      </c>
      <c r="J497">
        <f>IFERROR(VLOOKUP(Tabla13[[#This Row],[SISMED]],TblDisponibilidad[],14,FALSE), 0)</f>
        <v>0</v>
      </c>
      <c r="K497">
        <f>IFERROR(VLOOKUP(Tabla13[[#This Row],[SISMED]],TblDisponibilidad[],15,FALSE), 0)</f>
        <v>0</v>
      </c>
      <c r="L497">
        <f>IFERROR(VLOOKUP(Tabla13[[#This Row],[SISMED]],TblDisponibilidad[],16,FALSE), 0)</f>
        <v>0</v>
      </c>
      <c r="M497">
        <f>IFERROR(VLOOKUP(Tabla13[[#This Row],[SISMED]],TblDisponibilidad[],17,FALSE), 0)</f>
        <v>0</v>
      </c>
      <c r="N497">
        <f>IFERROR(VLOOKUP(Tabla13[[#This Row],[SISMED]],TblDisponibilidad[],18,FALSE), 0)</f>
        <v>0</v>
      </c>
      <c r="O497">
        <f>IFERROR(VLOOKUP(Tabla13[[#This Row],[SISMED]],TblDisponibilidad[],19,FALSE), 0)</f>
        <v>0</v>
      </c>
      <c r="P497">
        <f>IFERROR(VLOOKUP(Tabla13[[#This Row],[SISMED]],TblDisponibilidad[],20,FALSE), 0)</f>
        <v>0</v>
      </c>
      <c r="Q497">
        <f>IFERROR(VLOOKUP(Tabla13[[#This Row],[SISMED]],TblDisponibilidad[],21,FALSE), 0)</f>
        <v>0</v>
      </c>
      <c r="R497">
        <f>IFERROR(VLOOKUP(Tabla13[[#This Row],[SISMED]],TblDisponibilidad[],22,FALSE), 0)</f>
        <v>0</v>
      </c>
      <c r="S497" s="15">
        <f>IFERROR(VLOOKUP(Tabla13[[#This Row],[SISMED]],TblDisponibilidad[],23,FALSE), 0)</f>
        <v>0</v>
      </c>
    </row>
    <row r="498" spans="1:19" x14ac:dyDescent="0.3">
      <c r="A498" s="15" t="s">
        <v>528</v>
      </c>
      <c r="B498" t="str">
        <f>IFERROR(VLOOKUP(Tabla13[[#This Row],[SISMED]],TblDisponibilidad[],2,FALSE), "")</f>
        <v/>
      </c>
      <c r="C498">
        <f>IFERROR(VLOOKUP(Tabla13[[#This Row],[SISMED]],TblDisponibilidad[],7,FALSE), 0)</f>
        <v>0</v>
      </c>
      <c r="D498">
        <f>IFERROR(VLOOKUP(Tabla13[[#This Row],[SISMED]],TblDisponibilidad[],8,FALSE), 0)</f>
        <v>0</v>
      </c>
      <c r="E498">
        <f>IFERROR(VLOOKUP(Tabla13[[#This Row],[SISMED]],TblDisponibilidad[],9,FALSE), 0)</f>
        <v>0</v>
      </c>
      <c r="F498">
        <f>IFERROR(VLOOKUP(Tabla13[[#This Row],[SISMED]],TblDisponibilidad[],10,FALSE), 0)</f>
        <v>0</v>
      </c>
      <c r="G498">
        <f>IFERROR(VLOOKUP(Tabla13[[#This Row],[SISMED]],TblDisponibilidad[],11,FALSE), 0)</f>
        <v>0</v>
      </c>
      <c r="H498">
        <f>IFERROR(VLOOKUP(Tabla13[[#This Row],[SISMED]],TblDisponibilidad[],12,FALSE), 0)</f>
        <v>0</v>
      </c>
      <c r="I498">
        <f>IFERROR(VLOOKUP(Tabla13[[#This Row],[SISMED]],TblDisponibilidad[],13,FALSE), 0)</f>
        <v>0</v>
      </c>
      <c r="J498">
        <f>IFERROR(VLOOKUP(Tabla13[[#This Row],[SISMED]],TblDisponibilidad[],14,FALSE), 0)</f>
        <v>0</v>
      </c>
      <c r="K498">
        <f>IFERROR(VLOOKUP(Tabla13[[#This Row],[SISMED]],TblDisponibilidad[],15,FALSE), 0)</f>
        <v>0</v>
      </c>
      <c r="L498">
        <f>IFERROR(VLOOKUP(Tabla13[[#This Row],[SISMED]],TblDisponibilidad[],16,FALSE), 0)</f>
        <v>0</v>
      </c>
      <c r="M498">
        <f>IFERROR(VLOOKUP(Tabla13[[#This Row],[SISMED]],TblDisponibilidad[],17,FALSE), 0)</f>
        <v>0</v>
      </c>
      <c r="N498">
        <f>IFERROR(VLOOKUP(Tabla13[[#This Row],[SISMED]],TblDisponibilidad[],18,FALSE), 0)</f>
        <v>0</v>
      </c>
      <c r="O498">
        <f>IFERROR(VLOOKUP(Tabla13[[#This Row],[SISMED]],TblDisponibilidad[],19,FALSE), 0)</f>
        <v>0</v>
      </c>
      <c r="P498">
        <f>IFERROR(VLOOKUP(Tabla13[[#This Row],[SISMED]],TblDisponibilidad[],20,FALSE), 0)</f>
        <v>0</v>
      </c>
      <c r="Q498">
        <f>IFERROR(VLOOKUP(Tabla13[[#This Row],[SISMED]],TblDisponibilidad[],21,FALSE), 0)</f>
        <v>0</v>
      </c>
      <c r="R498">
        <f>IFERROR(VLOOKUP(Tabla13[[#This Row],[SISMED]],TblDisponibilidad[],22,FALSE), 0)</f>
        <v>0</v>
      </c>
      <c r="S498" s="15">
        <f>IFERROR(VLOOKUP(Tabla13[[#This Row],[SISMED]],TblDisponibilidad[],23,FALSE), 0)</f>
        <v>0</v>
      </c>
    </row>
    <row r="499" spans="1:19" x14ac:dyDescent="0.3">
      <c r="A499" s="15" t="s">
        <v>529</v>
      </c>
      <c r="B499" t="str">
        <f>IFERROR(VLOOKUP(Tabla13[[#This Row],[SISMED]],TblDisponibilidad[],2,FALSE), "")</f>
        <v/>
      </c>
      <c r="C499">
        <f>IFERROR(VLOOKUP(Tabla13[[#This Row],[SISMED]],TblDisponibilidad[],7,FALSE), 0)</f>
        <v>0</v>
      </c>
      <c r="D499">
        <f>IFERROR(VLOOKUP(Tabla13[[#This Row],[SISMED]],TblDisponibilidad[],8,FALSE), 0)</f>
        <v>0</v>
      </c>
      <c r="E499">
        <f>IFERROR(VLOOKUP(Tabla13[[#This Row],[SISMED]],TblDisponibilidad[],9,FALSE), 0)</f>
        <v>0</v>
      </c>
      <c r="F499">
        <f>IFERROR(VLOOKUP(Tabla13[[#This Row],[SISMED]],TblDisponibilidad[],10,FALSE), 0)</f>
        <v>0</v>
      </c>
      <c r="G499">
        <f>IFERROR(VLOOKUP(Tabla13[[#This Row],[SISMED]],TblDisponibilidad[],11,FALSE), 0)</f>
        <v>0</v>
      </c>
      <c r="H499">
        <f>IFERROR(VLOOKUP(Tabla13[[#This Row],[SISMED]],TblDisponibilidad[],12,FALSE), 0)</f>
        <v>0</v>
      </c>
      <c r="I499">
        <f>IFERROR(VLOOKUP(Tabla13[[#This Row],[SISMED]],TblDisponibilidad[],13,FALSE), 0)</f>
        <v>0</v>
      </c>
      <c r="J499">
        <f>IFERROR(VLOOKUP(Tabla13[[#This Row],[SISMED]],TblDisponibilidad[],14,FALSE), 0)</f>
        <v>0</v>
      </c>
      <c r="K499">
        <f>IFERROR(VLOOKUP(Tabla13[[#This Row],[SISMED]],TblDisponibilidad[],15,FALSE), 0)</f>
        <v>0</v>
      </c>
      <c r="L499">
        <f>IFERROR(VLOOKUP(Tabla13[[#This Row],[SISMED]],TblDisponibilidad[],16,FALSE), 0)</f>
        <v>0</v>
      </c>
      <c r="M499">
        <f>IFERROR(VLOOKUP(Tabla13[[#This Row],[SISMED]],TblDisponibilidad[],17,FALSE), 0)</f>
        <v>0</v>
      </c>
      <c r="N499">
        <f>IFERROR(VLOOKUP(Tabla13[[#This Row],[SISMED]],TblDisponibilidad[],18,FALSE), 0)</f>
        <v>0</v>
      </c>
      <c r="O499">
        <f>IFERROR(VLOOKUP(Tabla13[[#This Row],[SISMED]],TblDisponibilidad[],19,FALSE), 0)</f>
        <v>0</v>
      </c>
      <c r="P499">
        <f>IFERROR(VLOOKUP(Tabla13[[#This Row],[SISMED]],TblDisponibilidad[],20,FALSE), 0)</f>
        <v>0</v>
      </c>
      <c r="Q499">
        <f>IFERROR(VLOOKUP(Tabla13[[#This Row],[SISMED]],TblDisponibilidad[],21,FALSE), 0)</f>
        <v>0</v>
      </c>
      <c r="R499">
        <f>IFERROR(VLOOKUP(Tabla13[[#This Row],[SISMED]],TblDisponibilidad[],22,FALSE), 0)</f>
        <v>0</v>
      </c>
      <c r="S499" s="15">
        <f>IFERROR(VLOOKUP(Tabla13[[#This Row],[SISMED]],TblDisponibilidad[],23,FALSE), 0)</f>
        <v>0</v>
      </c>
    </row>
    <row r="500" spans="1:19" x14ac:dyDescent="0.3">
      <c r="A500" s="15" t="s">
        <v>530</v>
      </c>
      <c r="B500" t="str">
        <f>IFERROR(VLOOKUP(Tabla13[[#This Row],[SISMED]],TblDisponibilidad[],2,FALSE), "")</f>
        <v/>
      </c>
      <c r="C500">
        <f>IFERROR(VLOOKUP(Tabla13[[#This Row],[SISMED]],TblDisponibilidad[],7,FALSE), 0)</f>
        <v>0</v>
      </c>
      <c r="D500">
        <f>IFERROR(VLOOKUP(Tabla13[[#This Row],[SISMED]],TblDisponibilidad[],8,FALSE), 0)</f>
        <v>0</v>
      </c>
      <c r="E500">
        <f>IFERROR(VLOOKUP(Tabla13[[#This Row],[SISMED]],TblDisponibilidad[],9,FALSE), 0)</f>
        <v>0</v>
      </c>
      <c r="F500">
        <f>IFERROR(VLOOKUP(Tabla13[[#This Row],[SISMED]],TblDisponibilidad[],10,FALSE), 0)</f>
        <v>0</v>
      </c>
      <c r="G500">
        <f>IFERROR(VLOOKUP(Tabla13[[#This Row],[SISMED]],TblDisponibilidad[],11,FALSE), 0)</f>
        <v>0</v>
      </c>
      <c r="H500">
        <f>IFERROR(VLOOKUP(Tabla13[[#This Row],[SISMED]],TblDisponibilidad[],12,FALSE), 0)</f>
        <v>0</v>
      </c>
      <c r="I500">
        <f>IFERROR(VLOOKUP(Tabla13[[#This Row],[SISMED]],TblDisponibilidad[],13,FALSE), 0)</f>
        <v>0</v>
      </c>
      <c r="J500">
        <f>IFERROR(VLOOKUP(Tabla13[[#This Row],[SISMED]],TblDisponibilidad[],14,FALSE), 0)</f>
        <v>0</v>
      </c>
      <c r="K500">
        <f>IFERROR(VLOOKUP(Tabla13[[#This Row],[SISMED]],TblDisponibilidad[],15,FALSE), 0)</f>
        <v>0</v>
      </c>
      <c r="L500">
        <f>IFERROR(VLOOKUP(Tabla13[[#This Row],[SISMED]],TblDisponibilidad[],16,FALSE), 0)</f>
        <v>0</v>
      </c>
      <c r="M500">
        <f>IFERROR(VLOOKUP(Tabla13[[#This Row],[SISMED]],TblDisponibilidad[],17,FALSE), 0)</f>
        <v>0</v>
      </c>
      <c r="N500">
        <f>IFERROR(VLOOKUP(Tabla13[[#This Row],[SISMED]],TblDisponibilidad[],18,FALSE), 0)</f>
        <v>0</v>
      </c>
      <c r="O500">
        <f>IFERROR(VLOOKUP(Tabla13[[#This Row],[SISMED]],TblDisponibilidad[],19,FALSE), 0)</f>
        <v>0</v>
      </c>
      <c r="P500">
        <f>IFERROR(VLOOKUP(Tabla13[[#This Row],[SISMED]],TblDisponibilidad[],20,FALSE), 0)</f>
        <v>0</v>
      </c>
      <c r="Q500">
        <f>IFERROR(VLOOKUP(Tabla13[[#This Row],[SISMED]],TblDisponibilidad[],21,FALSE), 0)</f>
        <v>0</v>
      </c>
      <c r="R500">
        <f>IFERROR(VLOOKUP(Tabla13[[#This Row],[SISMED]],TblDisponibilidad[],22,FALSE), 0)</f>
        <v>0</v>
      </c>
      <c r="S500" s="15">
        <f>IFERROR(VLOOKUP(Tabla13[[#This Row],[SISMED]],TblDisponibilidad[],23,FALSE), 0)</f>
        <v>0</v>
      </c>
    </row>
    <row r="501" spans="1:19" x14ac:dyDescent="0.3">
      <c r="A501" s="15" t="s">
        <v>531</v>
      </c>
      <c r="B501" t="str">
        <f>IFERROR(VLOOKUP(Tabla13[[#This Row],[SISMED]],TblDisponibilidad[],2,FALSE), "")</f>
        <v/>
      </c>
      <c r="C501">
        <f>IFERROR(VLOOKUP(Tabla13[[#This Row],[SISMED]],TblDisponibilidad[],7,FALSE), 0)</f>
        <v>0</v>
      </c>
      <c r="D501">
        <f>IFERROR(VLOOKUP(Tabla13[[#This Row],[SISMED]],TblDisponibilidad[],8,FALSE), 0)</f>
        <v>0</v>
      </c>
      <c r="E501">
        <f>IFERROR(VLOOKUP(Tabla13[[#This Row],[SISMED]],TblDisponibilidad[],9,FALSE), 0)</f>
        <v>0</v>
      </c>
      <c r="F501">
        <f>IFERROR(VLOOKUP(Tabla13[[#This Row],[SISMED]],TblDisponibilidad[],10,FALSE), 0)</f>
        <v>0</v>
      </c>
      <c r="G501">
        <f>IFERROR(VLOOKUP(Tabla13[[#This Row],[SISMED]],TblDisponibilidad[],11,FALSE), 0)</f>
        <v>0</v>
      </c>
      <c r="H501">
        <f>IFERROR(VLOOKUP(Tabla13[[#This Row],[SISMED]],TblDisponibilidad[],12,FALSE), 0)</f>
        <v>0</v>
      </c>
      <c r="I501">
        <f>IFERROR(VLOOKUP(Tabla13[[#This Row],[SISMED]],TblDisponibilidad[],13,FALSE), 0)</f>
        <v>0</v>
      </c>
      <c r="J501">
        <f>IFERROR(VLOOKUP(Tabla13[[#This Row],[SISMED]],TblDisponibilidad[],14,FALSE), 0)</f>
        <v>0</v>
      </c>
      <c r="K501">
        <f>IFERROR(VLOOKUP(Tabla13[[#This Row],[SISMED]],TblDisponibilidad[],15,FALSE), 0)</f>
        <v>0</v>
      </c>
      <c r="L501">
        <f>IFERROR(VLOOKUP(Tabla13[[#This Row],[SISMED]],TblDisponibilidad[],16,FALSE), 0)</f>
        <v>0</v>
      </c>
      <c r="M501">
        <f>IFERROR(VLOOKUP(Tabla13[[#This Row],[SISMED]],TblDisponibilidad[],17,FALSE), 0)</f>
        <v>0</v>
      </c>
      <c r="N501">
        <f>IFERROR(VLOOKUP(Tabla13[[#This Row],[SISMED]],TblDisponibilidad[],18,FALSE), 0)</f>
        <v>0</v>
      </c>
      <c r="O501">
        <f>IFERROR(VLOOKUP(Tabla13[[#This Row],[SISMED]],TblDisponibilidad[],19,FALSE), 0)</f>
        <v>0</v>
      </c>
      <c r="P501">
        <f>IFERROR(VLOOKUP(Tabla13[[#This Row],[SISMED]],TblDisponibilidad[],20,FALSE), 0)</f>
        <v>0</v>
      </c>
      <c r="Q501">
        <f>IFERROR(VLOOKUP(Tabla13[[#This Row],[SISMED]],TblDisponibilidad[],21,FALSE), 0)</f>
        <v>0</v>
      </c>
      <c r="R501">
        <f>IFERROR(VLOOKUP(Tabla13[[#This Row],[SISMED]],TblDisponibilidad[],22,FALSE), 0)</f>
        <v>0</v>
      </c>
      <c r="S501" s="15">
        <f>IFERROR(VLOOKUP(Tabla13[[#This Row],[SISMED]],TblDisponibilidad[],23,FALSE), 0)</f>
        <v>0</v>
      </c>
    </row>
    <row r="502" spans="1:19" x14ac:dyDescent="0.3">
      <c r="A502" s="15" t="s">
        <v>532</v>
      </c>
      <c r="B502" t="str">
        <f>IFERROR(VLOOKUP(Tabla13[[#This Row],[SISMED]],TblDisponibilidad[],2,FALSE), "")</f>
        <v/>
      </c>
      <c r="C502">
        <f>IFERROR(VLOOKUP(Tabla13[[#This Row],[SISMED]],TblDisponibilidad[],7,FALSE), 0)</f>
        <v>0</v>
      </c>
      <c r="D502">
        <f>IFERROR(VLOOKUP(Tabla13[[#This Row],[SISMED]],TblDisponibilidad[],8,FALSE), 0)</f>
        <v>0</v>
      </c>
      <c r="E502">
        <f>IFERROR(VLOOKUP(Tabla13[[#This Row],[SISMED]],TblDisponibilidad[],9,FALSE), 0)</f>
        <v>0</v>
      </c>
      <c r="F502">
        <f>IFERROR(VLOOKUP(Tabla13[[#This Row],[SISMED]],TblDisponibilidad[],10,FALSE), 0)</f>
        <v>0</v>
      </c>
      <c r="G502">
        <f>IFERROR(VLOOKUP(Tabla13[[#This Row],[SISMED]],TblDisponibilidad[],11,FALSE), 0)</f>
        <v>0</v>
      </c>
      <c r="H502">
        <f>IFERROR(VLOOKUP(Tabla13[[#This Row],[SISMED]],TblDisponibilidad[],12,FALSE), 0)</f>
        <v>0</v>
      </c>
      <c r="I502">
        <f>IFERROR(VLOOKUP(Tabla13[[#This Row],[SISMED]],TblDisponibilidad[],13,FALSE), 0)</f>
        <v>0</v>
      </c>
      <c r="J502">
        <f>IFERROR(VLOOKUP(Tabla13[[#This Row],[SISMED]],TblDisponibilidad[],14,FALSE), 0)</f>
        <v>0</v>
      </c>
      <c r="K502">
        <f>IFERROR(VLOOKUP(Tabla13[[#This Row],[SISMED]],TblDisponibilidad[],15,FALSE), 0)</f>
        <v>0</v>
      </c>
      <c r="L502">
        <f>IFERROR(VLOOKUP(Tabla13[[#This Row],[SISMED]],TblDisponibilidad[],16,FALSE), 0)</f>
        <v>0</v>
      </c>
      <c r="M502">
        <f>IFERROR(VLOOKUP(Tabla13[[#This Row],[SISMED]],TblDisponibilidad[],17,FALSE), 0)</f>
        <v>0</v>
      </c>
      <c r="N502">
        <f>IFERROR(VLOOKUP(Tabla13[[#This Row],[SISMED]],TblDisponibilidad[],18,FALSE), 0)</f>
        <v>0</v>
      </c>
      <c r="O502">
        <f>IFERROR(VLOOKUP(Tabla13[[#This Row],[SISMED]],TblDisponibilidad[],19,FALSE), 0)</f>
        <v>0</v>
      </c>
      <c r="P502">
        <f>IFERROR(VLOOKUP(Tabla13[[#This Row],[SISMED]],TblDisponibilidad[],20,FALSE), 0)</f>
        <v>0</v>
      </c>
      <c r="Q502">
        <f>IFERROR(VLOOKUP(Tabla13[[#This Row],[SISMED]],TblDisponibilidad[],21,FALSE), 0)</f>
        <v>0</v>
      </c>
      <c r="R502">
        <f>IFERROR(VLOOKUP(Tabla13[[#This Row],[SISMED]],TblDisponibilidad[],22,FALSE), 0)</f>
        <v>0</v>
      </c>
      <c r="S502" s="15">
        <f>IFERROR(VLOOKUP(Tabla13[[#This Row],[SISMED]],TblDisponibilidad[],23,FALSE), 0)</f>
        <v>0</v>
      </c>
    </row>
    <row r="503" spans="1:19" x14ac:dyDescent="0.3">
      <c r="A503" s="15" t="s">
        <v>533</v>
      </c>
      <c r="B503" t="str">
        <f>IFERROR(VLOOKUP(Tabla13[[#This Row],[SISMED]],TblDisponibilidad[],2,FALSE), "")</f>
        <v/>
      </c>
      <c r="C503">
        <f>IFERROR(VLOOKUP(Tabla13[[#This Row],[SISMED]],TblDisponibilidad[],7,FALSE), 0)</f>
        <v>0</v>
      </c>
      <c r="D503">
        <f>IFERROR(VLOOKUP(Tabla13[[#This Row],[SISMED]],TblDisponibilidad[],8,FALSE), 0)</f>
        <v>0</v>
      </c>
      <c r="E503">
        <f>IFERROR(VLOOKUP(Tabla13[[#This Row],[SISMED]],TblDisponibilidad[],9,FALSE), 0)</f>
        <v>0</v>
      </c>
      <c r="F503">
        <f>IFERROR(VLOOKUP(Tabla13[[#This Row],[SISMED]],TblDisponibilidad[],10,FALSE), 0)</f>
        <v>0</v>
      </c>
      <c r="G503">
        <f>IFERROR(VLOOKUP(Tabla13[[#This Row],[SISMED]],TblDisponibilidad[],11,FALSE), 0)</f>
        <v>0</v>
      </c>
      <c r="H503">
        <f>IFERROR(VLOOKUP(Tabla13[[#This Row],[SISMED]],TblDisponibilidad[],12,FALSE), 0)</f>
        <v>0</v>
      </c>
      <c r="I503">
        <f>IFERROR(VLOOKUP(Tabla13[[#This Row],[SISMED]],TblDisponibilidad[],13,FALSE), 0)</f>
        <v>0</v>
      </c>
      <c r="J503">
        <f>IFERROR(VLOOKUP(Tabla13[[#This Row],[SISMED]],TblDisponibilidad[],14,FALSE), 0)</f>
        <v>0</v>
      </c>
      <c r="K503">
        <f>IFERROR(VLOOKUP(Tabla13[[#This Row],[SISMED]],TblDisponibilidad[],15,FALSE), 0)</f>
        <v>0</v>
      </c>
      <c r="L503">
        <f>IFERROR(VLOOKUP(Tabla13[[#This Row],[SISMED]],TblDisponibilidad[],16,FALSE), 0)</f>
        <v>0</v>
      </c>
      <c r="M503">
        <f>IFERROR(VLOOKUP(Tabla13[[#This Row],[SISMED]],TblDisponibilidad[],17,FALSE), 0)</f>
        <v>0</v>
      </c>
      <c r="N503">
        <f>IFERROR(VLOOKUP(Tabla13[[#This Row],[SISMED]],TblDisponibilidad[],18,FALSE), 0)</f>
        <v>0</v>
      </c>
      <c r="O503">
        <f>IFERROR(VLOOKUP(Tabla13[[#This Row],[SISMED]],TblDisponibilidad[],19,FALSE), 0)</f>
        <v>0</v>
      </c>
      <c r="P503">
        <f>IFERROR(VLOOKUP(Tabla13[[#This Row],[SISMED]],TblDisponibilidad[],20,FALSE), 0)</f>
        <v>0</v>
      </c>
      <c r="Q503">
        <f>IFERROR(VLOOKUP(Tabla13[[#This Row],[SISMED]],TblDisponibilidad[],21,FALSE), 0)</f>
        <v>0</v>
      </c>
      <c r="R503">
        <f>IFERROR(VLOOKUP(Tabla13[[#This Row],[SISMED]],TblDisponibilidad[],22,FALSE), 0)</f>
        <v>0</v>
      </c>
      <c r="S503" s="15">
        <f>IFERROR(VLOOKUP(Tabla13[[#This Row],[SISMED]],TblDisponibilidad[],23,FALSE), 0)</f>
        <v>0</v>
      </c>
    </row>
    <row r="504" spans="1:19" x14ac:dyDescent="0.3">
      <c r="A504" s="15" t="s">
        <v>534</v>
      </c>
      <c r="B504" t="str">
        <f>IFERROR(VLOOKUP(Tabla13[[#This Row],[SISMED]],TblDisponibilidad[],2,FALSE), "")</f>
        <v/>
      </c>
      <c r="C504">
        <f>IFERROR(VLOOKUP(Tabla13[[#This Row],[SISMED]],TblDisponibilidad[],7,FALSE), 0)</f>
        <v>0</v>
      </c>
      <c r="D504">
        <f>IFERROR(VLOOKUP(Tabla13[[#This Row],[SISMED]],TblDisponibilidad[],8,FALSE), 0)</f>
        <v>0</v>
      </c>
      <c r="E504">
        <f>IFERROR(VLOOKUP(Tabla13[[#This Row],[SISMED]],TblDisponibilidad[],9,FALSE), 0)</f>
        <v>0</v>
      </c>
      <c r="F504">
        <f>IFERROR(VLOOKUP(Tabla13[[#This Row],[SISMED]],TblDisponibilidad[],10,FALSE), 0)</f>
        <v>0</v>
      </c>
      <c r="G504">
        <f>IFERROR(VLOOKUP(Tabla13[[#This Row],[SISMED]],TblDisponibilidad[],11,FALSE), 0)</f>
        <v>0</v>
      </c>
      <c r="H504">
        <f>IFERROR(VLOOKUP(Tabla13[[#This Row],[SISMED]],TblDisponibilidad[],12,FALSE), 0)</f>
        <v>0</v>
      </c>
      <c r="I504">
        <f>IFERROR(VLOOKUP(Tabla13[[#This Row],[SISMED]],TblDisponibilidad[],13,FALSE), 0)</f>
        <v>0</v>
      </c>
      <c r="J504">
        <f>IFERROR(VLOOKUP(Tabla13[[#This Row],[SISMED]],TblDisponibilidad[],14,FALSE), 0)</f>
        <v>0</v>
      </c>
      <c r="K504">
        <f>IFERROR(VLOOKUP(Tabla13[[#This Row],[SISMED]],TblDisponibilidad[],15,FALSE), 0)</f>
        <v>0</v>
      </c>
      <c r="L504">
        <f>IFERROR(VLOOKUP(Tabla13[[#This Row],[SISMED]],TblDisponibilidad[],16,FALSE), 0)</f>
        <v>0</v>
      </c>
      <c r="M504">
        <f>IFERROR(VLOOKUP(Tabla13[[#This Row],[SISMED]],TblDisponibilidad[],17,FALSE), 0)</f>
        <v>0</v>
      </c>
      <c r="N504">
        <f>IFERROR(VLOOKUP(Tabla13[[#This Row],[SISMED]],TblDisponibilidad[],18,FALSE), 0)</f>
        <v>0</v>
      </c>
      <c r="O504">
        <f>IFERROR(VLOOKUP(Tabla13[[#This Row],[SISMED]],TblDisponibilidad[],19,FALSE), 0)</f>
        <v>0</v>
      </c>
      <c r="P504">
        <f>IFERROR(VLOOKUP(Tabla13[[#This Row],[SISMED]],TblDisponibilidad[],20,FALSE), 0)</f>
        <v>0</v>
      </c>
      <c r="Q504">
        <f>IFERROR(VLOOKUP(Tabla13[[#This Row],[SISMED]],TblDisponibilidad[],21,FALSE), 0)</f>
        <v>0</v>
      </c>
      <c r="R504">
        <f>IFERROR(VLOOKUP(Tabla13[[#This Row],[SISMED]],TblDisponibilidad[],22,FALSE), 0)</f>
        <v>0</v>
      </c>
      <c r="S504" s="15">
        <f>IFERROR(VLOOKUP(Tabla13[[#This Row],[SISMED]],TblDisponibilidad[],23,FALSE), 0)</f>
        <v>0</v>
      </c>
    </row>
    <row r="505" spans="1:19" x14ac:dyDescent="0.3">
      <c r="A505" s="15" t="s">
        <v>535</v>
      </c>
      <c r="B505" t="str">
        <f>IFERROR(VLOOKUP(Tabla13[[#This Row],[SISMED]],TblDisponibilidad[],2,FALSE), "")</f>
        <v/>
      </c>
      <c r="C505">
        <f>IFERROR(VLOOKUP(Tabla13[[#This Row],[SISMED]],TblDisponibilidad[],7,FALSE), 0)</f>
        <v>0</v>
      </c>
      <c r="D505">
        <f>IFERROR(VLOOKUP(Tabla13[[#This Row],[SISMED]],TblDisponibilidad[],8,FALSE), 0)</f>
        <v>0</v>
      </c>
      <c r="E505">
        <f>IFERROR(VLOOKUP(Tabla13[[#This Row],[SISMED]],TblDisponibilidad[],9,FALSE), 0)</f>
        <v>0</v>
      </c>
      <c r="F505">
        <f>IFERROR(VLOOKUP(Tabla13[[#This Row],[SISMED]],TblDisponibilidad[],10,FALSE), 0)</f>
        <v>0</v>
      </c>
      <c r="G505">
        <f>IFERROR(VLOOKUP(Tabla13[[#This Row],[SISMED]],TblDisponibilidad[],11,FALSE), 0)</f>
        <v>0</v>
      </c>
      <c r="H505">
        <f>IFERROR(VLOOKUP(Tabla13[[#This Row],[SISMED]],TblDisponibilidad[],12,FALSE), 0)</f>
        <v>0</v>
      </c>
      <c r="I505">
        <f>IFERROR(VLOOKUP(Tabla13[[#This Row],[SISMED]],TblDisponibilidad[],13,FALSE), 0)</f>
        <v>0</v>
      </c>
      <c r="J505">
        <f>IFERROR(VLOOKUP(Tabla13[[#This Row],[SISMED]],TblDisponibilidad[],14,FALSE), 0)</f>
        <v>0</v>
      </c>
      <c r="K505">
        <f>IFERROR(VLOOKUP(Tabla13[[#This Row],[SISMED]],TblDisponibilidad[],15,FALSE), 0)</f>
        <v>0</v>
      </c>
      <c r="L505">
        <f>IFERROR(VLOOKUP(Tabla13[[#This Row],[SISMED]],TblDisponibilidad[],16,FALSE), 0)</f>
        <v>0</v>
      </c>
      <c r="M505">
        <f>IFERROR(VLOOKUP(Tabla13[[#This Row],[SISMED]],TblDisponibilidad[],17,FALSE), 0)</f>
        <v>0</v>
      </c>
      <c r="N505">
        <f>IFERROR(VLOOKUP(Tabla13[[#This Row],[SISMED]],TblDisponibilidad[],18,FALSE), 0)</f>
        <v>0</v>
      </c>
      <c r="O505">
        <f>IFERROR(VLOOKUP(Tabla13[[#This Row],[SISMED]],TblDisponibilidad[],19,FALSE), 0)</f>
        <v>0</v>
      </c>
      <c r="P505">
        <f>IFERROR(VLOOKUP(Tabla13[[#This Row],[SISMED]],TblDisponibilidad[],20,FALSE), 0)</f>
        <v>0</v>
      </c>
      <c r="Q505">
        <f>IFERROR(VLOOKUP(Tabla13[[#This Row],[SISMED]],TblDisponibilidad[],21,FALSE), 0)</f>
        <v>0</v>
      </c>
      <c r="R505">
        <f>IFERROR(VLOOKUP(Tabla13[[#This Row],[SISMED]],TblDisponibilidad[],22,FALSE), 0)</f>
        <v>0</v>
      </c>
      <c r="S505" s="15">
        <f>IFERROR(VLOOKUP(Tabla13[[#This Row],[SISMED]],TblDisponibilidad[],23,FALSE), 0)</f>
        <v>0</v>
      </c>
    </row>
    <row r="506" spans="1:19" x14ac:dyDescent="0.3">
      <c r="A506" s="15" t="s">
        <v>536</v>
      </c>
      <c r="B506" t="str">
        <f>IFERROR(VLOOKUP(Tabla13[[#This Row],[SISMED]],TblDisponibilidad[],2,FALSE), "")</f>
        <v/>
      </c>
      <c r="C506">
        <f>IFERROR(VLOOKUP(Tabla13[[#This Row],[SISMED]],TblDisponibilidad[],7,FALSE), 0)</f>
        <v>0</v>
      </c>
      <c r="D506">
        <f>IFERROR(VLOOKUP(Tabla13[[#This Row],[SISMED]],TblDisponibilidad[],8,FALSE), 0)</f>
        <v>0</v>
      </c>
      <c r="E506">
        <f>IFERROR(VLOOKUP(Tabla13[[#This Row],[SISMED]],TblDisponibilidad[],9,FALSE), 0)</f>
        <v>0</v>
      </c>
      <c r="F506">
        <f>IFERROR(VLOOKUP(Tabla13[[#This Row],[SISMED]],TblDisponibilidad[],10,FALSE), 0)</f>
        <v>0</v>
      </c>
      <c r="G506">
        <f>IFERROR(VLOOKUP(Tabla13[[#This Row],[SISMED]],TblDisponibilidad[],11,FALSE), 0)</f>
        <v>0</v>
      </c>
      <c r="H506">
        <f>IFERROR(VLOOKUP(Tabla13[[#This Row],[SISMED]],TblDisponibilidad[],12,FALSE), 0)</f>
        <v>0</v>
      </c>
      <c r="I506">
        <f>IFERROR(VLOOKUP(Tabla13[[#This Row],[SISMED]],TblDisponibilidad[],13,FALSE), 0)</f>
        <v>0</v>
      </c>
      <c r="J506">
        <f>IFERROR(VLOOKUP(Tabla13[[#This Row],[SISMED]],TblDisponibilidad[],14,FALSE), 0)</f>
        <v>0</v>
      </c>
      <c r="K506">
        <f>IFERROR(VLOOKUP(Tabla13[[#This Row],[SISMED]],TblDisponibilidad[],15,FALSE), 0)</f>
        <v>0</v>
      </c>
      <c r="L506">
        <f>IFERROR(VLOOKUP(Tabla13[[#This Row],[SISMED]],TblDisponibilidad[],16,FALSE), 0)</f>
        <v>0</v>
      </c>
      <c r="M506">
        <f>IFERROR(VLOOKUP(Tabla13[[#This Row],[SISMED]],TblDisponibilidad[],17,FALSE), 0)</f>
        <v>0</v>
      </c>
      <c r="N506">
        <f>IFERROR(VLOOKUP(Tabla13[[#This Row],[SISMED]],TblDisponibilidad[],18,FALSE), 0)</f>
        <v>0</v>
      </c>
      <c r="O506">
        <f>IFERROR(VLOOKUP(Tabla13[[#This Row],[SISMED]],TblDisponibilidad[],19,FALSE), 0)</f>
        <v>0</v>
      </c>
      <c r="P506">
        <f>IFERROR(VLOOKUP(Tabla13[[#This Row],[SISMED]],TblDisponibilidad[],20,FALSE), 0)</f>
        <v>0</v>
      </c>
      <c r="Q506">
        <f>IFERROR(VLOOKUP(Tabla13[[#This Row],[SISMED]],TblDisponibilidad[],21,FALSE), 0)</f>
        <v>0</v>
      </c>
      <c r="R506">
        <f>IFERROR(VLOOKUP(Tabla13[[#This Row],[SISMED]],TblDisponibilidad[],22,FALSE), 0)</f>
        <v>0</v>
      </c>
      <c r="S506" s="15">
        <f>IFERROR(VLOOKUP(Tabla13[[#This Row],[SISMED]],TblDisponibilidad[],23,FALSE), 0)</f>
        <v>0</v>
      </c>
    </row>
    <row r="507" spans="1:19" x14ac:dyDescent="0.3">
      <c r="A507" s="15" t="s">
        <v>537</v>
      </c>
      <c r="B507" t="str">
        <f>IFERROR(VLOOKUP(Tabla13[[#This Row],[SISMED]],TblDisponibilidad[],2,FALSE), "")</f>
        <v/>
      </c>
      <c r="C507">
        <f>IFERROR(VLOOKUP(Tabla13[[#This Row],[SISMED]],TblDisponibilidad[],7,FALSE), 0)</f>
        <v>0</v>
      </c>
      <c r="D507">
        <f>IFERROR(VLOOKUP(Tabla13[[#This Row],[SISMED]],TblDisponibilidad[],8,FALSE), 0)</f>
        <v>0</v>
      </c>
      <c r="E507">
        <f>IFERROR(VLOOKUP(Tabla13[[#This Row],[SISMED]],TblDisponibilidad[],9,FALSE), 0)</f>
        <v>0</v>
      </c>
      <c r="F507">
        <f>IFERROR(VLOOKUP(Tabla13[[#This Row],[SISMED]],TblDisponibilidad[],10,FALSE), 0)</f>
        <v>0</v>
      </c>
      <c r="G507">
        <f>IFERROR(VLOOKUP(Tabla13[[#This Row],[SISMED]],TblDisponibilidad[],11,FALSE), 0)</f>
        <v>0</v>
      </c>
      <c r="H507">
        <f>IFERROR(VLOOKUP(Tabla13[[#This Row],[SISMED]],TblDisponibilidad[],12,FALSE), 0)</f>
        <v>0</v>
      </c>
      <c r="I507">
        <f>IFERROR(VLOOKUP(Tabla13[[#This Row],[SISMED]],TblDisponibilidad[],13,FALSE), 0)</f>
        <v>0</v>
      </c>
      <c r="J507">
        <f>IFERROR(VLOOKUP(Tabla13[[#This Row],[SISMED]],TblDisponibilidad[],14,FALSE), 0)</f>
        <v>0</v>
      </c>
      <c r="K507">
        <f>IFERROR(VLOOKUP(Tabla13[[#This Row],[SISMED]],TblDisponibilidad[],15,FALSE), 0)</f>
        <v>0</v>
      </c>
      <c r="L507">
        <f>IFERROR(VLOOKUP(Tabla13[[#This Row],[SISMED]],TblDisponibilidad[],16,FALSE), 0)</f>
        <v>0</v>
      </c>
      <c r="M507">
        <f>IFERROR(VLOOKUP(Tabla13[[#This Row],[SISMED]],TblDisponibilidad[],17,FALSE), 0)</f>
        <v>0</v>
      </c>
      <c r="N507">
        <f>IFERROR(VLOOKUP(Tabla13[[#This Row],[SISMED]],TblDisponibilidad[],18,FALSE), 0)</f>
        <v>0</v>
      </c>
      <c r="O507">
        <f>IFERROR(VLOOKUP(Tabla13[[#This Row],[SISMED]],TblDisponibilidad[],19,FALSE), 0)</f>
        <v>0</v>
      </c>
      <c r="P507">
        <f>IFERROR(VLOOKUP(Tabla13[[#This Row],[SISMED]],TblDisponibilidad[],20,FALSE), 0)</f>
        <v>0</v>
      </c>
      <c r="Q507">
        <f>IFERROR(VLOOKUP(Tabla13[[#This Row],[SISMED]],TblDisponibilidad[],21,FALSE), 0)</f>
        <v>0</v>
      </c>
      <c r="R507">
        <f>IFERROR(VLOOKUP(Tabla13[[#This Row],[SISMED]],TblDisponibilidad[],22,FALSE), 0)</f>
        <v>0</v>
      </c>
      <c r="S507" s="15">
        <f>IFERROR(VLOOKUP(Tabla13[[#This Row],[SISMED]],TblDisponibilidad[],23,FALSE), 0)</f>
        <v>0</v>
      </c>
    </row>
    <row r="508" spans="1:19" x14ac:dyDescent="0.3">
      <c r="A508" s="15" t="s">
        <v>538</v>
      </c>
      <c r="B508" t="str">
        <f>IFERROR(VLOOKUP(Tabla13[[#This Row],[SISMED]],TblDisponibilidad[],2,FALSE), "")</f>
        <v/>
      </c>
      <c r="C508">
        <f>IFERROR(VLOOKUP(Tabla13[[#This Row],[SISMED]],TblDisponibilidad[],7,FALSE), 0)</f>
        <v>0</v>
      </c>
      <c r="D508">
        <f>IFERROR(VLOOKUP(Tabla13[[#This Row],[SISMED]],TblDisponibilidad[],8,FALSE), 0)</f>
        <v>0</v>
      </c>
      <c r="E508">
        <f>IFERROR(VLOOKUP(Tabla13[[#This Row],[SISMED]],TblDisponibilidad[],9,FALSE), 0)</f>
        <v>0</v>
      </c>
      <c r="F508">
        <f>IFERROR(VLOOKUP(Tabla13[[#This Row],[SISMED]],TblDisponibilidad[],10,FALSE), 0)</f>
        <v>0</v>
      </c>
      <c r="G508">
        <f>IFERROR(VLOOKUP(Tabla13[[#This Row],[SISMED]],TblDisponibilidad[],11,FALSE), 0)</f>
        <v>0</v>
      </c>
      <c r="H508">
        <f>IFERROR(VLOOKUP(Tabla13[[#This Row],[SISMED]],TblDisponibilidad[],12,FALSE), 0)</f>
        <v>0</v>
      </c>
      <c r="I508">
        <f>IFERROR(VLOOKUP(Tabla13[[#This Row],[SISMED]],TblDisponibilidad[],13,FALSE), 0)</f>
        <v>0</v>
      </c>
      <c r="J508">
        <f>IFERROR(VLOOKUP(Tabla13[[#This Row],[SISMED]],TblDisponibilidad[],14,FALSE), 0)</f>
        <v>0</v>
      </c>
      <c r="K508">
        <f>IFERROR(VLOOKUP(Tabla13[[#This Row],[SISMED]],TblDisponibilidad[],15,FALSE), 0)</f>
        <v>0</v>
      </c>
      <c r="L508">
        <f>IFERROR(VLOOKUP(Tabla13[[#This Row],[SISMED]],TblDisponibilidad[],16,FALSE), 0)</f>
        <v>0</v>
      </c>
      <c r="M508">
        <f>IFERROR(VLOOKUP(Tabla13[[#This Row],[SISMED]],TblDisponibilidad[],17,FALSE), 0)</f>
        <v>0</v>
      </c>
      <c r="N508">
        <f>IFERROR(VLOOKUP(Tabla13[[#This Row],[SISMED]],TblDisponibilidad[],18,FALSE), 0)</f>
        <v>0</v>
      </c>
      <c r="O508">
        <f>IFERROR(VLOOKUP(Tabla13[[#This Row],[SISMED]],TblDisponibilidad[],19,FALSE), 0)</f>
        <v>0</v>
      </c>
      <c r="P508">
        <f>IFERROR(VLOOKUP(Tabla13[[#This Row],[SISMED]],TblDisponibilidad[],20,FALSE), 0)</f>
        <v>0</v>
      </c>
      <c r="Q508">
        <f>IFERROR(VLOOKUP(Tabla13[[#This Row],[SISMED]],TblDisponibilidad[],21,FALSE), 0)</f>
        <v>0</v>
      </c>
      <c r="R508">
        <f>IFERROR(VLOOKUP(Tabla13[[#This Row],[SISMED]],TblDisponibilidad[],22,FALSE), 0)</f>
        <v>0</v>
      </c>
      <c r="S508" s="15">
        <f>IFERROR(VLOOKUP(Tabla13[[#This Row],[SISMED]],TblDisponibilidad[],23,FALSE), 0)</f>
        <v>0</v>
      </c>
    </row>
    <row r="509" spans="1:19" x14ac:dyDescent="0.3">
      <c r="A509" s="15" t="s">
        <v>539</v>
      </c>
      <c r="B509" t="str">
        <f>IFERROR(VLOOKUP(Tabla13[[#This Row],[SISMED]],TblDisponibilidad[],2,FALSE), "")</f>
        <v/>
      </c>
      <c r="C509">
        <f>IFERROR(VLOOKUP(Tabla13[[#This Row],[SISMED]],TblDisponibilidad[],7,FALSE), 0)</f>
        <v>0</v>
      </c>
      <c r="D509">
        <f>IFERROR(VLOOKUP(Tabla13[[#This Row],[SISMED]],TblDisponibilidad[],8,FALSE), 0)</f>
        <v>0</v>
      </c>
      <c r="E509">
        <f>IFERROR(VLOOKUP(Tabla13[[#This Row],[SISMED]],TblDisponibilidad[],9,FALSE), 0)</f>
        <v>0</v>
      </c>
      <c r="F509">
        <f>IFERROR(VLOOKUP(Tabla13[[#This Row],[SISMED]],TblDisponibilidad[],10,FALSE), 0)</f>
        <v>0</v>
      </c>
      <c r="G509">
        <f>IFERROR(VLOOKUP(Tabla13[[#This Row],[SISMED]],TblDisponibilidad[],11,FALSE), 0)</f>
        <v>0</v>
      </c>
      <c r="H509">
        <f>IFERROR(VLOOKUP(Tabla13[[#This Row],[SISMED]],TblDisponibilidad[],12,FALSE), 0)</f>
        <v>0</v>
      </c>
      <c r="I509">
        <f>IFERROR(VLOOKUP(Tabla13[[#This Row],[SISMED]],TblDisponibilidad[],13,FALSE), 0)</f>
        <v>0</v>
      </c>
      <c r="J509">
        <f>IFERROR(VLOOKUP(Tabla13[[#This Row],[SISMED]],TblDisponibilidad[],14,FALSE), 0)</f>
        <v>0</v>
      </c>
      <c r="K509">
        <f>IFERROR(VLOOKUP(Tabla13[[#This Row],[SISMED]],TblDisponibilidad[],15,FALSE), 0)</f>
        <v>0</v>
      </c>
      <c r="L509">
        <f>IFERROR(VLOOKUP(Tabla13[[#This Row],[SISMED]],TblDisponibilidad[],16,FALSE), 0)</f>
        <v>0</v>
      </c>
      <c r="M509">
        <f>IFERROR(VLOOKUP(Tabla13[[#This Row],[SISMED]],TblDisponibilidad[],17,FALSE), 0)</f>
        <v>0</v>
      </c>
      <c r="N509">
        <f>IFERROR(VLOOKUP(Tabla13[[#This Row],[SISMED]],TblDisponibilidad[],18,FALSE), 0)</f>
        <v>0</v>
      </c>
      <c r="O509">
        <f>IFERROR(VLOOKUP(Tabla13[[#This Row],[SISMED]],TblDisponibilidad[],19,FALSE), 0)</f>
        <v>0</v>
      </c>
      <c r="P509">
        <f>IFERROR(VLOOKUP(Tabla13[[#This Row],[SISMED]],TblDisponibilidad[],20,FALSE), 0)</f>
        <v>0</v>
      </c>
      <c r="Q509">
        <f>IFERROR(VLOOKUP(Tabla13[[#This Row],[SISMED]],TblDisponibilidad[],21,FALSE), 0)</f>
        <v>0</v>
      </c>
      <c r="R509">
        <f>IFERROR(VLOOKUP(Tabla13[[#This Row],[SISMED]],TblDisponibilidad[],22,FALSE), 0)</f>
        <v>0</v>
      </c>
      <c r="S509" s="15">
        <f>IFERROR(VLOOKUP(Tabla13[[#This Row],[SISMED]],TblDisponibilidad[],23,FALSE), 0)</f>
        <v>0</v>
      </c>
    </row>
    <row r="510" spans="1:19" x14ac:dyDescent="0.3">
      <c r="A510" s="15" t="s">
        <v>540</v>
      </c>
      <c r="B510" t="str">
        <f>IFERROR(VLOOKUP(Tabla13[[#This Row],[SISMED]],TblDisponibilidad[],2,FALSE), "")</f>
        <v/>
      </c>
      <c r="C510">
        <f>IFERROR(VLOOKUP(Tabla13[[#This Row],[SISMED]],TblDisponibilidad[],7,FALSE), 0)</f>
        <v>0</v>
      </c>
      <c r="D510">
        <f>IFERROR(VLOOKUP(Tabla13[[#This Row],[SISMED]],TblDisponibilidad[],8,FALSE), 0)</f>
        <v>0</v>
      </c>
      <c r="E510">
        <f>IFERROR(VLOOKUP(Tabla13[[#This Row],[SISMED]],TblDisponibilidad[],9,FALSE), 0)</f>
        <v>0</v>
      </c>
      <c r="F510">
        <f>IFERROR(VLOOKUP(Tabla13[[#This Row],[SISMED]],TblDisponibilidad[],10,FALSE), 0)</f>
        <v>0</v>
      </c>
      <c r="G510">
        <f>IFERROR(VLOOKUP(Tabla13[[#This Row],[SISMED]],TblDisponibilidad[],11,FALSE), 0)</f>
        <v>0</v>
      </c>
      <c r="H510">
        <f>IFERROR(VLOOKUP(Tabla13[[#This Row],[SISMED]],TblDisponibilidad[],12,FALSE), 0)</f>
        <v>0</v>
      </c>
      <c r="I510">
        <f>IFERROR(VLOOKUP(Tabla13[[#This Row],[SISMED]],TblDisponibilidad[],13,FALSE), 0)</f>
        <v>0</v>
      </c>
      <c r="J510">
        <f>IFERROR(VLOOKUP(Tabla13[[#This Row],[SISMED]],TblDisponibilidad[],14,FALSE), 0)</f>
        <v>0</v>
      </c>
      <c r="K510">
        <f>IFERROR(VLOOKUP(Tabla13[[#This Row],[SISMED]],TblDisponibilidad[],15,FALSE), 0)</f>
        <v>0</v>
      </c>
      <c r="L510">
        <f>IFERROR(VLOOKUP(Tabla13[[#This Row],[SISMED]],TblDisponibilidad[],16,FALSE), 0)</f>
        <v>0</v>
      </c>
      <c r="M510">
        <f>IFERROR(VLOOKUP(Tabla13[[#This Row],[SISMED]],TblDisponibilidad[],17,FALSE), 0)</f>
        <v>0</v>
      </c>
      <c r="N510">
        <f>IFERROR(VLOOKUP(Tabla13[[#This Row],[SISMED]],TblDisponibilidad[],18,FALSE), 0)</f>
        <v>0</v>
      </c>
      <c r="O510">
        <f>IFERROR(VLOOKUP(Tabla13[[#This Row],[SISMED]],TblDisponibilidad[],19,FALSE), 0)</f>
        <v>0</v>
      </c>
      <c r="P510">
        <f>IFERROR(VLOOKUP(Tabla13[[#This Row],[SISMED]],TblDisponibilidad[],20,FALSE), 0)</f>
        <v>0</v>
      </c>
      <c r="Q510">
        <f>IFERROR(VLOOKUP(Tabla13[[#This Row],[SISMED]],TblDisponibilidad[],21,FALSE), 0)</f>
        <v>0</v>
      </c>
      <c r="R510">
        <f>IFERROR(VLOOKUP(Tabla13[[#This Row],[SISMED]],TblDisponibilidad[],22,FALSE), 0)</f>
        <v>0</v>
      </c>
      <c r="S510" s="15">
        <f>IFERROR(VLOOKUP(Tabla13[[#This Row],[SISMED]],TblDisponibilidad[],23,FALSE), 0)</f>
        <v>0</v>
      </c>
    </row>
    <row r="511" spans="1:19" x14ac:dyDescent="0.3">
      <c r="A511" s="15" t="s">
        <v>541</v>
      </c>
      <c r="B511" t="str">
        <f>IFERROR(VLOOKUP(Tabla13[[#This Row],[SISMED]],TblDisponibilidad[],2,FALSE), "")</f>
        <v/>
      </c>
      <c r="C511">
        <f>IFERROR(VLOOKUP(Tabla13[[#This Row],[SISMED]],TblDisponibilidad[],7,FALSE), 0)</f>
        <v>0</v>
      </c>
      <c r="D511">
        <f>IFERROR(VLOOKUP(Tabla13[[#This Row],[SISMED]],TblDisponibilidad[],8,FALSE), 0)</f>
        <v>0</v>
      </c>
      <c r="E511">
        <f>IFERROR(VLOOKUP(Tabla13[[#This Row],[SISMED]],TblDisponibilidad[],9,FALSE), 0)</f>
        <v>0</v>
      </c>
      <c r="F511">
        <f>IFERROR(VLOOKUP(Tabla13[[#This Row],[SISMED]],TblDisponibilidad[],10,FALSE), 0)</f>
        <v>0</v>
      </c>
      <c r="G511">
        <f>IFERROR(VLOOKUP(Tabla13[[#This Row],[SISMED]],TblDisponibilidad[],11,FALSE), 0)</f>
        <v>0</v>
      </c>
      <c r="H511">
        <f>IFERROR(VLOOKUP(Tabla13[[#This Row],[SISMED]],TblDisponibilidad[],12,FALSE), 0)</f>
        <v>0</v>
      </c>
      <c r="I511">
        <f>IFERROR(VLOOKUP(Tabla13[[#This Row],[SISMED]],TblDisponibilidad[],13,FALSE), 0)</f>
        <v>0</v>
      </c>
      <c r="J511">
        <f>IFERROR(VLOOKUP(Tabla13[[#This Row],[SISMED]],TblDisponibilidad[],14,FALSE), 0)</f>
        <v>0</v>
      </c>
      <c r="K511">
        <f>IFERROR(VLOOKUP(Tabla13[[#This Row],[SISMED]],TblDisponibilidad[],15,FALSE), 0)</f>
        <v>0</v>
      </c>
      <c r="L511">
        <f>IFERROR(VLOOKUP(Tabla13[[#This Row],[SISMED]],TblDisponibilidad[],16,FALSE), 0)</f>
        <v>0</v>
      </c>
      <c r="M511">
        <f>IFERROR(VLOOKUP(Tabla13[[#This Row],[SISMED]],TblDisponibilidad[],17,FALSE), 0)</f>
        <v>0</v>
      </c>
      <c r="N511">
        <f>IFERROR(VLOOKUP(Tabla13[[#This Row],[SISMED]],TblDisponibilidad[],18,FALSE), 0)</f>
        <v>0</v>
      </c>
      <c r="O511">
        <f>IFERROR(VLOOKUP(Tabla13[[#This Row],[SISMED]],TblDisponibilidad[],19,FALSE), 0)</f>
        <v>0</v>
      </c>
      <c r="P511">
        <f>IFERROR(VLOOKUP(Tabla13[[#This Row],[SISMED]],TblDisponibilidad[],20,FALSE), 0)</f>
        <v>0</v>
      </c>
      <c r="Q511">
        <f>IFERROR(VLOOKUP(Tabla13[[#This Row],[SISMED]],TblDisponibilidad[],21,FALSE), 0)</f>
        <v>0</v>
      </c>
      <c r="R511">
        <f>IFERROR(VLOOKUP(Tabla13[[#This Row],[SISMED]],TblDisponibilidad[],22,FALSE), 0)</f>
        <v>0</v>
      </c>
      <c r="S511" s="15">
        <f>IFERROR(VLOOKUP(Tabla13[[#This Row],[SISMED]],TblDisponibilidad[],23,FALSE), 0)</f>
        <v>0</v>
      </c>
    </row>
    <row r="512" spans="1:19" x14ac:dyDescent="0.3">
      <c r="A512" s="15" t="s">
        <v>542</v>
      </c>
      <c r="B512" t="str">
        <f>IFERROR(VLOOKUP(Tabla13[[#This Row],[SISMED]],TblDisponibilidad[],2,FALSE), "")</f>
        <v/>
      </c>
      <c r="C512">
        <f>IFERROR(VLOOKUP(Tabla13[[#This Row],[SISMED]],TblDisponibilidad[],7,FALSE), 0)</f>
        <v>0</v>
      </c>
      <c r="D512">
        <f>IFERROR(VLOOKUP(Tabla13[[#This Row],[SISMED]],TblDisponibilidad[],8,FALSE), 0)</f>
        <v>0</v>
      </c>
      <c r="E512">
        <f>IFERROR(VLOOKUP(Tabla13[[#This Row],[SISMED]],TblDisponibilidad[],9,FALSE), 0)</f>
        <v>0</v>
      </c>
      <c r="F512">
        <f>IFERROR(VLOOKUP(Tabla13[[#This Row],[SISMED]],TblDisponibilidad[],10,FALSE), 0)</f>
        <v>0</v>
      </c>
      <c r="G512">
        <f>IFERROR(VLOOKUP(Tabla13[[#This Row],[SISMED]],TblDisponibilidad[],11,FALSE), 0)</f>
        <v>0</v>
      </c>
      <c r="H512">
        <f>IFERROR(VLOOKUP(Tabla13[[#This Row],[SISMED]],TblDisponibilidad[],12,FALSE), 0)</f>
        <v>0</v>
      </c>
      <c r="I512">
        <f>IFERROR(VLOOKUP(Tabla13[[#This Row],[SISMED]],TblDisponibilidad[],13,FALSE), 0)</f>
        <v>0</v>
      </c>
      <c r="J512">
        <f>IFERROR(VLOOKUP(Tabla13[[#This Row],[SISMED]],TblDisponibilidad[],14,FALSE), 0)</f>
        <v>0</v>
      </c>
      <c r="K512">
        <f>IFERROR(VLOOKUP(Tabla13[[#This Row],[SISMED]],TblDisponibilidad[],15,FALSE), 0)</f>
        <v>0</v>
      </c>
      <c r="L512">
        <f>IFERROR(VLOOKUP(Tabla13[[#This Row],[SISMED]],TblDisponibilidad[],16,FALSE), 0)</f>
        <v>0</v>
      </c>
      <c r="M512">
        <f>IFERROR(VLOOKUP(Tabla13[[#This Row],[SISMED]],TblDisponibilidad[],17,FALSE), 0)</f>
        <v>0</v>
      </c>
      <c r="N512">
        <f>IFERROR(VLOOKUP(Tabla13[[#This Row],[SISMED]],TblDisponibilidad[],18,FALSE), 0)</f>
        <v>0</v>
      </c>
      <c r="O512">
        <f>IFERROR(VLOOKUP(Tabla13[[#This Row],[SISMED]],TblDisponibilidad[],19,FALSE), 0)</f>
        <v>0</v>
      </c>
      <c r="P512">
        <f>IFERROR(VLOOKUP(Tabla13[[#This Row],[SISMED]],TblDisponibilidad[],20,FALSE), 0)</f>
        <v>0</v>
      </c>
      <c r="Q512">
        <f>IFERROR(VLOOKUP(Tabla13[[#This Row],[SISMED]],TblDisponibilidad[],21,FALSE), 0)</f>
        <v>0</v>
      </c>
      <c r="R512">
        <f>IFERROR(VLOOKUP(Tabla13[[#This Row],[SISMED]],TblDisponibilidad[],22,FALSE), 0)</f>
        <v>0</v>
      </c>
      <c r="S512" s="15">
        <f>IFERROR(VLOOKUP(Tabla13[[#This Row],[SISMED]],TblDisponibilidad[],23,FALSE), 0)</f>
        <v>0</v>
      </c>
    </row>
    <row r="513" spans="1:19" x14ac:dyDescent="0.3">
      <c r="A513" s="15" t="s">
        <v>543</v>
      </c>
      <c r="B513" t="str">
        <f>IFERROR(VLOOKUP(Tabla13[[#This Row],[SISMED]],TblDisponibilidad[],2,FALSE), "")</f>
        <v/>
      </c>
      <c r="C513">
        <f>IFERROR(VLOOKUP(Tabla13[[#This Row],[SISMED]],TblDisponibilidad[],7,FALSE), 0)</f>
        <v>0</v>
      </c>
      <c r="D513">
        <f>IFERROR(VLOOKUP(Tabla13[[#This Row],[SISMED]],TblDisponibilidad[],8,FALSE), 0)</f>
        <v>0</v>
      </c>
      <c r="E513">
        <f>IFERROR(VLOOKUP(Tabla13[[#This Row],[SISMED]],TblDisponibilidad[],9,FALSE), 0)</f>
        <v>0</v>
      </c>
      <c r="F513">
        <f>IFERROR(VLOOKUP(Tabla13[[#This Row],[SISMED]],TblDisponibilidad[],10,FALSE), 0)</f>
        <v>0</v>
      </c>
      <c r="G513">
        <f>IFERROR(VLOOKUP(Tabla13[[#This Row],[SISMED]],TblDisponibilidad[],11,FALSE), 0)</f>
        <v>0</v>
      </c>
      <c r="H513">
        <f>IFERROR(VLOOKUP(Tabla13[[#This Row],[SISMED]],TblDisponibilidad[],12,FALSE), 0)</f>
        <v>0</v>
      </c>
      <c r="I513">
        <f>IFERROR(VLOOKUP(Tabla13[[#This Row],[SISMED]],TblDisponibilidad[],13,FALSE), 0)</f>
        <v>0</v>
      </c>
      <c r="J513">
        <f>IFERROR(VLOOKUP(Tabla13[[#This Row],[SISMED]],TblDisponibilidad[],14,FALSE), 0)</f>
        <v>0</v>
      </c>
      <c r="K513">
        <f>IFERROR(VLOOKUP(Tabla13[[#This Row],[SISMED]],TblDisponibilidad[],15,FALSE), 0)</f>
        <v>0</v>
      </c>
      <c r="L513">
        <f>IFERROR(VLOOKUP(Tabla13[[#This Row],[SISMED]],TblDisponibilidad[],16,FALSE), 0)</f>
        <v>0</v>
      </c>
      <c r="M513">
        <f>IFERROR(VLOOKUP(Tabla13[[#This Row],[SISMED]],TblDisponibilidad[],17,FALSE), 0)</f>
        <v>0</v>
      </c>
      <c r="N513">
        <f>IFERROR(VLOOKUP(Tabla13[[#This Row],[SISMED]],TblDisponibilidad[],18,FALSE), 0)</f>
        <v>0</v>
      </c>
      <c r="O513">
        <f>IFERROR(VLOOKUP(Tabla13[[#This Row],[SISMED]],TblDisponibilidad[],19,FALSE), 0)</f>
        <v>0</v>
      </c>
      <c r="P513">
        <f>IFERROR(VLOOKUP(Tabla13[[#This Row],[SISMED]],TblDisponibilidad[],20,FALSE), 0)</f>
        <v>0</v>
      </c>
      <c r="Q513">
        <f>IFERROR(VLOOKUP(Tabla13[[#This Row],[SISMED]],TblDisponibilidad[],21,FALSE), 0)</f>
        <v>0</v>
      </c>
      <c r="R513">
        <f>IFERROR(VLOOKUP(Tabla13[[#This Row],[SISMED]],TblDisponibilidad[],22,FALSE), 0)</f>
        <v>0</v>
      </c>
      <c r="S513" s="15">
        <f>IFERROR(VLOOKUP(Tabla13[[#This Row],[SISMED]],TblDisponibilidad[],23,FALSE), 0)</f>
        <v>0</v>
      </c>
    </row>
    <row r="514" spans="1:19" x14ac:dyDescent="0.3">
      <c r="A514" s="15" t="s">
        <v>544</v>
      </c>
      <c r="B514" t="str">
        <f>IFERROR(VLOOKUP(Tabla13[[#This Row],[SISMED]],TblDisponibilidad[],2,FALSE), "")</f>
        <v/>
      </c>
      <c r="C514">
        <f>IFERROR(VLOOKUP(Tabla13[[#This Row],[SISMED]],TblDisponibilidad[],7,FALSE), 0)</f>
        <v>0</v>
      </c>
      <c r="D514">
        <f>IFERROR(VLOOKUP(Tabla13[[#This Row],[SISMED]],TblDisponibilidad[],8,FALSE), 0)</f>
        <v>0</v>
      </c>
      <c r="E514">
        <f>IFERROR(VLOOKUP(Tabla13[[#This Row],[SISMED]],TblDisponibilidad[],9,FALSE), 0)</f>
        <v>0</v>
      </c>
      <c r="F514">
        <f>IFERROR(VLOOKUP(Tabla13[[#This Row],[SISMED]],TblDisponibilidad[],10,FALSE), 0)</f>
        <v>0</v>
      </c>
      <c r="G514">
        <f>IFERROR(VLOOKUP(Tabla13[[#This Row],[SISMED]],TblDisponibilidad[],11,FALSE), 0)</f>
        <v>0</v>
      </c>
      <c r="H514">
        <f>IFERROR(VLOOKUP(Tabla13[[#This Row],[SISMED]],TblDisponibilidad[],12,FALSE), 0)</f>
        <v>0</v>
      </c>
      <c r="I514">
        <f>IFERROR(VLOOKUP(Tabla13[[#This Row],[SISMED]],TblDisponibilidad[],13,FALSE), 0)</f>
        <v>0</v>
      </c>
      <c r="J514">
        <f>IFERROR(VLOOKUP(Tabla13[[#This Row],[SISMED]],TblDisponibilidad[],14,FALSE), 0)</f>
        <v>0</v>
      </c>
      <c r="K514">
        <f>IFERROR(VLOOKUP(Tabla13[[#This Row],[SISMED]],TblDisponibilidad[],15,FALSE), 0)</f>
        <v>0</v>
      </c>
      <c r="L514">
        <f>IFERROR(VLOOKUP(Tabla13[[#This Row],[SISMED]],TblDisponibilidad[],16,FALSE), 0)</f>
        <v>0</v>
      </c>
      <c r="M514">
        <f>IFERROR(VLOOKUP(Tabla13[[#This Row],[SISMED]],TblDisponibilidad[],17,FALSE), 0)</f>
        <v>0</v>
      </c>
      <c r="N514">
        <f>IFERROR(VLOOKUP(Tabla13[[#This Row],[SISMED]],TblDisponibilidad[],18,FALSE), 0)</f>
        <v>0</v>
      </c>
      <c r="O514">
        <f>IFERROR(VLOOKUP(Tabla13[[#This Row],[SISMED]],TblDisponibilidad[],19,FALSE), 0)</f>
        <v>0</v>
      </c>
      <c r="P514">
        <f>IFERROR(VLOOKUP(Tabla13[[#This Row],[SISMED]],TblDisponibilidad[],20,FALSE), 0)</f>
        <v>0</v>
      </c>
      <c r="Q514">
        <f>IFERROR(VLOOKUP(Tabla13[[#This Row],[SISMED]],TblDisponibilidad[],21,FALSE), 0)</f>
        <v>0</v>
      </c>
      <c r="R514">
        <f>IFERROR(VLOOKUP(Tabla13[[#This Row],[SISMED]],TblDisponibilidad[],22,FALSE), 0)</f>
        <v>0</v>
      </c>
      <c r="S514" s="15">
        <f>IFERROR(VLOOKUP(Tabla13[[#This Row],[SISMED]],TblDisponibilidad[],23,FALSE), 0)</f>
        <v>0</v>
      </c>
    </row>
    <row r="515" spans="1:19" x14ac:dyDescent="0.3">
      <c r="A515" s="15" t="s">
        <v>545</v>
      </c>
      <c r="B515" t="str">
        <f>IFERROR(VLOOKUP(Tabla13[[#This Row],[SISMED]],TblDisponibilidad[],2,FALSE), "")</f>
        <v/>
      </c>
      <c r="C515">
        <f>IFERROR(VLOOKUP(Tabla13[[#This Row],[SISMED]],TblDisponibilidad[],7,FALSE), 0)</f>
        <v>0</v>
      </c>
      <c r="D515">
        <f>IFERROR(VLOOKUP(Tabla13[[#This Row],[SISMED]],TblDisponibilidad[],8,FALSE), 0)</f>
        <v>0</v>
      </c>
      <c r="E515">
        <f>IFERROR(VLOOKUP(Tabla13[[#This Row],[SISMED]],TblDisponibilidad[],9,FALSE), 0)</f>
        <v>0</v>
      </c>
      <c r="F515">
        <f>IFERROR(VLOOKUP(Tabla13[[#This Row],[SISMED]],TblDisponibilidad[],10,FALSE), 0)</f>
        <v>0</v>
      </c>
      <c r="G515">
        <f>IFERROR(VLOOKUP(Tabla13[[#This Row],[SISMED]],TblDisponibilidad[],11,FALSE), 0)</f>
        <v>0</v>
      </c>
      <c r="H515">
        <f>IFERROR(VLOOKUP(Tabla13[[#This Row],[SISMED]],TblDisponibilidad[],12,FALSE), 0)</f>
        <v>0</v>
      </c>
      <c r="I515">
        <f>IFERROR(VLOOKUP(Tabla13[[#This Row],[SISMED]],TblDisponibilidad[],13,FALSE), 0)</f>
        <v>0</v>
      </c>
      <c r="J515">
        <f>IFERROR(VLOOKUP(Tabla13[[#This Row],[SISMED]],TblDisponibilidad[],14,FALSE), 0)</f>
        <v>0</v>
      </c>
      <c r="K515">
        <f>IFERROR(VLOOKUP(Tabla13[[#This Row],[SISMED]],TblDisponibilidad[],15,FALSE), 0)</f>
        <v>0</v>
      </c>
      <c r="L515">
        <f>IFERROR(VLOOKUP(Tabla13[[#This Row],[SISMED]],TblDisponibilidad[],16,FALSE), 0)</f>
        <v>0</v>
      </c>
      <c r="M515">
        <f>IFERROR(VLOOKUP(Tabla13[[#This Row],[SISMED]],TblDisponibilidad[],17,FALSE), 0)</f>
        <v>0</v>
      </c>
      <c r="N515">
        <f>IFERROR(VLOOKUP(Tabla13[[#This Row],[SISMED]],TblDisponibilidad[],18,FALSE), 0)</f>
        <v>0</v>
      </c>
      <c r="O515">
        <f>IFERROR(VLOOKUP(Tabla13[[#This Row],[SISMED]],TblDisponibilidad[],19,FALSE), 0)</f>
        <v>0</v>
      </c>
      <c r="P515">
        <f>IFERROR(VLOOKUP(Tabla13[[#This Row],[SISMED]],TblDisponibilidad[],20,FALSE), 0)</f>
        <v>0</v>
      </c>
      <c r="Q515">
        <f>IFERROR(VLOOKUP(Tabla13[[#This Row],[SISMED]],TblDisponibilidad[],21,FALSE), 0)</f>
        <v>0</v>
      </c>
      <c r="R515">
        <f>IFERROR(VLOOKUP(Tabla13[[#This Row],[SISMED]],TblDisponibilidad[],22,FALSE), 0)</f>
        <v>0</v>
      </c>
      <c r="S515" s="15">
        <f>IFERROR(VLOOKUP(Tabla13[[#This Row],[SISMED]],TblDisponibilidad[],23,FALSE), 0)</f>
        <v>0</v>
      </c>
    </row>
    <row r="516" spans="1:19" x14ac:dyDescent="0.3">
      <c r="A516" s="15" t="s">
        <v>546</v>
      </c>
      <c r="B516" t="str">
        <f>IFERROR(VLOOKUP(Tabla13[[#This Row],[SISMED]],TblDisponibilidad[],2,FALSE), "")</f>
        <v/>
      </c>
      <c r="C516">
        <f>IFERROR(VLOOKUP(Tabla13[[#This Row],[SISMED]],TblDisponibilidad[],7,FALSE), 0)</f>
        <v>0</v>
      </c>
      <c r="D516">
        <f>IFERROR(VLOOKUP(Tabla13[[#This Row],[SISMED]],TblDisponibilidad[],8,FALSE), 0)</f>
        <v>0</v>
      </c>
      <c r="E516">
        <f>IFERROR(VLOOKUP(Tabla13[[#This Row],[SISMED]],TblDisponibilidad[],9,FALSE), 0)</f>
        <v>0</v>
      </c>
      <c r="F516">
        <f>IFERROR(VLOOKUP(Tabla13[[#This Row],[SISMED]],TblDisponibilidad[],10,FALSE), 0)</f>
        <v>0</v>
      </c>
      <c r="G516">
        <f>IFERROR(VLOOKUP(Tabla13[[#This Row],[SISMED]],TblDisponibilidad[],11,FALSE), 0)</f>
        <v>0</v>
      </c>
      <c r="H516">
        <f>IFERROR(VLOOKUP(Tabla13[[#This Row],[SISMED]],TblDisponibilidad[],12,FALSE), 0)</f>
        <v>0</v>
      </c>
      <c r="I516">
        <f>IFERROR(VLOOKUP(Tabla13[[#This Row],[SISMED]],TblDisponibilidad[],13,FALSE), 0)</f>
        <v>0</v>
      </c>
      <c r="J516">
        <f>IFERROR(VLOOKUP(Tabla13[[#This Row],[SISMED]],TblDisponibilidad[],14,FALSE), 0)</f>
        <v>0</v>
      </c>
      <c r="K516">
        <f>IFERROR(VLOOKUP(Tabla13[[#This Row],[SISMED]],TblDisponibilidad[],15,FALSE), 0)</f>
        <v>0</v>
      </c>
      <c r="L516">
        <f>IFERROR(VLOOKUP(Tabla13[[#This Row],[SISMED]],TblDisponibilidad[],16,FALSE), 0)</f>
        <v>0</v>
      </c>
      <c r="M516">
        <f>IFERROR(VLOOKUP(Tabla13[[#This Row],[SISMED]],TblDisponibilidad[],17,FALSE), 0)</f>
        <v>0</v>
      </c>
      <c r="N516">
        <f>IFERROR(VLOOKUP(Tabla13[[#This Row],[SISMED]],TblDisponibilidad[],18,FALSE), 0)</f>
        <v>0</v>
      </c>
      <c r="O516">
        <f>IFERROR(VLOOKUP(Tabla13[[#This Row],[SISMED]],TblDisponibilidad[],19,FALSE), 0)</f>
        <v>0</v>
      </c>
      <c r="P516">
        <f>IFERROR(VLOOKUP(Tabla13[[#This Row],[SISMED]],TblDisponibilidad[],20,FALSE), 0)</f>
        <v>0</v>
      </c>
      <c r="Q516">
        <f>IFERROR(VLOOKUP(Tabla13[[#This Row],[SISMED]],TblDisponibilidad[],21,FALSE), 0)</f>
        <v>0</v>
      </c>
      <c r="R516">
        <f>IFERROR(VLOOKUP(Tabla13[[#This Row],[SISMED]],TblDisponibilidad[],22,FALSE), 0)</f>
        <v>0</v>
      </c>
      <c r="S516" s="15">
        <f>IFERROR(VLOOKUP(Tabla13[[#This Row],[SISMED]],TblDisponibilidad[],23,FALSE), 0)</f>
        <v>0</v>
      </c>
    </row>
    <row r="517" spans="1:19" x14ac:dyDescent="0.3">
      <c r="A517" s="15" t="s">
        <v>547</v>
      </c>
      <c r="B517" t="str">
        <f>IFERROR(VLOOKUP(Tabla13[[#This Row],[SISMED]],TblDisponibilidad[],2,FALSE), "")</f>
        <v/>
      </c>
      <c r="C517">
        <f>IFERROR(VLOOKUP(Tabla13[[#This Row],[SISMED]],TblDisponibilidad[],7,FALSE), 0)</f>
        <v>0</v>
      </c>
      <c r="D517">
        <f>IFERROR(VLOOKUP(Tabla13[[#This Row],[SISMED]],TblDisponibilidad[],8,FALSE), 0)</f>
        <v>0</v>
      </c>
      <c r="E517">
        <f>IFERROR(VLOOKUP(Tabla13[[#This Row],[SISMED]],TblDisponibilidad[],9,FALSE), 0)</f>
        <v>0</v>
      </c>
      <c r="F517">
        <f>IFERROR(VLOOKUP(Tabla13[[#This Row],[SISMED]],TblDisponibilidad[],10,FALSE), 0)</f>
        <v>0</v>
      </c>
      <c r="G517">
        <f>IFERROR(VLOOKUP(Tabla13[[#This Row],[SISMED]],TblDisponibilidad[],11,FALSE), 0)</f>
        <v>0</v>
      </c>
      <c r="H517">
        <f>IFERROR(VLOOKUP(Tabla13[[#This Row],[SISMED]],TblDisponibilidad[],12,FALSE), 0)</f>
        <v>0</v>
      </c>
      <c r="I517">
        <f>IFERROR(VLOOKUP(Tabla13[[#This Row],[SISMED]],TblDisponibilidad[],13,FALSE), 0)</f>
        <v>0</v>
      </c>
      <c r="J517">
        <f>IFERROR(VLOOKUP(Tabla13[[#This Row],[SISMED]],TblDisponibilidad[],14,FALSE), 0)</f>
        <v>0</v>
      </c>
      <c r="K517">
        <f>IFERROR(VLOOKUP(Tabla13[[#This Row],[SISMED]],TblDisponibilidad[],15,FALSE), 0)</f>
        <v>0</v>
      </c>
      <c r="L517">
        <f>IFERROR(VLOOKUP(Tabla13[[#This Row],[SISMED]],TblDisponibilidad[],16,FALSE), 0)</f>
        <v>0</v>
      </c>
      <c r="M517">
        <f>IFERROR(VLOOKUP(Tabla13[[#This Row],[SISMED]],TblDisponibilidad[],17,FALSE), 0)</f>
        <v>0</v>
      </c>
      <c r="N517">
        <f>IFERROR(VLOOKUP(Tabla13[[#This Row],[SISMED]],TblDisponibilidad[],18,FALSE), 0)</f>
        <v>0</v>
      </c>
      <c r="O517">
        <f>IFERROR(VLOOKUP(Tabla13[[#This Row],[SISMED]],TblDisponibilidad[],19,FALSE), 0)</f>
        <v>0</v>
      </c>
      <c r="P517">
        <f>IFERROR(VLOOKUP(Tabla13[[#This Row],[SISMED]],TblDisponibilidad[],20,FALSE), 0)</f>
        <v>0</v>
      </c>
      <c r="Q517">
        <f>IFERROR(VLOOKUP(Tabla13[[#This Row],[SISMED]],TblDisponibilidad[],21,FALSE), 0)</f>
        <v>0</v>
      </c>
      <c r="R517">
        <f>IFERROR(VLOOKUP(Tabla13[[#This Row],[SISMED]],TblDisponibilidad[],22,FALSE), 0)</f>
        <v>0</v>
      </c>
      <c r="S517" s="15">
        <f>IFERROR(VLOOKUP(Tabla13[[#This Row],[SISMED]],TblDisponibilidad[],23,FALSE), 0)</f>
        <v>0</v>
      </c>
    </row>
    <row r="518" spans="1:19" x14ac:dyDescent="0.3">
      <c r="A518" s="15" t="s">
        <v>548</v>
      </c>
      <c r="B518" t="str">
        <f>IFERROR(VLOOKUP(Tabla13[[#This Row],[SISMED]],TblDisponibilidad[],2,FALSE), "")</f>
        <v/>
      </c>
      <c r="C518">
        <f>IFERROR(VLOOKUP(Tabla13[[#This Row],[SISMED]],TblDisponibilidad[],7,FALSE), 0)</f>
        <v>0</v>
      </c>
      <c r="D518">
        <f>IFERROR(VLOOKUP(Tabla13[[#This Row],[SISMED]],TblDisponibilidad[],8,FALSE), 0)</f>
        <v>0</v>
      </c>
      <c r="E518">
        <f>IFERROR(VLOOKUP(Tabla13[[#This Row],[SISMED]],TblDisponibilidad[],9,FALSE), 0)</f>
        <v>0</v>
      </c>
      <c r="F518">
        <f>IFERROR(VLOOKUP(Tabla13[[#This Row],[SISMED]],TblDisponibilidad[],10,FALSE), 0)</f>
        <v>0</v>
      </c>
      <c r="G518">
        <f>IFERROR(VLOOKUP(Tabla13[[#This Row],[SISMED]],TblDisponibilidad[],11,FALSE), 0)</f>
        <v>0</v>
      </c>
      <c r="H518">
        <f>IFERROR(VLOOKUP(Tabla13[[#This Row],[SISMED]],TblDisponibilidad[],12,FALSE), 0)</f>
        <v>0</v>
      </c>
      <c r="I518">
        <f>IFERROR(VLOOKUP(Tabla13[[#This Row],[SISMED]],TblDisponibilidad[],13,FALSE), 0)</f>
        <v>0</v>
      </c>
      <c r="J518">
        <f>IFERROR(VLOOKUP(Tabla13[[#This Row],[SISMED]],TblDisponibilidad[],14,FALSE), 0)</f>
        <v>0</v>
      </c>
      <c r="K518">
        <f>IFERROR(VLOOKUP(Tabla13[[#This Row],[SISMED]],TblDisponibilidad[],15,FALSE), 0)</f>
        <v>0</v>
      </c>
      <c r="L518">
        <f>IFERROR(VLOOKUP(Tabla13[[#This Row],[SISMED]],TblDisponibilidad[],16,FALSE), 0)</f>
        <v>0</v>
      </c>
      <c r="M518">
        <f>IFERROR(VLOOKUP(Tabla13[[#This Row],[SISMED]],TblDisponibilidad[],17,FALSE), 0)</f>
        <v>0</v>
      </c>
      <c r="N518">
        <f>IFERROR(VLOOKUP(Tabla13[[#This Row],[SISMED]],TblDisponibilidad[],18,FALSE), 0)</f>
        <v>0</v>
      </c>
      <c r="O518">
        <f>IFERROR(VLOOKUP(Tabla13[[#This Row],[SISMED]],TblDisponibilidad[],19,FALSE), 0)</f>
        <v>0</v>
      </c>
      <c r="P518">
        <f>IFERROR(VLOOKUP(Tabla13[[#This Row],[SISMED]],TblDisponibilidad[],20,FALSE), 0)</f>
        <v>0</v>
      </c>
      <c r="Q518">
        <f>IFERROR(VLOOKUP(Tabla13[[#This Row],[SISMED]],TblDisponibilidad[],21,FALSE), 0)</f>
        <v>0</v>
      </c>
      <c r="R518">
        <f>IFERROR(VLOOKUP(Tabla13[[#This Row],[SISMED]],TblDisponibilidad[],22,FALSE), 0)</f>
        <v>0</v>
      </c>
      <c r="S518" s="15">
        <f>IFERROR(VLOOKUP(Tabla13[[#This Row],[SISMED]],TblDisponibilidad[],23,FALSE), 0)</f>
        <v>0</v>
      </c>
    </row>
    <row r="519" spans="1:19" x14ac:dyDescent="0.3">
      <c r="A519" s="15" t="s">
        <v>549</v>
      </c>
      <c r="B519" t="str">
        <f>IFERROR(VLOOKUP(Tabla13[[#This Row],[SISMED]],TblDisponibilidad[],2,FALSE), "")</f>
        <v/>
      </c>
      <c r="C519">
        <f>IFERROR(VLOOKUP(Tabla13[[#This Row],[SISMED]],TblDisponibilidad[],7,FALSE), 0)</f>
        <v>0</v>
      </c>
      <c r="D519">
        <f>IFERROR(VLOOKUP(Tabla13[[#This Row],[SISMED]],TblDisponibilidad[],8,FALSE), 0)</f>
        <v>0</v>
      </c>
      <c r="E519">
        <f>IFERROR(VLOOKUP(Tabla13[[#This Row],[SISMED]],TblDisponibilidad[],9,FALSE), 0)</f>
        <v>0</v>
      </c>
      <c r="F519">
        <f>IFERROR(VLOOKUP(Tabla13[[#This Row],[SISMED]],TblDisponibilidad[],10,FALSE), 0)</f>
        <v>0</v>
      </c>
      <c r="G519">
        <f>IFERROR(VLOOKUP(Tabla13[[#This Row],[SISMED]],TblDisponibilidad[],11,FALSE), 0)</f>
        <v>0</v>
      </c>
      <c r="H519">
        <f>IFERROR(VLOOKUP(Tabla13[[#This Row],[SISMED]],TblDisponibilidad[],12,FALSE), 0)</f>
        <v>0</v>
      </c>
      <c r="I519">
        <f>IFERROR(VLOOKUP(Tabla13[[#This Row],[SISMED]],TblDisponibilidad[],13,FALSE), 0)</f>
        <v>0</v>
      </c>
      <c r="J519">
        <f>IFERROR(VLOOKUP(Tabla13[[#This Row],[SISMED]],TblDisponibilidad[],14,FALSE), 0)</f>
        <v>0</v>
      </c>
      <c r="K519">
        <f>IFERROR(VLOOKUP(Tabla13[[#This Row],[SISMED]],TblDisponibilidad[],15,FALSE), 0)</f>
        <v>0</v>
      </c>
      <c r="L519">
        <f>IFERROR(VLOOKUP(Tabla13[[#This Row],[SISMED]],TblDisponibilidad[],16,FALSE), 0)</f>
        <v>0</v>
      </c>
      <c r="M519">
        <f>IFERROR(VLOOKUP(Tabla13[[#This Row],[SISMED]],TblDisponibilidad[],17,FALSE), 0)</f>
        <v>0</v>
      </c>
      <c r="N519">
        <f>IFERROR(VLOOKUP(Tabla13[[#This Row],[SISMED]],TblDisponibilidad[],18,FALSE), 0)</f>
        <v>0</v>
      </c>
      <c r="O519">
        <f>IFERROR(VLOOKUP(Tabla13[[#This Row],[SISMED]],TblDisponibilidad[],19,FALSE), 0)</f>
        <v>0</v>
      </c>
      <c r="P519">
        <f>IFERROR(VLOOKUP(Tabla13[[#This Row],[SISMED]],TblDisponibilidad[],20,FALSE), 0)</f>
        <v>0</v>
      </c>
      <c r="Q519">
        <f>IFERROR(VLOOKUP(Tabla13[[#This Row],[SISMED]],TblDisponibilidad[],21,FALSE), 0)</f>
        <v>0</v>
      </c>
      <c r="R519">
        <f>IFERROR(VLOOKUP(Tabla13[[#This Row],[SISMED]],TblDisponibilidad[],22,FALSE), 0)</f>
        <v>0</v>
      </c>
      <c r="S519" s="15">
        <f>IFERROR(VLOOKUP(Tabla13[[#This Row],[SISMED]],TblDisponibilidad[],23,FALSE), 0)</f>
        <v>0</v>
      </c>
    </row>
    <row r="520" spans="1:19" x14ac:dyDescent="0.3">
      <c r="A520" s="15" t="s">
        <v>550</v>
      </c>
      <c r="B520" t="str">
        <f>IFERROR(VLOOKUP(Tabla13[[#This Row],[SISMED]],TblDisponibilidad[],2,FALSE), "")</f>
        <v/>
      </c>
      <c r="C520">
        <f>IFERROR(VLOOKUP(Tabla13[[#This Row],[SISMED]],TblDisponibilidad[],7,FALSE), 0)</f>
        <v>0</v>
      </c>
      <c r="D520">
        <f>IFERROR(VLOOKUP(Tabla13[[#This Row],[SISMED]],TblDisponibilidad[],8,FALSE), 0)</f>
        <v>0</v>
      </c>
      <c r="E520">
        <f>IFERROR(VLOOKUP(Tabla13[[#This Row],[SISMED]],TblDisponibilidad[],9,FALSE), 0)</f>
        <v>0</v>
      </c>
      <c r="F520">
        <f>IFERROR(VLOOKUP(Tabla13[[#This Row],[SISMED]],TblDisponibilidad[],10,FALSE), 0)</f>
        <v>0</v>
      </c>
      <c r="G520">
        <f>IFERROR(VLOOKUP(Tabla13[[#This Row],[SISMED]],TblDisponibilidad[],11,FALSE), 0)</f>
        <v>0</v>
      </c>
      <c r="H520">
        <f>IFERROR(VLOOKUP(Tabla13[[#This Row],[SISMED]],TblDisponibilidad[],12,FALSE), 0)</f>
        <v>0</v>
      </c>
      <c r="I520">
        <f>IFERROR(VLOOKUP(Tabla13[[#This Row],[SISMED]],TblDisponibilidad[],13,FALSE), 0)</f>
        <v>0</v>
      </c>
      <c r="J520">
        <f>IFERROR(VLOOKUP(Tabla13[[#This Row],[SISMED]],TblDisponibilidad[],14,FALSE), 0)</f>
        <v>0</v>
      </c>
      <c r="K520">
        <f>IFERROR(VLOOKUP(Tabla13[[#This Row],[SISMED]],TblDisponibilidad[],15,FALSE), 0)</f>
        <v>0</v>
      </c>
      <c r="L520">
        <f>IFERROR(VLOOKUP(Tabla13[[#This Row],[SISMED]],TblDisponibilidad[],16,FALSE), 0)</f>
        <v>0</v>
      </c>
      <c r="M520">
        <f>IFERROR(VLOOKUP(Tabla13[[#This Row],[SISMED]],TblDisponibilidad[],17,FALSE), 0)</f>
        <v>0</v>
      </c>
      <c r="N520">
        <f>IFERROR(VLOOKUP(Tabla13[[#This Row],[SISMED]],TblDisponibilidad[],18,FALSE), 0)</f>
        <v>0</v>
      </c>
      <c r="O520">
        <f>IFERROR(VLOOKUP(Tabla13[[#This Row],[SISMED]],TblDisponibilidad[],19,FALSE), 0)</f>
        <v>0</v>
      </c>
      <c r="P520">
        <f>IFERROR(VLOOKUP(Tabla13[[#This Row],[SISMED]],TblDisponibilidad[],20,FALSE), 0)</f>
        <v>0</v>
      </c>
      <c r="Q520">
        <f>IFERROR(VLOOKUP(Tabla13[[#This Row],[SISMED]],TblDisponibilidad[],21,FALSE), 0)</f>
        <v>0</v>
      </c>
      <c r="R520">
        <f>IFERROR(VLOOKUP(Tabla13[[#This Row],[SISMED]],TblDisponibilidad[],22,FALSE), 0)</f>
        <v>0</v>
      </c>
      <c r="S520" s="15">
        <f>IFERROR(VLOOKUP(Tabla13[[#This Row],[SISMED]],TblDisponibilidad[],23,FALSE), 0)</f>
        <v>0</v>
      </c>
    </row>
    <row r="521" spans="1:19" x14ac:dyDescent="0.3">
      <c r="A521" s="15" t="s">
        <v>551</v>
      </c>
      <c r="B521" t="str">
        <f>IFERROR(VLOOKUP(Tabla13[[#This Row],[SISMED]],TblDisponibilidad[],2,FALSE), "")</f>
        <v/>
      </c>
      <c r="C521">
        <f>IFERROR(VLOOKUP(Tabla13[[#This Row],[SISMED]],TblDisponibilidad[],7,FALSE), 0)</f>
        <v>0</v>
      </c>
      <c r="D521">
        <f>IFERROR(VLOOKUP(Tabla13[[#This Row],[SISMED]],TblDisponibilidad[],8,FALSE), 0)</f>
        <v>0</v>
      </c>
      <c r="E521">
        <f>IFERROR(VLOOKUP(Tabla13[[#This Row],[SISMED]],TblDisponibilidad[],9,FALSE), 0)</f>
        <v>0</v>
      </c>
      <c r="F521">
        <f>IFERROR(VLOOKUP(Tabla13[[#This Row],[SISMED]],TblDisponibilidad[],10,FALSE), 0)</f>
        <v>0</v>
      </c>
      <c r="G521">
        <f>IFERROR(VLOOKUP(Tabla13[[#This Row],[SISMED]],TblDisponibilidad[],11,FALSE), 0)</f>
        <v>0</v>
      </c>
      <c r="H521">
        <f>IFERROR(VLOOKUP(Tabla13[[#This Row],[SISMED]],TblDisponibilidad[],12,FALSE), 0)</f>
        <v>0</v>
      </c>
      <c r="I521">
        <f>IFERROR(VLOOKUP(Tabla13[[#This Row],[SISMED]],TblDisponibilidad[],13,FALSE), 0)</f>
        <v>0</v>
      </c>
      <c r="J521">
        <f>IFERROR(VLOOKUP(Tabla13[[#This Row],[SISMED]],TblDisponibilidad[],14,FALSE), 0)</f>
        <v>0</v>
      </c>
      <c r="K521">
        <f>IFERROR(VLOOKUP(Tabla13[[#This Row],[SISMED]],TblDisponibilidad[],15,FALSE), 0)</f>
        <v>0</v>
      </c>
      <c r="L521">
        <f>IFERROR(VLOOKUP(Tabla13[[#This Row],[SISMED]],TblDisponibilidad[],16,FALSE), 0)</f>
        <v>0</v>
      </c>
      <c r="M521">
        <f>IFERROR(VLOOKUP(Tabla13[[#This Row],[SISMED]],TblDisponibilidad[],17,FALSE), 0)</f>
        <v>0</v>
      </c>
      <c r="N521">
        <f>IFERROR(VLOOKUP(Tabla13[[#This Row],[SISMED]],TblDisponibilidad[],18,FALSE), 0)</f>
        <v>0</v>
      </c>
      <c r="O521">
        <f>IFERROR(VLOOKUP(Tabla13[[#This Row],[SISMED]],TblDisponibilidad[],19,FALSE), 0)</f>
        <v>0</v>
      </c>
      <c r="P521">
        <f>IFERROR(VLOOKUP(Tabla13[[#This Row],[SISMED]],TblDisponibilidad[],20,FALSE), 0)</f>
        <v>0</v>
      </c>
      <c r="Q521">
        <f>IFERROR(VLOOKUP(Tabla13[[#This Row],[SISMED]],TblDisponibilidad[],21,FALSE), 0)</f>
        <v>0</v>
      </c>
      <c r="R521">
        <f>IFERROR(VLOOKUP(Tabla13[[#This Row],[SISMED]],TblDisponibilidad[],22,FALSE), 0)</f>
        <v>0</v>
      </c>
      <c r="S521" s="15">
        <f>IFERROR(VLOOKUP(Tabla13[[#This Row],[SISMED]],TblDisponibilidad[],23,FALSE), 0)</f>
        <v>0</v>
      </c>
    </row>
    <row r="522" spans="1:19" x14ac:dyDescent="0.3">
      <c r="A522" s="15" t="s">
        <v>552</v>
      </c>
      <c r="B522" t="str">
        <f>IFERROR(VLOOKUP(Tabla13[[#This Row],[SISMED]],TblDisponibilidad[],2,FALSE), "")</f>
        <v/>
      </c>
      <c r="C522">
        <f>IFERROR(VLOOKUP(Tabla13[[#This Row],[SISMED]],TblDisponibilidad[],7,FALSE), 0)</f>
        <v>0</v>
      </c>
      <c r="D522">
        <f>IFERROR(VLOOKUP(Tabla13[[#This Row],[SISMED]],TblDisponibilidad[],8,FALSE), 0)</f>
        <v>0</v>
      </c>
      <c r="E522">
        <f>IFERROR(VLOOKUP(Tabla13[[#This Row],[SISMED]],TblDisponibilidad[],9,FALSE), 0)</f>
        <v>0</v>
      </c>
      <c r="F522">
        <f>IFERROR(VLOOKUP(Tabla13[[#This Row],[SISMED]],TblDisponibilidad[],10,FALSE), 0)</f>
        <v>0</v>
      </c>
      <c r="G522">
        <f>IFERROR(VLOOKUP(Tabla13[[#This Row],[SISMED]],TblDisponibilidad[],11,FALSE), 0)</f>
        <v>0</v>
      </c>
      <c r="H522">
        <f>IFERROR(VLOOKUP(Tabla13[[#This Row],[SISMED]],TblDisponibilidad[],12,FALSE), 0)</f>
        <v>0</v>
      </c>
      <c r="I522">
        <f>IFERROR(VLOOKUP(Tabla13[[#This Row],[SISMED]],TblDisponibilidad[],13,FALSE), 0)</f>
        <v>0</v>
      </c>
      <c r="J522">
        <f>IFERROR(VLOOKUP(Tabla13[[#This Row],[SISMED]],TblDisponibilidad[],14,FALSE), 0)</f>
        <v>0</v>
      </c>
      <c r="K522">
        <f>IFERROR(VLOOKUP(Tabla13[[#This Row],[SISMED]],TblDisponibilidad[],15,FALSE), 0)</f>
        <v>0</v>
      </c>
      <c r="L522">
        <f>IFERROR(VLOOKUP(Tabla13[[#This Row],[SISMED]],TblDisponibilidad[],16,FALSE), 0)</f>
        <v>0</v>
      </c>
      <c r="M522">
        <f>IFERROR(VLOOKUP(Tabla13[[#This Row],[SISMED]],TblDisponibilidad[],17,FALSE), 0)</f>
        <v>0</v>
      </c>
      <c r="N522">
        <f>IFERROR(VLOOKUP(Tabla13[[#This Row],[SISMED]],TblDisponibilidad[],18,FALSE), 0)</f>
        <v>0</v>
      </c>
      <c r="O522">
        <f>IFERROR(VLOOKUP(Tabla13[[#This Row],[SISMED]],TblDisponibilidad[],19,FALSE), 0)</f>
        <v>0</v>
      </c>
      <c r="P522">
        <f>IFERROR(VLOOKUP(Tabla13[[#This Row],[SISMED]],TblDisponibilidad[],20,FALSE), 0)</f>
        <v>0</v>
      </c>
      <c r="Q522">
        <f>IFERROR(VLOOKUP(Tabla13[[#This Row],[SISMED]],TblDisponibilidad[],21,FALSE), 0)</f>
        <v>0</v>
      </c>
      <c r="R522">
        <f>IFERROR(VLOOKUP(Tabla13[[#This Row],[SISMED]],TblDisponibilidad[],22,FALSE), 0)</f>
        <v>0</v>
      </c>
      <c r="S522" s="15">
        <f>IFERROR(VLOOKUP(Tabla13[[#This Row],[SISMED]],TblDisponibilidad[],23,FALSE), 0)</f>
        <v>0</v>
      </c>
    </row>
    <row r="523" spans="1:19" x14ac:dyDescent="0.3">
      <c r="A523" s="15" t="s">
        <v>553</v>
      </c>
      <c r="B523" t="str">
        <f>IFERROR(VLOOKUP(Tabla13[[#This Row],[SISMED]],TblDisponibilidad[],2,FALSE), "")</f>
        <v/>
      </c>
      <c r="C523">
        <f>IFERROR(VLOOKUP(Tabla13[[#This Row],[SISMED]],TblDisponibilidad[],7,FALSE), 0)</f>
        <v>0</v>
      </c>
      <c r="D523">
        <f>IFERROR(VLOOKUP(Tabla13[[#This Row],[SISMED]],TblDisponibilidad[],8,FALSE), 0)</f>
        <v>0</v>
      </c>
      <c r="E523">
        <f>IFERROR(VLOOKUP(Tabla13[[#This Row],[SISMED]],TblDisponibilidad[],9,FALSE), 0)</f>
        <v>0</v>
      </c>
      <c r="F523">
        <f>IFERROR(VLOOKUP(Tabla13[[#This Row],[SISMED]],TblDisponibilidad[],10,FALSE), 0)</f>
        <v>0</v>
      </c>
      <c r="G523">
        <f>IFERROR(VLOOKUP(Tabla13[[#This Row],[SISMED]],TblDisponibilidad[],11,FALSE), 0)</f>
        <v>0</v>
      </c>
      <c r="H523">
        <f>IFERROR(VLOOKUP(Tabla13[[#This Row],[SISMED]],TblDisponibilidad[],12,FALSE), 0)</f>
        <v>0</v>
      </c>
      <c r="I523">
        <f>IFERROR(VLOOKUP(Tabla13[[#This Row],[SISMED]],TblDisponibilidad[],13,FALSE), 0)</f>
        <v>0</v>
      </c>
      <c r="J523">
        <f>IFERROR(VLOOKUP(Tabla13[[#This Row],[SISMED]],TblDisponibilidad[],14,FALSE), 0)</f>
        <v>0</v>
      </c>
      <c r="K523">
        <f>IFERROR(VLOOKUP(Tabla13[[#This Row],[SISMED]],TblDisponibilidad[],15,FALSE), 0)</f>
        <v>0</v>
      </c>
      <c r="L523">
        <f>IFERROR(VLOOKUP(Tabla13[[#This Row],[SISMED]],TblDisponibilidad[],16,FALSE), 0)</f>
        <v>0</v>
      </c>
      <c r="M523">
        <f>IFERROR(VLOOKUP(Tabla13[[#This Row],[SISMED]],TblDisponibilidad[],17,FALSE), 0)</f>
        <v>0</v>
      </c>
      <c r="N523">
        <f>IFERROR(VLOOKUP(Tabla13[[#This Row],[SISMED]],TblDisponibilidad[],18,FALSE), 0)</f>
        <v>0</v>
      </c>
      <c r="O523">
        <f>IFERROR(VLOOKUP(Tabla13[[#This Row],[SISMED]],TblDisponibilidad[],19,FALSE), 0)</f>
        <v>0</v>
      </c>
      <c r="P523">
        <f>IFERROR(VLOOKUP(Tabla13[[#This Row],[SISMED]],TblDisponibilidad[],20,FALSE), 0)</f>
        <v>0</v>
      </c>
      <c r="Q523">
        <f>IFERROR(VLOOKUP(Tabla13[[#This Row],[SISMED]],TblDisponibilidad[],21,FALSE), 0)</f>
        <v>0</v>
      </c>
      <c r="R523">
        <f>IFERROR(VLOOKUP(Tabla13[[#This Row],[SISMED]],TblDisponibilidad[],22,FALSE), 0)</f>
        <v>0</v>
      </c>
      <c r="S523" s="15">
        <f>IFERROR(VLOOKUP(Tabla13[[#This Row],[SISMED]],TblDisponibilidad[],23,FALSE), 0)</f>
        <v>0</v>
      </c>
    </row>
    <row r="524" spans="1:19" x14ac:dyDescent="0.3">
      <c r="A524" s="15" t="s">
        <v>554</v>
      </c>
      <c r="B524" t="str">
        <f>IFERROR(VLOOKUP(Tabla13[[#This Row],[SISMED]],TblDisponibilidad[],2,FALSE), "")</f>
        <v/>
      </c>
      <c r="C524">
        <f>IFERROR(VLOOKUP(Tabla13[[#This Row],[SISMED]],TblDisponibilidad[],7,FALSE), 0)</f>
        <v>0</v>
      </c>
      <c r="D524">
        <f>IFERROR(VLOOKUP(Tabla13[[#This Row],[SISMED]],TblDisponibilidad[],8,FALSE), 0)</f>
        <v>0</v>
      </c>
      <c r="E524">
        <f>IFERROR(VLOOKUP(Tabla13[[#This Row],[SISMED]],TblDisponibilidad[],9,FALSE), 0)</f>
        <v>0</v>
      </c>
      <c r="F524">
        <f>IFERROR(VLOOKUP(Tabla13[[#This Row],[SISMED]],TblDisponibilidad[],10,FALSE), 0)</f>
        <v>0</v>
      </c>
      <c r="G524">
        <f>IFERROR(VLOOKUP(Tabla13[[#This Row],[SISMED]],TblDisponibilidad[],11,FALSE), 0)</f>
        <v>0</v>
      </c>
      <c r="H524">
        <f>IFERROR(VLOOKUP(Tabla13[[#This Row],[SISMED]],TblDisponibilidad[],12,FALSE), 0)</f>
        <v>0</v>
      </c>
      <c r="I524">
        <f>IFERROR(VLOOKUP(Tabla13[[#This Row],[SISMED]],TblDisponibilidad[],13,FALSE), 0)</f>
        <v>0</v>
      </c>
      <c r="J524">
        <f>IFERROR(VLOOKUP(Tabla13[[#This Row],[SISMED]],TblDisponibilidad[],14,FALSE), 0)</f>
        <v>0</v>
      </c>
      <c r="K524">
        <f>IFERROR(VLOOKUP(Tabla13[[#This Row],[SISMED]],TblDisponibilidad[],15,FALSE), 0)</f>
        <v>0</v>
      </c>
      <c r="L524">
        <f>IFERROR(VLOOKUP(Tabla13[[#This Row],[SISMED]],TblDisponibilidad[],16,FALSE), 0)</f>
        <v>0</v>
      </c>
      <c r="M524">
        <f>IFERROR(VLOOKUP(Tabla13[[#This Row],[SISMED]],TblDisponibilidad[],17,FALSE), 0)</f>
        <v>0</v>
      </c>
      <c r="N524">
        <f>IFERROR(VLOOKUP(Tabla13[[#This Row],[SISMED]],TblDisponibilidad[],18,FALSE), 0)</f>
        <v>0</v>
      </c>
      <c r="O524">
        <f>IFERROR(VLOOKUP(Tabla13[[#This Row],[SISMED]],TblDisponibilidad[],19,FALSE), 0)</f>
        <v>0</v>
      </c>
      <c r="P524">
        <f>IFERROR(VLOOKUP(Tabla13[[#This Row],[SISMED]],TblDisponibilidad[],20,FALSE), 0)</f>
        <v>0</v>
      </c>
      <c r="Q524">
        <f>IFERROR(VLOOKUP(Tabla13[[#This Row],[SISMED]],TblDisponibilidad[],21,FALSE), 0)</f>
        <v>0</v>
      </c>
      <c r="R524">
        <f>IFERROR(VLOOKUP(Tabla13[[#This Row],[SISMED]],TblDisponibilidad[],22,FALSE), 0)</f>
        <v>0</v>
      </c>
      <c r="S524" s="15">
        <f>IFERROR(VLOOKUP(Tabla13[[#This Row],[SISMED]],TblDisponibilidad[],23,FALSE), 0)</f>
        <v>0</v>
      </c>
    </row>
    <row r="525" spans="1:19" x14ac:dyDescent="0.3">
      <c r="A525" s="15" t="s">
        <v>555</v>
      </c>
      <c r="B525" t="str">
        <f>IFERROR(VLOOKUP(Tabla13[[#This Row],[SISMED]],TblDisponibilidad[],2,FALSE), "")</f>
        <v/>
      </c>
      <c r="C525">
        <f>IFERROR(VLOOKUP(Tabla13[[#This Row],[SISMED]],TblDisponibilidad[],7,FALSE), 0)</f>
        <v>0</v>
      </c>
      <c r="D525">
        <f>IFERROR(VLOOKUP(Tabla13[[#This Row],[SISMED]],TblDisponibilidad[],8,FALSE), 0)</f>
        <v>0</v>
      </c>
      <c r="E525">
        <f>IFERROR(VLOOKUP(Tabla13[[#This Row],[SISMED]],TblDisponibilidad[],9,FALSE), 0)</f>
        <v>0</v>
      </c>
      <c r="F525">
        <f>IFERROR(VLOOKUP(Tabla13[[#This Row],[SISMED]],TblDisponibilidad[],10,FALSE), 0)</f>
        <v>0</v>
      </c>
      <c r="G525">
        <f>IFERROR(VLOOKUP(Tabla13[[#This Row],[SISMED]],TblDisponibilidad[],11,FALSE), 0)</f>
        <v>0</v>
      </c>
      <c r="H525">
        <f>IFERROR(VLOOKUP(Tabla13[[#This Row],[SISMED]],TblDisponibilidad[],12,FALSE), 0)</f>
        <v>0</v>
      </c>
      <c r="I525">
        <f>IFERROR(VLOOKUP(Tabla13[[#This Row],[SISMED]],TblDisponibilidad[],13,FALSE), 0)</f>
        <v>0</v>
      </c>
      <c r="J525">
        <f>IFERROR(VLOOKUP(Tabla13[[#This Row],[SISMED]],TblDisponibilidad[],14,FALSE), 0)</f>
        <v>0</v>
      </c>
      <c r="K525">
        <f>IFERROR(VLOOKUP(Tabla13[[#This Row],[SISMED]],TblDisponibilidad[],15,FALSE), 0)</f>
        <v>0</v>
      </c>
      <c r="L525">
        <f>IFERROR(VLOOKUP(Tabla13[[#This Row],[SISMED]],TblDisponibilidad[],16,FALSE), 0)</f>
        <v>0</v>
      </c>
      <c r="M525">
        <f>IFERROR(VLOOKUP(Tabla13[[#This Row],[SISMED]],TblDisponibilidad[],17,FALSE), 0)</f>
        <v>0</v>
      </c>
      <c r="N525">
        <f>IFERROR(VLOOKUP(Tabla13[[#This Row],[SISMED]],TblDisponibilidad[],18,FALSE), 0)</f>
        <v>0</v>
      </c>
      <c r="O525">
        <f>IFERROR(VLOOKUP(Tabla13[[#This Row],[SISMED]],TblDisponibilidad[],19,FALSE), 0)</f>
        <v>0</v>
      </c>
      <c r="P525">
        <f>IFERROR(VLOOKUP(Tabla13[[#This Row],[SISMED]],TblDisponibilidad[],20,FALSE), 0)</f>
        <v>0</v>
      </c>
      <c r="Q525">
        <f>IFERROR(VLOOKUP(Tabla13[[#This Row],[SISMED]],TblDisponibilidad[],21,FALSE), 0)</f>
        <v>0</v>
      </c>
      <c r="R525">
        <f>IFERROR(VLOOKUP(Tabla13[[#This Row],[SISMED]],TblDisponibilidad[],22,FALSE), 0)</f>
        <v>0</v>
      </c>
      <c r="S525" s="15">
        <f>IFERROR(VLOOKUP(Tabla13[[#This Row],[SISMED]],TblDisponibilidad[],23,FALSE), 0)</f>
        <v>0</v>
      </c>
    </row>
    <row r="526" spans="1:19" x14ac:dyDescent="0.3">
      <c r="A526" s="15" t="s">
        <v>556</v>
      </c>
      <c r="B526" t="str">
        <f>IFERROR(VLOOKUP(Tabla13[[#This Row],[SISMED]],TblDisponibilidad[],2,FALSE), "")</f>
        <v/>
      </c>
      <c r="C526">
        <f>IFERROR(VLOOKUP(Tabla13[[#This Row],[SISMED]],TblDisponibilidad[],7,FALSE), 0)</f>
        <v>0</v>
      </c>
      <c r="D526">
        <f>IFERROR(VLOOKUP(Tabla13[[#This Row],[SISMED]],TblDisponibilidad[],8,FALSE), 0)</f>
        <v>0</v>
      </c>
      <c r="E526">
        <f>IFERROR(VLOOKUP(Tabla13[[#This Row],[SISMED]],TblDisponibilidad[],9,FALSE), 0)</f>
        <v>0</v>
      </c>
      <c r="F526">
        <f>IFERROR(VLOOKUP(Tabla13[[#This Row],[SISMED]],TblDisponibilidad[],10,FALSE), 0)</f>
        <v>0</v>
      </c>
      <c r="G526">
        <f>IFERROR(VLOOKUP(Tabla13[[#This Row],[SISMED]],TblDisponibilidad[],11,FALSE), 0)</f>
        <v>0</v>
      </c>
      <c r="H526">
        <f>IFERROR(VLOOKUP(Tabla13[[#This Row],[SISMED]],TblDisponibilidad[],12,FALSE), 0)</f>
        <v>0</v>
      </c>
      <c r="I526">
        <f>IFERROR(VLOOKUP(Tabla13[[#This Row],[SISMED]],TblDisponibilidad[],13,FALSE), 0)</f>
        <v>0</v>
      </c>
      <c r="J526">
        <f>IFERROR(VLOOKUP(Tabla13[[#This Row],[SISMED]],TblDisponibilidad[],14,FALSE), 0)</f>
        <v>0</v>
      </c>
      <c r="K526">
        <f>IFERROR(VLOOKUP(Tabla13[[#This Row],[SISMED]],TblDisponibilidad[],15,FALSE), 0)</f>
        <v>0</v>
      </c>
      <c r="L526">
        <f>IFERROR(VLOOKUP(Tabla13[[#This Row],[SISMED]],TblDisponibilidad[],16,FALSE), 0)</f>
        <v>0</v>
      </c>
      <c r="M526">
        <f>IFERROR(VLOOKUP(Tabla13[[#This Row],[SISMED]],TblDisponibilidad[],17,FALSE), 0)</f>
        <v>0</v>
      </c>
      <c r="N526">
        <f>IFERROR(VLOOKUP(Tabla13[[#This Row],[SISMED]],TblDisponibilidad[],18,FALSE), 0)</f>
        <v>0</v>
      </c>
      <c r="O526">
        <f>IFERROR(VLOOKUP(Tabla13[[#This Row],[SISMED]],TblDisponibilidad[],19,FALSE), 0)</f>
        <v>0</v>
      </c>
      <c r="P526">
        <f>IFERROR(VLOOKUP(Tabla13[[#This Row],[SISMED]],TblDisponibilidad[],20,FALSE), 0)</f>
        <v>0</v>
      </c>
      <c r="Q526">
        <f>IFERROR(VLOOKUP(Tabla13[[#This Row],[SISMED]],TblDisponibilidad[],21,FALSE), 0)</f>
        <v>0</v>
      </c>
      <c r="R526">
        <f>IFERROR(VLOOKUP(Tabla13[[#This Row],[SISMED]],TblDisponibilidad[],22,FALSE), 0)</f>
        <v>0</v>
      </c>
      <c r="S526" s="15">
        <f>IFERROR(VLOOKUP(Tabla13[[#This Row],[SISMED]],TblDisponibilidad[],23,FALSE), 0)</f>
        <v>0</v>
      </c>
    </row>
    <row r="527" spans="1:19" x14ac:dyDescent="0.3">
      <c r="A527" s="15" t="s">
        <v>557</v>
      </c>
      <c r="B527" t="str">
        <f>IFERROR(VLOOKUP(Tabla13[[#This Row],[SISMED]],TblDisponibilidad[],2,FALSE), "")</f>
        <v/>
      </c>
      <c r="C527">
        <f>IFERROR(VLOOKUP(Tabla13[[#This Row],[SISMED]],TblDisponibilidad[],7,FALSE), 0)</f>
        <v>0</v>
      </c>
      <c r="D527">
        <f>IFERROR(VLOOKUP(Tabla13[[#This Row],[SISMED]],TblDisponibilidad[],8,FALSE), 0)</f>
        <v>0</v>
      </c>
      <c r="E527">
        <f>IFERROR(VLOOKUP(Tabla13[[#This Row],[SISMED]],TblDisponibilidad[],9,FALSE), 0)</f>
        <v>0</v>
      </c>
      <c r="F527">
        <f>IFERROR(VLOOKUP(Tabla13[[#This Row],[SISMED]],TblDisponibilidad[],10,FALSE), 0)</f>
        <v>0</v>
      </c>
      <c r="G527">
        <f>IFERROR(VLOOKUP(Tabla13[[#This Row],[SISMED]],TblDisponibilidad[],11,FALSE), 0)</f>
        <v>0</v>
      </c>
      <c r="H527">
        <f>IFERROR(VLOOKUP(Tabla13[[#This Row],[SISMED]],TblDisponibilidad[],12,FALSE), 0)</f>
        <v>0</v>
      </c>
      <c r="I527">
        <f>IFERROR(VLOOKUP(Tabla13[[#This Row],[SISMED]],TblDisponibilidad[],13,FALSE), 0)</f>
        <v>0</v>
      </c>
      <c r="J527">
        <f>IFERROR(VLOOKUP(Tabla13[[#This Row],[SISMED]],TblDisponibilidad[],14,FALSE), 0)</f>
        <v>0</v>
      </c>
      <c r="K527">
        <f>IFERROR(VLOOKUP(Tabla13[[#This Row],[SISMED]],TblDisponibilidad[],15,FALSE), 0)</f>
        <v>0</v>
      </c>
      <c r="L527">
        <f>IFERROR(VLOOKUP(Tabla13[[#This Row],[SISMED]],TblDisponibilidad[],16,FALSE), 0)</f>
        <v>0</v>
      </c>
      <c r="M527">
        <f>IFERROR(VLOOKUP(Tabla13[[#This Row],[SISMED]],TblDisponibilidad[],17,FALSE), 0)</f>
        <v>0</v>
      </c>
      <c r="N527">
        <f>IFERROR(VLOOKUP(Tabla13[[#This Row],[SISMED]],TblDisponibilidad[],18,FALSE), 0)</f>
        <v>0</v>
      </c>
      <c r="O527">
        <f>IFERROR(VLOOKUP(Tabla13[[#This Row],[SISMED]],TblDisponibilidad[],19,FALSE), 0)</f>
        <v>0</v>
      </c>
      <c r="P527">
        <f>IFERROR(VLOOKUP(Tabla13[[#This Row],[SISMED]],TblDisponibilidad[],20,FALSE), 0)</f>
        <v>0</v>
      </c>
      <c r="Q527">
        <f>IFERROR(VLOOKUP(Tabla13[[#This Row],[SISMED]],TblDisponibilidad[],21,FALSE), 0)</f>
        <v>0</v>
      </c>
      <c r="R527">
        <f>IFERROR(VLOOKUP(Tabla13[[#This Row],[SISMED]],TblDisponibilidad[],22,FALSE), 0)</f>
        <v>0</v>
      </c>
      <c r="S527" s="15">
        <f>IFERROR(VLOOKUP(Tabla13[[#This Row],[SISMED]],TblDisponibilidad[],23,FALSE), 0)</f>
        <v>0</v>
      </c>
    </row>
    <row r="528" spans="1:19" x14ac:dyDescent="0.3">
      <c r="A528" s="15" t="s">
        <v>558</v>
      </c>
      <c r="B528" t="str">
        <f>IFERROR(VLOOKUP(Tabla13[[#This Row],[SISMED]],TblDisponibilidad[],2,FALSE), "")</f>
        <v/>
      </c>
      <c r="C528">
        <f>IFERROR(VLOOKUP(Tabla13[[#This Row],[SISMED]],TblDisponibilidad[],7,FALSE), 0)</f>
        <v>0</v>
      </c>
      <c r="D528">
        <f>IFERROR(VLOOKUP(Tabla13[[#This Row],[SISMED]],TblDisponibilidad[],8,FALSE), 0)</f>
        <v>0</v>
      </c>
      <c r="E528">
        <f>IFERROR(VLOOKUP(Tabla13[[#This Row],[SISMED]],TblDisponibilidad[],9,FALSE), 0)</f>
        <v>0</v>
      </c>
      <c r="F528">
        <f>IFERROR(VLOOKUP(Tabla13[[#This Row],[SISMED]],TblDisponibilidad[],10,FALSE), 0)</f>
        <v>0</v>
      </c>
      <c r="G528">
        <f>IFERROR(VLOOKUP(Tabla13[[#This Row],[SISMED]],TblDisponibilidad[],11,FALSE), 0)</f>
        <v>0</v>
      </c>
      <c r="H528">
        <f>IFERROR(VLOOKUP(Tabla13[[#This Row],[SISMED]],TblDisponibilidad[],12,FALSE), 0)</f>
        <v>0</v>
      </c>
      <c r="I528">
        <f>IFERROR(VLOOKUP(Tabla13[[#This Row],[SISMED]],TblDisponibilidad[],13,FALSE), 0)</f>
        <v>0</v>
      </c>
      <c r="J528">
        <f>IFERROR(VLOOKUP(Tabla13[[#This Row],[SISMED]],TblDisponibilidad[],14,FALSE), 0)</f>
        <v>0</v>
      </c>
      <c r="K528">
        <f>IFERROR(VLOOKUP(Tabla13[[#This Row],[SISMED]],TblDisponibilidad[],15,FALSE), 0)</f>
        <v>0</v>
      </c>
      <c r="L528">
        <f>IFERROR(VLOOKUP(Tabla13[[#This Row],[SISMED]],TblDisponibilidad[],16,FALSE), 0)</f>
        <v>0</v>
      </c>
      <c r="M528">
        <f>IFERROR(VLOOKUP(Tabla13[[#This Row],[SISMED]],TblDisponibilidad[],17,FALSE), 0)</f>
        <v>0</v>
      </c>
      <c r="N528">
        <f>IFERROR(VLOOKUP(Tabla13[[#This Row],[SISMED]],TblDisponibilidad[],18,FALSE), 0)</f>
        <v>0</v>
      </c>
      <c r="O528">
        <f>IFERROR(VLOOKUP(Tabla13[[#This Row],[SISMED]],TblDisponibilidad[],19,FALSE), 0)</f>
        <v>0</v>
      </c>
      <c r="P528">
        <f>IFERROR(VLOOKUP(Tabla13[[#This Row],[SISMED]],TblDisponibilidad[],20,FALSE), 0)</f>
        <v>0</v>
      </c>
      <c r="Q528">
        <f>IFERROR(VLOOKUP(Tabla13[[#This Row],[SISMED]],TblDisponibilidad[],21,FALSE), 0)</f>
        <v>0</v>
      </c>
      <c r="R528">
        <f>IFERROR(VLOOKUP(Tabla13[[#This Row],[SISMED]],TblDisponibilidad[],22,FALSE), 0)</f>
        <v>0</v>
      </c>
      <c r="S528" s="15">
        <f>IFERROR(VLOOKUP(Tabla13[[#This Row],[SISMED]],TblDisponibilidad[],23,FALSE), 0)</f>
        <v>0</v>
      </c>
    </row>
    <row r="529" spans="1:19" x14ac:dyDescent="0.3">
      <c r="A529" s="15" t="s">
        <v>559</v>
      </c>
      <c r="B529" t="str">
        <f>IFERROR(VLOOKUP(Tabla13[[#This Row],[SISMED]],TblDisponibilidad[],2,FALSE), "")</f>
        <v/>
      </c>
      <c r="C529">
        <f>IFERROR(VLOOKUP(Tabla13[[#This Row],[SISMED]],TblDisponibilidad[],7,FALSE), 0)</f>
        <v>0</v>
      </c>
      <c r="D529">
        <f>IFERROR(VLOOKUP(Tabla13[[#This Row],[SISMED]],TblDisponibilidad[],8,FALSE), 0)</f>
        <v>0</v>
      </c>
      <c r="E529">
        <f>IFERROR(VLOOKUP(Tabla13[[#This Row],[SISMED]],TblDisponibilidad[],9,FALSE), 0)</f>
        <v>0</v>
      </c>
      <c r="F529">
        <f>IFERROR(VLOOKUP(Tabla13[[#This Row],[SISMED]],TblDisponibilidad[],10,FALSE), 0)</f>
        <v>0</v>
      </c>
      <c r="G529">
        <f>IFERROR(VLOOKUP(Tabla13[[#This Row],[SISMED]],TblDisponibilidad[],11,FALSE), 0)</f>
        <v>0</v>
      </c>
      <c r="H529">
        <f>IFERROR(VLOOKUP(Tabla13[[#This Row],[SISMED]],TblDisponibilidad[],12,FALSE), 0)</f>
        <v>0</v>
      </c>
      <c r="I529">
        <f>IFERROR(VLOOKUP(Tabla13[[#This Row],[SISMED]],TblDisponibilidad[],13,FALSE), 0)</f>
        <v>0</v>
      </c>
      <c r="J529">
        <f>IFERROR(VLOOKUP(Tabla13[[#This Row],[SISMED]],TblDisponibilidad[],14,FALSE), 0)</f>
        <v>0</v>
      </c>
      <c r="K529">
        <f>IFERROR(VLOOKUP(Tabla13[[#This Row],[SISMED]],TblDisponibilidad[],15,FALSE), 0)</f>
        <v>0</v>
      </c>
      <c r="L529">
        <f>IFERROR(VLOOKUP(Tabla13[[#This Row],[SISMED]],TblDisponibilidad[],16,FALSE), 0)</f>
        <v>0</v>
      </c>
      <c r="M529">
        <f>IFERROR(VLOOKUP(Tabla13[[#This Row],[SISMED]],TblDisponibilidad[],17,FALSE), 0)</f>
        <v>0</v>
      </c>
      <c r="N529">
        <f>IFERROR(VLOOKUP(Tabla13[[#This Row],[SISMED]],TblDisponibilidad[],18,FALSE), 0)</f>
        <v>0</v>
      </c>
      <c r="O529">
        <f>IFERROR(VLOOKUP(Tabla13[[#This Row],[SISMED]],TblDisponibilidad[],19,FALSE), 0)</f>
        <v>0</v>
      </c>
      <c r="P529">
        <f>IFERROR(VLOOKUP(Tabla13[[#This Row],[SISMED]],TblDisponibilidad[],20,FALSE), 0)</f>
        <v>0</v>
      </c>
      <c r="Q529">
        <f>IFERROR(VLOOKUP(Tabla13[[#This Row],[SISMED]],TblDisponibilidad[],21,FALSE), 0)</f>
        <v>0</v>
      </c>
      <c r="R529">
        <f>IFERROR(VLOOKUP(Tabla13[[#This Row],[SISMED]],TblDisponibilidad[],22,FALSE), 0)</f>
        <v>0</v>
      </c>
      <c r="S529" s="15">
        <f>IFERROR(VLOOKUP(Tabla13[[#This Row],[SISMED]],TblDisponibilidad[],23,FALSE), 0)</f>
        <v>0</v>
      </c>
    </row>
    <row r="530" spans="1:19" x14ac:dyDescent="0.3">
      <c r="A530" s="15" t="s">
        <v>560</v>
      </c>
      <c r="B530" t="str">
        <f>IFERROR(VLOOKUP(Tabla13[[#This Row],[SISMED]],TblDisponibilidad[],2,FALSE), "")</f>
        <v/>
      </c>
      <c r="C530">
        <f>IFERROR(VLOOKUP(Tabla13[[#This Row],[SISMED]],TblDisponibilidad[],7,FALSE), 0)</f>
        <v>0</v>
      </c>
      <c r="D530">
        <f>IFERROR(VLOOKUP(Tabla13[[#This Row],[SISMED]],TblDisponibilidad[],8,FALSE), 0)</f>
        <v>0</v>
      </c>
      <c r="E530">
        <f>IFERROR(VLOOKUP(Tabla13[[#This Row],[SISMED]],TblDisponibilidad[],9,FALSE), 0)</f>
        <v>0</v>
      </c>
      <c r="F530">
        <f>IFERROR(VLOOKUP(Tabla13[[#This Row],[SISMED]],TblDisponibilidad[],10,FALSE), 0)</f>
        <v>0</v>
      </c>
      <c r="G530">
        <f>IFERROR(VLOOKUP(Tabla13[[#This Row],[SISMED]],TblDisponibilidad[],11,FALSE), 0)</f>
        <v>0</v>
      </c>
      <c r="H530">
        <f>IFERROR(VLOOKUP(Tabla13[[#This Row],[SISMED]],TblDisponibilidad[],12,FALSE), 0)</f>
        <v>0</v>
      </c>
      <c r="I530">
        <f>IFERROR(VLOOKUP(Tabla13[[#This Row],[SISMED]],TblDisponibilidad[],13,FALSE), 0)</f>
        <v>0</v>
      </c>
      <c r="J530">
        <f>IFERROR(VLOOKUP(Tabla13[[#This Row],[SISMED]],TblDisponibilidad[],14,FALSE), 0)</f>
        <v>0</v>
      </c>
      <c r="K530">
        <f>IFERROR(VLOOKUP(Tabla13[[#This Row],[SISMED]],TblDisponibilidad[],15,FALSE), 0)</f>
        <v>0</v>
      </c>
      <c r="L530">
        <f>IFERROR(VLOOKUP(Tabla13[[#This Row],[SISMED]],TblDisponibilidad[],16,FALSE), 0)</f>
        <v>0</v>
      </c>
      <c r="M530">
        <f>IFERROR(VLOOKUP(Tabla13[[#This Row],[SISMED]],TblDisponibilidad[],17,FALSE), 0)</f>
        <v>0</v>
      </c>
      <c r="N530">
        <f>IFERROR(VLOOKUP(Tabla13[[#This Row],[SISMED]],TblDisponibilidad[],18,FALSE), 0)</f>
        <v>0</v>
      </c>
      <c r="O530">
        <f>IFERROR(VLOOKUP(Tabla13[[#This Row],[SISMED]],TblDisponibilidad[],19,FALSE), 0)</f>
        <v>0</v>
      </c>
      <c r="P530">
        <f>IFERROR(VLOOKUP(Tabla13[[#This Row],[SISMED]],TblDisponibilidad[],20,FALSE), 0)</f>
        <v>0</v>
      </c>
      <c r="Q530">
        <f>IFERROR(VLOOKUP(Tabla13[[#This Row],[SISMED]],TblDisponibilidad[],21,FALSE), 0)</f>
        <v>0</v>
      </c>
      <c r="R530">
        <f>IFERROR(VLOOKUP(Tabla13[[#This Row],[SISMED]],TblDisponibilidad[],22,FALSE), 0)</f>
        <v>0</v>
      </c>
      <c r="S530" s="15">
        <f>IFERROR(VLOOKUP(Tabla13[[#This Row],[SISMED]],TblDisponibilidad[],23,FALSE), 0)</f>
        <v>0</v>
      </c>
    </row>
    <row r="531" spans="1:19" x14ac:dyDescent="0.3">
      <c r="A531" s="15" t="s">
        <v>561</v>
      </c>
      <c r="B531" t="str">
        <f>IFERROR(VLOOKUP(Tabla13[[#This Row],[SISMED]],TblDisponibilidad[],2,FALSE), "")</f>
        <v/>
      </c>
      <c r="C531">
        <f>IFERROR(VLOOKUP(Tabla13[[#This Row],[SISMED]],TblDisponibilidad[],7,FALSE), 0)</f>
        <v>0</v>
      </c>
      <c r="D531">
        <f>IFERROR(VLOOKUP(Tabla13[[#This Row],[SISMED]],TblDisponibilidad[],8,FALSE), 0)</f>
        <v>0</v>
      </c>
      <c r="E531">
        <f>IFERROR(VLOOKUP(Tabla13[[#This Row],[SISMED]],TblDisponibilidad[],9,FALSE), 0)</f>
        <v>0</v>
      </c>
      <c r="F531">
        <f>IFERROR(VLOOKUP(Tabla13[[#This Row],[SISMED]],TblDisponibilidad[],10,FALSE), 0)</f>
        <v>0</v>
      </c>
      <c r="G531">
        <f>IFERROR(VLOOKUP(Tabla13[[#This Row],[SISMED]],TblDisponibilidad[],11,FALSE), 0)</f>
        <v>0</v>
      </c>
      <c r="H531">
        <f>IFERROR(VLOOKUP(Tabla13[[#This Row],[SISMED]],TblDisponibilidad[],12,FALSE), 0)</f>
        <v>0</v>
      </c>
      <c r="I531">
        <f>IFERROR(VLOOKUP(Tabla13[[#This Row],[SISMED]],TblDisponibilidad[],13,FALSE), 0)</f>
        <v>0</v>
      </c>
      <c r="J531">
        <f>IFERROR(VLOOKUP(Tabla13[[#This Row],[SISMED]],TblDisponibilidad[],14,FALSE), 0)</f>
        <v>0</v>
      </c>
      <c r="K531">
        <f>IFERROR(VLOOKUP(Tabla13[[#This Row],[SISMED]],TblDisponibilidad[],15,FALSE), 0)</f>
        <v>0</v>
      </c>
      <c r="L531">
        <f>IFERROR(VLOOKUP(Tabla13[[#This Row],[SISMED]],TblDisponibilidad[],16,FALSE), 0)</f>
        <v>0</v>
      </c>
      <c r="M531">
        <f>IFERROR(VLOOKUP(Tabla13[[#This Row],[SISMED]],TblDisponibilidad[],17,FALSE), 0)</f>
        <v>0</v>
      </c>
      <c r="N531">
        <f>IFERROR(VLOOKUP(Tabla13[[#This Row],[SISMED]],TblDisponibilidad[],18,FALSE), 0)</f>
        <v>0</v>
      </c>
      <c r="O531">
        <f>IFERROR(VLOOKUP(Tabla13[[#This Row],[SISMED]],TblDisponibilidad[],19,FALSE), 0)</f>
        <v>0</v>
      </c>
      <c r="P531">
        <f>IFERROR(VLOOKUP(Tabla13[[#This Row],[SISMED]],TblDisponibilidad[],20,FALSE), 0)</f>
        <v>0</v>
      </c>
      <c r="Q531">
        <f>IFERROR(VLOOKUP(Tabla13[[#This Row],[SISMED]],TblDisponibilidad[],21,FALSE), 0)</f>
        <v>0</v>
      </c>
      <c r="R531">
        <f>IFERROR(VLOOKUP(Tabla13[[#This Row],[SISMED]],TblDisponibilidad[],22,FALSE), 0)</f>
        <v>0</v>
      </c>
      <c r="S531" s="15">
        <f>IFERROR(VLOOKUP(Tabla13[[#This Row],[SISMED]],TblDisponibilidad[],23,FALSE), 0)</f>
        <v>0</v>
      </c>
    </row>
    <row r="532" spans="1:19" x14ac:dyDescent="0.3">
      <c r="A532" s="15" t="s">
        <v>562</v>
      </c>
      <c r="B532" t="str">
        <f>IFERROR(VLOOKUP(Tabla13[[#This Row],[SISMED]],TblDisponibilidad[],2,FALSE), "")</f>
        <v/>
      </c>
      <c r="C532">
        <f>IFERROR(VLOOKUP(Tabla13[[#This Row],[SISMED]],TblDisponibilidad[],7,FALSE), 0)</f>
        <v>0</v>
      </c>
      <c r="D532">
        <f>IFERROR(VLOOKUP(Tabla13[[#This Row],[SISMED]],TblDisponibilidad[],8,FALSE), 0)</f>
        <v>0</v>
      </c>
      <c r="E532">
        <f>IFERROR(VLOOKUP(Tabla13[[#This Row],[SISMED]],TblDisponibilidad[],9,FALSE), 0)</f>
        <v>0</v>
      </c>
      <c r="F532">
        <f>IFERROR(VLOOKUP(Tabla13[[#This Row],[SISMED]],TblDisponibilidad[],10,FALSE), 0)</f>
        <v>0</v>
      </c>
      <c r="G532">
        <f>IFERROR(VLOOKUP(Tabla13[[#This Row],[SISMED]],TblDisponibilidad[],11,FALSE), 0)</f>
        <v>0</v>
      </c>
      <c r="H532">
        <f>IFERROR(VLOOKUP(Tabla13[[#This Row],[SISMED]],TblDisponibilidad[],12,FALSE), 0)</f>
        <v>0</v>
      </c>
      <c r="I532">
        <f>IFERROR(VLOOKUP(Tabla13[[#This Row],[SISMED]],TblDisponibilidad[],13,FALSE), 0)</f>
        <v>0</v>
      </c>
      <c r="J532">
        <f>IFERROR(VLOOKUP(Tabla13[[#This Row],[SISMED]],TblDisponibilidad[],14,FALSE), 0)</f>
        <v>0</v>
      </c>
      <c r="K532">
        <f>IFERROR(VLOOKUP(Tabla13[[#This Row],[SISMED]],TblDisponibilidad[],15,FALSE), 0)</f>
        <v>0</v>
      </c>
      <c r="L532">
        <f>IFERROR(VLOOKUP(Tabla13[[#This Row],[SISMED]],TblDisponibilidad[],16,FALSE), 0)</f>
        <v>0</v>
      </c>
      <c r="M532">
        <f>IFERROR(VLOOKUP(Tabla13[[#This Row],[SISMED]],TblDisponibilidad[],17,FALSE), 0)</f>
        <v>0</v>
      </c>
      <c r="N532">
        <f>IFERROR(VLOOKUP(Tabla13[[#This Row],[SISMED]],TblDisponibilidad[],18,FALSE), 0)</f>
        <v>0</v>
      </c>
      <c r="O532">
        <f>IFERROR(VLOOKUP(Tabla13[[#This Row],[SISMED]],TblDisponibilidad[],19,FALSE), 0)</f>
        <v>0</v>
      </c>
      <c r="P532">
        <f>IFERROR(VLOOKUP(Tabla13[[#This Row],[SISMED]],TblDisponibilidad[],20,FALSE), 0)</f>
        <v>0</v>
      </c>
      <c r="Q532">
        <f>IFERROR(VLOOKUP(Tabla13[[#This Row],[SISMED]],TblDisponibilidad[],21,FALSE), 0)</f>
        <v>0</v>
      </c>
      <c r="R532">
        <f>IFERROR(VLOOKUP(Tabla13[[#This Row],[SISMED]],TblDisponibilidad[],22,FALSE), 0)</f>
        <v>0</v>
      </c>
      <c r="S532" s="15">
        <f>IFERROR(VLOOKUP(Tabla13[[#This Row],[SISMED]],TblDisponibilidad[],23,FALSE), 0)</f>
        <v>0</v>
      </c>
    </row>
    <row r="533" spans="1:19" x14ac:dyDescent="0.3">
      <c r="A533" s="15" t="s">
        <v>563</v>
      </c>
      <c r="B533" t="str">
        <f>IFERROR(VLOOKUP(Tabla13[[#This Row],[SISMED]],TblDisponibilidad[],2,FALSE), "")</f>
        <v/>
      </c>
      <c r="C533">
        <f>IFERROR(VLOOKUP(Tabla13[[#This Row],[SISMED]],TblDisponibilidad[],7,FALSE), 0)</f>
        <v>0</v>
      </c>
      <c r="D533">
        <f>IFERROR(VLOOKUP(Tabla13[[#This Row],[SISMED]],TblDisponibilidad[],8,FALSE), 0)</f>
        <v>0</v>
      </c>
      <c r="E533">
        <f>IFERROR(VLOOKUP(Tabla13[[#This Row],[SISMED]],TblDisponibilidad[],9,FALSE), 0)</f>
        <v>0</v>
      </c>
      <c r="F533">
        <f>IFERROR(VLOOKUP(Tabla13[[#This Row],[SISMED]],TblDisponibilidad[],10,FALSE), 0)</f>
        <v>0</v>
      </c>
      <c r="G533">
        <f>IFERROR(VLOOKUP(Tabla13[[#This Row],[SISMED]],TblDisponibilidad[],11,FALSE), 0)</f>
        <v>0</v>
      </c>
      <c r="H533">
        <f>IFERROR(VLOOKUP(Tabla13[[#This Row],[SISMED]],TblDisponibilidad[],12,FALSE), 0)</f>
        <v>0</v>
      </c>
      <c r="I533">
        <f>IFERROR(VLOOKUP(Tabla13[[#This Row],[SISMED]],TblDisponibilidad[],13,FALSE), 0)</f>
        <v>0</v>
      </c>
      <c r="J533">
        <f>IFERROR(VLOOKUP(Tabla13[[#This Row],[SISMED]],TblDisponibilidad[],14,FALSE), 0)</f>
        <v>0</v>
      </c>
      <c r="K533">
        <f>IFERROR(VLOOKUP(Tabla13[[#This Row],[SISMED]],TblDisponibilidad[],15,FALSE), 0)</f>
        <v>0</v>
      </c>
      <c r="L533">
        <f>IFERROR(VLOOKUP(Tabla13[[#This Row],[SISMED]],TblDisponibilidad[],16,FALSE), 0)</f>
        <v>0</v>
      </c>
      <c r="M533">
        <f>IFERROR(VLOOKUP(Tabla13[[#This Row],[SISMED]],TblDisponibilidad[],17,FALSE), 0)</f>
        <v>0</v>
      </c>
      <c r="N533">
        <f>IFERROR(VLOOKUP(Tabla13[[#This Row],[SISMED]],TblDisponibilidad[],18,FALSE), 0)</f>
        <v>0</v>
      </c>
      <c r="O533">
        <f>IFERROR(VLOOKUP(Tabla13[[#This Row],[SISMED]],TblDisponibilidad[],19,FALSE), 0)</f>
        <v>0</v>
      </c>
      <c r="P533">
        <f>IFERROR(VLOOKUP(Tabla13[[#This Row],[SISMED]],TblDisponibilidad[],20,FALSE), 0)</f>
        <v>0</v>
      </c>
      <c r="Q533">
        <f>IFERROR(VLOOKUP(Tabla13[[#This Row],[SISMED]],TblDisponibilidad[],21,FALSE), 0)</f>
        <v>0</v>
      </c>
      <c r="R533">
        <f>IFERROR(VLOOKUP(Tabla13[[#This Row],[SISMED]],TblDisponibilidad[],22,FALSE), 0)</f>
        <v>0</v>
      </c>
      <c r="S533" s="15">
        <f>IFERROR(VLOOKUP(Tabla13[[#This Row],[SISMED]],TblDisponibilidad[],23,FALSE), 0)</f>
        <v>0</v>
      </c>
    </row>
    <row r="534" spans="1:19" x14ac:dyDescent="0.3">
      <c r="A534" s="15" t="s">
        <v>564</v>
      </c>
      <c r="B534" t="str">
        <f>IFERROR(VLOOKUP(Tabla13[[#This Row],[SISMED]],TblDisponibilidad[],2,FALSE), "")</f>
        <v/>
      </c>
      <c r="C534">
        <f>IFERROR(VLOOKUP(Tabla13[[#This Row],[SISMED]],TblDisponibilidad[],7,FALSE), 0)</f>
        <v>0</v>
      </c>
      <c r="D534">
        <f>IFERROR(VLOOKUP(Tabla13[[#This Row],[SISMED]],TblDisponibilidad[],8,FALSE), 0)</f>
        <v>0</v>
      </c>
      <c r="E534">
        <f>IFERROR(VLOOKUP(Tabla13[[#This Row],[SISMED]],TblDisponibilidad[],9,FALSE), 0)</f>
        <v>0</v>
      </c>
      <c r="F534">
        <f>IFERROR(VLOOKUP(Tabla13[[#This Row],[SISMED]],TblDisponibilidad[],10,FALSE), 0)</f>
        <v>0</v>
      </c>
      <c r="G534">
        <f>IFERROR(VLOOKUP(Tabla13[[#This Row],[SISMED]],TblDisponibilidad[],11,FALSE), 0)</f>
        <v>0</v>
      </c>
      <c r="H534">
        <f>IFERROR(VLOOKUP(Tabla13[[#This Row],[SISMED]],TblDisponibilidad[],12,FALSE), 0)</f>
        <v>0</v>
      </c>
      <c r="I534">
        <f>IFERROR(VLOOKUP(Tabla13[[#This Row],[SISMED]],TblDisponibilidad[],13,FALSE), 0)</f>
        <v>0</v>
      </c>
      <c r="J534">
        <f>IFERROR(VLOOKUP(Tabla13[[#This Row],[SISMED]],TblDisponibilidad[],14,FALSE), 0)</f>
        <v>0</v>
      </c>
      <c r="K534">
        <f>IFERROR(VLOOKUP(Tabla13[[#This Row],[SISMED]],TblDisponibilidad[],15,FALSE), 0)</f>
        <v>0</v>
      </c>
      <c r="L534">
        <f>IFERROR(VLOOKUP(Tabla13[[#This Row],[SISMED]],TblDisponibilidad[],16,FALSE), 0)</f>
        <v>0</v>
      </c>
      <c r="M534">
        <f>IFERROR(VLOOKUP(Tabla13[[#This Row],[SISMED]],TblDisponibilidad[],17,FALSE), 0)</f>
        <v>0</v>
      </c>
      <c r="N534">
        <f>IFERROR(VLOOKUP(Tabla13[[#This Row],[SISMED]],TblDisponibilidad[],18,FALSE), 0)</f>
        <v>0</v>
      </c>
      <c r="O534">
        <f>IFERROR(VLOOKUP(Tabla13[[#This Row],[SISMED]],TblDisponibilidad[],19,FALSE), 0)</f>
        <v>0</v>
      </c>
      <c r="P534">
        <f>IFERROR(VLOOKUP(Tabla13[[#This Row],[SISMED]],TblDisponibilidad[],20,FALSE), 0)</f>
        <v>0</v>
      </c>
      <c r="Q534">
        <f>IFERROR(VLOOKUP(Tabla13[[#This Row],[SISMED]],TblDisponibilidad[],21,FALSE), 0)</f>
        <v>0</v>
      </c>
      <c r="R534">
        <f>IFERROR(VLOOKUP(Tabla13[[#This Row],[SISMED]],TblDisponibilidad[],22,FALSE), 0)</f>
        <v>0</v>
      </c>
      <c r="S534" s="15">
        <f>IFERROR(VLOOKUP(Tabla13[[#This Row],[SISMED]],TblDisponibilidad[],23,FALSE), 0)</f>
        <v>0</v>
      </c>
    </row>
    <row r="535" spans="1:19" x14ac:dyDescent="0.3">
      <c r="A535" s="15" t="s">
        <v>565</v>
      </c>
      <c r="B535" t="str">
        <f>IFERROR(VLOOKUP(Tabla13[[#This Row],[SISMED]],TblDisponibilidad[],2,FALSE), "")</f>
        <v/>
      </c>
      <c r="C535">
        <f>IFERROR(VLOOKUP(Tabla13[[#This Row],[SISMED]],TblDisponibilidad[],7,FALSE), 0)</f>
        <v>0</v>
      </c>
      <c r="D535">
        <f>IFERROR(VLOOKUP(Tabla13[[#This Row],[SISMED]],TblDisponibilidad[],8,FALSE), 0)</f>
        <v>0</v>
      </c>
      <c r="E535">
        <f>IFERROR(VLOOKUP(Tabla13[[#This Row],[SISMED]],TblDisponibilidad[],9,FALSE), 0)</f>
        <v>0</v>
      </c>
      <c r="F535">
        <f>IFERROR(VLOOKUP(Tabla13[[#This Row],[SISMED]],TblDisponibilidad[],10,FALSE), 0)</f>
        <v>0</v>
      </c>
      <c r="G535">
        <f>IFERROR(VLOOKUP(Tabla13[[#This Row],[SISMED]],TblDisponibilidad[],11,FALSE), 0)</f>
        <v>0</v>
      </c>
      <c r="H535">
        <f>IFERROR(VLOOKUP(Tabla13[[#This Row],[SISMED]],TblDisponibilidad[],12,FALSE), 0)</f>
        <v>0</v>
      </c>
      <c r="I535">
        <f>IFERROR(VLOOKUP(Tabla13[[#This Row],[SISMED]],TblDisponibilidad[],13,FALSE), 0)</f>
        <v>0</v>
      </c>
      <c r="J535">
        <f>IFERROR(VLOOKUP(Tabla13[[#This Row],[SISMED]],TblDisponibilidad[],14,FALSE), 0)</f>
        <v>0</v>
      </c>
      <c r="K535">
        <f>IFERROR(VLOOKUP(Tabla13[[#This Row],[SISMED]],TblDisponibilidad[],15,FALSE), 0)</f>
        <v>0</v>
      </c>
      <c r="L535">
        <f>IFERROR(VLOOKUP(Tabla13[[#This Row],[SISMED]],TblDisponibilidad[],16,FALSE), 0)</f>
        <v>0</v>
      </c>
      <c r="M535">
        <f>IFERROR(VLOOKUP(Tabla13[[#This Row],[SISMED]],TblDisponibilidad[],17,FALSE), 0)</f>
        <v>0</v>
      </c>
      <c r="N535">
        <f>IFERROR(VLOOKUP(Tabla13[[#This Row],[SISMED]],TblDisponibilidad[],18,FALSE), 0)</f>
        <v>0</v>
      </c>
      <c r="O535">
        <f>IFERROR(VLOOKUP(Tabla13[[#This Row],[SISMED]],TblDisponibilidad[],19,FALSE), 0)</f>
        <v>0</v>
      </c>
      <c r="P535">
        <f>IFERROR(VLOOKUP(Tabla13[[#This Row],[SISMED]],TblDisponibilidad[],20,FALSE), 0)</f>
        <v>0</v>
      </c>
      <c r="Q535">
        <f>IFERROR(VLOOKUP(Tabla13[[#This Row],[SISMED]],TblDisponibilidad[],21,FALSE), 0)</f>
        <v>0</v>
      </c>
      <c r="R535">
        <f>IFERROR(VLOOKUP(Tabla13[[#This Row],[SISMED]],TblDisponibilidad[],22,FALSE), 0)</f>
        <v>0</v>
      </c>
      <c r="S535" s="15">
        <f>IFERROR(VLOOKUP(Tabla13[[#This Row],[SISMED]],TblDisponibilidad[],23,FALSE), 0)</f>
        <v>0</v>
      </c>
    </row>
    <row r="536" spans="1:19" x14ac:dyDescent="0.3">
      <c r="A536" s="15" t="s">
        <v>566</v>
      </c>
      <c r="B536" t="str">
        <f>IFERROR(VLOOKUP(Tabla13[[#This Row],[SISMED]],TblDisponibilidad[],2,FALSE), "")</f>
        <v/>
      </c>
      <c r="C536">
        <f>IFERROR(VLOOKUP(Tabla13[[#This Row],[SISMED]],TblDisponibilidad[],7,FALSE), 0)</f>
        <v>0</v>
      </c>
      <c r="D536">
        <f>IFERROR(VLOOKUP(Tabla13[[#This Row],[SISMED]],TblDisponibilidad[],8,FALSE), 0)</f>
        <v>0</v>
      </c>
      <c r="E536">
        <f>IFERROR(VLOOKUP(Tabla13[[#This Row],[SISMED]],TblDisponibilidad[],9,FALSE), 0)</f>
        <v>0</v>
      </c>
      <c r="F536">
        <f>IFERROR(VLOOKUP(Tabla13[[#This Row],[SISMED]],TblDisponibilidad[],10,FALSE), 0)</f>
        <v>0</v>
      </c>
      <c r="G536">
        <f>IFERROR(VLOOKUP(Tabla13[[#This Row],[SISMED]],TblDisponibilidad[],11,FALSE), 0)</f>
        <v>0</v>
      </c>
      <c r="H536">
        <f>IFERROR(VLOOKUP(Tabla13[[#This Row],[SISMED]],TblDisponibilidad[],12,FALSE), 0)</f>
        <v>0</v>
      </c>
      <c r="I536">
        <f>IFERROR(VLOOKUP(Tabla13[[#This Row],[SISMED]],TblDisponibilidad[],13,FALSE), 0)</f>
        <v>0</v>
      </c>
      <c r="J536">
        <f>IFERROR(VLOOKUP(Tabla13[[#This Row],[SISMED]],TblDisponibilidad[],14,FALSE), 0)</f>
        <v>0</v>
      </c>
      <c r="K536">
        <f>IFERROR(VLOOKUP(Tabla13[[#This Row],[SISMED]],TblDisponibilidad[],15,FALSE), 0)</f>
        <v>0</v>
      </c>
      <c r="L536">
        <f>IFERROR(VLOOKUP(Tabla13[[#This Row],[SISMED]],TblDisponibilidad[],16,FALSE), 0)</f>
        <v>0</v>
      </c>
      <c r="M536">
        <f>IFERROR(VLOOKUP(Tabla13[[#This Row],[SISMED]],TblDisponibilidad[],17,FALSE), 0)</f>
        <v>0</v>
      </c>
      <c r="N536">
        <f>IFERROR(VLOOKUP(Tabla13[[#This Row],[SISMED]],TblDisponibilidad[],18,FALSE), 0)</f>
        <v>0</v>
      </c>
      <c r="O536">
        <f>IFERROR(VLOOKUP(Tabla13[[#This Row],[SISMED]],TblDisponibilidad[],19,FALSE), 0)</f>
        <v>0</v>
      </c>
      <c r="P536">
        <f>IFERROR(VLOOKUP(Tabla13[[#This Row],[SISMED]],TblDisponibilidad[],20,FALSE), 0)</f>
        <v>0</v>
      </c>
      <c r="Q536">
        <f>IFERROR(VLOOKUP(Tabla13[[#This Row],[SISMED]],TblDisponibilidad[],21,FALSE), 0)</f>
        <v>0</v>
      </c>
      <c r="R536">
        <f>IFERROR(VLOOKUP(Tabla13[[#This Row],[SISMED]],TblDisponibilidad[],22,FALSE), 0)</f>
        <v>0</v>
      </c>
      <c r="S536" s="15">
        <f>IFERROR(VLOOKUP(Tabla13[[#This Row],[SISMED]],TblDisponibilidad[],23,FALSE), 0)</f>
        <v>0</v>
      </c>
    </row>
    <row r="537" spans="1:19" x14ac:dyDescent="0.3">
      <c r="A537" s="15" t="s">
        <v>567</v>
      </c>
      <c r="B537" t="str">
        <f>IFERROR(VLOOKUP(Tabla13[[#This Row],[SISMED]],TblDisponibilidad[],2,FALSE), "")</f>
        <v/>
      </c>
      <c r="C537">
        <f>IFERROR(VLOOKUP(Tabla13[[#This Row],[SISMED]],TblDisponibilidad[],7,FALSE), 0)</f>
        <v>0</v>
      </c>
      <c r="D537">
        <f>IFERROR(VLOOKUP(Tabla13[[#This Row],[SISMED]],TblDisponibilidad[],8,FALSE), 0)</f>
        <v>0</v>
      </c>
      <c r="E537">
        <f>IFERROR(VLOOKUP(Tabla13[[#This Row],[SISMED]],TblDisponibilidad[],9,FALSE), 0)</f>
        <v>0</v>
      </c>
      <c r="F537">
        <f>IFERROR(VLOOKUP(Tabla13[[#This Row],[SISMED]],TblDisponibilidad[],10,FALSE), 0)</f>
        <v>0</v>
      </c>
      <c r="G537">
        <f>IFERROR(VLOOKUP(Tabla13[[#This Row],[SISMED]],TblDisponibilidad[],11,FALSE), 0)</f>
        <v>0</v>
      </c>
      <c r="H537">
        <f>IFERROR(VLOOKUP(Tabla13[[#This Row],[SISMED]],TblDisponibilidad[],12,FALSE), 0)</f>
        <v>0</v>
      </c>
      <c r="I537">
        <f>IFERROR(VLOOKUP(Tabla13[[#This Row],[SISMED]],TblDisponibilidad[],13,FALSE), 0)</f>
        <v>0</v>
      </c>
      <c r="J537">
        <f>IFERROR(VLOOKUP(Tabla13[[#This Row],[SISMED]],TblDisponibilidad[],14,FALSE), 0)</f>
        <v>0</v>
      </c>
      <c r="K537">
        <f>IFERROR(VLOOKUP(Tabla13[[#This Row],[SISMED]],TblDisponibilidad[],15,FALSE), 0)</f>
        <v>0</v>
      </c>
      <c r="L537">
        <f>IFERROR(VLOOKUP(Tabla13[[#This Row],[SISMED]],TblDisponibilidad[],16,FALSE), 0)</f>
        <v>0</v>
      </c>
      <c r="M537">
        <f>IFERROR(VLOOKUP(Tabla13[[#This Row],[SISMED]],TblDisponibilidad[],17,FALSE), 0)</f>
        <v>0</v>
      </c>
      <c r="N537">
        <f>IFERROR(VLOOKUP(Tabla13[[#This Row],[SISMED]],TblDisponibilidad[],18,FALSE), 0)</f>
        <v>0</v>
      </c>
      <c r="O537">
        <f>IFERROR(VLOOKUP(Tabla13[[#This Row],[SISMED]],TblDisponibilidad[],19,FALSE), 0)</f>
        <v>0</v>
      </c>
      <c r="P537">
        <f>IFERROR(VLOOKUP(Tabla13[[#This Row],[SISMED]],TblDisponibilidad[],20,FALSE), 0)</f>
        <v>0</v>
      </c>
      <c r="Q537">
        <f>IFERROR(VLOOKUP(Tabla13[[#This Row],[SISMED]],TblDisponibilidad[],21,FALSE), 0)</f>
        <v>0</v>
      </c>
      <c r="R537">
        <f>IFERROR(VLOOKUP(Tabla13[[#This Row],[SISMED]],TblDisponibilidad[],22,FALSE), 0)</f>
        <v>0</v>
      </c>
      <c r="S537" s="15">
        <f>IFERROR(VLOOKUP(Tabla13[[#This Row],[SISMED]],TblDisponibilidad[],23,FALSE), 0)</f>
        <v>0</v>
      </c>
    </row>
    <row r="538" spans="1:19" x14ac:dyDescent="0.3">
      <c r="A538" s="15" t="s">
        <v>568</v>
      </c>
      <c r="B538" t="str">
        <f>IFERROR(VLOOKUP(Tabla13[[#This Row],[SISMED]],TblDisponibilidad[],2,FALSE), "")</f>
        <v/>
      </c>
      <c r="C538">
        <f>IFERROR(VLOOKUP(Tabla13[[#This Row],[SISMED]],TblDisponibilidad[],7,FALSE), 0)</f>
        <v>0</v>
      </c>
      <c r="D538">
        <f>IFERROR(VLOOKUP(Tabla13[[#This Row],[SISMED]],TblDisponibilidad[],8,FALSE), 0)</f>
        <v>0</v>
      </c>
      <c r="E538">
        <f>IFERROR(VLOOKUP(Tabla13[[#This Row],[SISMED]],TblDisponibilidad[],9,FALSE), 0)</f>
        <v>0</v>
      </c>
      <c r="F538">
        <f>IFERROR(VLOOKUP(Tabla13[[#This Row],[SISMED]],TblDisponibilidad[],10,FALSE), 0)</f>
        <v>0</v>
      </c>
      <c r="G538">
        <f>IFERROR(VLOOKUP(Tabla13[[#This Row],[SISMED]],TblDisponibilidad[],11,FALSE), 0)</f>
        <v>0</v>
      </c>
      <c r="H538">
        <f>IFERROR(VLOOKUP(Tabla13[[#This Row],[SISMED]],TblDisponibilidad[],12,FALSE), 0)</f>
        <v>0</v>
      </c>
      <c r="I538">
        <f>IFERROR(VLOOKUP(Tabla13[[#This Row],[SISMED]],TblDisponibilidad[],13,FALSE), 0)</f>
        <v>0</v>
      </c>
      <c r="J538">
        <f>IFERROR(VLOOKUP(Tabla13[[#This Row],[SISMED]],TblDisponibilidad[],14,FALSE), 0)</f>
        <v>0</v>
      </c>
      <c r="K538">
        <f>IFERROR(VLOOKUP(Tabla13[[#This Row],[SISMED]],TblDisponibilidad[],15,FALSE), 0)</f>
        <v>0</v>
      </c>
      <c r="L538">
        <f>IFERROR(VLOOKUP(Tabla13[[#This Row],[SISMED]],TblDisponibilidad[],16,FALSE), 0)</f>
        <v>0</v>
      </c>
      <c r="M538">
        <f>IFERROR(VLOOKUP(Tabla13[[#This Row],[SISMED]],TblDisponibilidad[],17,FALSE), 0)</f>
        <v>0</v>
      </c>
      <c r="N538">
        <f>IFERROR(VLOOKUP(Tabla13[[#This Row],[SISMED]],TblDisponibilidad[],18,FALSE), 0)</f>
        <v>0</v>
      </c>
      <c r="O538">
        <f>IFERROR(VLOOKUP(Tabla13[[#This Row],[SISMED]],TblDisponibilidad[],19,FALSE), 0)</f>
        <v>0</v>
      </c>
      <c r="P538">
        <f>IFERROR(VLOOKUP(Tabla13[[#This Row],[SISMED]],TblDisponibilidad[],20,FALSE), 0)</f>
        <v>0</v>
      </c>
      <c r="Q538">
        <f>IFERROR(VLOOKUP(Tabla13[[#This Row],[SISMED]],TblDisponibilidad[],21,FALSE), 0)</f>
        <v>0</v>
      </c>
      <c r="R538">
        <f>IFERROR(VLOOKUP(Tabla13[[#This Row],[SISMED]],TblDisponibilidad[],22,FALSE), 0)</f>
        <v>0</v>
      </c>
      <c r="S538" s="15">
        <f>IFERROR(VLOOKUP(Tabla13[[#This Row],[SISMED]],TblDisponibilidad[],23,FALSE), 0)</f>
        <v>0</v>
      </c>
    </row>
    <row r="539" spans="1:19" x14ac:dyDescent="0.3">
      <c r="A539" s="15" t="s">
        <v>569</v>
      </c>
      <c r="B539" t="str">
        <f>IFERROR(VLOOKUP(Tabla13[[#This Row],[SISMED]],TblDisponibilidad[],2,FALSE), "")</f>
        <v/>
      </c>
      <c r="C539">
        <f>IFERROR(VLOOKUP(Tabla13[[#This Row],[SISMED]],TblDisponibilidad[],7,FALSE), 0)</f>
        <v>0</v>
      </c>
      <c r="D539">
        <f>IFERROR(VLOOKUP(Tabla13[[#This Row],[SISMED]],TblDisponibilidad[],8,FALSE), 0)</f>
        <v>0</v>
      </c>
      <c r="E539">
        <f>IFERROR(VLOOKUP(Tabla13[[#This Row],[SISMED]],TblDisponibilidad[],9,FALSE), 0)</f>
        <v>0</v>
      </c>
      <c r="F539">
        <f>IFERROR(VLOOKUP(Tabla13[[#This Row],[SISMED]],TblDisponibilidad[],10,FALSE), 0)</f>
        <v>0</v>
      </c>
      <c r="G539">
        <f>IFERROR(VLOOKUP(Tabla13[[#This Row],[SISMED]],TblDisponibilidad[],11,FALSE), 0)</f>
        <v>0</v>
      </c>
      <c r="H539">
        <f>IFERROR(VLOOKUP(Tabla13[[#This Row],[SISMED]],TblDisponibilidad[],12,FALSE), 0)</f>
        <v>0</v>
      </c>
      <c r="I539">
        <f>IFERROR(VLOOKUP(Tabla13[[#This Row],[SISMED]],TblDisponibilidad[],13,FALSE), 0)</f>
        <v>0</v>
      </c>
      <c r="J539">
        <f>IFERROR(VLOOKUP(Tabla13[[#This Row],[SISMED]],TblDisponibilidad[],14,FALSE), 0)</f>
        <v>0</v>
      </c>
      <c r="K539">
        <f>IFERROR(VLOOKUP(Tabla13[[#This Row],[SISMED]],TblDisponibilidad[],15,FALSE), 0)</f>
        <v>0</v>
      </c>
      <c r="L539">
        <f>IFERROR(VLOOKUP(Tabla13[[#This Row],[SISMED]],TblDisponibilidad[],16,FALSE), 0)</f>
        <v>0</v>
      </c>
      <c r="M539">
        <f>IFERROR(VLOOKUP(Tabla13[[#This Row],[SISMED]],TblDisponibilidad[],17,FALSE), 0)</f>
        <v>0</v>
      </c>
      <c r="N539">
        <f>IFERROR(VLOOKUP(Tabla13[[#This Row],[SISMED]],TblDisponibilidad[],18,FALSE), 0)</f>
        <v>0</v>
      </c>
      <c r="O539">
        <f>IFERROR(VLOOKUP(Tabla13[[#This Row],[SISMED]],TblDisponibilidad[],19,FALSE), 0)</f>
        <v>0</v>
      </c>
      <c r="P539">
        <f>IFERROR(VLOOKUP(Tabla13[[#This Row],[SISMED]],TblDisponibilidad[],20,FALSE), 0)</f>
        <v>0</v>
      </c>
      <c r="Q539">
        <f>IFERROR(VLOOKUP(Tabla13[[#This Row],[SISMED]],TblDisponibilidad[],21,FALSE), 0)</f>
        <v>0</v>
      </c>
      <c r="R539">
        <f>IFERROR(VLOOKUP(Tabla13[[#This Row],[SISMED]],TblDisponibilidad[],22,FALSE), 0)</f>
        <v>0</v>
      </c>
      <c r="S539" s="15">
        <f>IFERROR(VLOOKUP(Tabla13[[#This Row],[SISMED]],TblDisponibilidad[],23,FALSE), 0)</f>
        <v>0</v>
      </c>
    </row>
    <row r="540" spans="1:19" x14ac:dyDescent="0.3">
      <c r="A540" s="15" t="s">
        <v>570</v>
      </c>
      <c r="B540" t="str">
        <f>IFERROR(VLOOKUP(Tabla13[[#This Row],[SISMED]],TblDisponibilidad[],2,FALSE), "")</f>
        <v/>
      </c>
      <c r="C540">
        <f>IFERROR(VLOOKUP(Tabla13[[#This Row],[SISMED]],TblDisponibilidad[],7,FALSE), 0)</f>
        <v>0</v>
      </c>
      <c r="D540">
        <f>IFERROR(VLOOKUP(Tabla13[[#This Row],[SISMED]],TblDisponibilidad[],8,FALSE), 0)</f>
        <v>0</v>
      </c>
      <c r="E540">
        <f>IFERROR(VLOOKUP(Tabla13[[#This Row],[SISMED]],TblDisponibilidad[],9,FALSE), 0)</f>
        <v>0</v>
      </c>
      <c r="F540">
        <f>IFERROR(VLOOKUP(Tabla13[[#This Row],[SISMED]],TblDisponibilidad[],10,FALSE), 0)</f>
        <v>0</v>
      </c>
      <c r="G540">
        <f>IFERROR(VLOOKUP(Tabla13[[#This Row],[SISMED]],TblDisponibilidad[],11,FALSE), 0)</f>
        <v>0</v>
      </c>
      <c r="H540">
        <f>IFERROR(VLOOKUP(Tabla13[[#This Row],[SISMED]],TblDisponibilidad[],12,FALSE), 0)</f>
        <v>0</v>
      </c>
      <c r="I540">
        <f>IFERROR(VLOOKUP(Tabla13[[#This Row],[SISMED]],TblDisponibilidad[],13,FALSE), 0)</f>
        <v>0</v>
      </c>
      <c r="J540">
        <f>IFERROR(VLOOKUP(Tabla13[[#This Row],[SISMED]],TblDisponibilidad[],14,FALSE), 0)</f>
        <v>0</v>
      </c>
      <c r="K540">
        <f>IFERROR(VLOOKUP(Tabla13[[#This Row],[SISMED]],TblDisponibilidad[],15,FALSE), 0)</f>
        <v>0</v>
      </c>
      <c r="L540">
        <f>IFERROR(VLOOKUP(Tabla13[[#This Row],[SISMED]],TblDisponibilidad[],16,FALSE), 0)</f>
        <v>0</v>
      </c>
      <c r="M540">
        <f>IFERROR(VLOOKUP(Tabla13[[#This Row],[SISMED]],TblDisponibilidad[],17,FALSE), 0)</f>
        <v>0</v>
      </c>
      <c r="N540">
        <f>IFERROR(VLOOKUP(Tabla13[[#This Row],[SISMED]],TblDisponibilidad[],18,FALSE), 0)</f>
        <v>0</v>
      </c>
      <c r="O540">
        <f>IFERROR(VLOOKUP(Tabla13[[#This Row],[SISMED]],TblDisponibilidad[],19,FALSE), 0)</f>
        <v>0</v>
      </c>
      <c r="P540">
        <f>IFERROR(VLOOKUP(Tabla13[[#This Row],[SISMED]],TblDisponibilidad[],20,FALSE), 0)</f>
        <v>0</v>
      </c>
      <c r="Q540">
        <f>IFERROR(VLOOKUP(Tabla13[[#This Row],[SISMED]],TblDisponibilidad[],21,FALSE), 0)</f>
        <v>0</v>
      </c>
      <c r="R540">
        <f>IFERROR(VLOOKUP(Tabla13[[#This Row],[SISMED]],TblDisponibilidad[],22,FALSE), 0)</f>
        <v>0</v>
      </c>
      <c r="S540" s="15">
        <f>IFERROR(VLOOKUP(Tabla13[[#This Row],[SISMED]],TblDisponibilidad[],23,FALSE), 0)</f>
        <v>0</v>
      </c>
    </row>
    <row r="541" spans="1:19" x14ac:dyDescent="0.3">
      <c r="A541" s="15" t="s">
        <v>571</v>
      </c>
      <c r="B541" t="str">
        <f>IFERROR(VLOOKUP(Tabla13[[#This Row],[SISMED]],TblDisponibilidad[],2,FALSE), "")</f>
        <v/>
      </c>
      <c r="C541">
        <f>IFERROR(VLOOKUP(Tabla13[[#This Row],[SISMED]],TblDisponibilidad[],7,FALSE), 0)</f>
        <v>0</v>
      </c>
      <c r="D541">
        <f>IFERROR(VLOOKUP(Tabla13[[#This Row],[SISMED]],TblDisponibilidad[],8,FALSE), 0)</f>
        <v>0</v>
      </c>
      <c r="E541">
        <f>IFERROR(VLOOKUP(Tabla13[[#This Row],[SISMED]],TblDisponibilidad[],9,FALSE), 0)</f>
        <v>0</v>
      </c>
      <c r="F541">
        <f>IFERROR(VLOOKUP(Tabla13[[#This Row],[SISMED]],TblDisponibilidad[],10,FALSE), 0)</f>
        <v>0</v>
      </c>
      <c r="G541">
        <f>IFERROR(VLOOKUP(Tabla13[[#This Row],[SISMED]],TblDisponibilidad[],11,FALSE), 0)</f>
        <v>0</v>
      </c>
      <c r="H541">
        <f>IFERROR(VLOOKUP(Tabla13[[#This Row],[SISMED]],TblDisponibilidad[],12,FALSE), 0)</f>
        <v>0</v>
      </c>
      <c r="I541">
        <f>IFERROR(VLOOKUP(Tabla13[[#This Row],[SISMED]],TblDisponibilidad[],13,FALSE), 0)</f>
        <v>0</v>
      </c>
      <c r="J541">
        <f>IFERROR(VLOOKUP(Tabla13[[#This Row],[SISMED]],TblDisponibilidad[],14,FALSE), 0)</f>
        <v>0</v>
      </c>
      <c r="K541">
        <f>IFERROR(VLOOKUP(Tabla13[[#This Row],[SISMED]],TblDisponibilidad[],15,FALSE), 0)</f>
        <v>0</v>
      </c>
      <c r="L541">
        <f>IFERROR(VLOOKUP(Tabla13[[#This Row],[SISMED]],TblDisponibilidad[],16,FALSE), 0)</f>
        <v>0</v>
      </c>
      <c r="M541">
        <f>IFERROR(VLOOKUP(Tabla13[[#This Row],[SISMED]],TblDisponibilidad[],17,FALSE), 0)</f>
        <v>0</v>
      </c>
      <c r="N541">
        <f>IFERROR(VLOOKUP(Tabla13[[#This Row],[SISMED]],TblDisponibilidad[],18,FALSE), 0)</f>
        <v>0</v>
      </c>
      <c r="O541">
        <f>IFERROR(VLOOKUP(Tabla13[[#This Row],[SISMED]],TblDisponibilidad[],19,FALSE), 0)</f>
        <v>0</v>
      </c>
      <c r="P541">
        <f>IFERROR(VLOOKUP(Tabla13[[#This Row],[SISMED]],TblDisponibilidad[],20,FALSE), 0)</f>
        <v>0</v>
      </c>
      <c r="Q541">
        <f>IFERROR(VLOOKUP(Tabla13[[#This Row],[SISMED]],TblDisponibilidad[],21,FALSE), 0)</f>
        <v>0</v>
      </c>
      <c r="R541">
        <f>IFERROR(VLOOKUP(Tabla13[[#This Row],[SISMED]],TblDisponibilidad[],22,FALSE), 0)</f>
        <v>0</v>
      </c>
      <c r="S541" s="15">
        <f>IFERROR(VLOOKUP(Tabla13[[#This Row],[SISMED]],TblDisponibilidad[],23,FALSE), 0)</f>
        <v>0</v>
      </c>
    </row>
    <row r="542" spans="1:19" x14ac:dyDescent="0.3">
      <c r="A542" s="15" t="s">
        <v>572</v>
      </c>
      <c r="B542" t="str">
        <f>IFERROR(VLOOKUP(Tabla13[[#This Row],[SISMED]],TblDisponibilidad[],2,FALSE), "")</f>
        <v/>
      </c>
      <c r="C542">
        <f>IFERROR(VLOOKUP(Tabla13[[#This Row],[SISMED]],TblDisponibilidad[],7,FALSE), 0)</f>
        <v>0</v>
      </c>
      <c r="D542">
        <f>IFERROR(VLOOKUP(Tabla13[[#This Row],[SISMED]],TblDisponibilidad[],8,FALSE), 0)</f>
        <v>0</v>
      </c>
      <c r="E542">
        <f>IFERROR(VLOOKUP(Tabla13[[#This Row],[SISMED]],TblDisponibilidad[],9,FALSE), 0)</f>
        <v>0</v>
      </c>
      <c r="F542">
        <f>IFERROR(VLOOKUP(Tabla13[[#This Row],[SISMED]],TblDisponibilidad[],10,FALSE), 0)</f>
        <v>0</v>
      </c>
      <c r="G542">
        <f>IFERROR(VLOOKUP(Tabla13[[#This Row],[SISMED]],TblDisponibilidad[],11,FALSE), 0)</f>
        <v>0</v>
      </c>
      <c r="H542">
        <f>IFERROR(VLOOKUP(Tabla13[[#This Row],[SISMED]],TblDisponibilidad[],12,FALSE), 0)</f>
        <v>0</v>
      </c>
      <c r="I542">
        <f>IFERROR(VLOOKUP(Tabla13[[#This Row],[SISMED]],TblDisponibilidad[],13,FALSE), 0)</f>
        <v>0</v>
      </c>
      <c r="J542">
        <f>IFERROR(VLOOKUP(Tabla13[[#This Row],[SISMED]],TblDisponibilidad[],14,FALSE), 0)</f>
        <v>0</v>
      </c>
      <c r="K542">
        <f>IFERROR(VLOOKUP(Tabla13[[#This Row],[SISMED]],TblDisponibilidad[],15,FALSE), 0)</f>
        <v>0</v>
      </c>
      <c r="L542">
        <f>IFERROR(VLOOKUP(Tabla13[[#This Row],[SISMED]],TblDisponibilidad[],16,FALSE), 0)</f>
        <v>0</v>
      </c>
      <c r="M542">
        <f>IFERROR(VLOOKUP(Tabla13[[#This Row],[SISMED]],TblDisponibilidad[],17,FALSE), 0)</f>
        <v>0</v>
      </c>
      <c r="N542">
        <f>IFERROR(VLOOKUP(Tabla13[[#This Row],[SISMED]],TblDisponibilidad[],18,FALSE), 0)</f>
        <v>0</v>
      </c>
      <c r="O542">
        <f>IFERROR(VLOOKUP(Tabla13[[#This Row],[SISMED]],TblDisponibilidad[],19,FALSE), 0)</f>
        <v>0</v>
      </c>
      <c r="P542">
        <f>IFERROR(VLOOKUP(Tabla13[[#This Row],[SISMED]],TblDisponibilidad[],20,FALSE), 0)</f>
        <v>0</v>
      </c>
      <c r="Q542">
        <f>IFERROR(VLOOKUP(Tabla13[[#This Row],[SISMED]],TblDisponibilidad[],21,FALSE), 0)</f>
        <v>0</v>
      </c>
      <c r="R542">
        <f>IFERROR(VLOOKUP(Tabla13[[#This Row],[SISMED]],TblDisponibilidad[],22,FALSE), 0)</f>
        <v>0</v>
      </c>
      <c r="S542" s="15">
        <f>IFERROR(VLOOKUP(Tabla13[[#This Row],[SISMED]],TblDisponibilidad[],23,FALSE), 0)</f>
        <v>0</v>
      </c>
    </row>
    <row r="543" spans="1:19" x14ac:dyDescent="0.3">
      <c r="A543" s="15" t="s">
        <v>573</v>
      </c>
      <c r="B543" t="str">
        <f>IFERROR(VLOOKUP(Tabla13[[#This Row],[SISMED]],TblDisponibilidad[],2,FALSE), "")</f>
        <v/>
      </c>
      <c r="C543">
        <f>IFERROR(VLOOKUP(Tabla13[[#This Row],[SISMED]],TblDisponibilidad[],7,FALSE), 0)</f>
        <v>0</v>
      </c>
      <c r="D543">
        <f>IFERROR(VLOOKUP(Tabla13[[#This Row],[SISMED]],TblDisponibilidad[],8,FALSE), 0)</f>
        <v>0</v>
      </c>
      <c r="E543">
        <f>IFERROR(VLOOKUP(Tabla13[[#This Row],[SISMED]],TblDisponibilidad[],9,FALSE), 0)</f>
        <v>0</v>
      </c>
      <c r="F543">
        <f>IFERROR(VLOOKUP(Tabla13[[#This Row],[SISMED]],TblDisponibilidad[],10,FALSE), 0)</f>
        <v>0</v>
      </c>
      <c r="G543">
        <f>IFERROR(VLOOKUP(Tabla13[[#This Row],[SISMED]],TblDisponibilidad[],11,FALSE), 0)</f>
        <v>0</v>
      </c>
      <c r="H543">
        <f>IFERROR(VLOOKUP(Tabla13[[#This Row],[SISMED]],TblDisponibilidad[],12,FALSE), 0)</f>
        <v>0</v>
      </c>
      <c r="I543">
        <f>IFERROR(VLOOKUP(Tabla13[[#This Row],[SISMED]],TblDisponibilidad[],13,FALSE), 0)</f>
        <v>0</v>
      </c>
      <c r="J543">
        <f>IFERROR(VLOOKUP(Tabla13[[#This Row],[SISMED]],TblDisponibilidad[],14,FALSE), 0)</f>
        <v>0</v>
      </c>
      <c r="K543">
        <f>IFERROR(VLOOKUP(Tabla13[[#This Row],[SISMED]],TblDisponibilidad[],15,FALSE), 0)</f>
        <v>0</v>
      </c>
      <c r="L543">
        <f>IFERROR(VLOOKUP(Tabla13[[#This Row],[SISMED]],TblDisponibilidad[],16,FALSE), 0)</f>
        <v>0</v>
      </c>
      <c r="M543">
        <f>IFERROR(VLOOKUP(Tabla13[[#This Row],[SISMED]],TblDisponibilidad[],17,FALSE), 0)</f>
        <v>0</v>
      </c>
      <c r="N543">
        <f>IFERROR(VLOOKUP(Tabla13[[#This Row],[SISMED]],TblDisponibilidad[],18,FALSE), 0)</f>
        <v>0</v>
      </c>
      <c r="O543">
        <f>IFERROR(VLOOKUP(Tabla13[[#This Row],[SISMED]],TblDisponibilidad[],19,FALSE), 0)</f>
        <v>0</v>
      </c>
      <c r="P543">
        <f>IFERROR(VLOOKUP(Tabla13[[#This Row],[SISMED]],TblDisponibilidad[],20,FALSE), 0)</f>
        <v>0</v>
      </c>
      <c r="Q543">
        <f>IFERROR(VLOOKUP(Tabla13[[#This Row],[SISMED]],TblDisponibilidad[],21,FALSE), 0)</f>
        <v>0</v>
      </c>
      <c r="R543">
        <f>IFERROR(VLOOKUP(Tabla13[[#This Row],[SISMED]],TblDisponibilidad[],22,FALSE), 0)</f>
        <v>0</v>
      </c>
      <c r="S543" s="15">
        <f>IFERROR(VLOOKUP(Tabla13[[#This Row],[SISMED]],TblDisponibilidad[],23,FALSE), 0)</f>
        <v>0</v>
      </c>
    </row>
    <row r="544" spans="1:19" x14ac:dyDescent="0.3">
      <c r="A544" s="15" t="s">
        <v>574</v>
      </c>
      <c r="B544" t="str">
        <f>IFERROR(VLOOKUP(Tabla13[[#This Row],[SISMED]],TblDisponibilidad[],2,FALSE), "")</f>
        <v/>
      </c>
      <c r="C544">
        <f>IFERROR(VLOOKUP(Tabla13[[#This Row],[SISMED]],TblDisponibilidad[],7,FALSE), 0)</f>
        <v>0</v>
      </c>
      <c r="D544">
        <f>IFERROR(VLOOKUP(Tabla13[[#This Row],[SISMED]],TblDisponibilidad[],8,FALSE), 0)</f>
        <v>0</v>
      </c>
      <c r="E544">
        <f>IFERROR(VLOOKUP(Tabla13[[#This Row],[SISMED]],TblDisponibilidad[],9,FALSE), 0)</f>
        <v>0</v>
      </c>
      <c r="F544">
        <f>IFERROR(VLOOKUP(Tabla13[[#This Row],[SISMED]],TblDisponibilidad[],10,FALSE), 0)</f>
        <v>0</v>
      </c>
      <c r="G544">
        <f>IFERROR(VLOOKUP(Tabla13[[#This Row],[SISMED]],TblDisponibilidad[],11,FALSE), 0)</f>
        <v>0</v>
      </c>
      <c r="H544">
        <f>IFERROR(VLOOKUP(Tabla13[[#This Row],[SISMED]],TblDisponibilidad[],12,FALSE), 0)</f>
        <v>0</v>
      </c>
      <c r="I544">
        <f>IFERROR(VLOOKUP(Tabla13[[#This Row],[SISMED]],TblDisponibilidad[],13,FALSE), 0)</f>
        <v>0</v>
      </c>
      <c r="J544">
        <f>IFERROR(VLOOKUP(Tabla13[[#This Row],[SISMED]],TblDisponibilidad[],14,FALSE), 0)</f>
        <v>0</v>
      </c>
      <c r="K544">
        <f>IFERROR(VLOOKUP(Tabla13[[#This Row],[SISMED]],TblDisponibilidad[],15,FALSE), 0)</f>
        <v>0</v>
      </c>
      <c r="L544">
        <f>IFERROR(VLOOKUP(Tabla13[[#This Row],[SISMED]],TblDisponibilidad[],16,FALSE), 0)</f>
        <v>0</v>
      </c>
      <c r="M544">
        <f>IFERROR(VLOOKUP(Tabla13[[#This Row],[SISMED]],TblDisponibilidad[],17,FALSE), 0)</f>
        <v>0</v>
      </c>
      <c r="N544">
        <f>IFERROR(VLOOKUP(Tabla13[[#This Row],[SISMED]],TblDisponibilidad[],18,FALSE), 0)</f>
        <v>0</v>
      </c>
      <c r="O544">
        <f>IFERROR(VLOOKUP(Tabla13[[#This Row],[SISMED]],TblDisponibilidad[],19,FALSE), 0)</f>
        <v>0</v>
      </c>
      <c r="P544">
        <f>IFERROR(VLOOKUP(Tabla13[[#This Row],[SISMED]],TblDisponibilidad[],20,FALSE), 0)</f>
        <v>0</v>
      </c>
      <c r="Q544">
        <f>IFERROR(VLOOKUP(Tabla13[[#This Row],[SISMED]],TblDisponibilidad[],21,FALSE), 0)</f>
        <v>0</v>
      </c>
      <c r="R544">
        <f>IFERROR(VLOOKUP(Tabla13[[#This Row],[SISMED]],TblDisponibilidad[],22,FALSE), 0)</f>
        <v>0</v>
      </c>
      <c r="S544" s="15">
        <f>IFERROR(VLOOKUP(Tabla13[[#This Row],[SISMED]],TblDisponibilidad[],23,FALSE), 0)</f>
        <v>0</v>
      </c>
    </row>
    <row r="545" spans="1:19" x14ac:dyDescent="0.3">
      <c r="A545" s="15" t="s">
        <v>575</v>
      </c>
      <c r="B545" t="str">
        <f>IFERROR(VLOOKUP(Tabla13[[#This Row],[SISMED]],TblDisponibilidad[],2,FALSE), "")</f>
        <v/>
      </c>
      <c r="C545">
        <f>IFERROR(VLOOKUP(Tabla13[[#This Row],[SISMED]],TblDisponibilidad[],7,FALSE), 0)</f>
        <v>0</v>
      </c>
      <c r="D545">
        <f>IFERROR(VLOOKUP(Tabla13[[#This Row],[SISMED]],TblDisponibilidad[],8,FALSE), 0)</f>
        <v>0</v>
      </c>
      <c r="E545">
        <f>IFERROR(VLOOKUP(Tabla13[[#This Row],[SISMED]],TblDisponibilidad[],9,FALSE), 0)</f>
        <v>0</v>
      </c>
      <c r="F545">
        <f>IFERROR(VLOOKUP(Tabla13[[#This Row],[SISMED]],TblDisponibilidad[],10,FALSE), 0)</f>
        <v>0</v>
      </c>
      <c r="G545">
        <f>IFERROR(VLOOKUP(Tabla13[[#This Row],[SISMED]],TblDisponibilidad[],11,FALSE), 0)</f>
        <v>0</v>
      </c>
      <c r="H545">
        <f>IFERROR(VLOOKUP(Tabla13[[#This Row],[SISMED]],TblDisponibilidad[],12,FALSE), 0)</f>
        <v>0</v>
      </c>
      <c r="I545">
        <f>IFERROR(VLOOKUP(Tabla13[[#This Row],[SISMED]],TblDisponibilidad[],13,FALSE), 0)</f>
        <v>0</v>
      </c>
      <c r="J545">
        <f>IFERROR(VLOOKUP(Tabla13[[#This Row],[SISMED]],TblDisponibilidad[],14,FALSE), 0)</f>
        <v>0</v>
      </c>
      <c r="K545">
        <f>IFERROR(VLOOKUP(Tabla13[[#This Row],[SISMED]],TblDisponibilidad[],15,FALSE), 0)</f>
        <v>0</v>
      </c>
      <c r="L545">
        <f>IFERROR(VLOOKUP(Tabla13[[#This Row],[SISMED]],TblDisponibilidad[],16,FALSE), 0)</f>
        <v>0</v>
      </c>
      <c r="M545">
        <f>IFERROR(VLOOKUP(Tabla13[[#This Row],[SISMED]],TblDisponibilidad[],17,FALSE), 0)</f>
        <v>0</v>
      </c>
      <c r="N545">
        <f>IFERROR(VLOOKUP(Tabla13[[#This Row],[SISMED]],TblDisponibilidad[],18,FALSE), 0)</f>
        <v>0</v>
      </c>
      <c r="O545">
        <f>IFERROR(VLOOKUP(Tabla13[[#This Row],[SISMED]],TblDisponibilidad[],19,FALSE), 0)</f>
        <v>0</v>
      </c>
      <c r="P545">
        <f>IFERROR(VLOOKUP(Tabla13[[#This Row],[SISMED]],TblDisponibilidad[],20,FALSE), 0)</f>
        <v>0</v>
      </c>
      <c r="Q545">
        <f>IFERROR(VLOOKUP(Tabla13[[#This Row],[SISMED]],TblDisponibilidad[],21,FALSE), 0)</f>
        <v>0</v>
      </c>
      <c r="R545">
        <f>IFERROR(VLOOKUP(Tabla13[[#This Row],[SISMED]],TblDisponibilidad[],22,FALSE), 0)</f>
        <v>0</v>
      </c>
      <c r="S545" s="15">
        <f>IFERROR(VLOOKUP(Tabla13[[#This Row],[SISMED]],TblDisponibilidad[],23,FALSE), 0)</f>
        <v>0</v>
      </c>
    </row>
    <row r="546" spans="1:19" x14ac:dyDescent="0.3">
      <c r="A546" s="15" t="s">
        <v>576</v>
      </c>
      <c r="B546" t="str">
        <f>IFERROR(VLOOKUP(Tabla13[[#This Row],[SISMED]],TblDisponibilidad[],2,FALSE), "")</f>
        <v/>
      </c>
      <c r="C546">
        <f>IFERROR(VLOOKUP(Tabla13[[#This Row],[SISMED]],TblDisponibilidad[],7,FALSE), 0)</f>
        <v>0</v>
      </c>
      <c r="D546">
        <f>IFERROR(VLOOKUP(Tabla13[[#This Row],[SISMED]],TblDisponibilidad[],8,FALSE), 0)</f>
        <v>0</v>
      </c>
      <c r="E546">
        <f>IFERROR(VLOOKUP(Tabla13[[#This Row],[SISMED]],TblDisponibilidad[],9,FALSE), 0)</f>
        <v>0</v>
      </c>
      <c r="F546">
        <f>IFERROR(VLOOKUP(Tabla13[[#This Row],[SISMED]],TblDisponibilidad[],10,FALSE), 0)</f>
        <v>0</v>
      </c>
      <c r="G546">
        <f>IFERROR(VLOOKUP(Tabla13[[#This Row],[SISMED]],TblDisponibilidad[],11,FALSE), 0)</f>
        <v>0</v>
      </c>
      <c r="H546">
        <f>IFERROR(VLOOKUP(Tabla13[[#This Row],[SISMED]],TblDisponibilidad[],12,FALSE), 0)</f>
        <v>0</v>
      </c>
      <c r="I546">
        <f>IFERROR(VLOOKUP(Tabla13[[#This Row],[SISMED]],TblDisponibilidad[],13,FALSE), 0)</f>
        <v>0</v>
      </c>
      <c r="J546">
        <f>IFERROR(VLOOKUP(Tabla13[[#This Row],[SISMED]],TblDisponibilidad[],14,FALSE), 0)</f>
        <v>0</v>
      </c>
      <c r="K546">
        <f>IFERROR(VLOOKUP(Tabla13[[#This Row],[SISMED]],TblDisponibilidad[],15,FALSE), 0)</f>
        <v>0</v>
      </c>
      <c r="L546">
        <f>IFERROR(VLOOKUP(Tabla13[[#This Row],[SISMED]],TblDisponibilidad[],16,FALSE), 0)</f>
        <v>0</v>
      </c>
      <c r="M546">
        <f>IFERROR(VLOOKUP(Tabla13[[#This Row],[SISMED]],TblDisponibilidad[],17,FALSE), 0)</f>
        <v>0</v>
      </c>
      <c r="N546">
        <f>IFERROR(VLOOKUP(Tabla13[[#This Row],[SISMED]],TblDisponibilidad[],18,FALSE), 0)</f>
        <v>0</v>
      </c>
      <c r="O546">
        <f>IFERROR(VLOOKUP(Tabla13[[#This Row],[SISMED]],TblDisponibilidad[],19,FALSE), 0)</f>
        <v>0</v>
      </c>
      <c r="P546">
        <f>IFERROR(VLOOKUP(Tabla13[[#This Row],[SISMED]],TblDisponibilidad[],20,FALSE), 0)</f>
        <v>0</v>
      </c>
      <c r="Q546">
        <f>IFERROR(VLOOKUP(Tabla13[[#This Row],[SISMED]],TblDisponibilidad[],21,FALSE), 0)</f>
        <v>0</v>
      </c>
      <c r="R546">
        <f>IFERROR(VLOOKUP(Tabla13[[#This Row],[SISMED]],TblDisponibilidad[],22,FALSE), 0)</f>
        <v>0</v>
      </c>
      <c r="S546" s="15">
        <f>IFERROR(VLOOKUP(Tabla13[[#This Row],[SISMED]],TblDisponibilidad[],23,FALSE), 0)</f>
        <v>0</v>
      </c>
    </row>
    <row r="547" spans="1:19" x14ac:dyDescent="0.3">
      <c r="A547" s="15" t="s">
        <v>577</v>
      </c>
      <c r="B547" t="str">
        <f>IFERROR(VLOOKUP(Tabla13[[#This Row],[SISMED]],TblDisponibilidad[],2,FALSE), "")</f>
        <v/>
      </c>
      <c r="C547">
        <f>IFERROR(VLOOKUP(Tabla13[[#This Row],[SISMED]],TblDisponibilidad[],7,FALSE), 0)</f>
        <v>0</v>
      </c>
      <c r="D547">
        <f>IFERROR(VLOOKUP(Tabla13[[#This Row],[SISMED]],TblDisponibilidad[],8,FALSE), 0)</f>
        <v>0</v>
      </c>
      <c r="E547">
        <f>IFERROR(VLOOKUP(Tabla13[[#This Row],[SISMED]],TblDisponibilidad[],9,FALSE), 0)</f>
        <v>0</v>
      </c>
      <c r="F547">
        <f>IFERROR(VLOOKUP(Tabla13[[#This Row],[SISMED]],TblDisponibilidad[],10,FALSE), 0)</f>
        <v>0</v>
      </c>
      <c r="G547">
        <f>IFERROR(VLOOKUP(Tabla13[[#This Row],[SISMED]],TblDisponibilidad[],11,FALSE), 0)</f>
        <v>0</v>
      </c>
      <c r="H547">
        <f>IFERROR(VLOOKUP(Tabla13[[#This Row],[SISMED]],TblDisponibilidad[],12,FALSE), 0)</f>
        <v>0</v>
      </c>
      <c r="I547">
        <f>IFERROR(VLOOKUP(Tabla13[[#This Row],[SISMED]],TblDisponibilidad[],13,FALSE), 0)</f>
        <v>0</v>
      </c>
      <c r="J547">
        <f>IFERROR(VLOOKUP(Tabla13[[#This Row],[SISMED]],TblDisponibilidad[],14,FALSE), 0)</f>
        <v>0</v>
      </c>
      <c r="K547">
        <f>IFERROR(VLOOKUP(Tabla13[[#This Row],[SISMED]],TblDisponibilidad[],15,FALSE), 0)</f>
        <v>0</v>
      </c>
      <c r="L547">
        <f>IFERROR(VLOOKUP(Tabla13[[#This Row],[SISMED]],TblDisponibilidad[],16,FALSE), 0)</f>
        <v>0</v>
      </c>
      <c r="M547">
        <f>IFERROR(VLOOKUP(Tabla13[[#This Row],[SISMED]],TblDisponibilidad[],17,FALSE), 0)</f>
        <v>0</v>
      </c>
      <c r="N547">
        <f>IFERROR(VLOOKUP(Tabla13[[#This Row],[SISMED]],TblDisponibilidad[],18,FALSE), 0)</f>
        <v>0</v>
      </c>
      <c r="O547">
        <f>IFERROR(VLOOKUP(Tabla13[[#This Row],[SISMED]],TblDisponibilidad[],19,FALSE), 0)</f>
        <v>0</v>
      </c>
      <c r="P547">
        <f>IFERROR(VLOOKUP(Tabla13[[#This Row],[SISMED]],TblDisponibilidad[],20,FALSE), 0)</f>
        <v>0</v>
      </c>
      <c r="Q547">
        <f>IFERROR(VLOOKUP(Tabla13[[#This Row],[SISMED]],TblDisponibilidad[],21,FALSE), 0)</f>
        <v>0</v>
      </c>
      <c r="R547">
        <f>IFERROR(VLOOKUP(Tabla13[[#This Row],[SISMED]],TblDisponibilidad[],22,FALSE), 0)</f>
        <v>0</v>
      </c>
      <c r="S547" s="15">
        <f>IFERROR(VLOOKUP(Tabla13[[#This Row],[SISMED]],TblDisponibilidad[],23,FALSE), 0)</f>
        <v>0</v>
      </c>
    </row>
    <row r="548" spans="1:19" x14ac:dyDescent="0.3">
      <c r="A548" s="15" t="s">
        <v>578</v>
      </c>
      <c r="B548" t="str">
        <f>IFERROR(VLOOKUP(Tabla13[[#This Row],[SISMED]],TblDisponibilidad[],2,FALSE), "")</f>
        <v/>
      </c>
      <c r="C548">
        <f>IFERROR(VLOOKUP(Tabla13[[#This Row],[SISMED]],TblDisponibilidad[],7,FALSE), 0)</f>
        <v>0</v>
      </c>
      <c r="D548">
        <f>IFERROR(VLOOKUP(Tabla13[[#This Row],[SISMED]],TblDisponibilidad[],8,FALSE), 0)</f>
        <v>0</v>
      </c>
      <c r="E548">
        <f>IFERROR(VLOOKUP(Tabla13[[#This Row],[SISMED]],TblDisponibilidad[],9,FALSE), 0)</f>
        <v>0</v>
      </c>
      <c r="F548">
        <f>IFERROR(VLOOKUP(Tabla13[[#This Row],[SISMED]],TblDisponibilidad[],10,FALSE), 0)</f>
        <v>0</v>
      </c>
      <c r="G548">
        <f>IFERROR(VLOOKUP(Tabla13[[#This Row],[SISMED]],TblDisponibilidad[],11,FALSE), 0)</f>
        <v>0</v>
      </c>
      <c r="H548">
        <f>IFERROR(VLOOKUP(Tabla13[[#This Row],[SISMED]],TblDisponibilidad[],12,FALSE), 0)</f>
        <v>0</v>
      </c>
      <c r="I548">
        <f>IFERROR(VLOOKUP(Tabla13[[#This Row],[SISMED]],TblDisponibilidad[],13,FALSE), 0)</f>
        <v>0</v>
      </c>
      <c r="J548">
        <f>IFERROR(VLOOKUP(Tabla13[[#This Row],[SISMED]],TblDisponibilidad[],14,FALSE), 0)</f>
        <v>0</v>
      </c>
      <c r="K548">
        <f>IFERROR(VLOOKUP(Tabla13[[#This Row],[SISMED]],TblDisponibilidad[],15,FALSE), 0)</f>
        <v>0</v>
      </c>
      <c r="L548">
        <f>IFERROR(VLOOKUP(Tabla13[[#This Row],[SISMED]],TblDisponibilidad[],16,FALSE), 0)</f>
        <v>0</v>
      </c>
      <c r="M548">
        <f>IFERROR(VLOOKUP(Tabla13[[#This Row],[SISMED]],TblDisponibilidad[],17,FALSE), 0)</f>
        <v>0</v>
      </c>
      <c r="N548">
        <f>IFERROR(VLOOKUP(Tabla13[[#This Row],[SISMED]],TblDisponibilidad[],18,FALSE), 0)</f>
        <v>0</v>
      </c>
      <c r="O548">
        <f>IFERROR(VLOOKUP(Tabla13[[#This Row],[SISMED]],TblDisponibilidad[],19,FALSE), 0)</f>
        <v>0</v>
      </c>
      <c r="P548">
        <f>IFERROR(VLOOKUP(Tabla13[[#This Row],[SISMED]],TblDisponibilidad[],20,FALSE), 0)</f>
        <v>0</v>
      </c>
      <c r="Q548">
        <f>IFERROR(VLOOKUP(Tabla13[[#This Row],[SISMED]],TblDisponibilidad[],21,FALSE), 0)</f>
        <v>0</v>
      </c>
      <c r="R548">
        <f>IFERROR(VLOOKUP(Tabla13[[#This Row],[SISMED]],TblDisponibilidad[],22,FALSE), 0)</f>
        <v>0</v>
      </c>
      <c r="S548" s="15">
        <f>IFERROR(VLOOKUP(Tabla13[[#This Row],[SISMED]],TblDisponibilidad[],23,FALSE), 0)</f>
        <v>0</v>
      </c>
    </row>
    <row r="549" spans="1:19" x14ac:dyDescent="0.3">
      <c r="A549" s="15" t="s">
        <v>579</v>
      </c>
      <c r="B549" t="str">
        <f>IFERROR(VLOOKUP(Tabla13[[#This Row],[SISMED]],TblDisponibilidad[],2,FALSE), "")</f>
        <v/>
      </c>
      <c r="C549">
        <f>IFERROR(VLOOKUP(Tabla13[[#This Row],[SISMED]],TblDisponibilidad[],7,FALSE), 0)</f>
        <v>0</v>
      </c>
      <c r="D549">
        <f>IFERROR(VLOOKUP(Tabla13[[#This Row],[SISMED]],TblDisponibilidad[],8,FALSE), 0)</f>
        <v>0</v>
      </c>
      <c r="E549">
        <f>IFERROR(VLOOKUP(Tabla13[[#This Row],[SISMED]],TblDisponibilidad[],9,FALSE), 0)</f>
        <v>0</v>
      </c>
      <c r="F549">
        <f>IFERROR(VLOOKUP(Tabla13[[#This Row],[SISMED]],TblDisponibilidad[],10,FALSE), 0)</f>
        <v>0</v>
      </c>
      <c r="G549">
        <f>IFERROR(VLOOKUP(Tabla13[[#This Row],[SISMED]],TblDisponibilidad[],11,FALSE), 0)</f>
        <v>0</v>
      </c>
      <c r="H549">
        <f>IFERROR(VLOOKUP(Tabla13[[#This Row],[SISMED]],TblDisponibilidad[],12,FALSE), 0)</f>
        <v>0</v>
      </c>
      <c r="I549">
        <f>IFERROR(VLOOKUP(Tabla13[[#This Row],[SISMED]],TblDisponibilidad[],13,FALSE), 0)</f>
        <v>0</v>
      </c>
      <c r="J549">
        <f>IFERROR(VLOOKUP(Tabla13[[#This Row],[SISMED]],TblDisponibilidad[],14,FALSE), 0)</f>
        <v>0</v>
      </c>
      <c r="K549">
        <f>IFERROR(VLOOKUP(Tabla13[[#This Row],[SISMED]],TblDisponibilidad[],15,FALSE), 0)</f>
        <v>0</v>
      </c>
      <c r="L549">
        <f>IFERROR(VLOOKUP(Tabla13[[#This Row],[SISMED]],TblDisponibilidad[],16,FALSE), 0)</f>
        <v>0</v>
      </c>
      <c r="M549">
        <f>IFERROR(VLOOKUP(Tabla13[[#This Row],[SISMED]],TblDisponibilidad[],17,FALSE), 0)</f>
        <v>0</v>
      </c>
      <c r="N549">
        <f>IFERROR(VLOOKUP(Tabla13[[#This Row],[SISMED]],TblDisponibilidad[],18,FALSE), 0)</f>
        <v>0</v>
      </c>
      <c r="O549">
        <f>IFERROR(VLOOKUP(Tabla13[[#This Row],[SISMED]],TblDisponibilidad[],19,FALSE), 0)</f>
        <v>0</v>
      </c>
      <c r="P549">
        <f>IFERROR(VLOOKUP(Tabla13[[#This Row],[SISMED]],TblDisponibilidad[],20,FALSE), 0)</f>
        <v>0</v>
      </c>
      <c r="Q549">
        <f>IFERROR(VLOOKUP(Tabla13[[#This Row],[SISMED]],TblDisponibilidad[],21,FALSE), 0)</f>
        <v>0</v>
      </c>
      <c r="R549">
        <f>IFERROR(VLOOKUP(Tabla13[[#This Row],[SISMED]],TblDisponibilidad[],22,FALSE), 0)</f>
        <v>0</v>
      </c>
      <c r="S549" s="15">
        <f>IFERROR(VLOOKUP(Tabla13[[#This Row],[SISMED]],TblDisponibilidad[],23,FALSE), 0)</f>
        <v>0</v>
      </c>
    </row>
    <row r="550" spans="1:19" x14ac:dyDescent="0.3">
      <c r="A550" s="15" t="s">
        <v>580</v>
      </c>
      <c r="B550" t="str">
        <f>IFERROR(VLOOKUP(Tabla13[[#This Row],[SISMED]],TblDisponibilidad[],2,FALSE), "")</f>
        <v/>
      </c>
      <c r="C550">
        <f>IFERROR(VLOOKUP(Tabla13[[#This Row],[SISMED]],TblDisponibilidad[],7,FALSE), 0)</f>
        <v>0</v>
      </c>
      <c r="D550">
        <f>IFERROR(VLOOKUP(Tabla13[[#This Row],[SISMED]],TblDisponibilidad[],8,FALSE), 0)</f>
        <v>0</v>
      </c>
      <c r="E550">
        <f>IFERROR(VLOOKUP(Tabla13[[#This Row],[SISMED]],TblDisponibilidad[],9,FALSE), 0)</f>
        <v>0</v>
      </c>
      <c r="F550">
        <f>IFERROR(VLOOKUP(Tabla13[[#This Row],[SISMED]],TblDisponibilidad[],10,FALSE), 0)</f>
        <v>0</v>
      </c>
      <c r="G550">
        <f>IFERROR(VLOOKUP(Tabla13[[#This Row],[SISMED]],TblDisponibilidad[],11,FALSE), 0)</f>
        <v>0</v>
      </c>
      <c r="H550">
        <f>IFERROR(VLOOKUP(Tabla13[[#This Row],[SISMED]],TblDisponibilidad[],12,FALSE), 0)</f>
        <v>0</v>
      </c>
      <c r="I550">
        <f>IFERROR(VLOOKUP(Tabla13[[#This Row],[SISMED]],TblDisponibilidad[],13,FALSE), 0)</f>
        <v>0</v>
      </c>
      <c r="J550">
        <f>IFERROR(VLOOKUP(Tabla13[[#This Row],[SISMED]],TblDisponibilidad[],14,FALSE), 0)</f>
        <v>0</v>
      </c>
      <c r="K550">
        <f>IFERROR(VLOOKUP(Tabla13[[#This Row],[SISMED]],TblDisponibilidad[],15,FALSE), 0)</f>
        <v>0</v>
      </c>
      <c r="L550">
        <f>IFERROR(VLOOKUP(Tabla13[[#This Row],[SISMED]],TblDisponibilidad[],16,FALSE), 0)</f>
        <v>0</v>
      </c>
      <c r="M550">
        <f>IFERROR(VLOOKUP(Tabla13[[#This Row],[SISMED]],TblDisponibilidad[],17,FALSE), 0)</f>
        <v>0</v>
      </c>
      <c r="N550">
        <f>IFERROR(VLOOKUP(Tabla13[[#This Row],[SISMED]],TblDisponibilidad[],18,FALSE), 0)</f>
        <v>0</v>
      </c>
      <c r="O550">
        <f>IFERROR(VLOOKUP(Tabla13[[#This Row],[SISMED]],TblDisponibilidad[],19,FALSE), 0)</f>
        <v>0</v>
      </c>
      <c r="P550">
        <f>IFERROR(VLOOKUP(Tabla13[[#This Row],[SISMED]],TblDisponibilidad[],20,FALSE), 0)</f>
        <v>0</v>
      </c>
      <c r="Q550">
        <f>IFERROR(VLOOKUP(Tabla13[[#This Row],[SISMED]],TblDisponibilidad[],21,FALSE), 0)</f>
        <v>0</v>
      </c>
      <c r="R550">
        <f>IFERROR(VLOOKUP(Tabla13[[#This Row],[SISMED]],TblDisponibilidad[],22,FALSE), 0)</f>
        <v>0</v>
      </c>
      <c r="S550" s="15">
        <f>IFERROR(VLOOKUP(Tabla13[[#This Row],[SISMED]],TblDisponibilidad[],23,FALSE), 0)</f>
        <v>0</v>
      </c>
    </row>
    <row r="551" spans="1:19" x14ac:dyDescent="0.3">
      <c r="A551" s="15" t="s">
        <v>581</v>
      </c>
      <c r="B551" t="str">
        <f>IFERROR(VLOOKUP(Tabla13[[#This Row],[SISMED]],TblDisponibilidad[],2,FALSE), "")</f>
        <v/>
      </c>
      <c r="C551">
        <f>IFERROR(VLOOKUP(Tabla13[[#This Row],[SISMED]],TblDisponibilidad[],7,FALSE), 0)</f>
        <v>0</v>
      </c>
      <c r="D551">
        <f>IFERROR(VLOOKUP(Tabla13[[#This Row],[SISMED]],TblDisponibilidad[],8,FALSE), 0)</f>
        <v>0</v>
      </c>
      <c r="E551">
        <f>IFERROR(VLOOKUP(Tabla13[[#This Row],[SISMED]],TblDisponibilidad[],9,FALSE), 0)</f>
        <v>0</v>
      </c>
      <c r="F551">
        <f>IFERROR(VLOOKUP(Tabla13[[#This Row],[SISMED]],TblDisponibilidad[],10,FALSE), 0)</f>
        <v>0</v>
      </c>
      <c r="G551">
        <f>IFERROR(VLOOKUP(Tabla13[[#This Row],[SISMED]],TblDisponibilidad[],11,FALSE), 0)</f>
        <v>0</v>
      </c>
      <c r="H551">
        <f>IFERROR(VLOOKUP(Tabla13[[#This Row],[SISMED]],TblDisponibilidad[],12,FALSE), 0)</f>
        <v>0</v>
      </c>
      <c r="I551">
        <f>IFERROR(VLOOKUP(Tabla13[[#This Row],[SISMED]],TblDisponibilidad[],13,FALSE), 0)</f>
        <v>0</v>
      </c>
      <c r="J551">
        <f>IFERROR(VLOOKUP(Tabla13[[#This Row],[SISMED]],TblDisponibilidad[],14,FALSE), 0)</f>
        <v>0</v>
      </c>
      <c r="K551">
        <f>IFERROR(VLOOKUP(Tabla13[[#This Row],[SISMED]],TblDisponibilidad[],15,FALSE), 0)</f>
        <v>0</v>
      </c>
      <c r="L551">
        <f>IFERROR(VLOOKUP(Tabla13[[#This Row],[SISMED]],TblDisponibilidad[],16,FALSE), 0)</f>
        <v>0</v>
      </c>
      <c r="M551">
        <f>IFERROR(VLOOKUP(Tabla13[[#This Row],[SISMED]],TblDisponibilidad[],17,FALSE), 0)</f>
        <v>0</v>
      </c>
      <c r="N551">
        <f>IFERROR(VLOOKUP(Tabla13[[#This Row],[SISMED]],TblDisponibilidad[],18,FALSE), 0)</f>
        <v>0</v>
      </c>
      <c r="O551">
        <f>IFERROR(VLOOKUP(Tabla13[[#This Row],[SISMED]],TblDisponibilidad[],19,FALSE), 0)</f>
        <v>0</v>
      </c>
      <c r="P551">
        <f>IFERROR(VLOOKUP(Tabla13[[#This Row],[SISMED]],TblDisponibilidad[],20,FALSE), 0)</f>
        <v>0</v>
      </c>
      <c r="Q551">
        <f>IFERROR(VLOOKUP(Tabla13[[#This Row],[SISMED]],TblDisponibilidad[],21,FALSE), 0)</f>
        <v>0</v>
      </c>
      <c r="R551">
        <f>IFERROR(VLOOKUP(Tabla13[[#This Row],[SISMED]],TblDisponibilidad[],22,FALSE), 0)</f>
        <v>0</v>
      </c>
      <c r="S551" s="15">
        <f>IFERROR(VLOOKUP(Tabla13[[#This Row],[SISMED]],TblDisponibilidad[],23,FALSE), 0)</f>
        <v>0</v>
      </c>
    </row>
    <row r="552" spans="1:19" x14ac:dyDescent="0.3">
      <c r="A552" s="15" t="s">
        <v>582</v>
      </c>
      <c r="B552" t="str">
        <f>IFERROR(VLOOKUP(Tabla13[[#This Row],[SISMED]],TblDisponibilidad[],2,FALSE), "")</f>
        <v/>
      </c>
      <c r="C552">
        <f>IFERROR(VLOOKUP(Tabla13[[#This Row],[SISMED]],TblDisponibilidad[],7,FALSE), 0)</f>
        <v>0</v>
      </c>
      <c r="D552">
        <f>IFERROR(VLOOKUP(Tabla13[[#This Row],[SISMED]],TblDisponibilidad[],8,FALSE), 0)</f>
        <v>0</v>
      </c>
      <c r="E552">
        <f>IFERROR(VLOOKUP(Tabla13[[#This Row],[SISMED]],TblDisponibilidad[],9,FALSE), 0)</f>
        <v>0</v>
      </c>
      <c r="F552">
        <f>IFERROR(VLOOKUP(Tabla13[[#This Row],[SISMED]],TblDisponibilidad[],10,FALSE), 0)</f>
        <v>0</v>
      </c>
      <c r="G552">
        <f>IFERROR(VLOOKUP(Tabla13[[#This Row],[SISMED]],TblDisponibilidad[],11,FALSE), 0)</f>
        <v>0</v>
      </c>
      <c r="H552">
        <f>IFERROR(VLOOKUP(Tabla13[[#This Row],[SISMED]],TblDisponibilidad[],12,FALSE), 0)</f>
        <v>0</v>
      </c>
      <c r="I552">
        <f>IFERROR(VLOOKUP(Tabla13[[#This Row],[SISMED]],TblDisponibilidad[],13,FALSE), 0)</f>
        <v>0</v>
      </c>
      <c r="J552">
        <f>IFERROR(VLOOKUP(Tabla13[[#This Row],[SISMED]],TblDisponibilidad[],14,FALSE), 0)</f>
        <v>0</v>
      </c>
      <c r="K552">
        <f>IFERROR(VLOOKUP(Tabla13[[#This Row],[SISMED]],TblDisponibilidad[],15,FALSE), 0)</f>
        <v>0</v>
      </c>
      <c r="L552">
        <f>IFERROR(VLOOKUP(Tabla13[[#This Row],[SISMED]],TblDisponibilidad[],16,FALSE), 0)</f>
        <v>0</v>
      </c>
      <c r="M552">
        <f>IFERROR(VLOOKUP(Tabla13[[#This Row],[SISMED]],TblDisponibilidad[],17,FALSE), 0)</f>
        <v>0</v>
      </c>
      <c r="N552">
        <f>IFERROR(VLOOKUP(Tabla13[[#This Row],[SISMED]],TblDisponibilidad[],18,FALSE), 0)</f>
        <v>0</v>
      </c>
      <c r="O552">
        <f>IFERROR(VLOOKUP(Tabla13[[#This Row],[SISMED]],TblDisponibilidad[],19,FALSE), 0)</f>
        <v>0</v>
      </c>
      <c r="P552">
        <f>IFERROR(VLOOKUP(Tabla13[[#This Row],[SISMED]],TblDisponibilidad[],20,FALSE), 0)</f>
        <v>0</v>
      </c>
      <c r="Q552">
        <f>IFERROR(VLOOKUP(Tabla13[[#This Row],[SISMED]],TblDisponibilidad[],21,FALSE), 0)</f>
        <v>0</v>
      </c>
      <c r="R552">
        <f>IFERROR(VLOOKUP(Tabla13[[#This Row],[SISMED]],TblDisponibilidad[],22,FALSE), 0)</f>
        <v>0</v>
      </c>
      <c r="S552" s="15">
        <f>IFERROR(VLOOKUP(Tabla13[[#This Row],[SISMED]],TblDisponibilidad[],23,FALSE), 0)</f>
        <v>0</v>
      </c>
    </row>
    <row r="553" spans="1:19" x14ac:dyDescent="0.3">
      <c r="A553" s="15" t="s">
        <v>583</v>
      </c>
      <c r="B553" t="str">
        <f>IFERROR(VLOOKUP(Tabla13[[#This Row],[SISMED]],TblDisponibilidad[],2,FALSE), "")</f>
        <v/>
      </c>
      <c r="C553">
        <f>IFERROR(VLOOKUP(Tabla13[[#This Row],[SISMED]],TblDisponibilidad[],7,FALSE), 0)</f>
        <v>0</v>
      </c>
      <c r="D553">
        <f>IFERROR(VLOOKUP(Tabla13[[#This Row],[SISMED]],TblDisponibilidad[],8,FALSE), 0)</f>
        <v>0</v>
      </c>
      <c r="E553">
        <f>IFERROR(VLOOKUP(Tabla13[[#This Row],[SISMED]],TblDisponibilidad[],9,FALSE), 0)</f>
        <v>0</v>
      </c>
      <c r="F553">
        <f>IFERROR(VLOOKUP(Tabla13[[#This Row],[SISMED]],TblDisponibilidad[],10,FALSE), 0)</f>
        <v>0</v>
      </c>
      <c r="G553">
        <f>IFERROR(VLOOKUP(Tabla13[[#This Row],[SISMED]],TblDisponibilidad[],11,FALSE), 0)</f>
        <v>0</v>
      </c>
      <c r="H553">
        <f>IFERROR(VLOOKUP(Tabla13[[#This Row],[SISMED]],TblDisponibilidad[],12,FALSE), 0)</f>
        <v>0</v>
      </c>
      <c r="I553">
        <f>IFERROR(VLOOKUP(Tabla13[[#This Row],[SISMED]],TblDisponibilidad[],13,FALSE), 0)</f>
        <v>0</v>
      </c>
      <c r="J553">
        <f>IFERROR(VLOOKUP(Tabla13[[#This Row],[SISMED]],TblDisponibilidad[],14,FALSE), 0)</f>
        <v>0</v>
      </c>
      <c r="K553">
        <f>IFERROR(VLOOKUP(Tabla13[[#This Row],[SISMED]],TblDisponibilidad[],15,FALSE), 0)</f>
        <v>0</v>
      </c>
      <c r="L553">
        <f>IFERROR(VLOOKUP(Tabla13[[#This Row],[SISMED]],TblDisponibilidad[],16,FALSE), 0)</f>
        <v>0</v>
      </c>
      <c r="M553">
        <f>IFERROR(VLOOKUP(Tabla13[[#This Row],[SISMED]],TblDisponibilidad[],17,FALSE), 0)</f>
        <v>0</v>
      </c>
      <c r="N553">
        <f>IFERROR(VLOOKUP(Tabla13[[#This Row],[SISMED]],TblDisponibilidad[],18,FALSE), 0)</f>
        <v>0</v>
      </c>
      <c r="O553">
        <f>IFERROR(VLOOKUP(Tabla13[[#This Row],[SISMED]],TblDisponibilidad[],19,FALSE), 0)</f>
        <v>0</v>
      </c>
      <c r="P553">
        <f>IFERROR(VLOOKUP(Tabla13[[#This Row],[SISMED]],TblDisponibilidad[],20,FALSE), 0)</f>
        <v>0</v>
      </c>
      <c r="Q553">
        <f>IFERROR(VLOOKUP(Tabla13[[#This Row],[SISMED]],TblDisponibilidad[],21,FALSE), 0)</f>
        <v>0</v>
      </c>
      <c r="R553">
        <f>IFERROR(VLOOKUP(Tabla13[[#This Row],[SISMED]],TblDisponibilidad[],22,FALSE), 0)</f>
        <v>0</v>
      </c>
      <c r="S553" s="15">
        <f>IFERROR(VLOOKUP(Tabla13[[#This Row],[SISMED]],TblDisponibilidad[],23,FALSE), 0)</f>
        <v>0</v>
      </c>
    </row>
    <row r="554" spans="1:19" x14ac:dyDescent="0.3">
      <c r="A554" s="15" t="s">
        <v>584</v>
      </c>
      <c r="B554" t="str">
        <f>IFERROR(VLOOKUP(Tabla13[[#This Row],[SISMED]],TblDisponibilidad[],2,FALSE), "")</f>
        <v/>
      </c>
      <c r="C554">
        <f>IFERROR(VLOOKUP(Tabla13[[#This Row],[SISMED]],TblDisponibilidad[],7,FALSE), 0)</f>
        <v>0</v>
      </c>
      <c r="D554">
        <f>IFERROR(VLOOKUP(Tabla13[[#This Row],[SISMED]],TblDisponibilidad[],8,FALSE), 0)</f>
        <v>0</v>
      </c>
      <c r="E554">
        <f>IFERROR(VLOOKUP(Tabla13[[#This Row],[SISMED]],TblDisponibilidad[],9,FALSE), 0)</f>
        <v>0</v>
      </c>
      <c r="F554">
        <f>IFERROR(VLOOKUP(Tabla13[[#This Row],[SISMED]],TblDisponibilidad[],10,FALSE), 0)</f>
        <v>0</v>
      </c>
      <c r="G554">
        <f>IFERROR(VLOOKUP(Tabla13[[#This Row],[SISMED]],TblDisponibilidad[],11,FALSE), 0)</f>
        <v>0</v>
      </c>
      <c r="H554">
        <f>IFERROR(VLOOKUP(Tabla13[[#This Row],[SISMED]],TblDisponibilidad[],12,FALSE), 0)</f>
        <v>0</v>
      </c>
      <c r="I554">
        <f>IFERROR(VLOOKUP(Tabla13[[#This Row],[SISMED]],TblDisponibilidad[],13,FALSE), 0)</f>
        <v>0</v>
      </c>
      <c r="J554">
        <f>IFERROR(VLOOKUP(Tabla13[[#This Row],[SISMED]],TblDisponibilidad[],14,FALSE), 0)</f>
        <v>0</v>
      </c>
      <c r="K554">
        <f>IFERROR(VLOOKUP(Tabla13[[#This Row],[SISMED]],TblDisponibilidad[],15,FALSE), 0)</f>
        <v>0</v>
      </c>
      <c r="L554">
        <f>IFERROR(VLOOKUP(Tabla13[[#This Row],[SISMED]],TblDisponibilidad[],16,FALSE), 0)</f>
        <v>0</v>
      </c>
      <c r="M554">
        <f>IFERROR(VLOOKUP(Tabla13[[#This Row],[SISMED]],TblDisponibilidad[],17,FALSE), 0)</f>
        <v>0</v>
      </c>
      <c r="N554">
        <f>IFERROR(VLOOKUP(Tabla13[[#This Row],[SISMED]],TblDisponibilidad[],18,FALSE), 0)</f>
        <v>0</v>
      </c>
      <c r="O554">
        <f>IFERROR(VLOOKUP(Tabla13[[#This Row],[SISMED]],TblDisponibilidad[],19,FALSE), 0)</f>
        <v>0</v>
      </c>
      <c r="P554">
        <f>IFERROR(VLOOKUP(Tabla13[[#This Row],[SISMED]],TblDisponibilidad[],20,FALSE), 0)</f>
        <v>0</v>
      </c>
      <c r="Q554">
        <f>IFERROR(VLOOKUP(Tabla13[[#This Row],[SISMED]],TblDisponibilidad[],21,FALSE), 0)</f>
        <v>0</v>
      </c>
      <c r="R554">
        <f>IFERROR(VLOOKUP(Tabla13[[#This Row],[SISMED]],TblDisponibilidad[],22,FALSE), 0)</f>
        <v>0</v>
      </c>
      <c r="S554" s="15">
        <f>IFERROR(VLOOKUP(Tabla13[[#This Row],[SISMED]],TblDisponibilidad[],23,FALSE), 0)</f>
        <v>0</v>
      </c>
    </row>
    <row r="555" spans="1:19" x14ac:dyDescent="0.3">
      <c r="A555" s="15" t="s">
        <v>585</v>
      </c>
      <c r="B555" t="str">
        <f>IFERROR(VLOOKUP(Tabla13[[#This Row],[SISMED]],TblDisponibilidad[],2,FALSE), "")</f>
        <v/>
      </c>
      <c r="C555">
        <f>IFERROR(VLOOKUP(Tabla13[[#This Row],[SISMED]],TblDisponibilidad[],7,FALSE), 0)</f>
        <v>0</v>
      </c>
      <c r="D555">
        <f>IFERROR(VLOOKUP(Tabla13[[#This Row],[SISMED]],TblDisponibilidad[],8,FALSE), 0)</f>
        <v>0</v>
      </c>
      <c r="E555">
        <f>IFERROR(VLOOKUP(Tabla13[[#This Row],[SISMED]],TblDisponibilidad[],9,FALSE), 0)</f>
        <v>0</v>
      </c>
      <c r="F555">
        <f>IFERROR(VLOOKUP(Tabla13[[#This Row],[SISMED]],TblDisponibilidad[],10,FALSE), 0)</f>
        <v>0</v>
      </c>
      <c r="G555">
        <f>IFERROR(VLOOKUP(Tabla13[[#This Row],[SISMED]],TblDisponibilidad[],11,FALSE), 0)</f>
        <v>0</v>
      </c>
      <c r="H555">
        <f>IFERROR(VLOOKUP(Tabla13[[#This Row],[SISMED]],TblDisponibilidad[],12,FALSE), 0)</f>
        <v>0</v>
      </c>
      <c r="I555">
        <f>IFERROR(VLOOKUP(Tabla13[[#This Row],[SISMED]],TblDisponibilidad[],13,FALSE), 0)</f>
        <v>0</v>
      </c>
      <c r="J555">
        <f>IFERROR(VLOOKUP(Tabla13[[#This Row],[SISMED]],TblDisponibilidad[],14,FALSE), 0)</f>
        <v>0</v>
      </c>
      <c r="K555">
        <f>IFERROR(VLOOKUP(Tabla13[[#This Row],[SISMED]],TblDisponibilidad[],15,FALSE), 0)</f>
        <v>0</v>
      </c>
      <c r="L555">
        <f>IFERROR(VLOOKUP(Tabla13[[#This Row],[SISMED]],TblDisponibilidad[],16,FALSE), 0)</f>
        <v>0</v>
      </c>
      <c r="M555">
        <f>IFERROR(VLOOKUP(Tabla13[[#This Row],[SISMED]],TblDisponibilidad[],17,FALSE), 0)</f>
        <v>0</v>
      </c>
      <c r="N555">
        <f>IFERROR(VLOOKUP(Tabla13[[#This Row],[SISMED]],TblDisponibilidad[],18,FALSE), 0)</f>
        <v>0</v>
      </c>
      <c r="O555">
        <f>IFERROR(VLOOKUP(Tabla13[[#This Row],[SISMED]],TblDisponibilidad[],19,FALSE), 0)</f>
        <v>0</v>
      </c>
      <c r="P555">
        <f>IFERROR(VLOOKUP(Tabla13[[#This Row],[SISMED]],TblDisponibilidad[],20,FALSE), 0)</f>
        <v>0</v>
      </c>
      <c r="Q555">
        <f>IFERROR(VLOOKUP(Tabla13[[#This Row],[SISMED]],TblDisponibilidad[],21,FALSE), 0)</f>
        <v>0</v>
      </c>
      <c r="R555">
        <f>IFERROR(VLOOKUP(Tabla13[[#This Row],[SISMED]],TblDisponibilidad[],22,FALSE), 0)</f>
        <v>0</v>
      </c>
      <c r="S555" s="15">
        <f>IFERROR(VLOOKUP(Tabla13[[#This Row],[SISMED]],TblDisponibilidad[],23,FALSE), 0)</f>
        <v>0</v>
      </c>
    </row>
    <row r="556" spans="1:19" x14ac:dyDescent="0.3">
      <c r="A556" s="15" t="s">
        <v>586</v>
      </c>
      <c r="B556" t="str">
        <f>IFERROR(VLOOKUP(Tabla13[[#This Row],[SISMED]],TblDisponibilidad[],2,FALSE), "")</f>
        <v/>
      </c>
      <c r="C556">
        <f>IFERROR(VLOOKUP(Tabla13[[#This Row],[SISMED]],TblDisponibilidad[],7,FALSE), 0)</f>
        <v>0</v>
      </c>
      <c r="D556">
        <f>IFERROR(VLOOKUP(Tabla13[[#This Row],[SISMED]],TblDisponibilidad[],8,FALSE), 0)</f>
        <v>0</v>
      </c>
      <c r="E556">
        <f>IFERROR(VLOOKUP(Tabla13[[#This Row],[SISMED]],TblDisponibilidad[],9,FALSE), 0)</f>
        <v>0</v>
      </c>
      <c r="F556">
        <f>IFERROR(VLOOKUP(Tabla13[[#This Row],[SISMED]],TblDisponibilidad[],10,FALSE), 0)</f>
        <v>0</v>
      </c>
      <c r="G556">
        <f>IFERROR(VLOOKUP(Tabla13[[#This Row],[SISMED]],TblDisponibilidad[],11,FALSE), 0)</f>
        <v>0</v>
      </c>
      <c r="H556">
        <f>IFERROR(VLOOKUP(Tabla13[[#This Row],[SISMED]],TblDisponibilidad[],12,FALSE), 0)</f>
        <v>0</v>
      </c>
      <c r="I556">
        <f>IFERROR(VLOOKUP(Tabla13[[#This Row],[SISMED]],TblDisponibilidad[],13,FALSE), 0)</f>
        <v>0</v>
      </c>
      <c r="J556">
        <f>IFERROR(VLOOKUP(Tabla13[[#This Row],[SISMED]],TblDisponibilidad[],14,FALSE), 0)</f>
        <v>0</v>
      </c>
      <c r="K556">
        <f>IFERROR(VLOOKUP(Tabla13[[#This Row],[SISMED]],TblDisponibilidad[],15,FALSE), 0)</f>
        <v>0</v>
      </c>
      <c r="L556">
        <f>IFERROR(VLOOKUP(Tabla13[[#This Row],[SISMED]],TblDisponibilidad[],16,FALSE), 0)</f>
        <v>0</v>
      </c>
      <c r="M556">
        <f>IFERROR(VLOOKUP(Tabla13[[#This Row],[SISMED]],TblDisponibilidad[],17,FALSE), 0)</f>
        <v>0</v>
      </c>
      <c r="N556">
        <f>IFERROR(VLOOKUP(Tabla13[[#This Row],[SISMED]],TblDisponibilidad[],18,FALSE), 0)</f>
        <v>0</v>
      </c>
      <c r="O556">
        <f>IFERROR(VLOOKUP(Tabla13[[#This Row],[SISMED]],TblDisponibilidad[],19,FALSE), 0)</f>
        <v>0</v>
      </c>
      <c r="P556">
        <f>IFERROR(VLOOKUP(Tabla13[[#This Row],[SISMED]],TblDisponibilidad[],20,FALSE), 0)</f>
        <v>0</v>
      </c>
      <c r="Q556">
        <f>IFERROR(VLOOKUP(Tabla13[[#This Row],[SISMED]],TblDisponibilidad[],21,FALSE), 0)</f>
        <v>0</v>
      </c>
      <c r="R556">
        <f>IFERROR(VLOOKUP(Tabla13[[#This Row],[SISMED]],TblDisponibilidad[],22,FALSE), 0)</f>
        <v>0</v>
      </c>
      <c r="S556" s="15">
        <f>IFERROR(VLOOKUP(Tabla13[[#This Row],[SISMED]],TblDisponibilidad[],23,FALSE), 0)</f>
        <v>0</v>
      </c>
    </row>
    <row r="557" spans="1:19" x14ac:dyDescent="0.3">
      <c r="A557" s="15" t="s">
        <v>587</v>
      </c>
      <c r="B557" t="str">
        <f>IFERROR(VLOOKUP(Tabla13[[#This Row],[SISMED]],TblDisponibilidad[],2,FALSE), "")</f>
        <v/>
      </c>
      <c r="C557">
        <f>IFERROR(VLOOKUP(Tabla13[[#This Row],[SISMED]],TblDisponibilidad[],7,FALSE), 0)</f>
        <v>0</v>
      </c>
      <c r="D557">
        <f>IFERROR(VLOOKUP(Tabla13[[#This Row],[SISMED]],TblDisponibilidad[],8,FALSE), 0)</f>
        <v>0</v>
      </c>
      <c r="E557">
        <f>IFERROR(VLOOKUP(Tabla13[[#This Row],[SISMED]],TblDisponibilidad[],9,FALSE), 0)</f>
        <v>0</v>
      </c>
      <c r="F557">
        <f>IFERROR(VLOOKUP(Tabla13[[#This Row],[SISMED]],TblDisponibilidad[],10,FALSE), 0)</f>
        <v>0</v>
      </c>
      <c r="G557">
        <f>IFERROR(VLOOKUP(Tabla13[[#This Row],[SISMED]],TblDisponibilidad[],11,FALSE), 0)</f>
        <v>0</v>
      </c>
      <c r="H557">
        <f>IFERROR(VLOOKUP(Tabla13[[#This Row],[SISMED]],TblDisponibilidad[],12,FALSE), 0)</f>
        <v>0</v>
      </c>
      <c r="I557">
        <f>IFERROR(VLOOKUP(Tabla13[[#This Row],[SISMED]],TblDisponibilidad[],13,FALSE), 0)</f>
        <v>0</v>
      </c>
      <c r="J557">
        <f>IFERROR(VLOOKUP(Tabla13[[#This Row],[SISMED]],TblDisponibilidad[],14,FALSE), 0)</f>
        <v>0</v>
      </c>
      <c r="K557">
        <f>IFERROR(VLOOKUP(Tabla13[[#This Row],[SISMED]],TblDisponibilidad[],15,FALSE), 0)</f>
        <v>0</v>
      </c>
      <c r="L557">
        <f>IFERROR(VLOOKUP(Tabla13[[#This Row],[SISMED]],TblDisponibilidad[],16,FALSE), 0)</f>
        <v>0</v>
      </c>
      <c r="M557">
        <f>IFERROR(VLOOKUP(Tabla13[[#This Row],[SISMED]],TblDisponibilidad[],17,FALSE), 0)</f>
        <v>0</v>
      </c>
      <c r="N557">
        <f>IFERROR(VLOOKUP(Tabla13[[#This Row],[SISMED]],TblDisponibilidad[],18,FALSE), 0)</f>
        <v>0</v>
      </c>
      <c r="O557">
        <f>IFERROR(VLOOKUP(Tabla13[[#This Row],[SISMED]],TblDisponibilidad[],19,FALSE), 0)</f>
        <v>0</v>
      </c>
      <c r="P557">
        <f>IFERROR(VLOOKUP(Tabla13[[#This Row],[SISMED]],TblDisponibilidad[],20,FALSE), 0)</f>
        <v>0</v>
      </c>
      <c r="Q557">
        <f>IFERROR(VLOOKUP(Tabla13[[#This Row],[SISMED]],TblDisponibilidad[],21,FALSE), 0)</f>
        <v>0</v>
      </c>
      <c r="R557">
        <f>IFERROR(VLOOKUP(Tabla13[[#This Row],[SISMED]],TblDisponibilidad[],22,FALSE), 0)</f>
        <v>0</v>
      </c>
      <c r="S557" s="15">
        <f>IFERROR(VLOOKUP(Tabla13[[#This Row],[SISMED]],TblDisponibilidad[],23,FALSE), 0)</f>
        <v>0</v>
      </c>
    </row>
    <row r="558" spans="1:19" x14ac:dyDescent="0.3">
      <c r="A558" s="15" t="s">
        <v>588</v>
      </c>
      <c r="B558" t="str">
        <f>IFERROR(VLOOKUP(Tabla13[[#This Row],[SISMED]],TblDisponibilidad[],2,FALSE), "")</f>
        <v/>
      </c>
      <c r="C558">
        <f>IFERROR(VLOOKUP(Tabla13[[#This Row],[SISMED]],TblDisponibilidad[],7,FALSE), 0)</f>
        <v>0</v>
      </c>
      <c r="D558">
        <f>IFERROR(VLOOKUP(Tabla13[[#This Row],[SISMED]],TblDisponibilidad[],8,FALSE), 0)</f>
        <v>0</v>
      </c>
      <c r="E558">
        <f>IFERROR(VLOOKUP(Tabla13[[#This Row],[SISMED]],TblDisponibilidad[],9,FALSE), 0)</f>
        <v>0</v>
      </c>
      <c r="F558">
        <f>IFERROR(VLOOKUP(Tabla13[[#This Row],[SISMED]],TblDisponibilidad[],10,FALSE), 0)</f>
        <v>0</v>
      </c>
      <c r="G558">
        <f>IFERROR(VLOOKUP(Tabla13[[#This Row],[SISMED]],TblDisponibilidad[],11,FALSE), 0)</f>
        <v>0</v>
      </c>
      <c r="H558">
        <f>IFERROR(VLOOKUP(Tabla13[[#This Row],[SISMED]],TblDisponibilidad[],12,FALSE), 0)</f>
        <v>0</v>
      </c>
      <c r="I558">
        <f>IFERROR(VLOOKUP(Tabla13[[#This Row],[SISMED]],TblDisponibilidad[],13,FALSE), 0)</f>
        <v>0</v>
      </c>
      <c r="J558">
        <f>IFERROR(VLOOKUP(Tabla13[[#This Row],[SISMED]],TblDisponibilidad[],14,FALSE), 0)</f>
        <v>0</v>
      </c>
      <c r="K558">
        <f>IFERROR(VLOOKUP(Tabla13[[#This Row],[SISMED]],TblDisponibilidad[],15,FALSE), 0)</f>
        <v>0</v>
      </c>
      <c r="L558">
        <f>IFERROR(VLOOKUP(Tabla13[[#This Row],[SISMED]],TblDisponibilidad[],16,FALSE), 0)</f>
        <v>0</v>
      </c>
      <c r="M558">
        <f>IFERROR(VLOOKUP(Tabla13[[#This Row],[SISMED]],TblDisponibilidad[],17,FALSE), 0)</f>
        <v>0</v>
      </c>
      <c r="N558">
        <f>IFERROR(VLOOKUP(Tabla13[[#This Row],[SISMED]],TblDisponibilidad[],18,FALSE), 0)</f>
        <v>0</v>
      </c>
      <c r="O558">
        <f>IFERROR(VLOOKUP(Tabla13[[#This Row],[SISMED]],TblDisponibilidad[],19,FALSE), 0)</f>
        <v>0</v>
      </c>
      <c r="P558">
        <f>IFERROR(VLOOKUP(Tabla13[[#This Row],[SISMED]],TblDisponibilidad[],20,FALSE), 0)</f>
        <v>0</v>
      </c>
      <c r="Q558">
        <f>IFERROR(VLOOKUP(Tabla13[[#This Row],[SISMED]],TblDisponibilidad[],21,FALSE), 0)</f>
        <v>0</v>
      </c>
      <c r="R558">
        <f>IFERROR(VLOOKUP(Tabla13[[#This Row],[SISMED]],TblDisponibilidad[],22,FALSE), 0)</f>
        <v>0</v>
      </c>
      <c r="S558" s="15">
        <f>IFERROR(VLOOKUP(Tabla13[[#This Row],[SISMED]],TblDisponibilidad[],23,FALSE), 0)</f>
        <v>0</v>
      </c>
    </row>
    <row r="559" spans="1:19" x14ac:dyDescent="0.3">
      <c r="A559" s="15" t="s">
        <v>589</v>
      </c>
      <c r="B559" t="str">
        <f>IFERROR(VLOOKUP(Tabla13[[#This Row],[SISMED]],TblDisponibilidad[],2,FALSE), "")</f>
        <v/>
      </c>
      <c r="C559">
        <f>IFERROR(VLOOKUP(Tabla13[[#This Row],[SISMED]],TblDisponibilidad[],7,FALSE), 0)</f>
        <v>0</v>
      </c>
      <c r="D559">
        <f>IFERROR(VLOOKUP(Tabla13[[#This Row],[SISMED]],TblDisponibilidad[],8,FALSE), 0)</f>
        <v>0</v>
      </c>
      <c r="E559">
        <f>IFERROR(VLOOKUP(Tabla13[[#This Row],[SISMED]],TblDisponibilidad[],9,FALSE), 0)</f>
        <v>0</v>
      </c>
      <c r="F559">
        <f>IFERROR(VLOOKUP(Tabla13[[#This Row],[SISMED]],TblDisponibilidad[],10,FALSE), 0)</f>
        <v>0</v>
      </c>
      <c r="G559">
        <f>IFERROR(VLOOKUP(Tabla13[[#This Row],[SISMED]],TblDisponibilidad[],11,FALSE), 0)</f>
        <v>0</v>
      </c>
      <c r="H559">
        <f>IFERROR(VLOOKUP(Tabla13[[#This Row],[SISMED]],TblDisponibilidad[],12,FALSE), 0)</f>
        <v>0</v>
      </c>
      <c r="I559">
        <f>IFERROR(VLOOKUP(Tabla13[[#This Row],[SISMED]],TblDisponibilidad[],13,FALSE), 0)</f>
        <v>0</v>
      </c>
      <c r="J559">
        <f>IFERROR(VLOOKUP(Tabla13[[#This Row],[SISMED]],TblDisponibilidad[],14,FALSE), 0)</f>
        <v>0</v>
      </c>
      <c r="K559">
        <f>IFERROR(VLOOKUP(Tabla13[[#This Row],[SISMED]],TblDisponibilidad[],15,FALSE), 0)</f>
        <v>0</v>
      </c>
      <c r="L559">
        <f>IFERROR(VLOOKUP(Tabla13[[#This Row],[SISMED]],TblDisponibilidad[],16,FALSE), 0)</f>
        <v>0</v>
      </c>
      <c r="M559">
        <f>IFERROR(VLOOKUP(Tabla13[[#This Row],[SISMED]],TblDisponibilidad[],17,FALSE), 0)</f>
        <v>0</v>
      </c>
      <c r="N559">
        <f>IFERROR(VLOOKUP(Tabla13[[#This Row],[SISMED]],TblDisponibilidad[],18,FALSE), 0)</f>
        <v>0</v>
      </c>
      <c r="O559">
        <f>IFERROR(VLOOKUP(Tabla13[[#This Row],[SISMED]],TblDisponibilidad[],19,FALSE), 0)</f>
        <v>0</v>
      </c>
      <c r="P559">
        <f>IFERROR(VLOOKUP(Tabla13[[#This Row],[SISMED]],TblDisponibilidad[],20,FALSE), 0)</f>
        <v>0</v>
      </c>
      <c r="Q559">
        <f>IFERROR(VLOOKUP(Tabla13[[#This Row],[SISMED]],TblDisponibilidad[],21,FALSE), 0)</f>
        <v>0</v>
      </c>
      <c r="R559">
        <f>IFERROR(VLOOKUP(Tabla13[[#This Row],[SISMED]],TblDisponibilidad[],22,FALSE), 0)</f>
        <v>0</v>
      </c>
      <c r="S559" s="15">
        <f>IFERROR(VLOOKUP(Tabla13[[#This Row],[SISMED]],TblDisponibilidad[],23,FALSE), 0)</f>
        <v>0</v>
      </c>
    </row>
    <row r="560" spans="1:19" x14ac:dyDescent="0.3">
      <c r="A560" s="15" t="s">
        <v>590</v>
      </c>
      <c r="B560" t="str">
        <f>IFERROR(VLOOKUP(Tabla13[[#This Row],[SISMED]],TblDisponibilidad[],2,FALSE), "")</f>
        <v/>
      </c>
      <c r="C560">
        <f>IFERROR(VLOOKUP(Tabla13[[#This Row],[SISMED]],TblDisponibilidad[],7,FALSE), 0)</f>
        <v>0</v>
      </c>
      <c r="D560">
        <f>IFERROR(VLOOKUP(Tabla13[[#This Row],[SISMED]],TblDisponibilidad[],8,FALSE), 0)</f>
        <v>0</v>
      </c>
      <c r="E560">
        <f>IFERROR(VLOOKUP(Tabla13[[#This Row],[SISMED]],TblDisponibilidad[],9,FALSE), 0)</f>
        <v>0</v>
      </c>
      <c r="F560">
        <f>IFERROR(VLOOKUP(Tabla13[[#This Row],[SISMED]],TblDisponibilidad[],10,FALSE), 0)</f>
        <v>0</v>
      </c>
      <c r="G560">
        <f>IFERROR(VLOOKUP(Tabla13[[#This Row],[SISMED]],TblDisponibilidad[],11,FALSE), 0)</f>
        <v>0</v>
      </c>
      <c r="H560">
        <f>IFERROR(VLOOKUP(Tabla13[[#This Row],[SISMED]],TblDisponibilidad[],12,FALSE), 0)</f>
        <v>0</v>
      </c>
      <c r="I560">
        <f>IFERROR(VLOOKUP(Tabla13[[#This Row],[SISMED]],TblDisponibilidad[],13,FALSE), 0)</f>
        <v>0</v>
      </c>
      <c r="J560">
        <f>IFERROR(VLOOKUP(Tabla13[[#This Row],[SISMED]],TblDisponibilidad[],14,FALSE), 0)</f>
        <v>0</v>
      </c>
      <c r="K560">
        <f>IFERROR(VLOOKUP(Tabla13[[#This Row],[SISMED]],TblDisponibilidad[],15,FALSE), 0)</f>
        <v>0</v>
      </c>
      <c r="L560">
        <f>IFERROR(VLOOKUP(Tabla13[[#This Row],[SISMED]],TblDisponibilidad[],16,FALSE), 0)</f>
        <v>0</v>
      </c>
      <c r="M560">
        <f>IFERROR(VLOOKUP(Tabla13[[#This Row],[SISMED]],TblDisponibilidad[],17,FALSE), 0)</f>
        <v>0</v>
      </c>
      <c r="N560">
        <f>IFERROR(VLOOKUP(Tabla13[[#This Row],[SISMED]],TblDisponibilidad[],18,FALSE), 0)</f>
        <v>0</v>
      </c>
      <c r="O560">
        <f>IFERROR(VLOOKUP(Tabla13[[#This Row],[SISMED]],TblDisponibilidad[],19,FALSE), 0)</f>
        <v>0</v>
      </c>
      <c r="P560">
        <f>IFERROR(VLOOKUP(Tabla13[[#This Row],[SISMED]],TblDisponibilidad[],20,FALSE), 0)</f>
        <v>0</v>
      </c>
      <c r="Q560">
        <f>IFERROR(VLOOKUP(Tabla13[[#This Row],[SISMED]],TblDisponibilidad[],21,FALSE), 0)</f>
        <v>0</v>
      </c>
      <c r="R560">
        <f>IFERROR(VLOOKUP(Tabla13[[#This Row],[SISMED]],TblDisponibilidad[],22,FALSE), 0)</f>
        <v>0</v>
      </c>
      <c r="S560" s="15">
        <f>IFERROR(VLOOKUP(Tabla13[[#This Row],[SISMED]],TblDisponibilidad[],23,FALSE), 0)</f>
        <v>0</v>
      </c>
    </row>
    <row r="561" spans="1:19" x14ac:dyDescent="0.3">
      <c r="A561" s="15" t="s">
        <v>591</v>
      </c>
      <c r="B561" t="str">
        <f>IFERROR(VLOOKUP(Tabla13[[#This Row],[SISMED]],TblDisponibilidad[],2,FALSE), "")</f>
        <v/>
      </c>
      <c r="C561">
        <f>IFERROR(VLOOKUP(Tabla13[[#This Row],[SISMED]],TblDisponibilidad[],7,FALSE), 0)</f>
        <v>0</v>
      </c>
      <c r="D561">
        <f>IFERROR(VLOOKUP(Tabla13[[#This Row],[SISMED]],TblDisponibilidad[],8,FALSE), 0)</f>
        <v>0</v>
      </c>
      <c r="E561">
        <f>IFERROR(VLOOKUP(Tabla13[[#This Row],[SISMED]],TblDisponibilidad[],9,FALSE), 0)</f>
        <v>0</v>
      </c>
      <c r="F561">
        <f>IFERROR(VLOOKUP(Tabla13[[#This Row],[SISMED]],TblDisponibilidad[],10,FALSE), 0)</f>
        <v>0</v>
      </c>
      <c r="G561">
        <f>IFERROR(VLOOKUP(Tabla13[[#This Row],[SISMED]],TblDisponibilidad[],11,FALSE), 0)</f>
        <v>0</v>
      </c>
      <c r="H561">
        <f>IFERROR(VLOOKUP(Tabla13[[#This Row],[SISMED]],TblDisponibilidad[],12,FALSE), 0)</f>
        <v>0</v>
      </c>
      <c r="I561">
        <f>IFERROR(VLOOKUP(Tabla13[[#This Row],[SISMED]],TblDisponibilidad[],13,FALSE), 0)</f>
        <v>0</v>
      </c>
      <c r="J561">
        <f>IFERROR(VLOOKUP(Tabla13[[#This Row],[SISMED]],TblDisponibilidad[],14,FALSE), 0)</f>
        <v>0</v>
      </c>
      <c r="K561">
        <f>IFERROR(VLOOKUP(Tabla13[[#This Row],[SISMED]],TblDisponibilidad[],15,FALSE), 0)</f>
        <v>0</v>
      </c>
      <c r="L561">
        <f>IFERROR(VLOOKUP(Tabla13[[#This Row],[SISMED]],TblDisponibilidad[],16,FALSE), 0)</f>
        <v>0</v>
      </c>
      <c r="M561">
        <f>IFERROR(VLOOKUP(Tabla13[[#This Row],[SISMED]],TblDisponibilidad[],17,FALSE), 0)</f>
        <v>0</v>
      </c>
      <c r="N561">
        <f>IFERROR(VLOOKUP(Tabla13[[#This Row],[SISMED]],TblDisponibilidad[],18,FALSE), 0)</f>
        <v>0</v>
      </c>
      <c r="O561">
        <f>IFERROR(VLOOKUP(Tabla13[[#This Row],[SISMED]],TblDisponibilidad[],19,FALSE), 0)</f>
        <v>0</v>
      </c>
      <c r="P561">
        <f>IFERROR(VLOOKUP(Tabla13[[#This Row],[SISMED]],TblDisponibilidad[],20,FALSE), 0)</f>
        <v>0</v>
      </c>
      <c r="Q561">
        <f>IFERROR(VLOOKUP(Tabla13[[#This Row],[SISMED]],TblDisponibilidad[],21,FALSE), 0)</f>
        <v>0</v>
      </c>
      <c r="R561">
        <f>IFERROR(VLOOKUP(Tabla13[[#This Row],[SISMED]],TblDisponibilidad[],22,FALSE), 0)</f>
        <v>0</v>
      </c>
      <c r="S561" s="15">
        <f>IFERROR(VLOOKUP(Tabla13[[#This Row],[SISMED]],TblDisponibilidad[],23,FALSE), 0)</f>
        <v>0</v>
      </c>
    </row>
    <row r="562" spans="1:19" x14ac:dyDescent="0.3">
      <c r="A562" s="15" t="s">
        <v>592</v>
      </c>
      <c r="B562" t="str">
        <f>IFERROR(VLOOKUP(Tabla13[[#This Row],[SISMED]],TblDisponibilidad[],2,FALSE), "")</f>
        <v/>
      </c>
      <c r="C562">
        <f>IFERROR(VLOOKUP(Tabla13[[#This Row],[SISMED]],TblDisponibilidad[],7,FALSE), 0)</f>
        <v>0</v>
      </c>
      <c r="D562">
        <f>IFERROR(VLOOKUP(Tabla13[[#This Row],[SISMED]],TblDisponibilidad[],8,FALSE), 0)</f>
        <v>0</v>
      </c>
      <c r="E562">
        <f>IFERROR(VLOOKUP(Tabla13[[#This Row],[SISMED]],TblDisponibilidad[],9,FALSE), 0)</f>
        <v>0</v>
      </c>
      <c r="F562">
        <f>IFERROR(VLOOKUP(Tabla13[[#This Row],[SISMED]],TblDisponibilidad[],10,FALSE), 0)</f>
        <v>0</v>
      </c>
      <c r="G562">
        <f>IFERROR(VLOOKUP(Tabla13[[#This Row],[SISMED]],TblDisponibilidad[],11,FALSE), 0)</f>
        <v>0</v>
      </c>
      <c r="H562">
        <f>IFERROR(VLOOKUP(Tabla13[[#This Row],[SISMED]],TblDisponibilidad[],12,FALSE), 0)</f>
        <v>0</v>
      </c>
      <c r="I562">
        <f>IFERROR(VLOOKUP(Tabla13[[#This Row],[SISMED]],TblDisponibilidad[],13,FALSE), 0)</f>
        <v>0</v>
      </c>
      <c r="J562">
        <f>IFERROR(VLOOKUP(Tabla13[[#This Row],[SISMED]],TblDisponibilidad[],14,FALSE), 0)</f>
        <v>0</v>
      </c>
      <c r="K562">
        <f>IFERROR(VLOOKUP(Tabla13[[#This Row],[SISMED]],TblDisponibilidad[],15,FALSE), 0)</f>
        <v>0</v>
      </c>
      <c r="L562">
        <f>IFERROR(VLOOKUP(Tabla13[[#This Row],[SISMED]],TblDisponibilidad[],16,FALSE), 0)</f>
        <v>0</v>
      </c>
      <c r="M562">
        <f>IFERROR(VLOOKUP(Tabla13[[#This Row],[SISMED]],TblDisponibilidad[],17,FALSE), 0)</f>
        <v>0</v>
      </c>
      <c r="N562">
        <f>IFERROR(VLOOKUP(Tabla13[[#This Row],[SISMED]],TblDisponibilidad[],18,FALSE), 0)</f>
        <v>0</v>
      </c>
      <c r="O562">
        <f>IFERROR(VLOOKUP(Tabla13[[#This Row],[SISMED]],TblDisponibilidad[],19,FALSE), 0)</f>
        <v>0</v>
      </c>
      <c r="P562">
        <f>IFERROR(VLOOKUP(Tabla13[[#This Row],[SISMED]],TblDisponibilidad[],20,FALSE), 0)</f>
        <v>0</v>
      </c>
      <c r="Q562">
        <f>IFERROR(VLOOKUP(Tabla13[[#This Row],[SISMED]],TblDisponibilidad[],21,FALSE), 0)</f>
        <v>0</v>
      </c>
      <c r="R562">
        <f>IFERROR(VLOOKUP(Tabla13[[#This Row],[SISMED]],TblDisponibilidad[],22,FALSE), 0)</f>
        <v>0</v>
      </c>
      <c r="S562" s="15">
        <f>IFERROR(VLOOKUP(Tabla13[[#This Row],[SISMED]],TblDisponibilidad[],23,FALSE), 0)</f>
        <v>0</v>
      </c>
    </row>
    <row r="563" spans="1:19" x14ac:dyDescent="0.3">
      <c r="A563" s="15" t="s">
        <v>593</v>
      </c>
      <c r="B563" t="str">
        <f>IFERROR(VLOOKUP(Tabla13[[#This Row],[SISMED]],TblDisponibilidad[],2,FALSE), "")</f>
        <v/>
      </c>
      <c r="C563">
        <f>IFERROR(VLOOKUP(Tabla13[[#This Row],[SISMED]],TblDisponibilidad[],7,FALSE), 0)</f>
        <v>0</v>
      </c>
      <c r="D563">
        <f>IFERROR(VLOOKUP(Tabla13[[#This Row],[SISMED]],TblDisponibilidad[],8,FALSE), 0)</f>
        <v>0</v>
      </c>
      <c r="E563">
        <f>IFERROR(VLOOKUP(Tabla13[[#This Row],[SISMED]],TblDisponibilidad[],9,FALSE), 0)</f>
        <v>0</v>
      </c>
      <c r="F563">
        <f>IFERROR(VLOOKUP(Tabla13[[#This Row],[SISMED]],TblDisponibilidad[],10,FALSE), 0)</f>
        <v>0</v>
      </c>
      <c r="G563">
        <f>IFERROR(VLOOKUP(Tabla13[[#This Row],[SISMED]],TblDisponibilidad[],11,FALSE), 0)</f>
        <v>0</v>
      </c>
      <c r="H563">
        <f>IFERROR(VLOOKUP(Tabla13[[#This Row],[SISMED]],TblDisponibilidad[],12,FALSE), 0)</f>
        <v>0</v>
      </c>
      <c r="I563">
        <f>IFERROR(VLOOKUP(Tabla13[[#This Row],[SISMED]],TblDisponibilidad[],13,FALSE), 0)</f>
        <v>0</v>
      </c>
      <c r="J563">
        <f>IFERROR(VLOOKUP(Tabla13[[#This Row],[SISMED]],TblDisponibilidad[],14,FALSE), 0)</f>
        <v>0</v>
      </c>
      <c r="K563">
        <f>IFERROR(VLOOKUP(Tabla13[[#This Row],[SISMED]],TblDisponibilidad[],15,FALSE), 0)</f>
        <v>0</v>
      </c>
      <c r="L563">
        <f>IFERROR(VLOOKUP(Tabla13[[#This Row],[SISMED]],TblDisponibilidad[],16,FALSE), 0)</f>
        <v>0</v>
      </c>
      <c r="M563">
        <f>IFERROR(VLOOKUP(Tabla13[[#This Row],[SISMED]],TblDisponibilidad[],17,FALSE), 0)</f>
        <v>0</v>
      </c>
      <c r="N563">
        <f>IFERROR(VLOOKUP(Tabla13[[#This Row],[SISMED]],TblDisponibilidad[],18,FALSE), 0)</f>
        <v>0</v>
      </c>
      <c r="O563">
        <f>IFERROR(VLOOKUP(Tabla13[[#This Row],[SISMED]],TblDisponibilidad[],19,FALSE), 0)</f>
        <v>0</v>
      </c>
      <c r="P563">
        <f>IFERROR(VLOOKUP(Tabla13[[#This Row],[SISMED]],TblDisponibilidad[],20,FALSE), 0)</f>
        <v>0</v>
      </c>
      <c r="Q563">
        <f>IFERROR(VLOOKUP(Tabla13[[#This Row],[SISMED]],TblDisponibilidad[],21,FALSE), 0)</f>
        <v>0</v>
      </c>
      <c r="R563">
        <f>IFERROR(VLOOKUP(Tabla13[[#This Row],[SISMED]],TblDisponibilidad[],22,FALSE), 0)</f>
        <v>0</v>
      </c>
      <c r="S563" s="15">
        <f>IFERROR(VLOOKUP(Tabla13[[#This Row],[SISMED]],TblDisponibilidad[],23,FALSE), 0)</f>
        <v>0</v>
      </c>
    </row>
    <row r="564" spans="1:19" x14ac:dyDescent="0.3">
      <c r="A564" s="15" t="s">
        <v>594</v>
      </c>
      <c r="B564" t="str">
        <f>IFERROR(VLOOKUP(Tabla13[[#This Row],[SISMED]],TblDisponibilidad[],2,FALSE), "")</f>
        <v/>
      </c>
      <c r="C564">
        <f>IFERROR(VLOOKUP(Tabla13[[#This Row],[SISMED]],TblDisponibilidad[],7,FALSE), 0)</f>
        <v>0</v>
      </c>
      <c r="D564">
        <f>IFERROR(VLOOKUP(Tabla13[[#This Row],[SISMED]],TblDisponibilidad[],8,FALSE), 0)</f>
        <v>0</v>
      </c>
      <c r="E564">
        <f>IFERROR(VLOOKUP(Tabla13[[#This Row],[SISMED]],TblDisponibilidad[],9,FALSE), 0)</f>
        <v>0</v>
      </c>
      <c r="F564">
        <f>IFERROR(VLOOKUP(Tabla13[[#This Row],[SISMED]],TblDisponibilidad[],10,FALSE), 0)</f>
        <v>0</v>
      </c>
      <c r="G564">
        <f>IFERROR(VLOOKUP(Tabla13[[#This Row],[SISMED]],TblDisponibilidad[],11,FALSE), 0)</f>
        <v>0</v>
      </c>
      <c r="H564">
        <f>IFERROR(VLOOKUP(Tabla13[[#This Row],[SISMED]],TblDisponibilidad[],12,FALSE), 0)</f>
        <v>0</v>
      </c>
      <c r="I564">
        <f>IFERROR(VLOOKUP(Tabla13[[#This Row],[SISMED]],TblDisponibilidad[],13,FALSE), 0)</f>
        <v>0</v>
      </c>
      <c r="J564">
        <f>IFERROR(VLOOKUP(Tabla13[[#This Row],[SISMED]],TblDisponibilidad[],14,FALSE), 0)</f>
        <v>0</v>
      </c>
      <c r="K564">
        <f>IFERROR(VLOOKUP(Tabla13[[#This Row],[SISMED]],TblDisponibilidad[],15,FALSE), 0)</f>
        <v>0</v>
      </c>
      <c r="L564">
        <f>IFERROR(VLOOKUP(Tabla13[[#This Row],[SISMED]],TblDisponibilidad[],16,FALSE), 0)</f>
        <v>0</v>
      </c>
      <c r="M564">
        <f>IFERROR(VLOOKUP(Tabla13[[#This Row],[SISMED]],TblDisponibilidad[],17,FALSE), 0)</f>
        <v>0</v>
      </c>
      <c r="N564">
        <f>IFERROR(VLOOKUP(Tabla13[[#This Row],[SISMED]],TblDisponibilidad[],18,FALSE), 0)</f>
        <v>0</v>
      </c>
      <c r="O564">
        <f>IFERROR(VLOOKUP(Tabla13[[#This Row],[SISMED]],TblDisponibilidad[],19,FALSE), 0)</f>
        <v>0</v>
      </c>
      <c r="P564">
        <f>IFERROR(VLOOKUP(Tabla13[[#This Row],[SISMED]],TblDisponibilidad[],20,FALSE), 0)</f>
        <v>0</v>
      </c>
      <c r="Q564">
        <f>IFERROR(VLOOKUP(Tabla13[[#This Row],[SISMED]],TblDisponibilidad[],21,FALSE), 0)</f>
        <v>0</v>
      </c>
      <c r="R564">
        <f>IFERROR(VLOOKUP(Tabla13[[#This Row],[SISMED]],TblDisponibilidad[],22,FALSE), 0)</f>
        <v>0</v>
      </c>
      <c r="S564" s="15">
        <f>IFERROR(VLOOKUP(Tabla13[[#This Row],[SISMED]],TblDisponibilidad[],23,FALSE), 0)</f>
        <v>0</v>
      </c>
    </row>
    <row r="565" spans="1:19" x14ac:dyDescent="0.3">
      <c r="A565" s="15" t="s">
        <v>595</v>
      </c>
      <c r="B565" t="str">
        <f>IFERROR(VLOOKUP(Tabla13[[#This Row],[SISMED]],TblDisponibilidad[],2,FALSE), "")</f>
        <v/>
      </c>
      <c r="C565">
        <f>IFERROR(VLOOKUP(Tabla13[[#This Row],[SISMED]],TblDisponibilidad[],7,FALSE), 0)</f>
        <v>0</v>
      </c>
      <c r="D565">
        <f>IFERROR(VLOOKUP(Tabla13[[#This Row],[SISMED]],TblDisponibilidad[],8,FALSE), 0)</f>
        <v>0</v>
      </c>
      <c r="E565">
        <f>IFERROR(VLOOKUP(Tabla13[[#This Row],[SISMED]],TblDisponibilidad[],9,FALSE), 0)</f>
        <v>0</v>
      </c>
      <c r="F565">
        <f>IFERROR(VLOOKUP(Tabla13[[#This Row],[SISMED]],TblDisponibilidad[],10,FALSE), 0)</f>
        <v>0</v>
      </c>
      <c r="G565">
        <f>IFERROR(VLOOKUP(Tabla13[[#This Row],[SISMED]],TblDisponibilidad[],11,FALSE), 0)</f>
        <v>0</v>
      </c>
      <c r="H565">
        <f>IFERROR(VLOOKUP(Tabla13[[#This Row],[SISMED]],TblDisponibilidad[],12,FALSE), 0)</f>
        <v>0</v>
      </c>
      <c r="I565">
        <f>IFERROR(VLOOKUP(Tabla13[[#This Row],[SISMED]],TblDisponibilidad[],13,FALSE), 0)</f>
        <v>0</v>
      </c>
      <c r="J565">
        <f>IFERROR(VLOOKUP(Tabla13[[#This Row],[SISMED]],TblDisponibilidad[],14,FALSE), 0)</f>
        <v>0</v>
      </c>
      <c r="K565">
        <f>IFERROR(VLOOKUP(Tabla13[[#This Row],[SISMED]],TblDisponibilidad[],15,FALSE), 0)</f>
        <v>0</v>
      </c>
      <c r="L565">
        <f>IFERROR(VLOOKUP(Tabla13[[#This Row],[SISMED]],TblDisponibilidad[],16,FALSE), 0)</f>
        <v>0</v>
      </c>
      <c r="M565">
        <f>IFERROR(VLOOKUP(Tabla13[[#This Row],[SISMED]],TblDisponibilidad[],17,FALSE), 0)</f>
        <v>0</v>
      </c>
      <c r="N565">
        <f>IFERROR(VLOOKUP(Tabla13[[#This Row],[SISMED]],TblDisponibilidad[],18,FALSE), 0)</f>
        <v>0</v>
      </c>
      <c r="O565">
        <f>IFERROR(VLOOKUP(Tabla13[[#This Row],[SISMED]],TblDisponibilidad[],19,FALSE), 0)</f>
        <v>0</v>
      </c>
      <c r="P565">
        <f>IFERROR(VLOOKUP(Tabla13[[#This Row],[SISMED]],TblDisponibilidad[],20,FALSE), 0)</f>
        <v>0</v>
      </c>
      <c r="Q565">
        <f>IFERROR(VLOOKUP(Tabla13[[#This Row],[SISMED]],TblDisponibilidad[],21,FALSE), 0)</f>
        <v>0</v>
      </c>
      <c r="R565">
        <f>IFERROR(VLOOKUP(Tabla13[[#This Row],[SISMED]],TblDisponibilidad[],22,FALSE), 0)</f>
        <v>0</v>
      </c>
      <c r="S565" s="15">
        <f>IFERROR(VLOOKUP(Tabla13[[#This Row],[SISMED]],TblDisponibilidad[],23,FALSE), 0)</f>
        <v>0</v>
      </c>
    </row>
    <row r="566" spans="1:19" x14ac:dyDescent="0.3">
      <c r="A566" s="15" t="s">
        <v>596</v>
      </c>
      <c r="B566" t="str">
        <f>IFERROR(VLOOKUP(Tabla13[[#This Row],[SISMED]],TblDisponibilidad[],2,FALSE), "")</f>
        <v/>
      </c>
      <c r="C566">
        <f>IFERROR(VLOOKUP(Tabla13[[#This Row],[SISMED]],TblDisponibilidad[],7,FALSE), 0)</f>
        <v>0</v>
      </c>
      <c r="D566">
        <f>IFERROR(VLOOKUP(Tabla13[[#This Row],[SISMED]],TblDisponibilidad[],8,FALSE), 0)</f>
        <v>0</v>
      </c>
      <c r="E566">
        <f>IFERROR(VLOOKUP(Tabla13[[#This Row],[SISMED]],TblDisponibilidad[],9,FALSE), 0)</f>
        <v>0</v>
      </c>
      <c r="F566">
        <f>IFERROR(VLOOKUP(Tabla13[[#This Row],[SISMED]],TblDisponibilidad[],10,FALSE), 0)</f>
        <v>0</v>
      </c>
      <c r="G566">
        <f>IFERROR(VLOOKUP(Tabla13[[#This Row],[SISMED]],TblDisponibilidad[],11,FALSE), 0)</f>
        <v>0</v>
      </c>
      <c r="H566">
        <f>IFERROR(VLOOKUP(Tabla13[[#This Row],[SISMED]],TblDisponibilidad[],12,FALSE), 0)</f>
        <v>0</v>
      </c>
      <c r="I566">
        <f>IFERROR(VLOOKUP(Tabla13[[#This Row],[SISMED]],TblDisponibilidad[],13,FALSE), 0)</f>
        <v>0</v>
      </c>
      <c r="J566">
        <f>IFERROR(VLOOKUP(Tabla13[[#This Row],[SISMED]],TblDisponibilidad[],14,FALSE), 0)</f>
        <v>0</v>
      </c>
      <c r="K566">
        <f>IFERROR(VLOOKUP(Tabla13[[#This Row],[SISMED]],TblDisponibilidad[],15,FALSE), 0)</f>
        <v>0</v>
      </c>
      <c r="L566">
        <f>IFERROR(VLOOKUP(Tabla13[[#This Row],[SISMED]],TblDisponibilidad[],16,FALSE), 0)</f>
        <v>0</v>
      </c>
      <c r="M566">
        <f>IFERROR(VLOOKUP(Tabla13[[#This Row],[SISMED]],TblDisponibilidad[],17,FALSE), 0)</f>
        <v>0</v>
      </c>
      <c r="N566">
        <f>IFERROR(VLOOKUP(Tabla13[[#This Row],[SISMED]],TblDisponibilidad[],18,FALSE), 0)</f>
        <v>0</v>
      </c>
      <c r="O566">
        <f>IFERROR(VLOOKUP(Tabla13[[#This Row],[SISMED]],TblDisponibilidad[],19,FALSE), 0)</f>
        <v>0</v>
      </c>
      <c r="P566">
        <f>IFERROR(VLOOKUP(Tabla13[[#This Row],[SISMED]],TblDisponibilidad[],20,FALSE), 0)</f>
        <v>0</v>
      </c>
      <c r="Q566">
        <f>IFERROR(VLOOKUP(Tabla13[[#This Row],[SISMED]],TblDisponibilidad[],21,FALSE), 0)</f>
        <v>0</v>
      </c>
      <c r="R566">
        <f>IFERROR(VLOOKUP(Tabla13[[#This Row],[SISMED]],TblDisponibilidad[],22,FALSE), 0)</f>
        <v>0</v>
      </c>
      <c r="S566" s="15">
        <f>IFERROR(VLOOKUP(Tabla13[[#This Row],[SISMED]],TblDisponibilidad[],23,FALSE), 0)</f>
        <v>0</v>
      </c>
    </row>
    <row r="567" spans="1:19" x14ac:dyDescent="0.3">
      <c r="A567" s="15" t="s">
        <v>597</v>
      </c>
      <c r="B567" t="str">
        <f>IFERROR(VLOOKUP(Tabla13[[#This Row],[SISMED]],TblDisponibilidad[],2,FALSE), "")</f>
        <v/>
      </c>
      <c r="C567">
        <f>IFERROR(VLOOKUP(Tabla13[[#This Row],[SISMED]],TblDisponibilidad[],7,FALSE), 0)</f>
        <v>0</v>
      </c>
      <c r="D567">
        <f>IFERROR(VLOOKUP(Tabla13[[#This Row],[SISMED]],TblDisponibilidad[],8,FALSE), 0)</f>
        <v>0</v>
      </c>
      <c r="E567">
        <f>IFERROR(VLOOKUP(Tabla13[[#This Row],[SISMED]],TblDisponibilidad[],9,FALSE), 0)</f>
        <v>0</v>
      </c>
      <c r="F567">
        <f>IFERROR(VLOOKUP(Tabla13[[#This Row],[SISMED]],TblDisponibilidad[],10,FALSE), 0)</f>
        <v>0</v>
      </c>
      <c r="G567">
        <f>IFERROR(VLOOKUP(Tabla13[[#This Row],[SISMED]],TblDisponibilidad[],11,FALSE), 0)</f>
        <v>0</v>
      </c>
      <c r="H567">
        <f>IFERROR(VLOOKUP(Tabla13[[#This Row],[SISMED]],TblDisponibilidad[],12,FALSE), 0)</f>
        <v>0</v>
      </c>
      <c r="I567">
        <f>IFERROR(VLOOKUP(Tabla13[[#This Row],[SISMED]],TblDisponibilidad[],13,FALSE), 0)</f>
        <v>0</v>
      </c>
      <c r="J567">
        <f>IFERROR(VLOOKUP(Tabla13[[#This Row],[SISMED]],TblDisponibilidad[],14,FALSE), 0)</f>
        <v>0</v>
      </c>
      <c r="K567">
        <f>IFERROR(VLOOKUP(Tabla13[[#This Row],[SISMED]],TblDisponibilidad[],15,FALSE), 0)</f>
        <v>0</v>
      </c>
      <c r="L567">
        <f>IFERROR(VLOOKUP(Tabla13[[#This Row],[SISMED]],TblDisponibilidad[],16,FALSE), 0)</f>
        <v>0</v>
      </c>
      <c r="M567">
        <f>IFERROR(VLOOKUP(Tabla13[[#This Row],[SISMED]],TblDisponibilidad[],17,FALSE), 0)</f>
        <v>0</v>
      </c>
      <c r="N567">
        <f>IFERROR(VLOOKUP(Tabla13[[#This Row],[SISMED]],TblDisponibilidad[],18,FALSE), 0)</f>
        <v>0</v>
      </c>
      <c r="O567">
        <f>IFERROR(VLOOKUP(Tabla13[[#This Row],[SISMED]],TblDisponibilidad[],19,FALSE), 0)</f>
        <v>0</v>
      </c>
      <c r="P567">
        <f>IFERROR(VLOOKUP(Tabla13[[#This Row],[SISMED]],TblDisponibilidad[],20,FALSE), 0)</f>
        <v>0</v>
      </c>
      <c r="Q567">
        <f>IFERROR(VLOOKUP(Tabla13[[#This Row],[SISMED]],TblDisponibilidad[],21,FALSE), 0)</f>
        <v>0</v>
      </c>
      <c r="R567">
        <f>IFERROR(VLOOKUP(Tabla13[[#This Row],[SISMED]],TblDisponibilidad[],22,FALSE), 0)</f>
        <v>0</v>
      </c>
      <c r="S567" s="15">
        <f>IFERROR(VLOOKUP(Tabla13[[#This Row],[SISMED]],TblDisponibilidad[],23,FALSE), 0)</f>
        <v>0</v>
      </c>
    </row>
    <row r="568" spans="1:19" x14ac:dyDescent="0.3">
      <c r="A568" s="15" t="s">
        <v>598</v>
      </c>
      <c r="B568" t="str">
        <f>IFERROR(VLOOKUP(Tabla13[[#This Row],[SISMED]],TblDisponibilidad[],2,FALSE), "")</f>
        <v/>
      </c>
      <c r="C568">
        <f>IFERROR(VLOOKUP(Tabla13[[#This Row],[SISMED]],TblDisponibilidad[],7,FALSE), 0)</f>
        <v>0</v>
      </c>
      <c r="D568">
        <f>IFERROR(VLOOKUP(Tabla13[[#This Row],[SISMED]],TblDisponibilidad[],8,FALSE), 0)</f>
        <v>0</v>
      </c>
      <c r="E568">
        <f>IFERROR(VLOOKUP(Tabla13[[#This Row],[SISMED]],TblDisponibilidad[],9,FALSE), 0)</f>
        <v>0</v>
      </c>
      <c r="F568">
        <f>IFERROR(VLOOKUP(Tabla13[[#This Row],[SISMED]],TblDisponibilidad[],10,FALSE), 0)</f>
        <v>0</v>
      </c>
      <c r="G568">
        <f>IFERROR(VLOOKUP(Tabla13[[#This Row],[SISMED]],TblDisponibilidad[],11,FALSE), 0)</f>
        <v>0</v>
      </c>
      <c r="H568">
        <f>IFERROR(VLOOKUP(Tabla13[[#This Row],[SISMED]],TblDisponibilidad[],12,FALSE), 0)</f>
        <v>0</v>
      </c>
      <c r="I568">
        <f>IFERROR(VLOOKUP(Tabla13[[#This Row],[SISMED]],TblDisponibilidad[],13,FALSE), 0)</f>
        <v>0</v>
      </c>
      <c r="J568">
        <f>IFERROR(VLOOKUP(Tabla13[[#This Row],[SISMED]],TblDisponibilidad[],14,FALSE), 0)</f>
        <v>0</v>
      </c>
      <c r="K568">
        <f>IFERROR(VLOOKUP(Tabla13[[#This Row],[SISMED]],TblDisponibilidad[],15,FALSE), 0)</f>
        <v>0</v>
      </c>
      <c r="L568">
        <f>IFERROR(VLOOKUP(Tabla13[[#This Row],[SISMED]],TblDisponibilidad[],16,FALSE), 0)</f>
        <v>0</v>
      </c>
      <c r="M568">
        <f>IFERROR(VLOOKUP(Tabla13[[#This Row],[SISMED]],TblDisponibilidad[],17,FALSE), 0)</f>
        <v>0</v>
      </c>
      <c r="N568">
        <f>IFERROR(VLOOKUP(Tabla13[[#This Row],[SISMED]],TblDisponibilidad[],18,FALSE), 0)</f>
        <v>0</v>
      </c>
      <c r="O568">
        <f>IFERROR(VLOOKUP(Tabla13[[#This Row],[SISMED]],TblDisponibilidad[],19,FALSE), 0)</f>
        <v>0</v>
      </c>
      <c r="P568">
        <f>IFERROR(VLOOKUP(Tabla13[[#This Row],[SISMED]],TblDisponibilidad[],20,FALSE), 0)</f>
        <v>0</v>
      </c>
      <c r="Q568">
        <f>IFERROR(VLOOKUP(Tabla13[[#This Row],[SISMED]],TblDisponibilidad[],21,FALSE), 0)</f>
        <v>0</v>
      </c>
      <c r="R568">
        <f>IFERROR(VLOOKUP(Tabla13[[#This Row],[SISMED]],TblDisponibilidad[],22,FALSE), 0)</f>
        <v>0</v>
      </c>
      <c r="S568" s="15">
        <f>IFERROR(VLOOKUP(Tabla13[[#This Row],[SISMED]],TblDisponibilidad[],23,FALSE), 0)</f>
        <v>0</v>
      </c>
    </row>
    <row r="569" spans="1:19" x14ac:dyDescent="0.3">
      <c r="A569" s="15" t="s">
        <v>599</v>
      </c>
      <c r="B569" t="str">
        <f>IFERROR(VLOOKUP(Tabla13[[#This Row],[SISMED]],TblDisponibilidad[],2,FALSE), "")</f>
        <v/>
      </c>
      <c r="C569">
        <f>IFERROR(VLOOKUP(Tabla13[[#This Row],[SISMED]],TblDisponibilidad[],7,FALSE), 0)</f>
        <v>0</v>
      </c>
      <c r="D569">
        <f>IFERROR(VLOOKUP(Tabla13[[#This Row],[SISMED]],TblDisponibilidad[],8,FALSE), 0)</f>
        <v>0</v>
      </c>
      <c r="E569">
        <f>IFERROR(VLOOKUP(Tabla13[[#This Row],[SISMED]],TblDisponibilidad[],9,FALSE), 0)</f>
        <v>0</v>
      </c>
      <c r="F569">
        <f>IFERROR(VLOOKUP(Tabla13[[#This Row],[SISMED]],TblDisponibilidad[],10,FALSE), 0)</f>
        <v>0</v>
      </c>
      <c r="G569">
        <f>IFERROR(VLOOKUP(Tabla13[[#This Row],[SISMED]],TblDisponibilidad[],11,FALSE), 0)</f>
        <v>0</v>
      </c>
      <c r="H569">
        <f>IFERROR(VLOOKUP(Tabla13[[#This Row],[SISMED]],TblDisponibilidad[],12,FALSE), 0)</f>
        <v>0</v>
      </c>
      <c r="I569">
        <f>IFERROR(VLOOKUP(Tabla13[[#This Row],[SISMED]],TblDisponibilidad[],13,FALSE), 0)</f>
        <v>0</v>
      </c>
      <c r="J569">
        <f>IFERROR(VLOOKUP(Tabla13[[#This Row],[SISMED]],TblDisponibilidad[],14,FALSE), 0)</f>
        <v>0</v>
      </c>
      <c r="K569">
        <f>IFERROR(VLOOKUP(Tabla13[[#This Row],[SISMED]],TblDisponibilidad[],15,FALSE), 0)</f>
        <v>0</v>
      </c>
      <c r="L569">
        <f>IFERROR(VLOOKUP(Tabla13[[#This Row],[SISMED]],TblDisponibilidad[],16,FALSE), 0)</f>
        <v>0</v>
      </c>
      <c r="M569">
        <f>IFERROR(VLOOKUP(Tabla13[[#This Row],[SISMED]],TblDisponibilidad[],17,FALSE), 0)</f>
        <v>0</v>
      </c>
      <c r="N569">
        <f>IFERROR(VLOOKUP(Tabla13[[#This Row],[SISMED]],TblDisponibilidad[],18,FALSE), 0)</f>
        <v>0</v>
      </c>
      <c r="O569">
        <f>IFERROR(VLOOKUP(Tabla13[[#This Row],[SISMED]],TblDisponibilidad[],19,FALSE), 0)</f>
        <v>0</v>
      </c>
      <c r="P569">
        <f>IFERROR(VLOOKUP(Tabla13[[#This Row],[SISMED]],TblDisponibilidad[],20,FALSE), 0)</f>
        <v>0</v>
      </c>
      <c r="Q569">
        <f>IFERROR(VLOOKUP(Tabla13[[#This Row],[SISMED]],TblDisponibilidad[],21,FALSE), 0)</f>
        <v>0</v>
      </c>
      <c r="R569">
        <f>IFERROR(VLOOKUP(Tabla13[[#This Row],[SISMED]],TblDisponibilidad[],22,FALSE), 0)</f>
        <v>0</v>
      </c>
      <c r="S569" s="15">
        <f>IFERROR(VLOOKUP(Tabla13[[#This Row],[SISMED]],TblDisponibilidad[],23,FALSE), 0)</f>
        <v>0</v>
      </c>
    </row>
    <row r="570" spans="1:19" x14ac:dyDescent="0.3">
      <c r="A570" s="15" t="s">
        <v>600</v>
      </c>
      <c r="B570" t="str">
        <f>IFERROR(VLOOKUP(Tabla13[[#This Row],[SISMED]],TblDisponibilidad[],2,FALSE), "")</f>
        <v/>
      </c>
      <c r="C570">
        <f>IFERROR(VLOOKUP(Tabla13[[#This Row],[SISMED]],TblDisponibilidad[],7,FALSE), 0)</f>
        <v>0</v>
      </c>
      <c r="D570">
        <f>IFERROR(VLOOKUP(Tabla13[[#This Row],[SISMED]],TblDisponibilidad[],8,FALSE), 0)</f>
        <v>0</v>
      </c>
      <c r="E570">
        <f>IFERROR(VLOOKUP(Tabla13[[#This Row],[SISMED]],TblDisponibilidad[],9,FALSE), 0)</f>
        <v>0</v>
      </c>
      <c r="F570">
        <f>IFERROR(VLOOKUP(Tabla13[[#This Row],[SISMED]],TblDisponibilidad[],10,FALSE), 0)</f>
        <v>0</v>
      </c>
      <c r="G570">
        <f>IFERROR(VLOOKUP(Tabla13[[#This Row],[SISMED]],TblDisponibilidad[],11,FALSE), 0)</f>
        <v>0</v>
      </c>
      <c r="H570">
        <f>IFERROR(VLOOKUP(Tabla13[[#This Row],[SISMED]],TblDisponibilidad[],12,FALSE), 0)</f>
        <v>0</v>
      </c>
      <c r="I570">
        <f>IFERROR(VLOOKUP(Tabla13[[#This Row],[SISMED]],TblDisponibilidad[],13,FALSE), 0)</f>
        <v>0</v>
      </c>
      <c r="J570">
        <f>IFERROR(VLOOKUP(Tabla13[[#This Row],[SISMED]],TblDisponibilidad[],14,FALSE), 0)</f>
        <v>0</v>
      </c>
      <c r="K570">
        <f>IFERROR(VLOOKUP(Tabla13[[#This Row],[SISMED]],TblDisponibilidad[],15,FALSE), 0)</f>
        <v>0</v>
      </c>
      <c r="L570">
        <f>IFERROR(VLOOKUP(Tabla13[[#This Row],[SISMED]],TblDisponibilidad[],16,FALSE), 0)</f>
        <v>0</v>
      </c>
      <c r="M570">
        <f>IFERROR(VLOOKUP(Tabla13[[#This Row],[SISMED]],TblDisponibilidad[],17,FALSE), 0)</f>
        <v>0</v>
      </c>
      <c r="N570">
        <f>IFERROR(VLOOKUP(Tabla13[[#This Row],[SISMED]],TblDisponibilidad[],18,FALSE), 0)</f>
        <v>0</v>
      </c>
      <c r="O570">
        <f>IFERROR(VLOOKUP(Tabla13[[#This Row],[SISMED]],TblDisponibilidad[],19,FALSE), 0)</f>
        <v>0</v>
      </c>
      <c r="P570">
        <f>IFERROR(VLOOKUP(Tabla13[[#This Row],[SISMED]],TblDisponibilidad[],20,FALSE), 0)</f>
        <v>0</v>
      </c>
      <c r="Q570">
        <f>IFERROR(VLOOKUP(Tabla13[[#This Row],[SISMED]],TblDisponibilidad[],21,FALSE), 0)</f>
        <v>0</v>
      </c>
      <c r="R570">
        <f>IFERROR(VLOOKUP(Tabla13[[#This Row],[SISMED]],TblDisponibilidad[],22,FALSE), 0)</f>
        <v>0</v>
      </c>
      <c r="S570" s="15">
        <f>IFERROR(VLOOKUP(Tabla13[[#This Row],[SISMED]],TblDisponibilidad[],23,FALSE), 0)</f>
        <v>0</v>
      </c>
    </row>
    <row r="571" spans="1:19" x14ac:dyDescent="0.3">
      <c r="A571" s="15" t="s">
        <v>601</v>
      </c>
      <c r="B571" t="str">
        <f>IFERROR(VLOOKUP(Tabla13[[#This Row],[SISMED]],TblDisponibilidad[],2,FALSE), "")</f>
        <v/>
      </c>
      <c r="C571">
        <f>IFERROR(VLOOKUP(Tabla13[[#This Row],[SISMED]],TblDisponibilidad[],7,FALSE), 0)</f>
        <v>0</v>
      </c>
      <c r="D571">
        <f>IFERROR(VLOOKUP(Tabla13[[#This Row],[SISMED]],TblDisponibilidad[],8,FALSE), 0)</f>
        <v>0</v>
      </c>
      <c r="E571">
        <f>IFERROR(VLOOKUP(Tabla13[[#This Row],[SISMED]],TblDisponibilidad[],9,FALSE), 0)</f>
        <v>0</v>
      </c>
      <c r="F571">
        <f>IFERROR(VLOOKUP(Tabla13[[#This Row],[SISMED]],TblDisponibilidad[],10,FALSE), 0)</f>
        <v>0</v>
      </c>
      <c r="G571">
        <f>IFERROR(VLOOKUP(Tabla13[[#This Row],[SISMED]],TblDisponibilidad[],11,FALSE), 0)</f>
        <v>0</v>
      </c>
      <c r="H571">
        <f>IFERROR(VLOOKUP(Tabla13[[#This Row],[SISMED]],TblDisponibilidad[],12,FALSE), 0)</f>
        <v>0</v>
      </c>
      <c r="I571">
        <f>IFERROR(VLOOKUP(Tabla13[[#This Row],[SISMED]],TblDisponibilidad[],13,FALSE), 0)</f>
        <v>0</v>
      </c>
      <c r="J571">
        <f>IFERROR(VLOOKUP(Tabla13[[#This Row],[SISMED]],TblDisponibilidad[],14,FALSE), 0)</f>
        <v>0</v>
      </c>
      <c r="K571">
        <f>IFERROR(VLOOKUP(Tabla13[[#This Row],[SISMED]],TblDisponibilidad[],15,FALSE), 0)</f>
        <v>0</v>
      </c>
      <c r="L571">
        <f>IFERROR(VLOOKUP(Tabla13[[#This Row],[SISMED]],TblDisponibilidad[],16,FALSE), 0)</f>
        <v>0</v>
      </c>
      <c r="M571">
        <f>IFERROR(VLOOKUP(Tabla13[[#This Row],[SISMED]],TblDisponibilidad[],17,FALSE), 0)</f>
        <v>0</v>
      </c>
      <c r="N571">
        <f>IFERROR(VLOOKUP(Tabla13[[#This Row],[SISMED]],TblDisponibilidad[],18,FALSE), 0)</f>
        <v>0</v>
      </c>
      <c r="O571">
        <f>IFERROR(VLOOKUP(Tabla13[[#This Row],[SISMED]],TblDisponibilidad[],19,FALSE), 0)</f>
        <v>0</v>
      </c>
      <c r="P571">
        <f>IFERROR(VLOOKUP(Tabla13[[#This Row],[SISMED]],TblDisponibilidad[],20,FALSE), 0)</f>
        <v>0</v>
      </c>
      <c r="Q571">
        <f>IFERROR(VLOOKUP(Tabla13[[#This Row],[SISMED]],TblDisponibilidad[],21,FALSE), 0)</f>
        <v>0</v>
      </c>
      <c r="R571">
        <f>IFERROR(VLOOKUP(Tabla13[[#This Row],[SISMED]],TblDisponibilidad[],22,FALSE), 0)</f>
        <v>0</v>
      </c>
      <c r="S571" s="15">
        <f>IFERROR(VLOOKUP(Tabla13[[#This Row],[SISMED]],TblDisponibilidad[],23,FALSE), 0)</f>
        <v>0</v>
      </c>
    </row>
    <row r="572" spans="1:19" x14ac:dyDescent="0.3">
      <c r="A572" s="15" t="s">
        <v>602</v>
      </c>
      <c r="B572" t="str">
        <f>IFERROR(VLOOKUP(Tabla13[[#This Row],[SISMED]],TblDisponibilidad[],2,FALSE), "")</f>
        <v/>
      </c>
      <c r="C572">
        <f>IFERROR(VLOOKUP(Tabla13[[#This Row],[SISMED]],TblDisponibilidad[],7,FALSE), 0)</f>
        <v>0</v>
      </c>
      <c r="D572">
        <f>IFERROR(VLOOKUP(Tabla13[[#This Row],[SISMED]],TblDisponibilidad[],8,FALSE), 0)</f>
        <v>0</v>
      </c>
      <c r="E572">
        <f>IFERROR(VLOOKUP(Tabla13[[#This Row],[SISMED]],TblDisponibilidad[],9,FALSE), 0)</f>
        <v>0</v>
      </c>
      <c r="F572">
        <f>IFERROR(VLOOKUP(Tabla13[[#This Row],[SISMED]],TblDisponibilidad[],10,FALSE), 0)</f>
        <v>0</v>
      </c>
      <c r="G572">
        <f>IFERROR(VLOOKUP(Tabla13[[#This Row],[SISMED]],TblDisponibilidad[],11,FALSE), 0)</f>
        <v>0</v>
      </c>
      <c r="H572">
        <f>IFERROR(VLOOKUP(Tabla13[[#This Row],[SISMED]],TblDisponibilidad[],12,FALSE), 0)</f>
        <v>0</v>
      </c>
      <c r="I572">
        <f>IFERROR(VLOOKUP(Tabla13[[#This Row],[SISMED]],TblDisponibilidad[],13,FALSE), 0)</f>
        <v>0</v>
      </c>
      <c r="J572">
        <f>IFERROR(VLOOKUP(Tabla13[[#This Row],[SISMED]],TblDisponibilidad[],14,FALSE), 0)</f>
        <v>0</v>
      </c>
      <c r="K572">
        <f>IFERROR(VLOOKUP(Tabla13[[#This Row],[SISMED]],TblDisponibilidad[],15,FALSE), 0)</f>
        <v>0</v>
      </c>
      <c r="L572">
        <f>IFERROR(VLOOKUP(Tabla13[[#This Row],[SISMED]],TblDisponibilidad[],16,FALSE), 0)</f>
        <v>0</v>
      </c>
      <c r="M572">
        <f>IFERROR(VLOOKUP(Tabla13[[#This Row],[SISMED]],TblDisponibilidad[],17,FALSE), 0)</f>
        <v>0</v>
      </c>
      <c r="N572">
        <f>IFERROR(VLOOKUP(Tabla13[[#This Row],[SISMED]],TblDisponibilidad[],18,FALSE), 0)</f>
        <v>0</v>
      </c>
      <c r="O572">
        <f>IFERROR(VLOOKUP(Tabla13[[#This Row],[SISMED]],TblDisponibilidad[],19,FALSE), 0)</f>
        <v>0</v>
      </c>
      <c r="P572">
        <f>IFERROR(VLOOKUP(Tabla13[[#This Row],[SISMED]],TblDisponibilidad[],20,FALSE), 0)</f>
        <v>0</v>
      </c>
      <c r="Q572">
        <f>IFERROR(VLOOKUP(Tabla13[[#This Row],[SISMED]],TblDisponibilidad[],21,FALSE), 0)</f>
        <v>0</v>
      </c>
      <c r="R572">
        <f>IFERROR(VLOOKUP(Tabla13[[#This Row],[SISMED]],TblDisponibilidad[],22,FALSE), 0)</f>
        <v>0</v>
      </c>
      <c r="S572" s="15">
        <f>IFERROR(VLOOKUP(Tabla13[[#This Row],[SISMED]],TblDisponibilidad[],23,FALSE), 0)</f>
        <v>0</v>
      </c>
    </row>
    <row r="573" spans="1:19" x14ac:dyDescent="0.3">
      <c r="A573" s="15" t="s">
        <v>603</v>
      </c>
      <c r="B573" t="str">
        <f>IFERROR(VLOOKUP(Tabla13[[#This Row],[SISMED]],TblDisponibilidad[],2,FALSE), "")</f>
        <v/>
      </c>
      <c r="C573">
        <f>IFERROR(VLOOKUP(Tabla13[[#This Row],[SISMED]],TblDisponibilidad[],7,FALSE), 0)</f>
        <v>0</v>
      </c>
      <c r="D573">
        <f>IFERROR(VLOOKUP(Tabla13[[#This Row],[SISMED]],TblDisponibilidad[],8,FALSE), 0)</f>
        <v>0</v>
      </c>
      <c r="E573">
        <f>IFERROR(VLOOKUP(Tabla13[[#This Row],[SISMED]],TblDisponibilidad[],9,FALSE), 0)</f>
        <v>0</v>
      </c>
      <c r="F573">
        <f>IFERROR(VLOOKUP(Tabla13[[#This Row],[SISMED]],TblDisponibilidad[],10,FALSE), 0)</f>
        <v>0</v>
      </c>
      <c r="G573">
        <f>IFERROR(VLOOKUP(Tabla13[[#This Row],[SISMED]],TblDisponibilidad[],11,FALSE), 0)</f>
        <v>0</v>
      </c>
      <c r="H573">
        <f>IFERROR(VLOOKUP(Tabla13[[#This Row],[SISMED]],TblDisponibilidad[],12,FALSE), 0)</f>
        <v>0</v>
      </c>
      <c r="I573">
        <f>IFERROR(VLOOKUP(Tabla13[[#This Row],[SISMED]],TblDisponibilidad[],13,FALSE), 0)</f>
        <v>0</v>
      </c>
      <c r="J573">
        <f>IFERROR(VLOOKUP(Tabla13[[#This Row],[SISMED]],TblDisponibilidad[],14,FALSE), 0)</f>
        <v>0</v>
      </c>
      <c r="K573">
        <f>IFERROR(VLOOKUP(Tabla13[[#This Row],[SISMED]],TblDisponibilidad[],15,FALSE), 0)</f>
        <v>0</v>
      </c>
      <c r="L573">
        <f>IFERROR(VLOOKUP(Tabla13[[#This Row],[SISMED]],TblDisponibilidad[],16,FALSE), 0)</f>
        <v>0</v>
      </c>
      <c r="M573">
        <f>IFERROR(VLOOKUP(Tabla13[[#This Row],[SISMED]],TblDisponibilidad[],17,FALSE), 0)</f>
        <v>0</v>
      </c>
      <c r="N573">
        <f>IFERROR(VLOOKUP(Tabla13[[#This Row],[SISMED]],TblDisponibilidad[],18,FALSE), 0)</f>
        <v>0</v>
      </c>
      <c r="O573">
        <f>IFERROR(VLOOKUP(Tabla13[[#This Row],[SISMED]],TblDisponibilidad[],19,FALSE), 0)</f>
        <v>0</v>
      </c>
      <c r="P573">
        <f>IFERROR(VLOOKUP(Tabla13[[#This Row],[SISMED]],TblDisponibilidad[],20,FALSE), 0)</f>
        <v>0</v>
      </c>
      <c r="Q573">
        <f>IFERROR(VLOOKUP(Tabla13[[#This Row],[SISMED]],TblDisponibilidad[],21,FALSE), 0)</f>
        <v>0</v>
      </c>
      <c r="R573">
        <f>IFERROR(VLOOKUP(Tabla13[[#This Row],[SISMED]],TblDisponibilidad[],22,FALSE), 0)</f>
        <v>0</v>
      </c>
      <c r="S573" s="15">
        <f>IFERROR(VLOOKUP(Tabla13[[#This Row],[SISMED]],TblDisponibilidad[],23,FALSE), 0)</f>
        <v>0</v>
      </c>
    </row>
    <row r="574" spans="1:19" x14ac:dyDescent="0.3">
      <c r="A574" s="15" t="s">
        <v>604</v>
      </c>
      <c r="B574" t="str">
        <f>IFERROR(VLOOKUP(Tabla13[[#This Row],[SISMED]],TblDisponibilidad[],2,FALSE), "")</f>
        <v/>
      </c>
      <c r="C574">
        <f>IFERROR(VLOOKUP(Tabla13[[#This Row],[SISMED]],TblDisponibilidad[],7,FALSE), 0)</f>
        <v>0</v>
      </c>
      <c r="D574">
        <f>IFERROR(VLOOKUP(Tabla13[[#This Row],[SISMED]],TblDisponibilidad[],8,FALSE), 0)</f>
        <v>0</v>
      </c>
      <c r="E574">
        <f>IFERROR(VLOOKUP(Tabla13[[#This Row],[SISMED]],TblDisponibilidad[],9,FALSE), 0)</f>
        <v>0</v>
      </c>
      <c r="F574">
        <f>IFERROR(VLOOKUP(Tabla13[[#This Row],[SISMED]],TblDisponibilidad[],10,FALSE), 0)</f>
        <v>0</v>
      </c>
      <c r="G574">
        <f>IFERROR(VLOOKUP(Tabla13[[#This Row],[SISMED]],TblDisponibilidad[],11,FALSE), 0)</f>
        <v>0</v>
      </c>
      <c r="H574">
        <f>IFERROR(VLOOKUP(Tabla13[[#This Row],[SISMED]],TblDisponibilidad[],12,FALSE), 0)</f>
        <v>0</v>
      </c>
      <c r="I574">
        <f>IFERROR(VLOOKUP(Tabla13[[#This Row],[SISMED]],TblDisponibilidad[],13,FALSE), 0)</f>
        <v>0</v>
      </c>
      <c r="J574">
        <f>IFERROR(VLOOKUP(Tabla13[[#This Row],[SISMED]],TblDisponibilidad[],14,FALSE), 0)</f>
        <v>0</v>
      </c>
      <c r="K574">
        <f>IFERROR(VLOOKUP(Tabla13[[#This Row],[SISMED]],TblDisponibilidad[],15,FALSE), 0)</f>
        <v>0</v>
      </c>
      <c r="L574">
        <f>IFERROR(VLOOKUP(Tabla13[[#This Row],[SISMED]],TblDisponibilidad[],16,FALSE), 0)</f>
        <v>0</v>
      </c>
      <c r="M574">
        <f>IFERROR(VLOOKUP(Tabla13[[#This Row],[SISMED]],TblDisponibilidad[],17,FALSE), 0)</f>
        <v>0</v>
      </c>
      <c r="N574">
        <f>IFERROR(VLOOKUP(Tabla13[[#This Row],[SISMED]],TblDisponibilidad[],18,FALSE), 0)</f>
        <v>0</v>
      </c>
      <c r="O574">
        <f>IFERROR(VLOOKUP(Tabla13[[#This Row],[SISMED]],TblDisponibilidad[],19,FALSE), 0)</f>
        <v>0</v>
      </c>
      <c r="P574">
        <f>IFERROR(VLOOKUP(Tabla13[[#This Row],[SISMED]],TblDisponibilidad[],20,FALSE), 0)</f>
        <v>0</v>
      </c>
      <c r="Q574">
        <f>IFERROR(VLOOKUP(Tabla13[[#This Row],[SISMED]],TblDisponibilidad[],21,FALSE), 0)</f>
        <v>0</v>
      </c>
      <c r="R574">
        <f>IFERROR(VLOOKUP(Tabla13[[#This Row],[SISMED]],TblDisponibilidad[],22,FALSE), 0)</f>
        <v>0</v>
      </c>
      <c r="S574" s="15">
        <f>IFERROR(VLOOKUP(Tabla13[[#This Row],[SISMED]],TblDisponibilidad[],23,FALSE), 0)</f>
        <v>0</v>
      </c>
    </row>
    <row r="575" spans="1:19" x14ac:dyDescent="0.3">
      <c r="A575" s="15" t="s">
        <v>605</v>
      </c>
      <c r="B575" t="str">
        <f>IFERROR(VLOOKUP(Tabla13[[#This Row],[SISMED]],TblDisponibilidad[],2,FALSE), "")</f>
        <v/>
      </c>
      <c r="C575">
        <f>IFERROR(VLOOKUP(Tabla13[[#This Row],[SISMED]],TblDisponibilidad[],7,FALSE), 0)</f>
        <v>0</v>
      </c>
      <c r="D575">
        <f>IFERROR(VLOOKUP(Tabla13[[#This Row],[SISMED]],TblDisponibilidad[],8,FALSE), 0)</f>
        <v>0</v>
      </c>
      <c r="E575">
        <f>IFERROR(VLOOKUP(Tabla13[[#This Row],[SISMED]],TblDisponibilidad[],9,FALSE), 0)</f>
        <v>0</v>
      </c>
      <c r="F575">
        <f>IFERROR(VLOOKUP(Tabla13[[#This Row],[SISMED]],TblDisponibilidad[],10,FALSE), 0)</f>
        <v>0</v>
      </c>
      <c r="G575">
        <f>IFERROR(VLOOKUP(Tabla13[[#This Row],[SISMED]],TblDisponibilidad[],11,FALSE), 0)</f>
        <v>0</v>
      </c>
      <c r="H575">
        <f>IFERROR(VLOOKUP(Tabla13[[#This Row],[SISMED]],TblDisponibilidad[],12,FALSE), 0)</f>
        <v>0</v>
      </c>
      <c r="I575">
        <f>IFERROR(VLOOKUP(Tabla13[[#This Row],[SISMED]],TblDisponibilidad[],13,FALSE), 0)</f>
        <v>0</v>
      </c>
      <c r="J575">
        <f>IFERROR(VLOOKUP(Tabla13[[#This Row],[SISMED]],TblDisponibilidad[],14,FALSE), 0)</f>
        <v>0</v>
      </c>
      <c r="K575">
        <f>IFERROR(VLOOKUP(Tabla13[[#This Row],[SISMED]],TblDisponibilidad[],15,FALSE), 0)</f>
        <v>0</v>
      </c>
      <c r="L575">
        <f>IFERROR(VLOOKUP(Tabla13[[#This Row],[SISMED]],TblDisponibilidad[],16,FALSE), 0)</f>
        <v>0</v>
      </c>
      <c r="M575">
        <f>IFERROR(VLOOKUP(Tabla13[[#This Row],[SISMED]],TblDisponibilidad[],17,FALSE), 0)</f>
        <v>0</v>
      </c>
      <c r="N575">
        <f>IFERROR(VLOOKUP(Tabla13[[#This Row],[SISMED]],TblDisponibilidad[],18,FALSE), 0)</f>
        <v>0</v>
      </c>
      <c r="O575">
        <f>IFERROR(VLOOKUP(Tabla13[[#This Row],[SISMED]],TblDisponibilidad[],19,FALSE), 0)</f>
        <v>0</v>
      </c>
      <c r="P575">
        <f>IFERROR(VLOOKUP(Tabla13[[#This Row],[SISMED]],TblDisponibilidad[],20,FALSE), 0)</f>
        <v>0</v>
      </c>
      <c r="Q575">
        <f>IFERROR(VLOOKUP(Tabla13[[#This Row],[SISMED]],TblDisponibilidad[],21,FALSE), 0)</f>
        <v>0</v>
      </c>
      <c r="R575">
        <f>IFERROR(VLOOKUP(Tabla13[[#This Row],[SISMED]],TblDisponibilidad[],22,FALSE), 0)</f>
        <v>0</v>
      </c>
      <c r="S575" s="15">
        <f>IFERROR(VLOOKUP(Tabla13[[#This Row],[SISMED]],TblDisponibilidad[],23,FALSE), 0)</f>
        <v>0</v>
      </c>
    </row>
    <row r="576" spans="1:19" x14ac:dyDescent="0.3">
      <c r="A576" s="15" t="s">
        <v>606</v>
      </c>
      <c r="B576" t="str">
        <f>IFERROR(VLOOKUP(Tabla13[[#This Row],[SISMED]],TblDisponibilidad[],2,FALSE), "")</f>
        <v/>
      </c>
      <c r="C576">
        <f>IFERROR(VLOOKUP(Tabla13[[#This Row],[SISMED]],TblDisponibilidad[],7,FALSE), 0)</f>
        <v>0</v>
      </c>
      <c r="D576">
        <f>IFERROR(VLOOKUP(Tabla13[[#This Row],[SISMED]],TblDisponibilidad[],8,FALSE), 0)</f>
        <v>0</v>
      </c>
      <c r="E576">
        <f>IFERROR(VLOOKUP(Tabla13[[#This Row],[SISMED]],TblDisponibilidad[],9,FALSE), 0)</f>
        <v>0</v>
      </c>
      <c r="F576">
        <f>IFERROR(VLOOKUP(Tabla13[[#This Row],[SISMED]],TblDisponibilidad[],10,FALSE), 0)</f>
        <v>0</v>
      </c>
      <c r="G576">
        <f>IFERROR(VLOOKUP(Tabla13[[#This Row],[SISMED]],TblDisponibilidad[],11,FALSE), 0)</f>
        <v>0</v>
      </c>
      <c r="H576">
        <f>IFERROR(VLOOKUP(Tabla13[[#This Row],[SISMED]],TblDisponibilidad[],12,FALSE), 0)</f>
        <v>0</v>
      </c>
      <c r="I576">
        <f>IFERROR(VLOOKUP(Tabla13[[#This Row],[SISMED]],TblDisponibilidad[],13,FALSE), 0)</f>
        <v>0</v>
      </c>
      <c r="J576">
        <f>IFERROR(VLOOKUP(Tabla13[[#This Row],[SISMED]],TblDisponibilidad[],14,FALSE), 0)</f>
        <v>0</v>
      </c>
      <c r="K576">
        <f>IFERROR(VLOOKUP(Tabla13[[#This Row],[SISMED]],TblDisponibilidad[],15,FALSE), 0)</f>
        <v>0</v>
      </c>
      <c r="L576">
        <f>IFERROR(VLOOKUP(Tabla13[[#This Row],[SISMED]],TblDisponibilidad[],16,FALSE), 0)</f>
        <v>0</v>
      </c>
      <c r="M576">
        <f>IFERROR(VLOOKUP(Tabla13[[#This Row],[SISMED]],TblDisponibilidad[],17,FALSE), 0)</f>
        <v>0</v>
      </c>
      <c r="N576">
        <f>IFERROR(VLOOKUP(Tabla13[[#This Row],[SISMED]],TblDisponibilidad[],18,FALSE), 0)</f>
        <v>0</v>
      </c>
      <c r="O576">
        <f>IFERROR(VLOOKUP(Tabla13[[#This Row],[SISMED]],TblDisponibilidad[],19,FALSE), 0)</f>
        <v>0</v>
      </c>
      <c r="P576">
        <f>IFERROR(VLOOKUP(Tabla13[[#This Row],[SISMED]],TblDisponibilidad[],20,FALSE), 0)</f>
        <v>0</v>
      </c>
      <c r="Q576">
        <f>IFERROR(VLOOKUP(Tabla13[[#This Row],[SISMED]],TblDisponibilidad[],21,FALSE), 0)</f>
        <v>0</v>
      </c>
      <c r="R576">
        <f>IFERROR(VLOOKUP(Tabla13[[#This Row],[SISMED]],TblDisponibilidad[],22,FALSE), 0)</f>
        <v>0</v>
      </c>
      <c r="S576" s="15">
        <f>IFERROR(VLOOKUP(Tabla13[[#This Row],[SISMED]],TblDisponibilidad[],23,FALSE), 0)</f>
        <v>0</v>
      </c>
    </row>
    <row r="577" spans="1:19" x14ac:dyDescent="0.3">
      <c r="A577" s="15" t="s">
        <v>607</v>
      </c>
      <c r="B577" t="str">
        <f>IFERROR(VLOOKUP(Tabla13[[#This Row],[SISMED]],TblDisponibilidad[],2,FALSE), "")</f>
        <v/>
      </c>
      <c r="C577">
        <f>IFERROR(VLOOKUP(Tabla13[[#This Row],[SISMED]],TblDisponibilidad[],7,FALSE), 0)</f>
        <v>0</v>
      </c>
      <c r="D577">
        <f>IFERROR(VLOOKUP(Tabla13[[#This Row],[SISMED]],TblDisponibilidad[],8,FALSE), 0)</f>
        <v>0</v>
      </c>
      <c r="E577">
        <f>IFERROR(VLOOKUP(Tabla13[[#This Row],[SISMED]],TblDisponibilidad[],9,FALSE), 0)</f>
        <v>0</v>
      </c>
      <c r="F577">
        <f>IFERROR(VLOOKUP(Tabla13[[#This Row],[SISMED]],TblDisponibilidad[],10,FALSE), 0)</f>
        <v>0</v>
      </c>
      <c r="G577">
        <f>IFERROR(VLOOKUP(Tabla13[[#This Row],[SISMED]],TblDisponibilidad[],11,FALSE), 0)</f>
        <v>0</v>
      </c>
      <c r="H577">
        <f>IFERROR(VLOOKUP(Tabla13[[#This Row],[SISMED]],TblDisponibilidad[],12,FALSE), 0)</f>
        <v>0</v>
      </c>
      <c r="I577">
        <f>IFERROR(VLOOKUP(Tabla13[[#This Row],[SISMED]],TblDisponibilidad[],13,FALSE), 0)</f>
        <v>0</v>
      </c>
      <c r="J577">
        <f>IFERROR(VLOOKUP(Tabla13[[#This Row],[SISMED]],TblDisponibilidad[],14,FALSE), 0)</f>
        <v>0</v>
      </c>
      <c r="K577">
        <f>IFERROR(VLOOKUP(Tabla13[[#This Row],[SISMED]],TblDisponibilidad[],15,FALSE), 0)</f>
        <v>0</v>
      </c>
      <c r="L577">
        <f>IFERROR(VLOOKUP(Tabla13[[#This Row],[SISMED]],TblDisponibilidad[],16,FALSE), 0)</f>
        <v>0</v>
      </c>
      <c r="M577">
        <f>IFERROR(VLOOKUP(Tabla13[[#This Row],[SISMED]],TblDisponibilidad[],17,FALSE), 0)</f>
        <v>0</v>
      </c>
      <c r="N577">
        <f>IFERROR(VLOOKUP(Tabla13[[#This Row],[SISMED]],TblDisponibilidad[],18,FALSE), 0)</f>
        <v>0</v>
      </c>
      <c r="O577">
        <f>IFERROR(VLOOKUP(Tabla13[[#This Row],[SISMED]],TblDisponibilidad[],19,FALSE), 0)</f>
        <v>0</v>
      </c>
      <c r="P577">
        <f>IFERROR(VLOOKUP(Tabla13[[#This Row],[SISMED]],TblDisponibilidad[],20,FALSE), 0)</f>
        <v>0</v>
      </c>
      <c r="Q577">
        <f>IFERROR(VLOOKUP(Tabla13[[#This Row],[SISMED]],TblDisponibilidad[],21,FALSE), 0)</f>
        <v>0</v>
      </c>
      <c r="R577">
        <f>IFERROR(VLOOKUP(Tabla13[[#This Row],[SISMED]],TblDisponibilidad[],22,FALSE), 0)</f>
        <v>0</v>
      </c>
      <c r="S577" s="15">
        <f>IFERROR(VLOOKUP(Tabla13[[#This Row],[SISMED]],TblDisponibilidad[],23,FALSE), 0)</f>
        <v>0</v>
      </c>
    </row>
    <row r="578" spans="1:19" x14ac:dyDescent="0.3">
      <c r="A578" s="15" t="s">
        <v>608</v>
      </c>
      <c r="B578" t="str">
        <f>IFERROR(VLOOKUP(Tabla13[[#This Row],[SISMED]],TblDisponibilidad[],2,FALSE), "")</f>
        <v/>
      </c>
      <c r="C578">
        <f>IFERROR(VLOOKUP(Tabla13[[#This Row],[SISMED]],TblDisponibilidad[],7,FALSE), 0)</f>
        <v>0</v>
      </c>
      <c r="D578">
        <f>IFERROR(VLOOKUP(Tabla13[[#This Row],[SISMED]],TblDisponibilidad[],8,FALSE), 0)</f>
        <v>0</v>
      </c>
      <c r="E578">
        <f>IFERROR(VLOOKUP(Tabla13[[#This Row],[SISMED]],TblDisponibilidad[],9,FALSE), 0)</f>
        <v>0</v>
      </c>
      <c r="F578">
        <f>IFERROR(VLOOKUP(Tabla13[[#This Row],[SISMED]],TblDisponibilidad[],10,FALSE), 0)</f>
        <v>0</v>
      </c>
      <c r="G578">
        <f>IFERROR(VLOOKUP(Tabla13[[#This Row],[SISMED]],TblDisponibilidad[],11,FALSE), 0)</f>
        <v>0</v>
      </c>
      <c r="H578">
        <f>IFERROR(VLOOKUP(Tabla13[[#This Row],[SISMED]],TblDisponibilidad[],12,FALSE), 0)</f>
        <v>0</v>
      </c>
      <c r="I578">
        <f>IFERROR(VLOOKUP(Tabla13[[#This Row],[SISMED]],TblDisponibilidad[],13,FALSE), 0)</f>
        <v>0</v>
      </c>
      <c r="J578">
        <f>IFERROR(VLOOKUP(Tabla13[[#This Row],[SISMED]],TblDisponibilidad[],14,FALSE), 0)</f>
        <v>0</v>
      </c>
      <c r="K578">
        <f>IFERROR(VLOOKUP(Tabla13[[#This Row],[SISMED]],TblDisponibilidad[],15,FALSE), 0)</f>
        <v>0</v>
      </c>
      <c r="L578">
        <f>IFERROR(VLOOKUP(Tabla13[[#This Row],[SISMED]],TblDisponibilidad[],16,FALSE), 0)</f>
        <v>0</v>
      </c>
      <c r="M578">
        <f>IFERROR(VLOOKUP(Tabla13[[#This Row],[SISMED]],TblDisponibilidad[],17,FALSE), 0)</f>
        <v>0</v>
      </c>
      <c r="N578">
        <f>IFERROR(VLOOKUP(Tabla13[[#This Row],[SISMED]],TblDisponibilidad[],18,FALSE), 0)</f>
        <v>0</v>
      </c>
      <c r="O578">
        <f>IFERROR(VLOOKUP(Tabla13[[#This Row],[SISMED]],TblDisponibilidad[],19,FALSE), 0)</f>
        <v>0</v>
      </c>
      <c r="P578">
        <f>IFERROR(VLOOKUP(Tabla13[[#This Row],[SISMED]],TblDisponibilidad[],20,FALSE), 0)</f>
        <v>0</v>
      </c>
      <c r="Q578">
        <f>IFERROR(VLOOKUP(Tabla13[[#This Row],[SISMED]],TblDisponibilidad[],21,FALSE), 0)</f>
        <v>0</v>
      </c>
      <c r="R578">
        <f>IFERROR(VLOOKUP(Tabla13[[#This Row],[SISMED]],TblDisponibilidad[],22,FALSE), 0)</f>
        <v>0</v>
      </c>
      <c r="S578" s="15">
        <f>IFERROR(VLOOKUP(Tabla13[[#This Row],[SISMED]],TblDisponibilidad[],23,FALSE), 0)</f>
        <v>0</v>
      </c>
    </row>
    <row r="579" spans="1:19" x14ac:dyDescent="0.3">
      <c r="A579" s="15" t="s">
        <v>609</v>
      </c>
      <c r="B579" t="str">
        <f>IFERROR(VLOOKUP(Tabla13[[#This Row],[SISMED]],TblDisponibilidad[],2,FALSE), "")</f>
        <v/>
      </c>
      <c r="C579">
        <f>IFERROR(VLOOKUP(Tabla13[[#This Row],[SISMED]],TblDisponibilidad[],7,FALSE), 0)</f>
        <v>0</v>
      </c>
      <c r="D579">
        <f>IFERROR(VLOOKUP(Tabla13[[#This Row],[SISMED]],TblDisponibilidad[],8,FALSE), 0)</f>
        <v>0</v>
      </c>
      <c r="E579">
        <f>IFERROR(VLOOKUP(Tabla13[[#This Row],[SISMED]],TblDisponibilidad[],9,FALSE), 0)</f>
        <v>0</v>
      </c>
      <c r="F579">
        <f>IFERROR(VLOOKUP(Tabla13[[#This Row],[SISMED]],TblDisponibilidad[],10,FALSE), 0)</f>
        <v>0</v>
      </c>
      <c r="G579">
        <f>IFERROR(VLOOKUP(Tabla13[[#This Row],[SISMED]],TblDisponibilidad[],11,FALSE), 0)</f>
        <v>0</v>
      </c>
      <c r="H579">
        <f>IFERROR(VLOOKUP(Tabla13[[#This Row],[SISMED]],TblDisponibilidad[],12,FALSE), 0)</f>
        <v>0</v>
      </c>
      <c r="I579">
        <f>IFERROR(VLOOKUP(Tabla13[[#This Row],[SISMED]],TblDisponibilidad[],13,FALSE), 0)</f>
        <v>0</v>
      </c>
      <c r="J579">
        <f>IFERROR(VLOOKUP(Tabla13[[#This Row],[SISMED]],TblDisponibilidad[],14,FALSE), 0)</f>
        <v>0</v>
      </c>
      <c r="K579">
        <f>IFERROR(VLOOKUP(Tabla13[[#This Row],[SISMED]],TblDisponibilidad[],15,FALSE), 0)</f>
        <v>0</v>
      </c>
      <c r="L579">
        <f>IFERROR(VLOOKUP(Tabla13[[#This Row],[SISMED]],TblDisponibilidad[],16,FALSE), 0)</f>
        <v>0</v>
      </c>
      <c r="M579">
        <f>IFERROR(VLOOKUP(Tabla13[[#This Row],[SISMED]],TblDisponibilidad[],17,FALSE), 0)</f>
        <v>0</v>
      </c>
      <c r="N579">
        <f>IFERROR(VLOOKUP(Tabla13[[#This Row],[SISMED]],TblDisponibilidad[],18,FALSE), 0)</f>
        <v>0</v>
      </c>
      <c r="O579">
        <f>IFERROR(VLOOKUP(Tabla13[[#This Row],[SISMED]],TblDisponibilidad[],19,FALSE), 0)</f>
        <v>0</v>
      </c>
      <c r="P579">
        <f>IFERROR(VLOOKUP(Tabla13[[#This Row],[SISMED]],TblDisponibilidad[],20,FALSE), 0)</f>
        <v>0</v>
      </c>
      <c r="Q579">
        <f>IFERROR(VLOOKUP(Tabla13[[#This Row],[SISMED]],TblDisponibilidad[],21,FALSE), 0)</f>
        <v>0</v>
      </c>
      <c r="R579">
        <f>IFERROR(VLOOKUP(Tabla13[[#This Row],[SISMED]],TblDisponibilidad[],22,FALSE), 0)</f>
        <v>0</v>
      </c>
      <c r="S579" s="15">
        <f>IFERROR(VLOOKUP(Tabla13[[#This Row],[SISMED]],TblDisponibilidad[],23,FALSE), 0)</f>
        <v>0</v>
      </c>
    </row>
    <row r="580" spans="1:19" x14ac:dyDescent="0.3">
      <c r="A580" s="15" t="s">
        <v>610</v>
      </c>
      <c r="B580" t="str">
        <f>IFERROR(VLOOKUP(Tabla13[[#This Row],[SISMED]],TblDisponibilidad[],2,FALSE), "")</f>
        <v/>
      </c>
      <c r="C580">
        <f>IFERROR(VLOOKUP(Tabla13[[#This Row],[SISMED]],TblDisponibilidad[],7,FALSE), 0)</f>
        <v>0</v>
      </c>
      <c r="D580">
        <f>IFERROR(VLOOKUP(Tabla13[[#This Row],[SISMED]],TblDisponibilidad[],8,FALSE), 0)</f>
        <v>0</v>
      </c>
      <c r="E580">
        <f>IFERROR(VLOOKUP(Tabla13[[#This Row],[SISMED]],TblDisponibilidad[],9,FALSE), 0)</f>
        <v>0</v>
      </c>
      <c r="F580">
        <f>IFERROR(VLOOKUP(Tabla13[[#This Row],[SISMED]],TblDisponibilidad[],10,FALSE), 0)</f>
        <v>0</v>
      </c>
      <c r="G580">
        <f>IFERROR(VLOOKUP(Tabla13[[#This Row],[SISMED]],TblDisponibilidad[],11,FALSE), 0)</f>
        <v>0</v>
      </c>
      <c r="H580">
        <f>IFERROR(VLOOKUP(Tabla13[[#This Row],[SISMED]],TblDisponibilidad[],12,FALSE), 0)</f>
        <v>0</v>
      </c>
      <c r="I580">
        <f>IFERROR(VLOOKUP(Tabla13[[#This Row],[SISMED]],TblDisponibilidad[],13,FALSE), 0)</f>
        <v>0</v>
      </c>
      <c r="J580">
        <f>IFERROR(VLOOKUP(Tabla13[[#This Row],[SISMED]],TblDisponibilidad[],14,FALSE), 0)</f>
        <v>0</v>
      </c>
      <c r="K580">
        <f>IFERROR(VLOOKUP(Tabla13[[#This Row],[SISMED]],TblDisponibilidad[],15,FALSE), 0)</f>
        <v>0</v>
      </c>
      <c r="L580">
        <f>IFERROR(VLOOKUP(Tabla13[[#This Row],[SISMED]],TblDisponibilidad[],16,FALSE), 0)</f>
        <v>0</v>
      </c>
      <c r="M580">
        <f>IFERROR(VLOOKUP(Tabla13[[#This Row],[SISMED]],TblDisponibilidad[],17,FALSE), 0)</f>
        <v>0</v>
      </c>
      <c r="N580">
        <f>IFERROR(VLOOKUP(Tabla13[[#This Row],[SISMED]],TblDisponibilidad[],18,FALSE), 0)</f>
        <v>0</v>
      </c>
      <c r="O580">
        <f>IFERROR(VLOOKUP(Tabla13[[#This Row],[SISMED]],TblDisponibilidad[],19,FALSE), 0)</f>
        <v>0</v>
      </c>
      <c r="P580">
        <f>IFERROR(VLOOKUP(Tabla13[[#This Row],[SISMED]],TblDisponibilidad[],20,FALSE), 0)</f>
        <v>0</v>
      </c>
      <c r="Q580">
        <f>IFERROR(VLOOKUP(Tabla13[[#This Row],[SISMED]],TblDisponibilidad[],21,FALSE), 0)</f>
        <v>0</v>
      </c>
      <c r="R580">
        <f>IFERROR(VLOOKUP(Tabla13[[#This Row],[SISMED]],TblDisponibilidad[],22,FALSE), 0)</f>
        <v>0</v>
      </c>
      <c r="S580" s="15">
        <f>IFERROR(VLOOKUP(Tabla13[[#This Row],[SISMED]],TblDisponibilidad[],23,FALSE), 0)</f>
        <v>0</v>
      </c>
    </row>
    <row r="581" spans="1:19" x14ac:dyDescent="0.3">
      <c r="A581" s="15" t="s">
        <v>611</v>
      </c>
      <c r="B581" t="str">
        <f>IFERROR(VLOOKUP(Tabla13[[#This Row],[SISMED]],TblDisponibilidad[],2,FALSE), "")</f>
        <v/>
      </c>
      <c r="C581">
        <f>IFERROR(VLOOKUP(Tabla13[[#This Row],[SISMED]],TblDisponibilidad[],7,FALSE), 0)</f>
        <v>0</v>
      </c>
      <c r="D581">
        <f>IFERROR(VLOOKUP(Tabla13[[#This Row],[SISMED]],TblDisponibilidad[],8,FALSE), 0)</f>
        <v>0</v>
      </c>
      <c r="E581">
        <f>IFERROR(VLOOKUP(Tabla13[[#This Row],[SISMED]],TblDisponibilidad[],9,FALSE), 0)</f>
        <v>0</v>
      </c>
      <c r="F581">
        <f>IFERROR(VLOOKUP(Tabla13[[#This Row],[SISMED]],TblDisponibilidad[],10,FALSE), 0)</f>
        <v>0</v>
      </c>
      <c r="G581">
        <f>IFERROR(VLOOKUP(Tabla13[[#This Row],[SISMED]],TblDisponibilidad[],11,FALSE), 0)</f>
        <v>0</v>
      </c>
      <c r="H581">
        <f>IFERROR(VLOOKUP(Tabla13[[#This Row],[SISMED]],TblDisponibilidad[],12,FALSE), 0)</f>
        <v>0</v>
      </c>
      <c r="I581">
        <f>IFERROR(VLOOKUP(Tabla13[[#This Row],[SISMED]],TblDisponibilidad[],13,FALSE), 0)</f>
        <v>0</v>
      </c>
      <c r="J581">
        <f>IFERROR(VLOOKUP(Tabla13[[#This Row],[SISMED]],TblDisponibilidad[],14,FALSE), 0)</f>
        <v>0</v>
      </c>
      <c r="K581">
        <f>IFERROR(VLOOKUP(Tabla13[[#This Row],[SISMED]],TblDisponibilidad[],15,FALSE), 0)</f>
        <v>0</v>
      </c>
      <c r="L581">
        <f>IFERROR(VLOOKUP(Tabla13[[#This Row],[SISMED]],TblDisponibilidad[],16,FALSE), 0)</f>
        <v>0</v>
      </c>
      <c r="M581">
        <f>IFERROR(VLOOKUP(Tabla13[[#This Row],[SISMED]],TblDisponibilidad[],17,FALSE), 0)</f>
        <v>0</v>
      </c>
      <c r="N581">
        <f>IFERROR(VLOOKUP(Tabla13[[#This Row],[SISMED]],TblDisponibilidad[],18,FALSE), 0)</f>
        <v>0</v>
      </c>
      <c r="O581">
        <f>IFERROR(VLOOKUP(Tabla13[[#This Row],[SISMED]],TblDisponibilidad[],19,FALSE), 0)</f>
        <v>0</v>
      </c>
      <c r="P581">
        <f>IFERROR(VLOOKUP(Tabla13[[#This Row],[SISMED]],TblDisponibilidad[],20,FALSE), 0)</f>
        <v>0</v>
      </c>
      <c r="Q581">
        <f>IFERROR(VLOOKUP(Tabla13[[#This Row],[SISMED]],TblDisponibilidad[],21,FALSE), 0)</f>
        <v>0</v>
      </c>
      <c r="R581">
        <f>IFERROR(VLOOKUP(Tabla13[[#This Row],[SISMED]],TblDisponibilidad[],22,FALSE), 0)</f>
        <v>0</v>
      </c>
      <c r="S581" s="15">
        <f>IFERROR(VLOOKUP(Tabla13[[#This Row],[SISMED]],TblDisponibilidad[],23,FALSE), 0)</f>
        <v>0</v>
      </c>
    </row>
    <row r="582" spans="1:19" x14ac:dyDescent="0.3">
      <c r="A582" s="15" t="s">
        <v>612</v>
      </c>
      <c r="B582" t="str">
        <f>IFERROR(VLOOKUP(Tabla13[[#This Row],[SISMED]],TblDisponibilidad[],2,FALSE), "")</f>
        <v/>
      </c>
      <c r="C582">
        <f>IFERROR(VLOOKUP(Tabla13[[#This Row],[SISMED]],TblDisponibilidad[],7,FALSE), 0)</f>
        <v>0</v>
      </c>
      <c r="D582">
        <f>IFERROR(VLOOKUP(Tabla13[[#This Row],[SISMED]],TblDisponibilidad[],8,FALSE), 0)</f>
        <v>0</v>
      </c>
      <c r="E582">
        <f>IFERROR(VLOOKUP(Tabla13[[#This Row],[SISMED]],TblDisponibilidad[],9,FALSE), 0)</f>
        <v>0</v>
      </c>
      <c r="F582">
        <f>IFERROR(VLOOKUP(Tabla13[[#This Row],[SISMED]],TblDisponibilidad[],10,FALSE), 0)</f>
        <v>0</v>
      </c>
      <c r="G582">
        <f>IFERROR(VLOOKUP(Tabla13[[#This Row],[SISMED]],TblDisponibilidad[],11,FALSE), 0)</f>
        <v>0</v>
      </c>
      <c r="H582">
        <f>IFERROR(VLOOKUP(Tabla13[[#This Row],[SISMED]],TblDisponibilidad[],12,FALSE), 0)</f>
        <v>0</v>
      </c>
      <c r="I582">
        <f>IFERROR(VLOOKUP(Tabla13[[#This Row],[SISMED]],TblDisponibilidad[],13,FALSE), 0)</f>
        <v>0</v>
      </c>
      <c r="J582">
        <f>IFERROR(VLOOKUP(Tabla13[[#This Row],[SISMED]],TblDisponibilidad[],14,FALSE), 0)</f>
        <v>0</v>
      </c>
      <c r="K582">
        <f>IFERROR(VLOOKUP(Tabla13[[#This Row],[SISMED]],TblDisponibilidad[],15,FALSE), 0)</f>
        <v>0</v>
      </c>
      <c r="L582">
        <f>IFERROR(VLOOKUP(Tabla13[[#This Row],[SISMED]],TblDisponibilidad[],16,FALSE), 0)</f>
        <v>0</v>
      </c>
      <c r="M582">
        <f>IFERROR(VLOOKUP(Tabla13[[#This Row],[SISMED]],TblDisponibilidad[],17,FALSE), 0)</f>
        <v>0</v>
      </c>
      <c r="N582">
        <f>IFERROR(VLOOKUP(Tabla13[[#This Row],[SISMED]],TblDisponibilidad[],18,FALSE), 0)</f>
        <v>0</v>
      </c>
      <c r="O582">
        <f>IFERROR(VLOOKUP(Tabla13[[#This Row],[SISMED]],TblDisponibilidad[],19,FALSE), 0)</f>
        <v>0</v>
      </c>
      <c r="P582">
        <f>IFERROR(VLOOKUP(Tabla13[[#This Row],[SISMED]],TblDisponibilidad[],20,FALSE), 0)</f>
        <v>0</v>
      </c>
      <c r="Q582">
        <f>IFERROR(VLOOKUP(Tabla13[[#This Row],[SISMED]],TblDisponibilidad[],21,FALSE), 0)</f>
        <v>0</v>
      </c>
      <c r="R582">
        <f>IFERROR(VLOOKUP(Tabla13[[#This Row],[SISMED]],TblDisponibilidad[],22,FALSE), 0)</f>
        <v>0</v>
      </c>
      <c r="S582" s="15">
        <f>IFERROR(VLOOKUP(Tabla13[[#This Row],[SISMED]],TblDisponibilidad[],23,FALSE), 0)</f>
        <v>0</v>
      </c>
    </row>
    <row r="583" spans="1:19" x14ac:dyDescent="0.3">
      <c r="A583" s="15" t="s">
        <v>613</v>
      </c>
      <c r="B583" t="str">
        <f>IFERROR(VLOOKUP(Tabla13[[#This Row],[SISMED]],TblDisponibilidad[],2,FALSE), "")</f>
        <v/>
      </c>
      <c r="C583">
        <f>IFERROR(VLOOKUP(Tabla13[[#This Row],[SISMED]],TblDisponibilidad[],7,FALSE), 0)</f>
        <v>0</v>
      </c>
      <c r="D583">
        <f>IFERROR(VLOOKUP(Tabla13[[#This Row],[SISMED]],TblDisponibilidad[],8,FALSE), 0)</f>
        <v>0</v>
      </c>
      <c r="E583">
        <f>IFERROR(VLOOKUP(Tabla13[[#This Row],[SISMED]],TblDisponibilidad[],9,FALSE), 0)</f>
        <v>0</v>
      </c>
      <c r="F583">
        <f>IFERROR(VLOOKUP(Tabla13[[#This Row],[SISMED]],TblDisponibilidad[],10,FALSE), 0)</f>
        <v>0</v>
      </c>
      <c r="G583">
        <f>IFERROR(VLOOKUP(Tabla13[[#This Row],[SISMED]],TblDisponibilidad[],11,FALSE), 0)</f>
        <v>0</v>
      </c>
      <c r="H583">
        <f>IFERROR(VLOOKUP(Tabla13[[#This Row],[SISMED]],TblDisponibilidad[],12,FALSE), 0)</f>
        <v>0</v>
      </c>
      <c r="I583">
        <f>IFERROR(VLOOKUP(Tabla13[[#This Row],[SISMED]],TblDisponibilidad[],13,FALSE), 0)</f>
        <v>0</v>
      </c>
      <c r="J583">
        <f>IFERROR(VLOOKUP(Tabla13[[#This Row],[SISMED]],TblDisponibilidad[],14,FALSE), 0)</f>
        <v>0</v>
      </c>
      <c r="K583">
        <f>IFERROR(VLOOKUP(Tabla13[[#This Row],[SISMED]],TblDisponibilidad[],15,FALSE), 0)</f>
        <v>0</v>
      </c>
      <c r="L583">
        <f>IFERROR(VLOOKUP(Tabla13[[#This Row],[SISMED]],TblDisponibilidad[],16,FALSE), 0)</f>
        <v>0</v>
      </c>
      <c r="M583">
        <f>IFERROR(VLOOKUP(Tabla13[[#This Row],[SISMED]],TblDisponibilidad[],17,FALSE), 0)</f>
        <v>0</v>
      </c>
      <c r="N583">
        <f>IFERROR(VLOOKUP(Tabla13[[#This Row],[SISMED]],TblDisponibilidad[],18,FALSE), 0)</f>
        <v>0</v>
      </c>
      <c r="O583">
        <f>IFERROR(VLOOKUP(Tabla13[[#This Row],[SISMED]],TblDisponibilidad[],19,FALSE), 0)</f>
        <v>0</v>
      </c>
      <c r="P583">
        <f>IFERROR(VLOOKUP(Tabla13[[#This Row],[SISMED]],TblDisponibilidad[],20,FALSE), 0)</f>
        <v>0</v>
      </c>
      <c r="Q583">
        <f>IFERROR(VLOOKUP(Tabla13[[#This Row],[SISMED]],TblDisponibilidad[],21,FALSE), 0)</f>
        <v>0</v>
      </c>
      <c r="R583">
        <f>IFERROR(VLOOKUP(Tabla13[[#This Row],[SISMED]],TblDisponibilidad[],22,FALSE), 0)</f>
        <v>0</v>
      </c>
      <c r="S583" s="15">
        <f>IFERROR(VLOOKUP(Tabla13[[#This Row],[SISMED]],TblDisponibilidad[],23,FALSE), 0)</f>
        <v>0</v>
      </c>
    </row>
    <row r="584" spans="1:19" x14ac:dyDescent="0.3">
      <c r="A584" s="15" t="s">
        <v>614</v>
      </c>
      <c r="B584" t="str">
        <f>IFERROR(VLOOKUP(Tabla13[[#This Row],[SISMED]],TblDisponibilidad[],2,FALSE), "")</f>
        <v/>
      </c>
      <c r="C584">
        <f>IFERROR(VLOOKUP(Tabla13[[#This Row],[SISMED]],TblDisponibilidad[],7,FALSE), 0)</f>
        <v>0</v>
      </c>
      <c r="D584">
        <f>IFERROR(VLOOKUP(Tabla13[[#This Row],[SISMED]],TblDisponibilidad[],8,FALSE), 0)</f>
        <v>0</v>
      </c>
      <c r="E584">
        <f>IFERROR(VLOOKUP(Tabla13[[#This Row],[SISMED]],TblDisponibilidad[],9,FALSE), 0)</f>
        <v>0</v>
      </c>
      <c r="F584">
        <f>IFERROR(VLOOKUP(Tabla13[[#This Row],[SISMED]],TblDisponibilidad[],10,FALSE), 0)</f>
        <v>0</v>
      </c>
      <c r="G584">
        <f>IFERROR(VLOOKUP(Tabla13[[#This Row],[SISMED]],TblDisponibilidad[],11,FALSE), 0)</f>
        <v>0</v>
      </c>
      <c r="H584">
        <f>IFERROR(VLOOKUP(Tabla13[[#This Row],[SISMED]],TblDisponibilidad[],12,FALSE), 0)</f>
        <v>0</v>
      </c>
      <c r="I584">
        <f>IFERROR(VLOOKUP(Tabla13[[#This Row],[SISMED]],TblDisponibilidad[],13,FALSE), 0)</f>
        <v>0</v>
      </c>
      <c r="J584">
        <f>IFERROR(VLOOKUP(Tabla13[[#This Row],[SISMED]],TblDisponibilidad[],14,FALSE), 0)</f>
        <v>0</v>
      </c>
      <c r="K584">
        <f>IFERROR(VLOOKUP(Tabla13[[#This Row],[SISMED]],TblDisponibilidad[],15,FALSE), 0)</f>
        <v>0</v>
      </c>
      <c r="L584">
        <f>IFERROR(VLOOKUP(Tabla13[[#This Row],[SISMED]],TblDisponibilidad[],16,FALSE), 0)</f>
        <v>0</v>
      </c>
      <c r="M584">
        <f>IFERROR(VLOOKUP(Tabla13[[#This Row],[SISMED]],TblDisponibilidad[],17,FALSE), 0)</f>
        <v>0</v>
      </c>
      <c r="N584">
        <f>IFERROR(VLOOKUP(Tabla13[[#This Row],[SISMED]],TblDisponibilidad[],18,FALSE), 0)</f>
        <v>0</v>
      </c>
      <c r="O584">
        <f>IFERROR(VLOOKUP(Tabla13[[#This Row],[SISMED]],TblDisponibilidad[],19,FALSE), 0)</f>
        <v>0</v>
      </c>
      <c r="P584">
        <f>IFERROR(VLOOKUP(Tabla13[[#This Row],[SISMED]],TblDisponibilidad[],20,FALSE), 0)</f>
        <v>0</v>
      </c>
      <c r="Q584">
        <f>IFERROR(VLOOKUP(Tabla13[[#This Row],[SISMED]],TblDisponibilidad[],21,FALSE), 0)</f>
        <v>0</v>
      </c>
      <c r="R584">
        <f>IFERROR(VLOOKUP(Tabla13[[#This Row],[SISMED]],TblDisponibilidad[],22,FALSE), 0)</f>
        <v>0</v>
      </c>
      <c r="S584" s="15">
        <f>IFERROR(VLOOKUP(Tabla13[[#This Row],[SISMED]],TblDisponibilidad[],23,FALSE), 0)</f>
        <v>0</v>
      </c>
    </row>
    <row r="585" spans="1:19" x14ac:dyDescent="0.3">
      <c r="A585" s="15" t="s">
        <v>615</v>
      </c>
      <c r="B585" t="str">
        <f>IFERROR(VLOOKUP(Tabla13[[#This Row],[SISMED]],TblDisponibilidad[],2,FALSE), "")</f>
        <v/>
      </c>
      <c r="C585">
        <f>IFERROR(VLOOKUP(Tabla13[[#This Row],[SISMED]],TblDisponibilidad[],7,FALSE), 0)</f>
        <v>0</v>
      </c>
      <c r="D585">
        <f>IFERROR(VLOOKUP(Tabla13[[#This Row],[SISMED]],TblDisponibilidad[],8,FALSE), 0)</f>
        <v>0</v>
      </c>
      <c r="E585">
        <f>IFERROR(VLOOKUP(Tabla13[[#This Row],[SISMED]],TblDisponibilidad[],9,FALSE), 0)</f>
        <v>0</v>
      </c>
      <c r="F585">
        <f>IFERROR(VLOOKUP(Tabla13[[#This Row],[SISMED]],TblDisponibilidad[],10,FALSE), 0)</f>
        <v>0</v>
      </c>
      <c r="G585">
        <f>IFERROR(VLOOKUP(Tabla13[[#This Row],[SISMED]],TblDisponibilidad[],11,FALSE), 0)</f>
        <v>0</v>
      </c>
      <c r="H585">
        <f>IFERROR(VLOOKUP(Tabla13[[#This Row],[SISMED]],TblDisponibilidad[],12,FALSE), 0)</f>
        <v>0</v>
      </c>
      <c r="I585">
        <f>IFERROR(VLOOKUP(Tabla13[[#This Row],[SISMED]],TblDisponibilidad[],13,FALSE), 0)</f>
        <v>0</v>
      </c>
      <c r="J585">
        <f>IFERROR(VLOOKUP(Tabla13[[#This Row],[SISMED]],TblDisponibilidad[],14,FALSE), 0)</f>
        <v>0</v>
      </c>
      <c r="K585">
        <f>IFERROR(VLOOKUP(Tabla13[[#This Row],[SISMED]],TblDisponibilidad[],15,FALSE), 0)</f>
        <v>0</v>
      </c>
      <c r="L585">
        <f>IFERROR(VLOOKUP(Tabla13[[#This Row],[SISMED]],TblDisponibilidad[],16,FALSE), 0)</f>
        <v>0</v>
      </c>
      <c r="M585">
        <f>IFERROR(VLOOKUP(Tabla13[[#This Row],[SISMED]],TblDisponibilidad[],17,FALSE), 0)</f>
        <v>0</v>
      </c>
      <c r="N585">
        <f>IFERROR(VLOOKUP(Tabla13[[#This Row],[SISMED]],TblDisponibilidad[],18,FALSE), 0)</f>
        <v>0</v>
      </c>
      <c r="O585">
        <f>IFERROR(VLOOKUP(Tabla13[[#This Row],[SISMED]],TblDisponibilidad[],19,FALSE), 0)</f>
        <v>0</v>
      </c>
      <c r="P585">
        <f>IFERROR(VLOOKUP(Tabla13[[#This Row],[SISMED]],TblDisponibilidad[],20,FALSE), 0)</f>
        <v>0</v>
      </c>
      <c r="Q585">
        <f>IFERROR(VLOOKUP(Tabla13[[#This Row],[SISMED]],TblDisponibilidad[],21,FALSE), 0)</f>
        <v>0</v>
      </c>
      <c r="R585">
        <f>IFERROR(VLOOKUP(Tabla13[[#This Row],[SISMED]],TblDisponibilidad[],22,FALSE), 0)</f>
        <v>0</v>
      </c>
      <c r="S585" s="15">
        <f>IFERROR(VLOOKUP(Tabla13[[#This Row],[SISMED]],TblDisponibilidad[],23,FALSE), 0)</f>
        <v>0</v>
      </c>
    </row>
    <row r="586" spans="1:19" x14ac:dyDescent="0.3">
      <c r="A586" s="15" t="s">
        <v>616</v>
      </c>
      <c r="B586" t="str">
        <f>IFERROR(VLOOKUP(Tabla13[[#This Row],[SISMED]],TblDisponibilidad[],2,FALSE), "")</f>
        <v/>
      </c>
      <c r="C586">
        <f>IFERROR(VLOOKUP(Tabla13[[#This Row],[SISMED]],TblDisponibilidad[],7,FALSE), 0)</f>
        <v>0</v>
      </c>
      <c r="D586">
        <f>IFERROR(VLOOKUP(Tabla13[[#This Row],[SISMED]],TblDisponibilidad[],8,FALSE), 0)</f>
        <v>0</v>
      </c>
      <c r="E586">
        <f>IFERROR(VLOOKUP(Tabla13[[#This Row],[SISMED]],TblDisponibilidad[],9,FALSE), 0)</f>
        <v>0</v>
      </c>
      <c r="F586">
        <f>IFERROR(VLOOKUP(Tabla13[[#This Row],[SISMED]],TblDisponibilidad[],10,FALSE), 0)</f>
        <v>0</v>
      </c>
      <c r="G586">
        <f>IFERROR(VLOOKUP(Tabla13[[#This Row],[SISMED]],TblDisponibilidad[],11,FALSE), 0)</f>
        <v>0</v>
      </c>
      <c r="H586">
        <f>IFERROR(VLOOKUP(Tabla13[[#This Row],[SISMED]],TblDisponibilidad[],12,FALSE), 0)</f>
        <v>0</v>
      </c>
      <c r="I586">
        <f>IFERROR(VLOOKUP(Tabla13[[#This Row],[SISMED]],TblDisponibilidad[],13,FALSE), 0)</f>
        <v>0</v>
      </c>
      <c r="J586">
        <f>IFERROR(VLOOKUP(Tabla13[[#This Row],[SISMED]],TblDisponibilidad[],14,FALSE), 0)</f>
        <v>0</v>
      </c>
      <c r="K586">
        <f>IFERROR(VLOOKUP(Tabla13[[#This Row],[SISMED]],TblDisponibilidad[],15,FALSE), 0)</f>
        <v>0</v>
      </c>
      <c r="L586">
        <f>IFERROR(VLOOKUP(Tabla13[[#This Row],[SISMED]],TblDisponibilidad[],16,FALSE), 0)</f>
        <v>0</v>
      </c>
      <c r="M586">
        <f>IFERROR(VLOOKUP(Tabla13[[#This Row],[SISMED]],TblDisponibilidad[],17,FALSE), 0)</f>
        <v>0</v>
      </c>
      <c r="N586">
        <f>IFERROR(VLOOKUP(Tabla13[[#This Row],[SISMED]],TblDisponibilidad[],18,FALSE), 0)</f>
        <v>0</v>
      </c>
      <c r="O586">
        <f>IFERROR(VLOOKUP(Tabla13[[#This Row],[SISMED]],TblDisponibilidad[],19,FALSE), 0)</f>
        <v>0</v>
      </c>
      <c r="P586">
        <f>IFERROR(VLOOKUP(Tabla13[[#This Row],[SISMED]],TblDisponibilidad[],20,FALSE), 0)</f>
        <v>0</v>
      </c>
      <c r="Q586">
        <f>IFERROR(VLOOKUP(Tabla13[[#This Row],[SISMED]],TblDisponibilidad[],21,FALSE), 0)</f>
        <v>0</v>
      </c>
      <c r="R586">
        <f>IFERROR(VLOOKUP(Tabla13[[#This Row],[SISMED]],TblDisponibilidad[],22,FALSE), 0)</f>
        <v>0</v>
      </c>
      <c r="S586" s="15">
        <f>IFERROR(VLOOKUP(Tabla13[[#This Row],[SISMED]],TblDisponibilidad[],23,FALSE), 0)</f>
        <v>0</v>
      </c>
    </row>
    <row r="587" spans="1:19" x14ac:dyDescent="0.3">
      <c r="A587" s="15" t="s">
        <v>617</v>
      </c>
      <c r="B587" t="str">
        <f>IFERROR(VLOOKUP(Tabla13[[#This Row],[SISMED]],TblDisponibilidad[],2,FALSE), "")</f>
        <v/>
      </c>
      <c r="C587">
        <f>IFERROR(VLOOKUP(Tabla13[[#This Row],[SISMED]],TblDisponibilidad[],7,FALSE), 0)</f>
        <v>0</v>
      </c>
      <c r="D587">
        <f>IFERROR(VLOOKUP(Tabla13[[#This Row],[SISMED]],TblDisponibilidad[],8,FALSE), 0)</f>
        <v>0</v>
      </c>
      <c r="E587">
        <f>IFERROR(VLOOKUP(Tabla13[[#This Row],[SISMED]],TblDisponibilidad[],9,FALSE), 0)</f>
        <v>0</v>
      </c>
      <c r="F587">
        <f>IFERROR(VLOOKUP(Tabla13[[#This Row],[SISMED]],TblDisponibilidad[],10,FALSE), 0)</f>
        <v>0</v>
      </c>
      <c r="G587">
        <f>IFERROR(VLOOKUP(Tabla13[[#This Row],[SISMED]],TblDisponibilidad[],11,FALSE), 0)</f>
        <v>0</v>
      </c>
      <c r="H587">
        <f>IFERROR(VLOOKUP(Tabla13[[#This Row],[SISMED]],TblDisponibilidad[],12,FALSE), 0)</f>
        <v>0</v>
      </c>
      <c r="I587">
        <f>IFERROR(VLOOKUP(Tabla13[[#This Row],[SISMED]],TblDisponibilidad[],13,FALSE), 0)</f>
        <v>0</v>
      </c>
      <c r="J587">
        <f>IFERROR(VLOOKUP(Tabla13[[#This Row],[SISMED]],TblDisponibilidad[],14,FALSE), 0)</f>
        <v>0</v>
      </c>
      <c r="K587">
        <f>IFERROR(VLOOKUP(Tabla13[[#This Row],[SISMED]],TblDisponibilidad[],15,FALSE), 0)</f>
        <v>0</v>
      </c>
      <c r="L587">
        <f>IFERROR(VLOOKUP(Tabla13[[#This Row],[SISMED]],TblDisponibilidad[],16,FALSE), 0)</f>
        <v>0</v>
      </c>
      <c r="M587">
        <f>IFERROR(VLOOKUP(Tabla13[[#This Row],[SISMED]],TblDisponibilidad[],17,FALSE), 0)</f>
        <v>0</v>
      </c>
      <c r="N587">
        <f>IFERROR(VLOOKUP(Tabla13[[#This Row],[SISMED]],TblDisponibilidad[],18,FALSE), 0)</f>
        <v>0</v>
      </c>
      <c r="O587">
        <f>IFERROR(VLOOKUP(Tabla13[[#This Row],[SISMED]],TblDisponibilidad[],19,FALSE), 0)</f>
        <v>0</v>
      </c>
      <c r="P587">
        <f>IFERROR(VLOOKUP(Tabla13[[#This Row],[SISMED]],TblDisponibilidad[],20,FALSE), 0)</f>
        <v>0</v>
      </c>
      <c r="Q587">
        <f>IFERROR(VLOOKUP(Tabla13[[#This Row],[SISMED]],TblDisponibilidad[],21,FALSE), 0)</f>
        <v>0</v>
      </c>
      <c r="R587">
        <f>IFERROR(VLOOKUP(Tabla13[[#This Row],[SISMED]],TblDisponibilidad[],22,FALSE), 0)</f>
        <v>0</v>
      </c>
      <c r="S587" s="15">
        <f>IFERROR(VLOOKUP(Tabla13[[#This Row],[SISMED]],TblDisponibilidad[],23,FALSE), 0)</f>
        <v>0</v>
      </c>
    </row>
    <row r="588" spans="1:19" x14ac:dyDescent="0.3">
      <c r="A588" s="15" t="s">
        <v>618</v>
      </c>
      <c r="B588" t="str">
        <f>IFERROR(VLOOKUP(Tabla13[[#This Row],[SISMED]],TblDisponibilidad[],2,FALSE), "")</f>
        <v/>
      </c>
      <c r="C588">
        <f>IFERROR(VLOOKUP(Tabla13[[#This Row],[SISMED]],TblDisponibilidad[],7,FALSE), 0)</f>
        <v>0</v>
      </c>
      <c r="D588">
        <f>IFERROR(VLOOKUP(Tabla13[[#This Row],[SISMED]],TblDisponibilidad[],8,FALSE), 0)</f>
        <v>0</v>
      </c>
      <c r="E588">
        <f>IFERROR(VLOOKUP(Tabla13[[#This Row],[SISMED]],TblDisponibilidad[],9,FALSE), 0)</f>
        <v>0</v>
      </c>
      <c r="F588">
        <f>IFERROR(VLOOKUP(Tabla13[[#This Row],[SISMED]],TblDisponibilidad[],10,FALSE), 0)</f>
        <v>0</v>
      </c>
      <c r="G588">
        <f>IFERROR(VLOOKUP(Tabla13[[#This Row],[SISMED]],TblDisponibilidad[],11,FALSE), 0)</f>
        <v>0</v>
      </c>
      <c r="H588">
        <f>IFERROR(VLOOKUP(Tabla13[[#This Row],[SISMED]],TblDisponibilidad[],12,FALSE), 0)</f>
        <v>0</v>
      </c>
      <c r="I588">
        <f>IFERROR(VLOOKUP(Tabla13[[#This Row],[SISMED]],TblDisponibilidad[],13,FALSE), 0)</f>
        <v>0</v>
      </c>
      <c r="J588">
        <f>IFERROR(VLOOKUP(Tabla13[[#This Row],[SISMED]],TblDisponibilidad[],14,FALSE), 0)</f>
        <v>0</v>
      </c>
      <c r="K588">
        <f>IFERROR(VLOOKUP(Tabla13[[#This Row],[SISMED]],TblDisponibilidad[],15,FALSE), 0)</f>
        <v>0</v>
      </c>
      <c r="L588">
        <f>IFERROR(VLOOKUP(Tabla13[[#This Row],[SISMED]],TblDisponibilidad[],16,FALSE), 0)</f>
        <v>0</v>
      </c>
      <c r="M588">
        <f>IFERROR(VLOOKUP(Tabla13[[#This Row],[SISMED]],TblDisponibilidad[],17,FALSE), 0)</f>
        <v>0</v>
      </c>
      <c r="N588">
        <f>IFERROR(VLOOKUP(Tabla13[[#This Row],[SISMED]],TblDisponibilidad[],18,FALSE), 0)</f>
        <v>0</v>
      </c>
      <c r="O588">
        <f>IFERROR(VLOOKUP(Tabla13[[#This Row],[SISMED]],TblDisponibilidad[],19,FALSE), 0)</f>
        <v>0</v>
      </c>
      <c r="P588">
        <f>IFERROR(VLOOKUP(Tabla13[[#This Row],[SISMED]],TblDisponibilidad[],20,FALSE), 0)</f>
        <v>0</v>
      </c>
      <c r="Q588">
        <f>IFERROR(VLOOKUP(Tabla13[[#This Row],[SISMED]],TblDisponibilidad[],21,FALSE), 0)</f>
        <v>0</v>
      </c>
      <c r="R588">
        <f>IFERROR(VLOOKUP(Tabla13[[#This Row],[SISMED]],TblDisponibilidad[],22,FALSE), 0)</f>
        <v>0</v>
      </c>
      <c r="S588" s="15">
        <f>IFERROR(VLOOKUP(Tabla13[[#This Row],[SISMED]],TblDisponibilidad[],23,FALSE), 0)</f>
        <v>0</v>
      </c>
    </row>
    <row r="589" spans="1:19" x14ac:dyDescent="0.3">
      <c r="A589" s="15" t="s">
        <v>619</v>
      </c>
      <c r="B589" t="str">
        <f>IFERROR(VLOOKUP(Tabla13[[#This Row],[SISMED]],TblDisponibilidad[],2,FALSE), "")</f>
        <v/>
      </c>
      <c r="C589">
        <f>IFERROR(VLOOKUP(Tabla13[[#This Row],[SISMED]],TblDisponibilidad[],7,FALSE), 0)</f>
        <v>0</v>
      </c>
      <c r="D589">
        <f>IFERROR(VLOOKUP(Tabla13[[#This Row],[SISMED]],TblDisponibilidad[],8,FALSE), 0)</f>
        <v>0</v>
      </c>
      <c r="E589">
        <f>IFERROR(VLOOKUP(Tabla13[[#This Row],[SISMED]],TblDisponibilidad[],9,FALSE), 0)</f>
        <v>0</v>
      </c>
      <c r="F589">
        <f>IFERROR(VLOOKUP(Tabla13[[#This Row],[SISMED]],TblDisponibilidad[],10,FALSE), 0)</f>
        <v>0</v>
      </c>
      <c r="G589">
        <f>IFERROR(VLOOKUP(Tabla13[[#This Row],[SISMED]],TblDisponibilidad[],11,FALSE), 0)</f>
        <v>0</v>
      </c>
      <c r="H589">
        <f>IFERROR(VLOOKUP(Tabla13[[#This Row],[SISMED]],TblDisponibilidad[],12,FALSE), 0)</f>
        <v>0</v>
      </c>
      <c r="I589">
        <f>IFERROR(VLOOKUP(Tabla13[[#This Row],[SISMED]],TblDisponibilidad[],13,FALSE), 0)</f>
        <v>0</v>
      </c>
      <c r="J589">
        <f>IFERROR(VLOOKUP(Tabla13[[#This Row],[SISMED]],TblDisponibilidad[],14,FALSE), 0)</f>
        <v>0</v>
      </c>
      <c r="K589">
        <f>IFERROR(VLOOKUP(Tabla13[[#This Row],[SISMED]],TblDisponibilidad[],15,FALSE), 0)</f>
        <v>0</v>
      </c>
      <c r="L589">
        <f>IFERROR(VLOOKUP(Tabla13[[#This Row],[SISMED]],TblDisponibilidad[],16,FALSE), 0)</f>
        <v>0</v>
      </c>
      <c r="M589">
        <f>IFERROR(VLOOKUP(Tabla13[[#This Row],[SISMED]],TblDisponibilidad[],17,FALSE), 0)</f>
        <v>0</v>
      </c>
      <c r="N589">
        <f>IFERROR(VLOOKUP(Tabla13[[#This Row],[SISMED]],TblDisponibilidad[],18,FALSE), 0)</f>
        <v>0</v>
      </c>
      <c r="O589">
        <f>IFERROR(VLOOKUP(Tabla13[[#This Row],[SISMED]],TblDisponibilidad[],19,FALSE), 0)</f>
        <v>0</v>
      </c>
      <c r="P589">
        <f>IFERROR(VLOOKUP(Tabla13[[#This Row],[SISMED]],TblDisponibilidad[],20,FALSE), 0)</f>
        <v>0</v>
      </c>
      <c r="Q589">
        <f>IFERROR(VLOOKUP(Tabla13[[#This Row],[SISMED]],TblDisponibilidad[],21,FALSE), 0)</f>
        <v>0</v>
      </c>
      <c r="R589">
        <f>IFERROR(VLOOKUP(Tabla13[[#This Row],[SISMED]],TblDisponibilidad[],22,FALSE), 0)</f>
        <v>0</v>
      </c>
      <c r="S589" s="15">
        <f>IFERROR(VLOOKUP(Tabla13[[#This Row],[SISMED]],TblDisponibilidad[],23,FALSE), 0)</f>
        <v>0</v>
      </c>
    </row>
    <row r="590" spans="1:19" x14ac:dyDescent="0.3">
      <c r="A590" s="15" t="s">
        <v>620</v>
      </c>
      <c r="B590" t="str">
        <f>IFERROR(VLOOKUP(Tabla13[[#This Row],[SISMED]],TblDisponibilidad[],2,FALSE), "")</f>
        <v/>
      </c>
      <c r="C590">
        <f>IFERROR(VLOOKUP(Tabla13[[#This Row],[SISMED]],TblDisponibilidad[],7,FALSE), 0)</f>
        <v>0</v>
      </c>
      <c r="D590">
        <f>IFERROR(VLOOKUP(Tabla13[[#This Row],[SISMED]],TblDisponibilidad[],8,FALSE), 0)</f>
        <v>0</v>
      </c>
      <c r="E590">
        <f>IFERROR(VLOOKUP(Tabla13[[#This Row],[SISMED]],TblDisponibilidad[],9,FALSE), 0)</f>
        <v>0</v>
      </c>
      <c r="F590">
        <f>IFERROR(VLOOKUP(Tabla13[[#This Row],[SISMED]],TblDisponibilidad[],10,FALSE), 0)</f>
        <v>0</v>
      </c>
      <c r="G590">
        <f>IFERROR(VLOOKUP(Tabla13[[#This Row],[SISMED]],TblDisponibilidad[],11,FALSE), 0)</f>
        <v>0</v>
      </c>
      <c r="H590">
        <f>IFERROR(VLOOKUP(Tabla13[[#This Row],[SISMED]],TblDisponibilidad[],12,FALSE), 0)</f>
        <v>0</v>
      </c>
      <c r="I590">
        <f>IFERROR(VLOOKUP(Tabla13[[#This Row],[SISMED]],TblDisponibilidad[],13,FALSE), 0)</f>
        <v>0</v>
      </c>
      <c r="J590">
        <f>IFERROR(VLOOKUP(Tabla13[[#This Row],[SISMED]],TblDisponibilidad[],14,FALSE), 0)</f>
        <v>0</v>
      </c>
      <c r="K590">
        <f>IFERROR(VLOOKUP(Tabla13[[#This Row],[SISMED]],TblDisponibilidad[],15,FALSE), 0)</f>
        <v>0</v>
      </c>
      <c r="L590">
        <f>IFERROR(VLOOKUP(Tabla13[[#This Row],[SISMED]],TblDisponibilidad[],16,FALSE), 0)</f>
        <v>0</v>
      </c>
      <c r="M590">
        <f>IFERROR(VLOOKUP(Tabla13[[#This Row],[SISMED]],TblDisponibilidad[],17,FALSE), 0)</f>
        <v>0</v>
      </c>
      <c r="N590">
        <f>IFERROR(VLOOKUP(Tabla13[[#This Row],[SISMED]],TblDisponibilidad[],18,FALSE), 0)</f>
        <v>0</v>
      </c>
      <c r="O590">
        <f>IFERROR(VLOOKUP(Tabla13[[#This Row],[SISMED]],TblDisponibilidad[],19,FALSE), 0)</f>
        <v>0</v>
      </c>
      <c r="P590">
        <f>IFERROR(VLOOKUP(Tabla13[[#This Row],[SISMED]],TblDisponibilidad[],20,FALSE), 0)</f>
        <v>0</v>
      </c>
      <c r="Q590">
        <f>IFERROR(VLOOKUP(Tabla13[[#This Row],[SISMED]],TblDisponibilidad[],21,FALSE), 0)</f>
        <v>0</v>
      </c>
      <c r="R590">
        <f>IFERROR(VLOOKUP(Tabla13[[#This Row],[SISMED]],TblDisponibilidad[],22,FALSE), 0)</f>
        <v>0</v>
      </c>
      <c r="S590" s="15">
        <f>IFERROR(VLOOKUP(Tabla13[[#This Row],[SISMED]],TblDisponibilidad[],23,FALSE), 0)</f>
        <v>0</v>
      </c>
    </row>
    <row r="591" spans="1:19" x14ac:dyDescent="0.3">
      <c r="A591" s="15" t="s">
        <v>621</v>
      </c>
      <c r="B591" t="str">
        <f>IFERROR(VLOOKUP(Tabla13[[#This Row],[SISMED]],TblDisponibilidad[],2,FALSE), "")</f>
        <v/>
      </c>
      <c r="C591">
        <f>IFERROR(VLOOKUP(Tabla13[[#This Row],[SISMED]],TblDisponibilidad[],7,FALSE), 0)</f>
        <v>0</v>
      </c>
      <c r="D591">
        <f>IFERROR(VLOOKUP(Tabla13[[#This Row],[SISMED]],TblDisponibilidad[],8,FALSE), 0)</f>
        <v>0</v>
      </c>
      <c r="E591">
        <f>IFERROR(VLOOKUP(Tabla13[[#This Row],[SISMED]],TblDisponibilidad[],9,FALSE), 0)</f>
        <v>0</v>
      </c>
      <c r="F591">
        <f>IFERROR(VLOOKUP(Tabla13[[#This Row],[SISMED]],TblDisponibilidad[],10,FALSE), 0)</f>
        <v>0</v>
      </c>
      <c r="G591">
        <f>IFERROR(VLOOKUP(Tabla13[[#This Row],[SISMED]],TblDisponibilidad[],11,FALSE), 0)</f>
        <v>0</v>
      </c>
      <c r="H591">
        <f>IFERROR(VLOOKUP(Tabla13[[#This Row],[SISMED]],TblDisponibilidad[],12,FALSE), 0)</f>
        <v>0</v>
      </c>
      <c r="I591">
        <f>IFERROR(VLOOKUP(Tabla13[[#This Row],[SISMED]],TblDisponibilidad[],13,FALSE), 0)</f>
        <v>0</v>
      </c>
      <c r="J591">
        <f>IFERROR(VLOOKUP(Tabla13[[#This Row],[SISMED]],TblDisponibilidad[],14,FALSE), 0)</f>
        <v>0</v>
      </c>
      <c r="K591">
        <f>IFERROR(VLOOKUP(Tabla13[[#This Row],[SISMED]],TblDisponibilidad[],15,FALSE), 0)</f>
        <v>0</v>
      </c>
      <c r="L591">
        <f>IFERROR(VLOOKUP(Tabla13[[#This Row],[SISMED]],TblDisponibilidad[],16,FALSE), 0)</f>
        <v>0</v>
      </c>
      <c r="M591">
        <f>IFERROR(VLOOKUP(Tabla13[[#This Row],[SISMED]],TblDisponibilidad[],17,FALSE), 0)</f>
        <v>0</v>
      </c>
      <c r="N591">
        <f>IFERROR(VLOOKUP(Tabla13[[#This Row],[SISMED]],TblDisponibilidad[],18,FALSE), 0)</f>
        <v>0</v>
      </c>
      <c r="O591">
        <f>IFERROR(VLOOKUP(Tabla13[[#This Row],[SISMED]],TblDisponibilidad[],19,FALSE), 0)</f>
        <v>0</v>
      </c>
      <c r="P591">
        <f>IFERROR(VLOOKUP(Tabla13[[#This Row],[SISMED]],TblDisponibilidad[],20,FALSE), 0)</f>
        <v>0</v>
      </c>
      <c r="Q591">
        <f>IFERROR(VLOOKUP(Tabla13[[#This Row],[SISMED]],TblDisponibilidad[],21,FALSE), 0)</f>
        <v>0</v>
      </c>
      <c r="R591">
        <f>IFERROR(VLOOKUP(Tabla13[[#This Row],[SISMED]],TblDisponibilidad[],22,FALSE), 0)</f>
        <v>0</v>
      </c>
      <c r="S591" s="15">
        <f>IFERROR(VLOOKUP(Tabla13[[#This Row],[SISMED]],TblDisponibilidad[],23,FALSE), 0)</f>
        <v>0</v>
      </c>
    </row>
    <row r="592" spans="1:19" x14ac:dyDescent="0.3">
      <c r="A592" s="15" t="s">
        <v>622</v>
      </c>
      <c r="B592" t="str">
        <f>IFERROR(VLOOKUP(Tabla13[[#This Row],[SISMED]],TblDisponibilidad[],2,FALSE), "")</f>
        <v/>
      </c>
      <c r="C592">
        <f>IFERROR(VLOOKUP(Tabla13[[#This Row],[SISMED]],TblDisponibilidad[],7,FALSE), 0)</f>
        <v>0</v>
      </c>
      <c r="D592">
        <f>IFERROR(VLOOKUP(Tabla13[[#This Row],[SISMED]],TblDisponibilidad[],8,FALSE), 0)</f>
        <v>0</v>
      </c>
      <c r="E592">
        <f>IFERROR(VLOOKUP(Tabla13[[#This Row],[SISMED]],TblDisponibilidad[],9,FALSE), 0)</f>
        <v>0</v>
      </c>
      <c r="F592">
        <f>IFERROR(VLOOKUP(Tabla13[[#This Row],[SISMED]],TblDisponibilidad[],10,FALSE), 0)</f>
        <v>0</v>
      </c>
      <c r="G592">
        <f>IFERROR(VLOOKUP(Tabla13[[#This Row],[SISMED]],TblDisponibilidad[],11,FALSE), 0)</f>
        <v>0</v>
      </c>
      <c r="H592">
        <f>IFERROR(VLOOKUP(Tabla13[[#This Row],[SISMED]],TblDisponibilidad[],12,FALSE), 0)</f>
        <v>0</v>
      </c>
      <c r="I592">
        <f>IFERROR(VLOOKUP(Tabla13[[#This Row],[SISMED]],TblDisponibilidad[],13,FALSE), 0)</f>
        <v>0</v>
      </c>
      <c r="J592">
        <f>IFERROR(VLOOKUP(Tabla13[[#This Row],[SISMED]],TblDisponibilidad[],14,FALSE), 0)</f>
        <v>0</v>
      </c>
      <c r="K592">
        <f>IFERROR(VLOOKUP(Tabla13[[#This Row],[SISMED]],TblDisponibilidad[],15,FALSE), 0)</f>
        <v>0</v>
      </c>
      <c r="L592">
        <f>IFERROR(VLOOKUP(Tabla13[[#This Row],[SISMED]],TblDisponibilidad[],16,FALSE), 0)</f>
        <v>0</v>
      </c>
      <c r="M592">
        <f>IFERROR(VLOOKUP(Tabla13[[#This Row],[SISMED]],TblDisponibilidad[],17,FALSE), 0)</f>
        <v>0</v>
      </c>
      <c r="N592">
        <f>IFERROR(VLOOKUP(Tabla13[[#This Row],[SISMED]],TblDisponibilidad[],18,FALSE), 0)</f>
        <v>0</v>
      </c>
      <c r="O592">
        <f>IFERROR(VLOOKUP(Tabla13[[#This Row],[SISMED]],TblDisponibilidad[],19,FALSE), 0)</f>
        <v>0</v>
      </c>
      <c r="P592">
        <f>IFERROR(VLOOKUP(Tabla13[[#This Row],[SISMED]],TblDisponibilidad[],20,FALSE), 0)</f>
        <v>0</v>
      </c>
      <c r="Q592">
        <f>IFERROR(VLOOKUP(Tabla13[[#This Row],[SISMED]],TblDisponibilidad[],21,FALSE), 0)</f>
        <v>0</v>
      </c>
      <c r="R592">
        <f>IFERROR(VLOOKUP(Tabla13[[#This Row],[SISMED]],TblDisponibilidad[],22,FALSE), 0)</f>
        <v>0</v>
      </c>
      <c r="S592" s="15">
        <f>IFERROR(VLOOKUP(Tabla13[[#This Row],[SISMED]],TblDisponibilidad[],23,FALSE), 0)</f>
        <v>0</v>
      </c>
    </row>
    <row r="593" spans="1:19" x14ac:dyDescent="0.3">
      <c r="A593" s="15" t="s">
        <v>623</v>
      </c>
      <c r="B593" t="str">
        <f>IFERROR(VLOOKUP(Tabla13[[#This Row],[SISMED]],TblDisponibilidad[],2,FALSE), "")</f>
        <v/>
      </c>
      <c r="C593">
        <f>IFERROR(VLOOKUP(Tabla13[[#This Row],[SISMED]],TblDisponibilidad[],7,FALSE), 0)</f>
        <v>0</v>
      </c>
      <c r="D593">
        <f>IFERROR(VLOOKUP(Tabla13[[#This Row],[SISMED]],TblDisponibilidad[],8,FALSE), 0)</f>
        <v>0</v>
      </c>
      <c r="E593">
        <f>IFERROR(VLOOKUP(Tabla13[[#This Row],[SISMED]],TblDisponibilidad[],9,FALSE), 0)</f>
        <v>0</v>
      </c>
      <c r="F593">
        <f>IFERROR(VLOOKUP(Tabla13[[#This Row],[SISMED]],TblDisponibilidad[],10,FALSE), 0)</f>
        <v>0</v>
      </c>
      <c r="G593">
        <f>IFERROR(VLOOKUP(Tabla13[[#This Row],[SISMED]],TblDisponibilidad[],11,FALSE), 0)</f>
        <v>0</v>
      </c>
      <c r="H593">
        <f>IFERROR(VLOOKUP(Tabla13[[#This Row],[SISMED]],TblDisponibilidad[],12,FALSE), 0)</f>
        <v>0</v>
      </c>
      <c r="I593">
        <f>IFERROR(VLOOKUP(Tabla13[[#This Row],[SISMED]],TblDisponibilidad[],13,FALSE), 0)</f>
        <v>0</v>
      </c>
      <c r="J593">
        <f>IFERROR(VLOOKUP(Tabla13[[#This Row],[SISMED]],TblDisponibilidad[],14,FALSE), 0)</f>
        <v>0</v>
      </c>
      <c r="K593">
        <f>IFERROR(VLOOKUP(Tabla13[[#This Row],[SISMED]],TblDisponibilidad[],15,FALSE), 0)</f>
        <v>0</v>
      </c>
      <c r="L593">
        <f>IFERROR(VLOOKUP(Tabla13[[#This Row],[SISMED]],TblDisponibilidad[],16,FALSE), 0)</f>
        <v>0</v>
      </c>
      <c r="M593">
        <f>IFERROR(VLOOKUP(Tabla13[[#This Row],[SISMED]],TblDisponibilidad[],17,FALSE), 0)</f>
        <v>0</v>
      </c>
      <c r="N593">
        <f>IFERROR(VLOOKUP(Tabla13[[#This Row],[SISMED]],TblDisponibilidad[],18,FALSE), 0)</f>
        <v>0</v>
      </c>
      <c r="O593">
        <f>IFERROR(VLOOKUP(Tabla13[[#This Row],[SISMED]],TblDisponibilidad[],19,FALSE), 0)</f>
        <v>0</v>
      </c>
      <c r="P593">
        <f>IFERROR(VLOOKUP(Tabla13[[#This Row],[SISMED]],TblDisponibilidad[],20,FALSE), 0)</f>
        <v>0</v>
      </c>
      <c r="Q593">
        <f>IFERROR(VLOOKUP(Tabla13[[#This Row],[SISMED]],TblDisponibilidad[],21,FALSE), 0)</f>
        <v>0</v>
      </c>
      <c r="R593">
        <f>IFERROR(VLOOKUP(Tabla13[[#This Row],[SISMED]],TblDisponibilidad[],22,FALSE), 0)</f>
        <v>0</v>
      </c>
      <c r="S593" s="15">
        <f>IFERROR(VLOOKUP(Tabla13[[#This Row],[SISMED]],TblDisponibilidad[],23,FALSE), 0)</f>
        <v>0</v>
      </c>
    </row>
    <row r="594" spans="1:19" x14ac:dyDescent="0.3">
      <c r="A594" s="15" t="s">
        <v>624</v>
      </c>
      <c r="B594" t="str">
        <f>IFERROR(VLOOKUP(Tabla13[[#This Row],[SISMED]],TblDisponibilidad[],2,FALSE), "")</f>
        <v/>
      </c>
      <c r="C594">
        <f>IFERROR(VLOOKUP(Tabla13[[#This Row],[SISMED]],TblDisponibilidad[],7,FALSE), 0)</f>
        <v>0</v>
      </c>
      <c r="D594">
        <f>IFERROR(VLOOKUP(Tabla13[[#This Row],[SISMED]],TblDisponibilidad[],8,FALSE), 0)</f>
        <v>0</v>
      </c>
      <c r="E594">
        <f>IFERROR(VLOOKUP(Tabla13[[#This Row],[SISMED]],TblDisponibilidad[],9,FALSE), 0)</f>
        <v>0</v>
      </c>
      <c r="F594">
        <f>IFERROR(VLOOKUP(Tabla13[[#This Row],[SISMED]],TblDisponibilidad[],10,FALSE), 0)</f>
        <v>0</v>
      </c>
      <c r="G594">
        <f>IFERROR(VLOOKUP(Tabla13[[#This Row],[SISMED]],TblDisponibilidad[],11,FALSE), 0)</f>
        <v>0</v>
      </c>
      <c r="H594">
        <f>IFERROR(VLOOKUP(Tabla13[[#This Row],[SISMED]],TblDisponibilidad[],12,FALSE), 0)</f>
        <v>0</v>
      </c>
      <c r="I594">
        <f>IFERROR(VLOOKUP(Tabla13[[#This Row],[SISMED]],TblDisponibilidad[],13,FALSE), 0)</f>
        <v>0</v>
      </c>
      <c r="J594">
        <f>IFERROR(VLOOKUP(Tabla13[[#This Row],[SISMED]],TblDisponibilidad[],14,FALSE), 0)</f>
        <v>0</v>
      </c>
      <c r="K594">
        <f>IFERROR(VLOOKUP(Tabla13[[#This Row],[SISMED]],TblDisponibilidad[],15,FALSE), 0)</f>
        <v>0</v>
      </c>
      <c r="L594">
        <f>IFERROR(VLOOKUP(Tabla13[[#This Row],[SISMED]],TblDisponibilidad[],16,FALSE), 0)</f>
        <v>0</v>
      </c>
      <c r="M594">
        <f>IFERROR(VLOOKUP(Tabla13[[#This Row],[SISMED]],TblDisponibilidad[],17,FALSE), 0)</f>
        <v>0</v>
      </c>
      <c r="N594">
        <f>IFERROR(VLOOKUP(Tabla13[[#This Row],[SISMED]],TblDisponibilidad[],18,FALSE), 0)</f>
        <v>0</v>
      </c>
      <c r="O594">
        <f>IFERROR(VLOOKUP(Tabla13[[#This Row],[SISMED]],TblDisponibilidad[],19,FALSE), 0)</f>
        <v>0</v>
      </c>
      <c r="P594">
        <f>IFERROR(VLOOKUP(Tabla13[[#This Row],[SISMED]],TblDisponibilidad[],20,FALSE), 0)</f>
        <v>0</v>
      </c>
      <c r="Q594">
        <f>IFERROR(VLOOKUP(Tabla13[[#This Row],[SISMED]],TblDisponibilidad[],21,FALSE), 0)</f>
        <v>0</v>
      </c>
      <c r="R594">
        <f>IFERROR(VLOOKUP(Tabla13[[#This Row],[SISMED]],TblDisponibilidad[],22,FALSE), 0)</f>
        <v>0</v>
      </c>
      <c r="S594" s="15">
        <f>IFERROR(VLOOKUP(Tabla13[[#This Row],[SISMED]],TblDisponibilidad[],23,FALSE), 0)</f>
        <v>0</v>
      </c>
    </row>
    <row r="595" spans="1:19" x14ac:dyDescent="0.3">
      <c r="A595" s="15" t="s">
        <v>625</v>
      </c>
      <c r="B595" t="str">
        <f>IFERROR(VLOOKUP(Tabla13[[#This Row],[SISMED]],TblDisponibilidad[],2,FALSE), "")</f>
        <v/>
      </c>
      <c r="C595">
        <f>IFERROR(VLOOKUP(Tabla13[[#This Row],[SISMED]],TblDisponibilidad[],7,FALSE), 0)</f>
        <v>0</v>
      </c>
      <c r="D595">
        <f>IFERROR(VLOOKUP(Tabla13[[#This Row],[SISMED]],TblDisponibilidad[],8,FALSE), 0)</f>
        <v>0</v>
      </c>
      <c r="E595">
        <f>IFERROR(VLOOKUP(Tabla13[[#This Row],[SISMED]],TblDisponibilidad[],9,FALSE), 0)</f>
        <v>0</v>
      </c>
      <c r="F595">
        <f>IFERROR(VLOOKUP(Tabla13[[#This Row],[SISMED]],TblDisponibilidad[],10,FALSE), 0)</f>
        <v>0</v>
      </c>
      <c r="G595">
        <f>IFERROR(VLOOKUP(Tabla13[[#This Row],[SISMED]],TblDisponibilidad[],11,FALSE), 0)</f>
        <v>0</v>
      </c>
      <c r="H595">
        <f>IFERROR(VLOOKUP(Tabla13[[#This Row],[SISMED]],TblDisponibilidad[],12,FALSE), 0)</f>
        <v>0</v>
      </c>
      <c r="I595">
        <f>IFERROR(VLOOKUP(Tabla13[[#This Row],[SISMED]],TblDisponibilidad[],13,FALSE), 0)</f>
        <v>0</v>
      </c>
      <c r="J595">
        <f>IFERROR(VLOOKUP(Tabla13[[#This Row],[SISMED]],TblDisponibilidad[],14,FALSE), 0)</f>
        <v>0</v>
      </c>
      <c r="K595">
        <f>IFERROR(VLOOKUP(Tabla13[[#This Row],[SISMED]],TblDisponibilidad[],15,FALSE), 0)</f>
        <v>0</v>
      </c>
      <c r="L595">
        <f>IFERROR(VLOOKUP(Tabla13[[#This Row],[SISMED]],TblDisponibilidad[],16,FALSE), 0)</f>
        <v>0</v>
      </c>
      <c r="M595">
        <f>IFERROR(VLOOKUP(Tabla13[[#This Row],[SISMED]],TblDisponibilidad[],17,FALSE), 0)</f>
        <v>0</v>
      </c>
      <c r="N595">
        <f>IFERROR(VLOOKUP(Tabla13[[#This Row],[SISMED]],TblDisponibilidad[],18,FALSE), 0)</f>
        <v>0</v>
      </c>
      <c r="O595">
        <f>IFERROR(VLOOKUP(Tabla13[[#This Row],[SISMED]],TblDisponibilidad[],19,FALSE), 0)</f>
        <v>0</v>
      </c>
      <c r="P595">
        <f>IFERROR(VLOOKUP(Tabla13[[#This Row],[SISMED]],TblDisponibilidad[],20,FALSE), 0)</f>
        <v>0</v>
      </c>
      <c r="Q595">
        <f>IFERROR(VLOOKUP(Tabla13[[#This Row],[SISMED]],TblDisponibilidad[],21,FALSE), 0)</f>
        <v>0</v>
      </c>
      <c r="R595">
        <f>IFERROR(VLOOKUP(Tabla13[[#This Row],[SISMED]],TblDisponibilidad[],22,FALSE), 0)</f>
        <v>0</v>
      </c>
      <c r="S595" s="15">
        <f>IFERROR(VLOOKUP(Tabla13[[#This Row],[SISMED]],TblDisponibilidad[],23,FALSE), 0)</f>
        <v>0</v>
      </c>
    </row>
    <row r="596" spans="1:19" x14ac:dyDescent="0.3">
      <c r="A596" s="15" t="s">
        <v>626</v>
      </c>
      <c r="B596" t="str">
        <f>IFERROR(VLOOKUP(Tabla13[[#This Row],[SISMED]],TblDisponibilidad[],2,FALSE), "")</f>
        <v/>
      </c>
      <c r="C596">
        <f>IFERROR(VLOOKUP(Tabla13[[#This Row],[SISMED]],TblDisponibilidad[],7,FALSE), 0)</f>
        <v>0</v>
      </c>
      <c r="D596">
        <f>IFERROR(VLOOKUP(Tabla13[[#This Row],[SISMED]],TblDisponibilidad[],8,FALSE), 0)</f>
        <v>0</v>
      </c>
      <c r="E596">
        <f>IFERROR(VLOOKUP(Tabla13[[#This Row],[SISMED]],TblDisponibilidad[],9,FALSE), 0)</f>
        <v>0</v>
      </c>
      <c r="F596">
        <f>IFERROR(VLOOKUP(Tabla13[[#This Row],[SISMED]],TblDisponibilidad[],10,FALSE), 0)</f>
        <v>0</v>
      </c>
      <c r="G596">
        <f>IFERROR(VLOOKUP(Tabla13[[#This Row],[SISMED]],TblDisponibilidad[],11,FALSE), 0)</f>
        <v>0</v>
      </c>
      <c r="H596">
        <f>IFERROR(VLOOKUP(Tabla13[[#This Row],[SISMED]],TblDisponibilidad[],12,FALSE), 0)</f>
        <v>0</v>
      </c>
      <c r="I596">
        <f>IFERROR(VLOOKUP(Tabla13[[#This Row],[SISMED]],TblDisponibilidad[],13,FALSE), 0)</f>
        <v>0</v>
      </c>
      <c r="J596">
        <f>IFERROR(VLOOKUP(Tabla13[[#This Row],[SISMED]],TblDisponibilidad[],14,FALSE), 0)</f>
        <v>0</v>
      </c>
      <c r="K596">
        <f>IFERROR(VLOOKUP(Tabla13[[#This Row],[SISMED]],TblDisponibilidad[],15,FALSE), 0)</f>
        <v>0</v>
      </c>
      <c r="L596">
        <f>IFERROR(VLOOKUP(Tabla13[[#This Row],[SISMED]],TblDisponibilidad[],16,FALSE), 0)</f>
        <v>0</v>
      </c>
      <c r="M596">
        <f>IFERROR(VLOOKUP(Tabla13[[#This Row],[SISMED]],TblDisponibilidad[],17,FALSE), 0)</f>
        <v>0</v>
      </c>
      <c r="N596">
        <f>IFERROR(VLOOKUP(Tabla13[[#This Row],[SISMED]],TblDisponibilidad[],18,FALSE), 0)</f>
        <v>0</v>
      </c>
      <c r="O596">
        <f>IFERROR(VLOOKUP(Tabla13[[#This Row],[SISMED]],TblDisponibilidad[],19,FALSE), 0)</f>
        <v>0</v>
      </c>
      <c r="P596">
        <f>IFERROR(VLOOKUP(Tabla13[[#This Row],[SISMED]],TblDisponibilidad[],20,FALSE), 0)</f>
        <v>0</v>
      </c>
      <c r="Q596">
        <f>IFERROR(VLOOKUP(Tabla13[[#This Row],[SISMED]],TblDisponibilidad[],21,FALSE), 0)</f>
        <v>0</v>
      </c>
      <c r="R596">
        <f>IFERROR(VLOOKUP(Tabla13[[#This Row],[SISMED]],TblDisponibilidad[],22,FALSE), 0)</f>
        <v>0</v>
      </c>
      <c r="S596" s="15">
        <f>IFERROR(VLOOKUP(Tabla13[[#This Row],[SISMED]],TblDisponibilidad[],23,FALSE), 0)</f>
        <v>0</v>
      </c>
    </row>
    <row r="597" spans="1:19" x14ac:dyDescent="0.3">
      <c r="A597" s="15" t="s">
        <v>627</v>
      </c>
      <c r="B597" t="str">
        <f>IFERROR(VLOOKUP(Tabla13[[#This Row],[SISMED]],TblDisponibilidad[],2,FALSE), "")</f>
        <v/>
      </c>
      <c r="C597">
        <f>IFERROR(VLOOKUP(Tabla13[[#This Row],[SISMED]],TblDisponibilidad[],7,FALSE), 0)</f>
        <v>0</v>
      </c>
      <c r="D597">
        <f>IFERROR(VLOOKUP(Tabla13[[#This Row],[SISMED]],TblDisponibilidad[],8,FALSE), 0)</f>
        <v>0</v>
      </c>
      <c r="E597">
        <f>IFERROR(VLOOKUP(Tabla13[[#This Row],[SISMED]],TblDisponibilidad[],9,FALSE), 0)</f>
        <v>0</v>
      </c>
      <c r="F597">
        <f>IFERROR(VLOOKUP(Tabla13[[#This Row],[SISMED]],TblDisponibilidad[],10,FALSE), 0)</f>
        <v>0</v>
      </c>
      <c r="G597">
        <f>IFERROR(VLOOKUP(Tabla13[[#This Row],[SISMED]],TblDisponibilidad[],11,FALSE), 0)</f>
        <v>0</v>
      </c>
      <c r="H597">
        <f>IFERROR(VLOOKUP(Tabla13[[#This Row],[SISMED]],TblDisponibilidad[],12,FALSE), 0)</f>
        <v>0</v>
      </c>
      <c r="I597">
        <f>IFERROR(VLOOKUP(Tabla13[[#This Row],[SISMED]],TblDisponibilidad[],13,FALSE), 0)</f>
        <v>0</v>
      </c>
      <c r="J597">
        <f>IFERROR(VLOOKUP(Tabla13[[#This Row],[SISMED]],TblDisponibilidad[],14,FALSE), 0)</f>
        <v>0</v>
      </c>
      <c r="K597">
        <f>IFERROR(VLOOKUP(Tabla13[[#This Row],[SISMED]],TblDisponibilidad[],15,FALSE), 0)</f>
        <v>0</v>
      </c>
      <c r="L597">
        <f>IFERROR(VLOOKUP(Tabla13[[#This Row],[SISMED]],TblDisponibilidad[],16,FALSE), 0)</f>
        <v>0</v>
      </c>
      <c r="M597">
        <f>IFERROR(VLOOKUP(Tabla13[[#This Row],[SISMED]],TblDisponibilidad[],17,FALSE), 0)</f>
        <v>0</v>
      </c>
      <c r="N597">
        <f>IFERROR(VLOOKUP(Tabla13[[#This Row],[SISMED]],TblDisponibilidad[],18,FALSE), 0)</f>
        <v>0</v>
      </c>
      <c r="O597">
        <f>IFERROR(VLOOKUP(Tabla13[[#This Row],[SISMED]],TblDisponibilidad[],19,FALSE), 0)</f>
        <v>0</v>
      </c>
      <c r="P597">
        <f>IFERROR(VLOOKUP(Tabla13[[#This Row],[SISMED]],TblDisponibilidad[],20,FALSE), 0)</f>
        <v>0</v>
      </c>
      <c r="Q597">
        <f>IFERROR(VLOOKUP(Tabla13[[#This Row],[SISMED]],TblDisponibilidad[],21,FALSE), 0)</f>
        <v>0</v>
      </c>
      <c r="R597">
        <f>IFERROR(VLOOKUP(Tabla13[[#This Row],[SISMED]],TblDisponibilidad[],22,FALSE), 0)</f>
        <v>0</v>
      </c>
      <c r="S597" s="15">
        <f>IFERROR(VLOOKUP(Tabla13[[#This Row],[SISMED]],TblDisponibilidad[],23,FALSE), 0)</f>
        <v>0</v>
      </c>
    </row>
    <row r="598" spans="1:19" x14ac:dyDescent="0.3">
      <c r="A598" s="15" t="s">
        <v>628</v>
      </c>
      <c r="B598" t="str">
        <f>IFERROR(VLOOKUP(Tabla13[[#This Row],[SISMED]],TblDisponibilidad[],2,FALSE), "")</f>
        <v/>
      </c>
      <c r="C598">
        <f>IFERROR(VLOOKUP(Tabla13[[#This Row],[SISMED]],TblDisponibilidad[],7,FALSE), 0)</f>
        <v>0</v>
      </c>
      <c r="D598">
        <f>IFERROR(VLOOKUP(Tabla13[[#This Row],[SISMED]],TblDisponibilidad[],8,FALSE), 0)</f>
        <v>0</v>
      </c>
      <c r="E598">
        <f>IFERROR(VLOOKUP(Tabla13[[#This Row],[SISMED]],TblDisponibilidad[],9,FALSE), 0)</f>
        <v>0</v>
      </c>
      <c r="F598">
        <f>IFERROR(VLOOKUP(Tabla13[[#This Row],[SISMED]],TblDisponibilidad[],10,FALSE), 0)</f>
        <v>0</v>
      </c>
      <c r="G598">
        <f>IFERROR(VLOOKUP(Tabla13[[#This Row],[SISMED]],TblDisponibilidad[],11,FALSE), 0)</f>
        <v>0</v>
      </c>
      <c r="H598">
        <f>IFERROR(VLOOKUP(Tabla13[[#This Row],[SISMED]],TblDisponibilidad[],12,FALSE), 0)</f>
        <v>0</v>
      </c>
      <c r="I598">
        <f>IFERROR(VLOOKUP(Tabla13[[#This Row],[SISMED]],TblDisponibilidad[],13,FALSE), 0)</f>
        <v>0</v>
      </c>
      <c r="J598">
        <f>IFERROR(VLOOKUP(Tabla13[[#This Row],[SISMED]],TblDisponibilidad[],14,FALSE), 0)</f>
        <v>0</v>
      </c>
      <c r="K598">
        <f>IFERROR(VLOOKUP(Tabla13[[#This Row],[SISMED]],TblDisponibilidad[],15,FALSE), 0)</f>
        <v>0</v>
      </c>
      <c r="L598">
        <f>IFERROR(VLOOKUP(Tabla13[[#This Row],[SISMED]],TblDisponibilidad[],16,FALSE), 0)</f>
        <v>0</v>
      </c>
      <c r="M598">
        <f>IFERROR(VLOOKUP(Tabla13[[#This Row],[SISMED]],TblDisponibilidad[],17,FALSE), 0)</f>
        <v>0</v>
      </c>
      <c r="N598">
        <f>IFERROR(VLOOKUP(Tabla13[[#This Row],[SISMED]],TblDisponibilidad[],18,FALSE), 0)</f>
        <v>0</v>
      </c>
      <c r="O598">
        <f>IFERROR(VLOOKUP(Tabla13[[#This Row],[SISMED]],TblDisponibilidad[],19,FALSE), 0)</f>
        <v>0</v>
      </c>
      <c r="P598">
        <f>IFERROR(VLOOKUP(Tabla13[[#This Row],[SISMED]],TblDisponibilidad[],20,FALSE), 0)</f>
        <v>0</v>
      </c>
      <c r="Q598">
        <f>IFERROR(VLOOKUP(Tabla13[[#This Row],[SISMED]],TblDisponibilidad[],21,FALSE), 0)</f>
        <v>0</v>
      </c>
      <c r="R598">
        <f>IFERROR(VLOOKUP(Tabla13[[#This Row],[SISMED]],TblDisponibilidad[],22,FALSE), 0)</f>
        <v>0</v>
      </c>
      <c r="S598" s="15">
        <f>IFERROR(VLOOKUP(Tabla13[[#This Row],[SISMED]],TblDisponibilidad[],23,FALSE), 0)</f>
        <v>0</v>
      </c>
    </row>
    <row r="599" spans="1:19" x14ac:dyDescent="0.3">
      <c r="A599" s="15" t="s">
        <v>629</v>
      </c>
      <c r="B599" t="str">
        <f>IFERROR(VLOOKUP(Tabla13[[#This Row],[SISMED]],TblDisponibilidad[],2,FALSE), "")</f>
        <v/>
      </c>
      <c r="C599">
        <f>IFERROR(VLOOKUP(Tabla13[[#This Row],[SISMED]],TblDisponibilidad[],7,FALSE), 0)</f>
        <v>0</v>
      </c>
      <c r="D599">
        <f>IFERROR(VLOOKUP(Tabla13[[#This Row],[SISMED]],TblDisponibilidad[],8,FALSE), 0)</f>
        <v>0</v>
      </c>
      <c r="E599">
        <f>IFERROR(VLOOKUP(Tabla13[[#This Row],[SISMED]],TblDisponibilidad[],9,FALSE), 0)</f>
        <v>0</v>
      </c>
      <c r="F599">
        <f>IFERROR(VLOOKUP(Tabla13[[#This Row],[SISMED]],TblDisponibilidad[],10,FALSE), 0)</f>
        <v>0</v>
      </c>
      <c r="G599">
        <f>IFERROR(VLOOKUP(Tabla13[[#This Row],[SISMED]],TblDisponibilidad[],11,FALSE), 0)</f>
        <v>0</v>
      </c>
      <c r="H599">
        <f>IFERROR(VLOOKUP(Tabla13[[#This Row],[SISMED]],TblDisponibilidad[],12,FALSE), 0)</f>
        <v>0</v>
      </c>
      <c r="I599">
        <f>IFERROR(VLOOKUP(Tabla13[[#This Row],[SISMED]],TblDisponibilidad[],13,FALSE), 0)</f>
        <v>0</v>
      </c>
      <c r="J599">
        <f>IFERROR(VLOOKUP(Tabla13[[#This Row],[SISMED]],TblDisponibilidad[],14,FALSE), 0)</f>
        <v>0</v>
      </c>
      <c r="K599">
        <f>IFERROR(VLOOKUP(Tabla13[[#This Row],[SISMED]],TblDisponibilidad[],15,FALSE), 0)</f>
        <v>0</v>
      </c>
      <c r="L599">
        <f>IFERROR(VLOOKUP(Tabla13[[#This Row],[SISMED]],TblDisponibilidad[],16,FALSE), 0)</f>
        <v>0</v>
      </c>
      <c r="M599">
        <f>IFERROR(VLOOKUP(Tabla13[[#This Row],[SISMED]],TblDisponibilidad[],17,FALSE), 0)</f>
        <v>0</v>
      </c>
      <c r="N599">
        <f>IFERROR(VLOOKUP(Tabla13[[#This Row],[SISMED]],TblDisponibilidad[],18,FALSE), 0)</f>
        <v>0</v>
      </c>
      <c r="O599">
        <f>IFERROR(VLOOKUP(Tabla13[[#This Row],[SISMED]],TblDisponibilidad[],19,FALSE), 0)</f>
        <v>0</v>
      </c>
      <c r="P599">
        <f>IFERROR(VLOOKUP(Tabla13[[#This Row],[SISMED]],TblDisponibilidad[],20,FALSE), 0)</f>
        <v>0</v>
      </c>
      <c r="Q599">
        <f>IFERROR(VLOOKUP(Tabla13[[#This Row],[SISMED]],TblDisponibilidad[],21,FALSE), 0)</f>
        <v>0</v>
      </c>
      <c r="R599">
        <f>IFERROR(VLOOKUP(Tabla13[[#This Row],[SISMED]],TblDisponibilidad[],22,FALSE), 0)</f>
        <v>0</v>
      </c>
      <c r="S599" s="15">
        <f>IFERROR(VLOOKUP(Tabla13[[#This Row],[SISMED]],TblDisponibilidad[],23,FALSE), 0)</f>
        <v>0</v>
      </c>
    </row>
    <row r="600" spans="1:19" x14ac:dyDescent="0.3">
      <c r="A600" s="15" t="s">
        <v>630</v>
      </c>
      <c r="B600" t="str">
        <f>IFERROR(VLOOKUP(Tabla13[[#This Row],[SISMED]],TblDisponibilidad[],2,FALSE), "")</f>
        <v/>
      </c>
      <c r="C600">
        <f>IFERROR(VLOOKUP(Tabla13[[#This Row],[SISMED]],TblDisponibilidad[],7,FALSE), 0)</f>
        <v>0</v>
      </c>
      <c r="D600">
        <f>IFERROR(VLOOKUP(Tabla13[[#This Row],[SISMED]],TblDisponibilidad[],8,FALSE), 0)</f>
        <v>0</v>
      </c>
      <c r="E600">
        <f>IFERROR(VLOOKUP(Tabla13[[#This Row],[SISMED]],TblDisponibilidad[],9,FALSE), 0)</f>
        <v>0</v>
      </c>
      <c r="F600">
        <f>IFERROR(VLOOKUP(Tabla13[[#This Row],[SISMED]],TblDisponibilidad[],10,FALSE), 0)</f>
        <v>0</v>
      </c>
      <c r="G600">
        <f>IFERROR(VLOOKUP(Tabla13[[#This Row],[SISMED]],TblDisponibilidad[],11,FALSE), 0)</f>
        <v>0</v>
      </c>
      <c r="H600">
        <f>IFERROR(VLOOKUP(Tabla13[[#This Row],[SISMED]],TblDisponibilidad[],12,FALSE), 0)</f>
        <v>0</v>
      </c>
      <c r="I600">
        <f>IFERROR(VLOOKUP(Tabla13[[#This Row],[SISMED]],TblDisponibilidad[],13,FALSE), 0)</f>
        <v>0</v>
      </c>
      <c r="J600">
        <f>IFERROR(VLOOKUP(Tabla13[[#This Row],[SISMED]],TblDisponibilidad[],14,FALSE), 0)</f>
        <v>0</v>
      </c>
      <c r="K600">
        <f>IFERROR(VLOOKUP(Tabla13[[#This Row],[SISMED]],TblDisponibilidad[],15,FALSE), 0)</f>
        <v>0</v>
      </c>
      <c r="L600">
        <f>IFERROR(VLOOKUP(Tabla13[[#This Row],[SISMED]],TblDisponibilidad[],16,FALSE), 0)</f>
        <v>0</v>
      </c>
      <c r="M600">
        <f>IFERROR(VLOOKUP(Tabla13[[#This Row],[SISMED]],TblDisponibilidad[],17,FALSE), 0)</f>
        <v>0</v>
      </c>
      <c r="N600">
        <f>IFERROR(VLOOKUP(Tabla13[[#This Row],[SISMED]],TblDisponibilidad[],18,FALSE), 0)</f>
        <v>0</v>
      </c>
      <c r="O600">
        <f>IFERROR(VLOOKUP(Tabla13[[#This Row],[SISMED]],TblDisponibilidad[],19,FALSE), 0)</f>
        <v>0</v>
      </c>
      <c r="P600">
        <f>IFERROR(VLOOKUP(Tabla13[[#This Row],[SISMED]],TblDisponibilidad[],20,FALSE), 0)</f>
        <v>0</v>
      </c>
      <c r="Q600">
        <f>IFERROR(VLOOKUP(Tabla13[[#This Row],[SISMED]],TblDisponibilidad[],21,FALSE), 0)</f>
        <v>0</v>
      </c>
      <c r="R600">
        <f>IFERROR(VLOOKUP(Tabla13[[#This Row],[SISMED]],TblDisponibilidad[],22,FALSE), 0)</f>
        <v>0</v>
      </c>
      <c r="S600" s="15">
        <f>IFERROR(VLOOKUP(Tabla13[[#This Row],[SISMED]],TblDisponibilidad[],23,FALSE), 0)</f>
        <v>0</v>
      </c>
    </row>
    <row r="601" spans="1:19" x14ac:dyDescent="0.3">
      <c r="A601" s="15" t="s">
        <v>631</v>
      </c>
      <c r="B601" t="str">
        <f>IFERROR(VLOOKUP(Tabla13[[#This Row],[SISMED]],TblDisponibilidad[],2,FALSE), "")</f>
        <v/>
      </c>
      <c r="C601">
        <f>IFERROR(VLOOKUP(Tabla13[[#This Row],[SISMED]],TblDisponibilidad[],7,FALSE), 0)</f>
        <v>0</v>
      </c>
      <c r="D601">
        <f>IFERROR(VLOOKUP(Tabla13[[#This Row],[SISMED]],TblDisponibilidad[],8,FALSE), 0)</f>
        <v>0</v>
      </c>
      <c r="E601">
        <f>IFERROR(VLOOKUP(Tabla13[[#This Row],[SISMED]],TblDisponibilidad[],9,FALSE), 0)</f>
        <v>0</v>
      </c>
      <c r="F601">
        <f>IFERROR(VLOOKUP(Tabla13[[#This Row],[SISMED]],TblDisponibilidad[],10,FALSE), 0)</f>
        <v>0</v>
      </c>
      <c r="G601">
        <f>IFERROR(VLOOKUP(Tabla13[[#This Row],[SISMED]],TblDisponibilidad[],11,FALSE), 0)</f>
        <v>0</v>
      </c>
      <c r="H601">
        <f>IFERROR(VLOOKUP(Tabla13[[#This Row],[SISMED]],TblDisponibilidad[],12,FALSE), 0)</f>
        <v>0</v>
      </c>
      <c r="I601">
        <f>IFERROR(VLOOKUP(Tabla13[[#This Row],[SISMED]],TblDisponibilidad[],13,FALSE), 0)</f>
        <v>0</v>
      </c>
      <c r="J601">
        <f>IFERROR(VLOOKUP(Tabla13[[#This Row],[SISMED]],TblDisponibilidad[],14,FALSE), 0)</f>
        <v>0</v>
      </c>
      <c r="K601">
        <f>IFERROR(VLOOKUP(Tabla13[[#This Row],[SISMED]],TblDisponibilidad[],15,FALSE), 0)</f>
        <v>0</v>
      </c>
      <c r="L601">
        <f>IFERROR(VLOOKUP(Tabla13[[#This Row],[SISMED]],TblDisponibilidad[],16,FALSE), 0)</f>
        <v>0</v>
      </c>
      <c r="M601">
        <f>IFERROR(VLOOKUP(Tabla13[[#This Row],[SISMED]],TblDisponibilidad[],17,FALSE), 0)</f>
        <v>0</v>
      </c>
      <c r="N601">
        <f>IFERROR(VLOOKUP(Tabla13[[#This Row],[SISMED]],TblDisponibilidad[],18,FALSE), 0)</f>
        <v>0</v>
      </c>
      <c r="O601">
        <f>IFERROR(VLOOKUP(Tabla13[[#This Row],[SISMED]],TblDisponibilidad[],19,FALSE), 0)</f>
        <v>0</v>
      </c>
      <c r="P601">
        <f>IFERROR(VLOOKUP(Tabla13[[#This Row],[SISMED]],TblDisponibilidad[],20,FALSE), 0)</f>
        <v>0</v>
      </c>
      <c r="Q601">
        <f>IFERROR(VLOOKUP(Tabla13[[#This Row],[SISMED]],TblDisponibilidad[],21,FALSE), 0)</f>
        <v>0</v>
      </c>
      <c r="R601">
        <f>IFERROR(VLOOKUP(Tabla13[[#This Row],[SISMED]],TblDisponibilidad[],22,FALSE), 0)</f>
        <v>0</v>
      </c>
      <c r="S601" s="15">
        <f>IFERROR(VLOOKUP(Tabla13[[#This Row],[SISMED]],TblDisponibilidad[],23,FALSE), 0)</f>
        <v>0</v>
      </c>
    </row>
    <row r="602" spans="1:19" x14ac:dyDescent="0.3">
      <c r="A602" s="15" t="s">
        <v>632</v>
      </c>
      <c r="B602" t="str">
        <f>IFERROR(VLOOKUP(Tabla13[[#This Row],[SISMED]],TblDisponibilidad[],2,FALSE), "")</f>
        <v/>
      </c>
      <c r="C602">
        <f>IFERROR(VLOOKUP(Tabla13[[#This Row],[SISMED]],TblDisponibilidad[],7,FALSE), 0)</f>
        <v>0</v>
      </c>
      <c r="D602">
        <f>IFERROR(VLOOKUP(Tabla13[[#This Row],[SISMED]],TblDisponibilidad[],8,FALSE), 0)</f>
        <v>0</v>
      </c>
      <c r="E602">
        <f>IFERROR(VLOOKUP(Tabla13[[#This Row],[SISMED]],TblDisponibilidad[],9,FALSE), 0)</f>
        <v>0</v>
      </c>
      <c r="F602">
        <f>IFERROR(VLOOKUP(Tabla13[[#This Row],[SISMED]],TblDisponibilidad[],10,FALSE), 0)</f>
        <v>0</v>
      </c>
      <c r="G602">
        <f>IFERROR(VLOOKUP(Tabla13[[#This Row],[SISMED]],TblDisponibilidad[],11,FALSE), 0)</f>
        <v>0</v>
      </c>
      <c r="H602">
        <f>IFERROR(VLOOKUP(Tabla13[[#This Row],[SISMED]],TblDisponibilidad[],12,FALSE), 0)</f>
        <v>0</v>
      </c>
      <c r="I602">
        <f>IFERROR(VLOOKUP(Tabla13[[#This Row],[SISMED]],TblDisponibilidad[],13,FALSE), 0)</f>
        <v>0</v>
      </c>
      <c r="J602">
        <f>IFERROR(VLOOKUP(Tabla13[[#This Row],[SISMED]],TblDisponibilidad[],14,FALSE), 0)</f>
        <v>0</v>
      </c>
      <c r="K602">
        <f>IFERROR(VLOOKUP(Tabla13[[#This Row],[SISMED]],TblDisponibilidad[],15,FALSE), 0)</f>
        <v>0</v>
      </c>
      <c r="L602">
        <f>IFERROR(VLOOKUP(Tabla13[[#This Row],[SISMED]],TblDisponibilidad[],16,FALSE), 0)</f>
        <v>0</v>
      </c>
      <c r="M602">
        <f>IFERROR(VLOOKUP(Tabla13[[#This Row],[SISMED]],TblDisponibilidad[],17,FALSE), 0)</f>
        <v>0</v>
      </c>
      <c r="N602">
        <f>IFERROR(VLOOKUP(Tabla13[[#This Row],[SISMED]],TblDisponibilidad[],18,FALSE), 0)</f>
        <v>0</v>
      </c>
      <c r="O602">
        <f>IFERROR(VLOOKUP(Tabla13[[#This Row],[SISMED]],TblDisponibilidad[],19,FALSE), 0)</f>
        <v>0</v>
      </c>
      <c r="P602">
        <f>IFERROR(VLOOKUP(Tabla13[[#This Row],[SISMED]],TblDisponibilidad[],20,FALSE), 0)</f>
        <v>0</v>
      </c>
      <c r="Q602">
        <f>IFERROR(VLOOKUP(Tabla13[[#This Row],[SISMED]],TblDisponibilidad[],21,FALSE), 0)</f>
        <v>0</v>
      </c>
      <c r="R602">
        <f>IFERROR(VLOOKUP(Tabla13[[#This Row],[SISMED]],TblDisponibilidad[],22,FALSE), 0)</f>
        <v>0</v>
      </c>
      <c r="S602" s="15">
        <f>IFERROR(VLOOKUP(Tabla13[[#This Row],[SISMED]],TblDisponibilidad[],23,FALSE), 0)</f>
        <v>0</v>
      </c>
    </row>
    <row r="603" spans="1:19" x14ac:dyDescent="0.3">
      <c r="A603" s="15" t="s">
        <v>633</v>
      </c>
      <c r="B603" t="str">
        <f>IFERROR(VLOOKUP(Tabla13[[#This Row],[SISMED]],TblDisponibilidad[],2,FALSE), "")</f>
        <v/>
      </c>
      <c r="C603">
        <f>IFERROR(VLOOKUP(Tabla13[[#This Row],[SISMED]],TblDisponibilidad[],7,FALSE), 0)</f>
        <v>0</v>
      </c>
      <c r="D603">
        <f>IFERROR(VLOOKUP(Tabla13[[#This Row],[SISMED]],TblDisponibilidad[],8,FALSE), 0)</f>
        <v>0</v>
      </c>
      <c r="E603">
        <f>IFERROR(VLOOKUP(Tabla13[[#This Row],[SISMED]],TblDisponibilidad[],9,FALSE), 0)</f>
        <v>0</v>
      </c>
      <c r="F603">
        <f>IFERROR(VLOOKUP(Tabla13[[#This Row],[SISMED]],TblDisponibilidad[],10,FALSE), 0)</f>
        <v>0</v>
      </c>
      <c r="G603">
        <f>IFERROR(VLOOKUP(Tabla13[[#This Row],[SISMED]],TblDisponibilidad[],11,FALSE), 0)</f>
        <v>0</v>
      </c>
      <c r="H603">
        <f>IFERROR(VLOOKUP(Tabla13[[#This Row],[SISMED]],TblDisponibilidad[],12,FALSE), 0)</f>
        <v>0</v>
      </c>
      <c r="I603">
        <f>IFERROR(VLOOKUP(Tabla13[[#This Row],[SISMED]],TblDisponibilidad[],13,FALSE), 0)</f>
        <v>0</v>
      </c>
      <c r="J603">
        <f>IFERROR(VLOOKUP(Tabla13[[#This Row],[SISMED]],TblDisponibilidad[],14,FALSE), 0)</f>
        <v>0</v>
      </c>
      <c r="K603">
        <f>IFERROR(VLOOKUP(Tabla13[[#This Row],[SISMED]],TblDisponibilidad[],15,FALSE), 0)</f>
        <v>0</v>
      </c>
      <c r="L603">
        <f>IFERROR(VLOOKUP(Tabla13[[#This Row],[SISMED]],TblDisponibilidad[],16,FALSE), 0)</f>
        <v>0</v>
      </c>
      <c r="M603">
        <f>IFERROR(VLOOKUP(Tabla13[[#This Row],[SISMED]],TblDisponibilidad[],17,FALSE), 0)</f>
        <v>0</v>
      </c>
      <c r="N603">
        <f>IFERROR(VLOOKUP(Tabla13[[#This Row],[SISMED]],TblDisponibilidad[],18,FALSE), 0)</f>
        <v>0</v>
      </c>
      <c r="O603">
        <f>IFERROR(VLOOKUP(Tabla13[[#This Row],[SISMED]],TblDisponibilidad[],19,FALSE), 0)</f>
        <v>0</v>
      </c>
      <c r="P603">
        <f>IFERROR(VLOOKUP(Tabla13[[#This Row],[SISMED]],TblDisponibilidad[],20,FALSE), 0)</f>
        <v>0</v>
      </c>
      <c r="Q603">
        <f>IFERROR(VLOOKUP(Tabla13[[#This Row],[SISMED]],TblDisponibilidad[],21,FALSE), 0)</f>
        <v>0</v>
      </c>
      <c r="R603">
        <f>IFERROR(VLOOKUP(Tabla13[[#This Row],[SISMED]],TblDisponibilidad[],22,FALSE), 0)</f>
        <v>0</v>
      </c>
      <c r="S603" s="15">
        <f>IFERROR(VLOOKUP(Tabla13[[#This Row],[SISMED]],TblDisponibilidad[],23,FALSE), 0)</f>
        <v>0</v>
      </c>
    </row>
    <row r="604" spans="1:19" x14ac:dyDescent="0.3">
      <c r="A604" s="15" t="s">
        <v>634</v>
      </c>
      <c r="B604" t="str">
        <f>IFERROR(VLOOKUP(Tabla13[[#This Row],[SISMED]],TblDisponibilidad[],2,FALSE), "")</f>
        <v/>
      </c>
      <c r="C604">
        <f>IFERROR(VLOOKUP(Tabla13[[#This Row],[SISMED]],TblDisponibilidad[],7,FALSE), 0)</f>
        <v>0</v>
      </c>
      <c r="D604">
        <f>IFERROR(VLOOKUP(Tabla13[[#This Row],[SISMED]],TblDisponibilidad[],8,FALSE), 0)</f>
        <v>0</v>
      </c>
      <c r="E604">
        <f>IFERROR(VLOOKUP(Tabla13[[#This Row],[SISMED]],TblDisponibilidad[],9,FALSE), 0)</f>
        <v>0</v>
      </c>
      <c r="F604">
        <f>IFERROR(VLOOKUP(Tabla13[[#This Row],[SISMED]],TblDisponibilidad[],10,FALSE), 0)</f>
        <v>0</v>
      </c>
      <c r="G604">
        <f>IFERROR(VLOOKUP(Tabla13[[#This Row],[SISMED]],TblDisponibilidad[],11,FALSE), 0)</f>
        <v>0</v>
      </c>
      <c r="H604">
        <f>IFERROR(VLOOKUP(Tabla13[[#This Row],[SISMED]],TblDisponibilidad[],12,FALSE), 0)</f>
        <v>0</v>
      </c>
      <c r="I604">
        <f>IFERROR(VLOOKUP(Tabla13[[#This Row],[SISMED]],TblDisponibilidad[],13,FALSE), 0)</f>
        <v>0</v>
      </c>
      <c r="J604">
        <f>IFERROR(VLOOKUP(Tabla13[[#This Row],[SISMED]],TblDisponibilidad[],14,FALSE), 0)</f>
        <v>0</v>
      </c>
      <c r="K604">
        <f>IFERROR(VLOOKUP(Tabla13[[#This Row],[SISMED]],TblDisponibilidad[],15,FALSE), 0)</f>
        <v>0</v>
      </c>
      <c r="L604">
        <f>IFERROR(VLOOKUP(Tabla13[[#This Row],[SISMED]],TblDisponibilidad[],16,FALSE), 0)</f>
        <v>0</v>
      </c>
      <c r="M604">
        <f>IFERROR(VLOOKUP(Tabla13[[#This Row],[SISMED]],TblDisponibilidad[],17,FALSE), 0)</f>
        <v>0</v>
      </c>
      <c r="N604">
        <f>IFERROR(VLOOKUP(Tabla13[[#This Row],[SISMED]],TblDisponibilidad[],18,FALSE), 0)</f>
        <v>0</v>
      </c>
      <c r="O604">
        <f>IFERROR(VLOOKUP(Tabla13[[#This Row],[SISMED]],TblDisponibilidad[],19,FALSE), 0)</f>
        <v>0</v>
      </c>
      <c r="P604">
        <f>IFERROR(VLOOKUP(Tabla13[[#This Row],[SISMED]],TblDisponibilidad[],20,FALSE), 0)</f>
        <v>0</v>
      </c>
      <c r="Q604">
        <f>IFERROR(VLOOKUP(Tabla13[[#This Row],[SISMED]],TblDisponibilidad[],21,FALSE), 0)</f>
        <v>0</v>
      </c>
      <c r="R604">
        <f>IFERROR(VLOOKUP(Tabla13[[#This Row],[SISMED]],TblDisponibilidad[],22,FALSE), 0)</f>
        <v>0</v>
      </c>
      <c r="S604" s="15">
        <f>IFERROR(VLOOKUP(Tabla13[[#This Row],[SISMED]],TblDisponibilidad[],23,FALSE), 0)</f>
        <v>0</v>
      </c>
    </row>
    <row r="605" spans="1:19" x14ac:dyDescent="0.3">
      <c r="A605" s="15" t="s">
        <v>635</v>
      </c>
      <c r="B605" t="str">
        <f>IFERROR(VLOOKUP(Tabla13[[#This Row],[SISMED]],TblDisponibilidad[],2,FALSE), "")</f>
        <v/>
      </c>
      <c r="C605">
        <f>IFERROR(VLOOKUP(Tabla13[[#This Row],[SISMED]],TblDisponibilidad[],7,FALSE), 0)</f>
        <v>0</v>
      </c>
      <c r="D605">
        <f>IFERROR(VLOOKUP(Tabla13[[#This Row],[SISMED]],TblDisponibilidad[],8,FALSE), 0)</f>
        <v>0</v>
      </c>
      <c r="E605">
        <f>IFERROR(VLOOKUP(Tabla13[[#This Row],[SISMED]],TblDisponibilidad[],9,FALSE), 0)</f>
        <v>0</v>
      </c>
      <c r="F605">
        <f>IFERROR(VLOOKUP(Tabla13[[#This Row],[SISMED]],TblDisponibilidad[],10,FALSE), 0)</f>
        <v>0</v>
      </c>
      <c r="G605">
        <f>IFERROR(VLOOKUP(Tabla13[[#This Row],[SISMED]],TblDisponibilidad[],11,FALSE), 0)</f>
        <v>0</v>
      </c>
      <c r="H605">
        <f>IFERROR(VLOOKUP(Tabla13[[#This Row],[SISMED]],TblDisponibilidad[],12,FALSE), 0)</f>
        <v>0</v>
      </c>
      <c r="I605">
        <f>IFERROR(VLOOKUP(Tabla13[[#This Row],[SISMED]],TblDisponibilidad[],13,FALSE), 0)</f>
        <v>0</v>
      </c>
      <c r="J605">
        <f>IFERROR(VLOOKUP(Tabla13[[#This Row],[SISMED]],TblDisponibilidad[],14,FALSE), 0)</f>
        <v>0</v>
      </c>
      <c r="K605">
        <f>IFERROR(VLOOKUP(Tabla13[[#This Row],[SISMED]],TblDisponibilidad[],15,FALSE), 0)</f>
        <v>0</v>
      </c>
      <c r="L605">
        <f>IFERROR(VLOOKUP(Tabla13[[#This Row],[SISMED]],TblDisponibilidad[],16,FALSE), 0)</f>
        <v>0</v>
      </c>
      <c r="M605">
        <f>IFERROR(VLOOKUP(Tabla13[[#This Row],[SISMED]],TblDisponibilidad[],17,FALSE), 0)</f>
        <v>0</v>
      </c>
      <c r="N605">
        <f>IFERROR(VLOOKUP(Tabla13[[#This Row],[SISMED]],TblDisponibilidad[],18,FALSE), 0)</f>
        <v>0</v>
      </c>
      <c r="O605">
        <f>IFERROR(VLOOKUP(Tabla13[[#This Row],[SISMED]],TblDisponibilidad[],19,FALSE), 0)</f>
        <v>0</v>
      </c>
      <c r="P605">
        <f>IFERROR(VLOOKUP(Tabla13[[#This Row],[SISMED]],TblDisponibilidad[],20,FALSE), 0)</f>
        <v>0</v>
      </c>
      <c r="Q605">
        <f>IFERROR(VLOOKUP(Tabla13[[#This Row],[SISMED]],TblDisponibilidad[],21,FALSE), 0)</f>
        <v>0</v>
      </c>
      <c r="R605">
        <f>IFERROR(VLOOKUP(Tabla13[[#This Row],[SISMED]],TblDisponibilidad[],22,FALSE), 0)</f>
        <v>0</v>
      </c>
      <c r="S605" s="15">
        <f>IFERROR(VLOOKUP(Tabla13[[#This Row],[SISMED]],TblDisponibilidad[],23,FALSE), 0)</f>
        <v>0</v>
      </c>
    </row>
    <row r="606" spans="1:19" x14ac:dyDescent="0.3">
      <c r="A606" s="15" t="s">
        <v>636</v>
      </c>
      <c r="B606" t="str">
        <f>IFERROR(VLOOKUP(Tabla13[[#This Row],[SISMED]],TblDisponibilidad[],2,FALSE), "")</f>
        <v/>
      </c>
      <c r="C606">
        <f>IFERROR(VLOOKUP(Tabla13[[#This Row],[SISMED]],TblDisponibilidad[],7,FALSE), 0)</f>
        <v>0</v>
      </c>
      <c r="D606">
        <f>IFERROR(VLOOKUP(Tabla13[[#This Row],[SISMED]],TblDisponibilidad[],8,FALSE), 0)</f>
        <v>0</v>
      </c>
      <c r="E606">
        <f>IFERROR(VLOOKUP(Tabla13[[#This Row],[SISMED]],TblDisponibilidad[],9,FALSE), 0)</f>
        <v>0</v>
      </c>
      <c r="F606">
        <f>IFERROR(VLOOKUP(Tabla13[[#This Row],[SISMED]],TblDisponibilidad[],10,FALSE), 0)</f>
        <v>0</v>
      </c>
      <c r="G606">
        <f>IFERROR(VLOOKUP(Tabla13[[#This Row],[SISMED]],TblDisponibilidad[],11,FALSE), 0)</f>
        <v>0</v>
      </c>
      <c r="H606">
        <f>IFERROR(VLOOKUP(Tabla13[[#This Row],[SISMED]],TblDisponibilidad[],12,FALSE), 0)</f>
        <v>0</v>
      </c>
      <c r="I606">
        <f>IFERROR(VLOOKUP(Tabla13[[#This Row],[SISMED]],TblDisponibilidad[],13,FALSE), 0)</f>
        <v>0</v>
      </c>
      <c r="J606">
        <f>IFERROR(VLOOKUP(Tabla13[[#This Row],[SISMED]],TblDisponibilidad[],14,FALSE), 0)</f>
        <v>0</v>
      </c>
      <c r="K606">
        <f>IFERROR(VLOOKUP(Tabla13[[#This Row],[SISMED]],TblDisponibilidad[],15,FALSE), 0)</f>
        <v>0</v>
      </c>
      <c r="L606">
        <f>IFERROR(VLOOKUP(Tabla13[[#This Row],[SISMED]],TblDisponibilidad[],16,FALSE), 0)</f>
        <v>0</v>
      </c>
      <c r="M606">
        <f>IFERROR(VLOOKUP(Tabla13[[#This Row],[SISMED]],TblDisponibilidad[],17,FALSE), 0)</f>
        <v>0</v>
      </c>
      <c r="N606">
        <f>IFERROR(VLOOKUP(Tabla13[[#This Row],[SISMED]],TblDisponibilidad[],18,FALSE), 0)</f>
        <v>0</v>
      </c>
      <c r="O606">
        <f>IFERROR(VLOOKUP(Tabla13[[#This Row],[SISMED]],TblDisponibilidad[],19,FALSE), 0)</f>
        <v>0</v>
      </c>
      <c r="P606">
        <f>IFERROR(VLOOKUP(Tabla13[[#This Row],[SISMED]],TblDisponibilidad[],20,FALSE), 0)</f>
        <v>0</v>
      </c>
      <c r="Q606">
        <f>IFERROR(VLOOKUP(Tabla13[[#This Row],[SISMED]],TblDisponibilidad[],21,FALSE), 0)</f>
        <v>0</v>
      </c>
      <c r="R606">
        <f>IFERROR(VLOOKUP(Tabla13[[#This Row],[SISMED]],TblDisponibilidad[],22,FALSE), 0)</f>
        <v>0</v>
      </c>
      <c r="S606" s="15">
        <f>IFERROR(VLOOKUP(Tabla13[[#This Row],[SISMED]],TblDisponibilidad[],23,FALSE), 0)</f>
        <v>0</v>
      </c>
    </row>
    <row r="607" spans="1:19" x14ac:dyDescent="0.3">
      <c r="A607" s="15" t="s">
        <v>637</v>
      </c>
      <c r="B607" t="str">
        <f>IFERROR(VLOOKUP(Tabla13[[#This Row],[SISMED]],TblDisponibilidad[],2,FALSE), "")</f>
        <v/>
      </c>
      <c r="C607">
        <f>IFERROR(VLOOKUP(Tabla13[[#This Row],[SISMED]],TblDisponibilidad[],7,FALSE), 0)</f>
        <v>0</v>
      </c>
      <c r="D607">
        <f>IFERROR(VLOOKUP(Tabla13[[#This Row],[SISMED]],TblDisponibilidad[],8,FALSE), 0)</f>
        <v>0</v>
      </c>
      <c r="E607">
        <f>IFERROR(VLOOKUP(Tabla13[[#This Row],[SISMED]],TblDisponibilidad[],9,FALSE), 0)</f>
        <v>0</v>
      </c>
      <c r="F607">
        <f>IFERROR(VLOOKUP(Tabla13[[#This Row],[SISMED]],TblDisponibilidad[],10,FALSE), 0)</f>
        <v>0</v>
      </c>
      <c r="G607">
        <f>IFERROR(VLOOKUP(Tabla13[[#This Row],[SISMED]],TblDisponibilidad[],11,FALSE), 0)</f>
        <v>0</v>
      </c>
      <c r="H607">
        <f>IFERROR(VLOOKUP(Tabla13[[#This Row],[SISMED]],TblDisponibilidad[],12,FALSE), 0)</f>
        <v>0</v>
      </c>
      <c r="I607">
        <f>IFERROR(VLOOKUP(Tabla13[[#This Row],[SISMED]],TblDisponibilidad[],13,FALSE), 0)</f>
        <v>0</v>
      </c>
      <c r="J607">
        <f>IFERROR(VLOOKUP(Tabla13[[#This Row],[SISMED]],TblDisponibilidad[],14,FALSE), 0)</f>
        <v>0</v>
      </c>
      <c r="K607">
        <f>IFERROR(VLOOKUP(Tabla13[[#This Row],[SISMED]],TblDisponibilidad[],15,FALSE), 0)</f>
        <v>0</v>
      </c>
      <c r="L607">
        <f>IFERROR(VLOOKUP(Tabla13[[#This Row],[SISMED]],TblDisponibilidad[],16,FALSE), 0)</f>
        <v>0</v>
      </c>
      <c r="M607">
        <f>IFERROR(VLOOKUP(Tabla13[[#This Row],[SISMED]],TblDisponibilidad[],17,FALSE), 0)</f>
        <v>0</v>
      </c>
      <c r="N607">
        <f>IFERROR(VLOOKUP(Tabla13[[#This Row],[SISMED]],TblDisponibilidad[],18,FALSE), 0)</f>
        <v>0</v>
      </c>
      <c r="O607">
        <f>IFERROR(VLOOKUP(Tabla13[[#This Row],[SISMED]],TblDisponibilidad[],19,FALSE), 0)</f>
        <v>0</v>
      </c>
      <c r="P607">
        <f>IFERROR(VLOOKUP(Tabla13[[#This Row],[SISMED]],TblDisponibilidad[],20,FALSE), 0)</f>
        <v>0</v>
      </c>
      <c r="Q607">
        <f>IFERROR(VLOOKUP(Tabla13[[#This Row],[SISMED]],TblDisponibilidad[],21,FALSE), 0)</f>
        <v>0</v>
      </c>
      <c r="R607">
        <f>IFERROR(VLOOKUP(Tabla13[[#This Row],[SISMED]],TblDisponibilidad[],22,FALSE), 0)</f>
        <v>0</v>
      </c>
      <c r="S607" s="15">
        <f>IFERROR(VLOOKUP(Tabla13[[#This Row],[SISMED]],TblDisponibilidad[],23,FALSE), 0)</f>
        <v>0</v>
      </c>
    </row>
    <row r="608" spans="1:19" x14ac:dyDescent="0.3">
      <c r="A608" s="15" t="s">
        <v>638</v>
      </c>
      <c r="B608" t="str">
        <f>IFERROR(VLOOKUP(Tabla13[[#This Row],[SISMED]],TblDisponibilidad[],2,FALSE), "")</f>
        <v/>
      </c>
      <c r="C608">
        <f>IFERROR(VLOOKUP(Tabla13[[#This Row],[SISMED]],TblDisponibilidad[],7,FALSE), 0)</f>
        <v>0</v>
      </c>
      <c r="D608">
        <f>IFERROR(VLOOKUP(Tabla13[[#This Row],[SISMED]],TblDisponibilidad[],8,FALSE), 0)</f>
        <v>0</v>
      </c>
      <c r="E608">
        <f>IFERROR(VLOOKUP(Tabla13[[#This Row],[SISMED]],TblDisponibilidad[],9,FALSE), 0)</f>
        <v>0</v>
      </c>
      <c r="F608">
        <f>IFERROR(VLOOKUP(Tabla13[[#This Row],[SISMED]],TblDisponibilidad[],10,FALSE), 0)</f>
        <v>0</v>
      </c>
      <c r="G608">
        <f>IFERROR(VLOOKUP(Tabla13[[#This Row],[SISMED]],TblDisponibilidad[],11,FALSE), 0)</f>
        <v>0</v>
      </c>
      <c r="H608">
        <f>IFERROR(VLOOKUP(Tabla13[[#This Row],[SISMED]],TblDisponibilidad[],12,FALSE), 0)</f>
        <v>0</v>
      </c>
      <c r="I608">
        <f>IFERROR(VLOOKUP(Tabla13[[#This Row],[SISMED]],TblDisponibilidad[],13,FALSE), 0)</f>
        <v>0</v>
      </c>
      <c r="J608">
        <f>IFERROR(VLOOKUP(Tabla13[[#This Row],[SISMED]],TblDisponibilidad[],14,FALSE), 0)</f>
        <v>0</v>
      </c>
      <c r="K608">
        <f>IFERROR(VLOOKUP(Tabla13[[#This Row],[SISMED]],TblDisponibilidad[],15,FALSE), 0)</f>
        <v>0</v>
      </c>
      <c r="L608">
        <f>IFERROR(VLOOKUP(Tabla13[[#This Row],[SISMED]],TblDisponibilidad[],16,FALSE), 0)</f>
        <v>0</v>
      </c>
      <c r="M608">
        <f>IFERROR(VLOOKUP(Tabla13[[#This Row],[SISMED]],TblDisponibilidad[],17,FALSE), 0)</f>
        <v>0</v>
      </c>
      <c r="N608">
        <f>IFERROR(VLOOKUP(Tabla13[[#This Row],[SISMED]],TblDisponibilidad[],18,FALSE), 0)</f>
        <v>0</v>
      </c>
      <c r="O608">
        <f>IFERROR(VLOOKUP(Tabla13[[#This Row],[SISMED]],TblDisponibilidad[],19,FALSE), 0)</f>
        <v>0</v>
      </c>
      <c r="P608">
        <f>IFERROR(VLOOKUP(Tabla13[[#This Row],[SISMED]],TblDisponibilidad[],20,FALSE), 0)</f>
        <v>0</v>
      </c>
      <c r="Q608">
        <f>IFERROR(VLOOKUP(Tabla13[[#This Row],[SISMED]],TblDisponibilidad[],21,FALSE), 0)</f>
        <v>0</v>
      </c>
      <c r="R608">
        <f>IFERROR(VLOOKUP(Tabla13[[#This Row],[SISMED]],TblDisponibilidad[],22,FALSE), 0)</f>
        <v>0</v>
      </c>
      <c r="S608" s="15">
        <f>IFERROR(VLOOKUP(Tabla13[[#This Row],[SISMED]],TblDisponibilidad[],23,FALSE), 0)</f>
        <v>0</v>
      </c>
    </row>
    <row r="609" spans="1:19" x14ac:dyDescent="0.3">
      <c r="A609" s="15" t="s">
        <v>639</v>
      </c>
      <c r="B609" t="str">
        <f>IFERROR(VLOOKUP(Tabla13[[#This Row],[SISMED]],TblDisponibilidad[],2,FALSE), "")</f>
        <v/>
      </c>
      <c r="C609">
        <f>IFERROR(VLOOKUP(Tabla13[[#This Row],[SISMED]],TblDisponibilidad[],7,FALSE), 0)</f>
        <v>0</v>
      </c>
      <c r="D609">
        <f>IFERROR(VLOOKUP(Tabla13[[#This Row],[SISMED]],TblDisponibilidad[],8,FALSE), 0)</f>
        <v>0</v>
      </c>
      <c r="E609">
        <f>IFERROR(VLOOKUP(Tabla13[[#This Row],[SISMED]],TblDisponibilidad[],9,FALSE), 0)</f>
        <v>0</v>
      </c>
      <c r="F609">
        <f>IFERROR(VLOOKUP(Tabla13[[#This Row],[SISMED]],TblDisponibilidad[],10,FALSE), 0)</f>
        <v>0</v>
      </c>
      <c r="G609">
        <f>IFERROR(VLOOKUP(Tabla13[[#This Row],[SISMED]],TblDisponibilidad[],11,FALSE), 0)</f>
        <v>0</v>
      </c>
      <c r="H609">
        <f>IFERROR(VLOOKUP(Tabla13[[#This Row],[SISMED]],TblDisponibilidad[],12,FALSE), 0)</f>
        <v>0</v>
      </c>
      <c r="I609">
        <f>IFERROR(VLOOKUP(Tabla13[[#This Row],[SISMED]],TblDisponibilidad[],13,FALSE), 0)</f>
        <v>0</v>
      </c>
      <c r="J609">
        <f>IFERROR(VLOOKUP(Tabla13[[#This Row],[SISMED]],TblDisponibilidad[],14,FALSE), 0)</f>
        <v>0</v>
      </c>
      <c r="K609">
        <f>IFERROR(VLOOKUP(Tabla13[[#This Row],[SISMED]],TblDisponibilidad[],15,FALSE), 0)</f>
        <v>0</v>
      </c>
      <c r="L609">
        <f>IFERROR(VLOOKUP(Tabla13[[#This Row],[SISMED]],TblDisponibilidad[],16,FALSE), 0)</f>
        <v>0</v>
      </c>
      <c r="M609">
        <f>IFERROR(VLOOKUP(Tabla13[[#This Row],[SISMED]],TblDisponibilidad[],17,FALSE), 0)</f>
        <v>0</v>
      </c>
      <c r="N609">
        <f>IFERROR(VLOOKUP(Tabla13[[#This Row],[SISMED]],TblDisponibilidad[],18,FALSE), 0)</f>
        <v>0</v>
      </c>
      <c r="O609">
        <f>IFERROR(VLOOKUP(Tabla13[[#This Row],[SISMED]],TblDisponibilidad[],19,FALSE), 0)</f>
        <v>0</v>
      </c>
      <c r="P609">
        <f>IFERROR(VLOOKUP(Tabla13[[#This Row],[SISMED]],TblDisponibilidad[],20,FALSE), 0)</f>
        <v>0</v>
      </c>
      <c r="Q609">
        <f>IFERROR(VLOOKUP(Tabla13[[#This Row],[SISMED]],TblDisponibilidad[],21,FALSE), 0)</f>
        <v>0</v>
      </c>
      <c r="R609">
        <f>IFERROR(VLOOKUP(Tabla13[[#This Row],[SISMED]],TblDisponibilidad[],22,FALSE), 0)</f>
        <v>0</v>
      </c>
      <c r="S609" s="15">
        <f>IFERROR(VLOOKUP(Tabla13[[#This Row],[SISMED]],TblDisponibilidad[],23,FALSE), 0)</f>
        <v>0</v>
      </c>
    </row>
    <row r="610" spans="1:19" x14ac:dyDescent="0.3">
      <c r="A610" s="15" t="s">
        <v>640</v>
      </c>
      <c r="B610" t="str">
        <f>IFERROR(VLOOKUP(Tabla13[[#This Row],[SISMED]],TblDisponibilidad[],2,FALSE), "")</f>
        <v/>
      </c>
      <c r="C610">
        <f>IFERROR(VLOOKUP(Tabla13[[#This Row],[SISMED]],TblDisponibilidad[],7,FALSE), 0)</f>
        <v>0</v>
      </c>
      <c r="D610">
        <f>IFERROR(VLOOKUP(Tabla13[[#This Row],[SISMED]],TblDisponibilidad[],8,FALSE), 0)</f>
        <v>0</v>
      </c>
      <c r="E610">
        <f>IFERROR(VLOOKUP(Tabla13[[#This Row],[SISMED]],TblDisponibilidad[],9,FALSE), 0)</f>
        <v>0</v>
      </c>
      <c r="F610">
        <f>IFERROR(VLOOKUP(Tabla13[[#This Row],[SISMED]],TblDisponibilidad[],10,FALSE), 0)</f>
        <v>0</v>
      </c>
      <c r="G610">
        <f>IFERROR(VLOOKUP(Tabla13[[#This Row],[SISMED]],TblDisponibilidad[],11,FALSE), 0)</f>
        <v>0</v>
      </c>
      <c r="H610">
        <f>IFERROR(VLOOKUP(Tabla13[[#This Row],[SISMED]],TblDisponibilidad[],12,FALSE), 0)</f>
        <v>0</v>
      </c>
      <c r="I610">
        <f>IFERROR(VLOOKUP(Tabla13[[#This Row],[SISMED]],TblDisponibilidad[],13,FALSE), 0)</f>
        <v>0</v>
      </c>
      <c r="J610">
        <f>IFERROR(VLOOKUP(Tabla13[[#This Row],[SISMED]],TblDisponibilidad[],14,FALSE), 0)</f>
        <v>0</v>
      </c>
      <c r="K610">
        <f>IFERROR(VLOOKUP(Tabla13[[#This Row],[SISMED]],TblDisponibilidad[],15,FALSE), 0)</f>
        <v>0</v>
      </c>
      <c r="L610">
        <f>IFERROR(VLOOKUP(Tabla13[[#This Row],[SISMED]],TblDisponibilidad[],16,FALSE), 0)</f>
        <v>0</v>
      </c>
      <c r="M610">
        <f>IFERROR(VLOOKUP(Tabla13[[#This Row],[SISMED]],TblDisponibilidad[],17,FALSE), 0)</f>
        <v>0</v>
      </c>
      <c r="N610">
        <f>IFERROR(VLOOKUP(Tabla13[[#This Row],[SISMED]],TblDisponibilidad[],18,FALSE), 0)</f>
        <v>0</v>
      </c>
      <c r="O610">
        <f>IFERROR(VLOOKUP(Tabla13[[#This Row],[SISMED]],TblDisponibilidad[],19,FALSE), 0)</f>
        <v>0</v>
      </c>
      <c r="P610">
        <f>IFERROR(VLOOKUP(Tabla13[[#This Row],[SISMED]],TblDisponibilidad[],20,FALSE), 0)</f>
        <v>0</v>
      </c>
      <c r="Q610">
        <f>IFERROR(VLOOKUP(Tabla13[[#This Row],[SISMED]],TblDisponibilidad[],21,FALSE), 0)</f>
        <v>0</v>
      </c>
      <c r="R610">
        <f>IFERROR(VLOOKUP(Tabla13[[#This Row],[SISMED]],TblDisponibilidad[],22,FALSE), 0)</f>
        <v>0</v>
      </c>
      <c r="S610" s="15">
        <f>IFERROR(VLOOKUP(Tabla13[[#This Row],[SISMED]],TblDisponibilidad[],23,FALSE), 0)</f>
        <v>0</v>
      </c>
    </row>
    <row r="611" spans="1:19" x14ac:dyDescent="0.3">
      <c r="A611" s="15" t="s">
        <v>641</v>
      </c>
      <c r="B611" t="str">
        <f>IFERROR(VLOOKUP(Tabla13[[#This Row],[SISMED]],TblDisponibilidad[],2,FALSE), "")</f>
        <v/>
      </c>
      <c r="C611">
        <f>IFERROR(VLOOKUP(Tabla13[[#This Row],[SISMED]],TblDisponibilidad[],7,FALSE), 0)</f>
        <v>0</v>
      </c>
      <c r="D611">
        <f>IFERROR(VLOOKUP(Tabla13[[#This Row],[SISMED]],TblDisponibilidad[],8,FALSE), 0)</f>
        <v>0</v>
      </c>
      <c r="E611">
        <f>IFERROR(VLOOKUP(Tabla13[[#This Row],[SISMED]],TblDisponibilidad[],9,FALSE), 0)</f>
        <v>0</v>
      </c>
      <c r="F611">
        <f>IFERROR(VLOOKUP(Tabla13[[#This Row],[SISMED]],TblDisponibilidad[],10,FALSE), 0)</f>
        <v>0</v>
      </c>
      <c r="G611">
        <f>IFERROR(VLOOKUP(Tabla13[[#This Row],[SISMED]],TblDisponibilidad[],11,FALSE), 0)</f>
        <v>0</v>
      </c>
      <c r="H611">
        <f>IFERROR(VLOOKUP(Tabla13[[#This Row],[SISMED]],TblDisponibilidad[],12,FALSE), 0)</f>
        <v>0</v>
      </c>
      <c r="I611">
        <f>IFERROR(VLOOKUP(Tabla13[[#This Row],[SISMED]],TblDisponibilidad[],13,FALSE), 0)</f>
        <v>0</v>
      </c>
      <c r="J611">
        <f>IFERROR(VLOOKUP(Tabla13[[#This Row],[SISMED]],TblDisponibilidad[],14,FALSE), 0)</f>
        <v>0</v>
      </c>
      <c r="K611">
        <f>IFERROR(VLOOKUP(Tabla13[[#This Row],[SISMED]],TblDisponibilidad[],15,FALSE), 0)</f>
        <v>0</v>
      </c>
      <c r="L611">
        <f>IFERROR(VLOOKUP(Tabla13[[#This Row],[SISMED]],TblDisponibilidad[],16,FALSE), 0)</f>
        <v>0</v>
      </c>
      <c r="M611">
        <f>IFERROR(VLOOKUP(Tabla13[[#This Row],[SISMED]],TblDisponibilidad[],17,FALSE), 0)</f>
        <v>0</v>
      </c>
      <c r="N611">
        <f>IFERROR(VLOOKUP(Tabla13[[#This Row],[SISMED]],TblDisponibilidad[],18,FALSE), 0)</f>
        <v>0</v>
      </c>
      <c r="O611">
        <f>IFERROR(VLOOKUP(Tabla13[[#This Row],[SISMED]],TblDisponibilidad[],19,FALSE), 0)</f>
        <v>0</v>
      </c>
      <c r="P611">
        <f>IFERROR(VLOOKUP(Tabla13[[#This Row],[SISMED]],TblDisponibilidad[],20,FALSE), 0)</f>
        <v>0</v>
      </c>
      <c r="Q611">
        <f>IFERROR(VLOOKUP(Tabla13[[#This Row],[SISMED]],TblDisponibilidad[],21,FALSE), 0)</f>
        <v>0</v>
      </c>
      <c r="R611">
        <f>IFERROR(VLOOKUP(Tabla13[[#This Row],[SISMED]],TblDisponibilidad[],22,FALSE), 0)</f>
        <v>0</v>
      </c>
      <c r="S611" s="15">
        <f>IFERROR(VLOOKUP(Tabla13[[#This Row],[SISMED]],TblDisponibilidad[],23,FALSE), 0)</f>
        <v>0</v>
      </c>
    </row>
    <row r="612" spans="1:19" x14ac:dyDescent="0.3">
      <c r="A612" s="15" t="s">
        <v>642</v>
      </c>
      <c r="B612" t="str">
        <f>IFERROR(VLOOKUP(Tabla13[[#This Row],[SISMED]],TblDisponibilidad[],2,FALSE), "")</f>
        <v/>
      </c>
      <c r="C612">
        <f>IFERROR(VLOOKUP(Tabla13[[#This Row],[SISMED]],TblDisponibilidad[],7,FALSE), 0)</f>
        <v>0</v>
      </c>
      <c r="D612">
        <f>IFERROR(VLOOKUP(Tabla13[[#This Row],[SISMED]],TblDisponibilidad[],8,FALSE), 0)</f>
        <v>0</v>
      </c>
      <c r="E612">
        <f>IFERROR(VLOOKUP(Tabla13[[#This Row],[SISMED]],TblDisponibilidad[],9,FALSE), 0)</f>
        <v>0</v>
      </c>
      <c r="F612">
        <f>IFERROR(VLOOKUP(Tabla13[[#This Row],[SISMED]],TblDisponibilidad[],10,FALSE), 0)</f>
        <v>0</v>
      </c>
      <c r="G612">
        <f>IFERROR(VLOOKUP(Tabla13[[#This Row],[SISMED]],TblDisponibilidad[],11,FALSE), 0)</f>
        <v>0</v>
      </c>
      <c r="H612">
        <f>IFERROR(VLOOKUP(Tabla13[[#This Row],[SISMED]],TblDisponibilidad[],12,FALSE), 0)</f>
        <v>0</v>
      </c>
      <c r="I612">
        <f>IFERROR(VLOOKUP(Tabla13[[#This Row],[SISMED]],TblDisponibilidad[],13,FALSE), 0)</f>
        <v>0</v>
      </c>
      <c r="J612">
        <f>IFERROR(VLOOKUP(Tabla13[[#This Row],[SISMED]],TblDisponibilidad[],14,FALSE), 0)</f>
        <v>0</v>
      </c>
      <c r="K612">
        <f>IFERROR(VLOOKUP(Tabla13[[#This Row],[SISMED]],TblDisponibilidad[],15,FALSE), 0)</f>
        <v>0</v>
      </c>
      <c r="L612">
        <f>IFERROR(VLOOKUP(Tabla13[[#This Row],[SISMED]],TblDisponibilidad[],16,FALSE), 0)</f>
        <v>0</v>
      </c>
      <c r="M612">
        <f>IFERROR(VLOOKUP(Tabla13[[#This Row],[SISMED]],TblDisponibilidad[],17,FALSE), 0)</f>
        <v>0</v>
      </c>
      <c r="N612">
        <f>IFERROR(VLOOKUP(Tabla13[[#This Row],[SISMED]],TblDisponibilidad[],18,FALSE), 0)</f>
        <v>0</v>
      </c>
      <c r="O612">
        <f>IFERROR(VLOOKUP(Tabla13[[#This Row],[SISMED]],TblDisponibilidad[],19,FALSE), 0)</f>
        <v>0</v>
      </c>
      <c r="P612">
        <f>IFERROR(VLOOKUP(Tabla13[[#This Row],[SISMED]],TblDisponibilidad[],20,FALSE), 0)</f>
        <v>0</v>
      </c>
      <c r="Q612">
        <f>IFERROR(VLOOKUP(Tabla13[[#This Row],[SISMED]],TblDisponibilidad[],21,FALSE), 0)</f>
        <v>0</v>
      </c>
      <c r="R612">
        <f>IFERROR(VLOOKUP(Tabla13[[#This Row],[SISMED]],TblDisponibilidad[],22,FALSE), 0)</f>
        <v>0</v>
      </c>
      <c r="S612" s="15">
        <f>IFERROR(VLOOKUP(Tabla13[[#This Row],[SISMED]],TblDisponibilidad[],23,FALSE), 0)</f>
        <v>0</v>
      </c>
    </row>
    <row r="613" spans="1:19" x14ac:dyDescent="0.3">
      <c r="A613" s="15" t="s">
        <v>643</v>
      </c>
      <c r="B613" t="str">
        <f>IFERROR(VLOOKUP(Tabla13[[#This Row],[SISMED]],TblDisponibilidad[],2,FALSE), "")</f>
        <v/>
      </c>
      <c r="C613">
        <f>IFERROR(VLOOKUP(Tabla13[[#This Row],[SISMED]],TblDisponibilidad[],7,FALSE), 0)</f>
        <v>0</v>
      </c>
      <c r="D613">
        <f>IFERROR(VLOOKUP(Tabla13[[#This Row],[SISMED]],TblDisponibilidad[],8,FALSE), 0)</f>
        <v>0</v>
      </c>
      <c r="E613">
        <f>IFERROR(VLOOKUP(Tabla13[[#This Row],[SISMED]],TblDisponibilidad[],9,FALSE), 0)</f>
        <v>0</v>
      </c>
      <c r="F613">
        <f>IFERROR(VLOOKUP(Tabla13[[#This Row],[SISMED]],TblDisponibilidad[],10,FALSE), 0)</f>
        <v>0</v>
      </c>
      <c r="G613">
        <f>IFERROR(VLOOKUP(Tabla13[[#This Row],[SISMED]],TblDisponibilidad[],11,FALSE), 0)</f>
        <v>0</v>
      </c>
      <c r="H613">
        <f>IFERROR(VLOOKUP(Tabla13[[#This Row],[SISMED]],TblDisponibilidad[],12,FALSE), 0)</f>
        <v>0</v>
      </c>
      <c r="I613">
        <f>IFERROR(VLOOKUP(Tabla13[[#This Row],[SISMED]],TblDisponibilidad[],13,FALSE), 0)</f>
        <v>0</v>
      </c>
      <c r="J613">
        <f>IFERROR(VLOOKUP(Tabla13[[#This Row],[SISMED]],TblDisponibilidad[],14,FALSE), 0)</f>
        <v>0</v>
      </c>
      <c r="K613">
        <f>IFERROR(VLOOKUP(Tabla13[[#This Row],[SISMED]],TblDisponibilidad[],15,FALSE), 0)</f>
        <v>0</v>
      </c>
      <c r="L613">
        <f>IFERROR(VLOOKUP(Tabla13[[#This Row],[SISMED]],TblDisponibilidad[],16,FALSE), 0)</f>
        <v>0</v>
      </c>
      <c r="M613">
        <f>IFERROR(VLOOKUP(Tabla13[[#This Row],[SISMED]],TblDisponibilidad[],17,FALSE), 0)</f>
        <v>0</v>
      </c>
      <c r="N613">
        <f>IFERROR(VLOOKUP(Tabla13[[#This Row],[SISMED]],TblDisponibilidad[],18,FALSE), 0)</f>
        <v>0</v>
      </c>
      <c r="O613">
        <f>IFERROR(VLOOKUP(Tabla13[[#This Row],[SISMED]],TblDisponibilidad[],19,FALSE), 0)</f>
        <v>0</v>
      </c>
      <c r="P613">
        <f>IFERROR(VLOOKUP(Tabla13[[#This Row],[SISMED]],TblDisponibilidad[],20,FALSE), 0)</f>
        <v>0</v>
      </c>
      <c r="Q613">
        <f>IFERROR(VLOOKUP(Tabla13[[#This Row],[SISMED]],TblDisponibilidad[],21,FALSE), 0)</f>
        <v>0</v>
      </c>
      <c r="R613">
        <f>IFERROR(VLOOKUP(Tabla13[[#This Row],[SISMED]],TblDisponibilidad[],22,FALSE), 0)</f>
        <v>0</v>
      </c>
      <c r="S613" s="15">
        <f>IFERROR(VLOOKUP(Tabla13[[#This Row],[SISMED]],TblDisponibilidad[],23,FALSE), 0)</f>
        <v>0</v>
      </c>
    </row>
    <row r="614" spans="1:19" x14ac:dyDescent="0.3">
      <c r="A614" s="15" t="s">
        <v>644</v>
      </c>
      <c r="B614" t="str">
        <f>IFERROR(VLOOKUP(Tabla13[[#This Row],[SISMED]],TblDisponibilidad[],2,FALSE), "")</f>
        <v/>
      </c>
      <c r="C614">
        <f>IFERROR(VLOOKUP(Tabla13[[#This Row],[SISMED]],TblDisponibilidad[],7,FALSE), 0)</f>
        <v>0</v>
      </c>
      <c r="D614">
        <f>IFERROR(VLOOKUP(Tabla13[[#This Row],[SISMED]],TblDisponibilidad[],8,FALSE), 0)</f>
        <v>0</v>
      </c>
      <c r="E614">
        <f>IFERROR(VLOOKUP(Tabla13[[#This Row],[SISMED]],TblDisponibilidad[],9,FALSE), 0)</f>
        <v>0</v>
      </c>
      <c r="F614">
        <f>IFERROR(VLOOKUP(Tabla13[[#This Row],[SISMED]],TblDisponibilidad[],10,FALSE), 0)</f>
        <v>0</v>
      </c>
      <c r="G614">
        <f>IFERROR(VLOOKUP(Tabla13[[#This Row],[SISMED]],TblDisponibilidad[],11,FALSE), 0)</f>
        <v>0</v>
      </c>
      <c r="H614">
        <f>IFERROR(VLOOKUP(Tabla13[[#This Row],[SISMED]],TblDisponibilidad[],12,FALSE), 0)</f>
        <v>0</v>
      </c>
      <c r="I614">
        <f>IFERROR(VLOOKUP(Tabla13[[#This Row],[SISMED]],TblDisponibilidad[],13,FALSE), 0)</f>
        <v>0</v>
      </c>
      <c r="J614">
        <f>IFERROR(VLOOKUP(Tabla13[[#This Row],[SISMED]],TblDisponibilidad[],14,FALSE), 0)</f>
        <v>0</v>
      </c>
      <c r="K614">
        <f>IFERROR(VLOOKUP(Tabla13[[#This Row],[SISMED]],TblDisponibilidad[],15,FALSE), 0)</f>
        <v>0</v>
      </c>
      <c r="L614">
        <f>IFERROR(VLOOKUP(Tabla13[[#This Row],[SISMED]],TblDisponibilidad[],16,FALSE), 0)</f>
        <v>0</v>
      </c>
      <c r="M614">
        <f>IFERROR(VLOOKUP(Tabla13[[#This Row],[SISMED]],TblDisponibilidad[],17,FALSE), 0)</f>
        <v>0</v>
      </c>
      <c r="N614">
        <f>IFERROR(VLOOKUP(Tabla13[[#This Row],[SISMED]],TblDisponibilidad[],18,FALSE), 0)</f>
        <v>0</v>
      </c>
      <c r="O614">
        <f>IFERROR(VLOOKUP(Tabla13[[#This Row],[SISMED]],TblDisponibilidad[],19,FALSE), 0)</f>
        <v>0</v>
      </c>
      <c r="P614">
        <f>IFERROR(VLOOKUP(Tabla13[[#This Row],[SISMED]],TblDisponibilidad[],20,FALSE), 0)</f>
        <v>0</v>
      </c>
      <c r="Q614">
        <f>IFERROR(VLOOKUP(Tabla13[[#This Row],[SISMED]],TblDisponibilidad[],21,FALSE), 0)</f>
        <v>0</v>
      </c>
      <c r="R614">
        <f>IFERROR(VLOOKUP(Tabla13[[#This Row],[SISMED]],TblDisponibilidad[],22,FALSE), 0)</f>
        <v>0</v>
      </c>
      <c r="S614" s="15">
        <f>IFERROR(VLOOKUP(Tabla13[[#This Row],[SISMED]],TblDisponibilidad[],23,FALSE), 0)</f>
        <v>0</v>
      </c>
    </row>
    <row r="615" spans="1:19" x14ac:dyDescent="0.3">
      <c r="A615" s="15" t="s">
        <v>645</v>
      </c>
      <c r="B615" t="str">
        <f>IFERROR(VLOOKUP(Tabla13[[#This Row],[SISMED]],TblDisponibilidad[],2,FALSE), "")</f>
        <v/>
      </c>
      <c r="C615">
        <f>IFERROR(VLOOKUP(Tabla13[[#This Row],[SISMED]],TblDisponibilidad[],7,FALSE), 0)</f>
        <v>0</v>
      </c>
      <c r="D615">
        <f>IFERROR(VLOOKUP(Tabla13[[#This Row],[SISMED]],TblDisponibilidad[],8,FALSE), 0)</f>
        <v>0</v>
      </c>
      <c r="E615">
        <f>IFERROR(VLOOKUP(Tabla13[[#This Row],[SISMED]],TblDisponibilidad[],9,FALSE), 0)</f>
        <v>0</v>
      </c>
      <c r="F615">
        <f>IFERROR(VLOOKUP(Tabla13[[#This Row],[SISMED]],TblDisponibilidad[],10,FALSE), 0)</f>
        <v>0</v>
      </c>
      <c r="G615">
        <f>IFERROR(VLOOKUP(Tabla13[[#This Row],[SISMED]],TblDisponibilidad[],11,FALSE), 0)</f>
        <v>0</v>
      </c>
      <c r="H615">
        <f>IFERROR(VLOOKUP(Tabla13[[#This Row],[SISMED]],TblDisponibilidad[],12,FALSE), 0)</f>
        <v>0</v>
      </c>
      <c r="I615">
        <f>IFERROR(VLOOKUP(Tabla13[[#This Row],[SISMED]],TblDisponibilidad[],13,FALSE), 0)</f>
        <v>0</v>
      </c>
      <c r="J615">
        <f>IFERROR(VLOOKUP(Tabla13[[#This Row],[SISMED]],TblDisponibilidad[],14,FALSE), 0)</f>
        <v>0</v>
      </c>
      <c r="K615">
        <f>IFERROR(VLOOKUP(Tabla13[[#This Row],[SISMED]],TblDisponibilidad[],15,FALSE), 0)</f>
        <v>0</v>
      </c>
      <c r="L615">
        <f>IFERROR(VLOOKUP(Tabla13[[#This Row],[SISMED]],TblDisponibilidad[],16,FALSE), 0)</f>
        <v>0</v>
      </c>
      <c r="M615">
        <f>IFERROR(VLOOKUP(Tabla13[[#This Row],[SISMED]],TblDisponibilidad[],17,FALSE), 0)</f>
        <v>0</v>
      </c>
      <c r="N615">
        <f>IFERROR(VLOOKUP(Tabla13[[#This Row],[SISMED]],TblDisponibilidad[],18,FALSE), 0)</f>
        <v>0</v>
      </c>
      <c r="O615">
        <f>IFERROR(VLOOKUP(Tabla13[[#This Row],[SISMED]],TblDisponibilidad[],19,FALSE), 0)</f>
        <v>0</v>
      </c>
      <c r="P615">
        <f>IFERROR(VLOOKUP(Tabla13[[#This Row],[SISMED]],TblDisponibilidad[],20,FALSE), 0)</f>
        <v>0</v>
      </c>
      <c r="Q615">
        <f>IFERROR(VLOOKUP(Tabla13[[#This Row],[SISMED]],TblDisponibilidad[],21,FALSE), 0)</f>
        <v>0</v>
      </c>
      <c r="R615">
        <f>IFERROR(VLOOKUP(Tabla13[[#This Row],[SISMED]],TblDisponibilidad[],22,FALSE), 0)</f>
        <v>0</v>
      </c>
      <c r="S615" s="15">
        <f>IFERROR(VLOOKUP(Tabla13[[#This Row],[SISMED]],TblDisponibilidad[],23,FALSE), 0)</f>
        <v>0</v>
      </c>
    </row>
    <row r="616" spans="1:19" x14ac:dyDescent="0.3">
      <c r="A616" s="15" t="s">
        <v>646</v>
      </c>
      <c r="B616" t="str">
        <f>IFERROR(VLOOKUP(Tabla13[[#This Row],[SISMED]],TblDisponibilidad[],2,FALSE), "")</f>
        <v/>
      </c>
      <c r="C616">
        <f>IFERROR(VLOOKUP(Tabla13[[#This Row],[SISMED]],TblDisponibilidad[],7,FALSE), 0)</f>
        <v>0</v>
      </c>
      <c r="D616">
        <f>IFERROR(VLOOKUP(Tabla13[[#This Row],[SISMED]],TblDisponibilidad[],8,FALSE), 0)</f>
        <v>0</v>
      </c>
      <c r="E616">
        <f>IFERROR(VLOOKUP(Tabla13[[#This Row],[SISMED]],TblDisponibilidad[],9,FALSE), 0)</f>
        <v>0</v>
      </c>
      <c r="F616">
        <f>IFERROR(VLOOKUP(Tabla13[[#This Row],[SISMED]],TblDisponibilidad[],10,FALSE), 0)</f>
        <v>0</v>
      </c>
      <c r="G616">
        <f>IFERROR(VLOOKUP(Tabla13[[#This Row],[SISMED]],TblDisponibilidad[],11,FALSE), 0)</f>
        <v>0</v>
      </c>
      <c r="H616">
        <f>IFERROR(VLOOKUP(Tabla13[[#This Row],[SISMED]],TblDisponibilidad[],12,FALSE), 0)</f>
        <v>0</v>
      </c>
      <c r="I616">
        <f>IFERROR(VLOOKUP(Tabla13[[#This Row],[SISMED]],TblDisponibilidad[],13,FALSE), 0)</f>
        <v>0</v>
      </c>
      <c r="J616">
        <f>IFERROR(VLOOKUP(Tabla13[[#This Row],[SISMED]],TblDisponibilidad[],14,FALSE), 0)</f>
        <v>0</v>
      </c>
      <c r="K616">
        <f>IFERROR(VLOOKUP(Tabla13[[#This Row],[SISMED]],TblDisponibilidad[],15,FALSE), 0)</f>
        <v>0</v>
      </c>
      <c r="L616">
        <f>IFERROR(VLOOKUP(Tabla13[[#This Row],[SISMED]],TblDisponibilidad[],16,FALSE), 0)</f>
        <v>0</v>
      </c>
      <c r="M616">
        <f>IFERROR(VLOOKUP(Tabla13[[#This Row],[SISMED]],TblDisponibilidad[],17,FALSE), 0)</f>
        <v>0</v>
      </c>
      <c r="N616">
        <f>IFERROR(VLOOKUP(Tabla13[[#This Row],[SISMED]],TblDisponibilidad[],18,FALSE), 0)</f>
        <v>0</v>
      </c>
      <c r="O616">
        <f>IFERROR(VLOOKUP(Tabla13[[#This Row],[SISMED]],TblDisponibilidad[],19,FALSE), 0)</f>
        <v>0</v>
      </c>
      <c r="P616">
        <f>IFERROR(VLOOKUP(Tabla13[[#This Row],[SISMED]],TblDisponibilidad[],20,FALSE), 0)</f>
        <v>0</v>
      </c>
      <c r="Q616">
        <f>IFERROR(VLOOKUP(Tabla13[[#This Row],[SISMED]],TblDisponibilidad[],21,FALSE), 0)</f>
        <v>0</v>
      </c>
      <c r="R616">
        <f>IFERROR(VLOOKUP(Tabla13[[#This Row],[SISMED]],TblDisponibilidad[],22,FALSE), 0)</f>
        <v>0</v>
      </c>
      <c r="S616" s="15">
        <f>IFERROR(VLOOKUP(Tabla13[[#This Row],[SISMED]],TblDisponibilidad[],23,FALSE), 0)</f>
        <v>0</v>
      </c>
    </row>
    <row r="617" spans="1:19" x14ac:dyDescent="0.3">
      <c r="A617" s="15" t="s">
        <v>647</v>
      </c>
      <c r="B617" t="str">
        <f>IFERROR(VLOOKUP(Tabla13[[#This Row],[SISMED]],TblDisponibilidad[],2,FALSE), "")</f>
        <v/>
      </c>
      <c r="C617">
        <f>IFERROR(VLOOKUP(Tabla13[[#This Row],[SISMED]],TblDisponibilidad[],7,FALSE), 0)</f>
        <v>0</v>
      </c>
      <c r="D617">
        <f>IFERROR(VLOOKUP(Tabla13[[#This Row],[SISMED]],TblDisponibilidad[],8,FALSE), 0)</f>
        <v>0</v>
      </c>
      <c r="E617">
        <f>IFERROR(VLOOKUP(Tabla13[[#This Row],[SISMED]],TblDisponibilidad[],9,FALSE), 0)</f>
        <v>0</v>
      </c>
      <c r="F617">
        <f>IFERROR(VLOOKUP(Tabla13[[#This Row],[SISMED]],TblDisponibilidad[],10,FALSE), 0)</f>
        <v>0</v>
      </c>
      <c r="G617">
        <f>IFERROR(VLOOKUP(Tabla13[[#This Row],[SISMED]],TblDisponibilidad[],11,FALSE), 0)</f>
        <v>0</v>
      </c>
      <c r="H617">
        <f>IFERROR(VLOOKUP(Tabla13[[#This Row],[SISMED]],TblDisponibilidad[],12,FALSE), 0)</f>
        <v>0</v>
      </c>
      <c r="I617">
        <f>IFERROR(VLOOKUP(Tabla13[[#This Row],[SISMED]],TblDisponibilidad[],13,FALSE), 0)</f>
        <v>0</v>
      </c>
      <c r="J617">
        <f>IFERROR(VLOOKUP(Tabla13[[#This Row],[SISMED]],TblDisponibilidad[],14,FALSE), 0)</f>
        <v>0</v>
      </c>
      <c r="K617">
        <f>IFERROR(VLOOKUP(Tabla13[[#This Row],[SISMED]],TblDisponibilidad[],15,FALSE), 0)</f>
        <v>0</v>
      </c>
      <c r="L617">
        <f>IFERROR(VLOOKUP(Tabla13[[#This Row],[SISMED]],TblDisponibilidad[],16,FALSE), 0)</f>
        <v>0</v>
      </c>
      <c r="M617">
        <f>IFERROR(VLOOKUP(Tabla13[[#This Row],[SISMED]],TblDisponibilidad[],17,FALSE), 0)</f>
        <v>0</v>
      </c>
      <c r="N617">
        <f>IFERROR(VLOOKUP(Tabla13[[#This Row],[SISMED]],TblDisponibilidad[],18,FALSE), 0)</f>
        <v>0</v>
      </c>
      <c r="O617">
        <f>IFERROR(VLOOKUP(Tabla13[[#This Row],[SISMED]],TblDisponibilidad[],19,FALSE), 0)</f>
        <v>0</v>
      </c>
      <c r="P617">
        <f>IFERROR(VLOOKUP(Tabla13[[#This Row],[SISMED]],TblDisponibilidad[],20,FALSE), 0)</f>
        <v>0</v>
      </c>
      <c r="Q617">
        <f>IFERROR(VLOOKUP(Tabla13[[#This Row],[SISMED]],TblDisponibilidad[],21,FALSE), 0)</f>
        <v>0</v>
      </c>
      <c r="R617">
        <f>IFERROR(VLOOKUP(Tabla13[[#This Row],[SISMED]],TblDisponibilidad[],22,FALSE), 0)</f>
        <v>0</v>
      </c>
      <c r="S617" s="15">
        <f>IFERROR(VLOOKUP(Tabla13[[#This Row],[SISMED]],TblDisponibilidad[],23,FALSE), 0)</f>
        <v>0</v>
      </c>
    </row>
    <row r="618" spans="1:19" x14ac:dyDescent="0.3">
      <c r="A618" s="15" t="s">
        <v>648</v>
      </c>
      <c r="B618" t="str">
        <f>IFERROR(VLOOKUP(Tabla13[[#This Row],[SISMED]],TblDisponibilidad[],2,FALSE), "")</f>
        <v/>
      </c>
      <c r="C618">
        <f>IFERROR(VLOOKUP(Tabla13[[#This Row],[SISMED]],TblDisponibilidad[],7,FALSE), 0)</f>
        <v>0</v>
      </c>
      <c r="D618">
        <f>IFERROR(VLOOKUP(Tabla13[[#This Row],[SISMED]],TblDisponibilidad[],8,FALSE), 0)</f>
        <v>0</v>
      </c>
      <c r="E618">
        <f>IFERROR(VLOOKUP(Tabla13[[#This Row],[SISMED]],TblDisponibilidad[],9,FALSE), 0)</f>
        <v>0</v>
      </c>
      <c r="F618">
        <f>IFERROR(VLOOKUP(Tabla13[[#This Row],[SISMED]],TblDisponibilidad[],10,FALSE), 0)</f>
        <v>0</v>
      </c>
      <c r="G618">
        <f>IFERROR(VLOOKUP(Tabla13[[#This Row],[SISMED]],TblDisponibilidad[],11,FALSE), 0)</f>
        <v>0</v>
      </c>
      <c r="H618">
        <f>IFERROR(VLOOKUP(Tabla13[[#This Row],[SISMED]],TblDisponibilidad[],12,FALSE), 0)</f>
        <v>0</v>
      </c>
      <c r="I618">
        <f>IFERROR(VLOOKUP(Tabla13[[#This Row],[SISMED]],TblDisponibilidad[],13,FALSE), 0)</f>
        <v>0</v>
      </c>
      <c r="J618">
        <f>IFERROR(VLOOKUP(Tabla13[[#This Row],[SISMED]],TblDisponibilidad[],14,FALSE), 0)</f>
        <v>0</v>
      </c>
      <c r="K618">
        <f>IFERROR(VLOOKUP(Tabla13[[#This Row],[SISMED]],TblDisponibilidad[],15,FALSE), 0)</f>
        <v>0</v>
      </c>
      <c r="L618">
        <f>IFERROR(VLOOKUP(Tabla13[[#This Row],[SISMED]],TblDisponibilidad[],16,FALSE), 0)</f>
        <v>0</v>
      </c>
      <c r="M618">
        <f>IFERROR(VLOOKUP(Tabla13[[#This Row],[SISMED]],TblDisponibilidad[],17,FALSE), 0)</f>
        <v>0</v>
      </c>
      <c r="N618">
        <f>IFERROR(VLOOKUP(Tabla13[[#This Row],[SISMED]],TblDisponibilidad[],18,FALSE), 0)</f>
        <v>0</v>
      </c>
      <c r="O618">
        <f>IFERROR(VLOOKUP(Tabla13[[#This Row],[SISMED]],TblDisponibilidad[],19,FALSE), 0)</f>
        <v>0</v>
      </c>
      <c r="P618">
        <f>IFERROR(VLOOKUP(Tabla13[[#This Row],[SISMED]],TblDisponibilidad[],20,FALSE), 0)</f>
        <v>0</v>
      </c>
      <c r="Q618">
        <f>IFERROR(VLOOKUP(Tabla13[[#This Row],[SISMED]],TblDisponibilidad[],21,FALSE), 0)</f>
        <v>0</v>
      </c>
      <c r="R618">
        <f>IFERROR(VLOOKUP(Tabla13[[#This Row],[SISMED]],TblDisponibilidad[],22,FALSE), 0)</f>
        <v>0</v>
      </c>
      <c r="S618" s="15">
        <f>IFERROR(VLOOKUP(Tabla13[[#This Row],[SISMED]],TblDisponibilidad[],23,FALSE), 0)</f>
        <v>0</v>
      </c>
    </row>
    <row r="619" spans="1:19" x14ac:dyDescent="0.3">
      <c r="A619" s="15" t="s">
        <v>649</v>
      </c>
      <c r="B619" t="str">
        <f>IFERROR(VLOOKUP(Tabla13[[#This Row],[SISMED]],TblDisponibilidad[],2,FALSE), "")</f>
        <v/>
      </c>
      <c r="C619">
        <f>IFERROR(VLOOKUP(Tabla13[[#This Row],[SISMED]],TblDisponibilidad[],7,FALSE), 0)</f>
        <v>0</v>
      </c>
      <c r="D619">
        <f>IFERROR(VLOOKUP(Tabla13[[#This Row],[SISMED]],TblDisponibilidad[],8,FALSE), 0)</f>
        <v>0</v>
      </c>
      <c r="E619">
        <f>IFERROR(VLOOKUP(Tabla13[[#This Row],[SISMED]],TblDisponibilidad[],9,FALSE), 0)</f>
        <v>0</v>
      </c>
      <c r="F619">
        <f>IFERROR(VLOOKUP(Tabla13[[#This Row],[SISMED]],TblDisponibilidad[],10,FALSE), 0)</f>
        <v>0</v>
      </c>
      <c r="G619">
        <f>IFERROR(VLOOKUP(Tabla13[[#This Row],[SISMED]],TblDisponibilidad[],11,FALSE), 0)</f>
        <v>0</v>
      </c>
      <c r="H619">
        <f>IFERROR(VLOOKUP(Tabla13[[#This Row],[SISMED]],TblDisponibilidad[],12,FALSE), 0)</f>
        <v>0</v>
      </c>
      <c r="I619">
        <f>IFERROR(VLOOKUP(Tabla13[[#This Row],[SISMED]],TblDisponibilidad[],13,FALSE), 0)</f>
        <v>0</v>
      </c>
      <c r="J619">
        <f>IFERROR(VLOOKUP(Tabla13[[#This Row],[SISMED]],TblDisponibilidad[],14,FALSE), 0)</f>
        <v>0</v>
      </c>
      <c r="K619">
        <f>IFERROR(VLOOKUP(Tabla13[[#This Row],[SISMED]],TblDisponibilidad[],15,FALSE), 0)</f>
        <v>0</v>
      </c>
      <c r="L619">
        <f>IFERROR(VLOOKUP(Tabla13[[#This Row],[SISMED]],TblDisponibilidad[],16,FALSE), 0)</f>
        <v>0</v>
      </c>
      <c r="M619">
        <f>IFERROR(VLOOKUP(Tabla13[[#This Row],[SISMED]],TblDisponibilidad[],17,FALSE), 0)</f>
        <v>0</v>
      </c>
      <c r="N619">
        <f>IFERROR(VLOOKUP(Tabla13[[#This Row],[SISMED]],TblDisponibilidad[],18,FALSE), 0)</f>
        <v>0</v>
      </c>
      <c r="O619">
        <f>IFERROR(VLOOKUP(Tabla13[[#This Row],[SISMED]],TblDisponibilidad[],19,FALSE), 0)</f>
        <v>0</v>
      </c>
      <c r="P619">
        <f>IFERROR(VLOOKUP(Tabla13[[#This Row],[SISMED]],TblDisponibilidad[],20,FALSE), 0)</f>
        <v>0</v>
      </c>
      <c r="Q619">
        <f>IFERROR(VLOOKUP(Tabla13[[#This Row],[SISMED]],TblDisponibilidad[],21,FALSE), 0)</f>
        <v>0</v>
      </c>
      <c r="R619">
        <f>IFERROR(VLOOKUP(Tabla13[[#This Row],[SISMED]],TblDisponibilidad[],22,FALSE), 0)</f>
        <v>0</v>
      </c>
      <c r="S619" s="15">
        <f>IFERROR(VLOOKUP(Tabla13[[#This Row],[SISMED]],TblDisponibilidad[],23,FALSE), 0)</f>
        <v>0</v>
      </c>
    </row>
    <row r="620" spans="1:19" x14ac:dyDescent="0.3">
      <c r="A620" s="15" t="s">
        <v>650</v>
      </c>
      <c r="B620" t="str">
        <f>IFERROR(VLOOKUP(Tabla13[[#This Row],[SISMED]],TblDisponibilidad[],2,FALSE), "")</f>
        <v/>
      </c>
      <c r="C620">
        <f>IFERROR(VLOOKUP(Tabla13[[#This Row],[SISMED]],TblDisponibilidad[],7,FALSE), 0)</f>
        <v>0</v>
      </c>
      <c r="D620">
        <f>IFERROR(VLOOKUP(Tabla13[[#This Row],[SISMED]],TblDisponibilidad[],8,FALSE), 0)</f>
        <v>0</v>
      </c>
      <c r="E620">
        <f>IFERROR(VLOOKUP(Tabla13[[#This Row],[SISMED]],TblDisponibilidad[],9,FALSE), 0)</f>
        <v>0</v>
      </c>
      <c r="F620">
        <f>IFERROR(VLOOKUP(Tabla13[[#This Row],[SISMED]],TblDisponibilidad[],10,FALSE), 0)</f>
        <v>0</v>
      </c>
      <c r="G620">
        <f>IFERROR(VLOOKUP(Tabla13[[#This Row],[SISMED]],TblDisponibilidad[],11,FALSE), 0)</f>
        <v>0</v>
      </c>
      <c r="H620">
        <f>IFERROR(VLOOKUP(Tabla13[[#This Row],[SISMED]],TblDisponibilidad[],12,FALSE), 0)</f>
        <v>0</v>
      </c>
      <c r="I620">
        <f>IFERROR(VLOOKUP(Tabla13[[#This Row],[SISMED]],TblDisponibilidad[],13,FALSE), 0)</f>
        <v>0</v>
      </c>
      <c r="J620">
        <f>IFERROR(VLOOKUP(Tabla13[[#This Row],[SISMED]],TblDisponibilidad[],14,FALSE), 0)</f>
        <v>0</v>
      </c>
      <c r="K620">
        <f>IFERROR(VLOOKUP(Tabla13[[#This Row],[SISMED]],TblDisponibilidad[],15,FALSE), 0)</f>
        <v>0</v>
      </c>
      <c r="L620">
        <f>IFERROR(VLOOKUP(Tabla13[[#This Row],[SISMED]],TblDisponibilidad[],16,FALSE), 0)</f>
        <v>0</v>
      </c>
      <c r="M620">
        <f>IFERROR(VLOOKUP(Tabla13[[#This Row],[SISMED]],TblDisponibilidad[],17,FALSE), 0)</f>
        <v>0</v>
      </c>
      <c r="N620">
        <f>IFERROR(VLOOKUP(Tabla13[[#This Row],[SISMED]],TblDisponibilidad[],18,FALSE), 0)</f>
        <v>0</v>
      </c>
      <c r="O620">
        <f>IFERROR(VLOOKUP(Tabla13[[#This Row],[SISMED]],TblDisponibilidad[],19,FALSE), 0)</f>
        <v>0</v>
      </c>
      <c r="P620">
        <f>IFERROR(VLOOKUP(Tabla13[[#This Row],[SISMED]],TblDisponibilidad[],20,FALSE), 0)</f>
        <v>0</v>
      </c>
      <c r="Q620">
        <f>IFERROR(VLOOKUP(Tabla13[[#This Row],[SISMED]],TblDisponibilidad[],21,FALSE), 0)</f>
        <v>0</v>
      </c>
      <c r="R620">
        <f>IFERROR(VLOOKUP(Tabla13[[#This Row],[SISMED]],TblDisponibilidad[],22,FALSE), 0)</f>
        <v>0</v>
      </c>
      <c r="S620" s="15">
        <f>IFERROR(VLOOKUP(Tabla13[[#This Row],[SISMED]],TblDisponibilidad[],23,FALSE), 0)</f>
        <v>0</v>
      </c>
    </row>
    <row r="621" spans="1:19" x14ac:dyDescent="0.3">
      <c r="A621" s="15" t="s">
        <v>651</v>
      </c>
      <c r="B621" t="str">
        <f>IFERROR(VLOOKUP(Tabla13[[#This Row],[SISMED]],TblDisponibilidad[],2,FALSE), "")</f>
        <v/>
      </c>
      <c r="C621">
        <f>IFERROR(VLOOKUP(Tabla13[[#This Row],[SISMED]],TblDisponibilidad[],7,FALSE), 0)</f>
        <v>0</v>
      </c>
      <c r="D621">
        <f>IFERROR(VLOOKUP(Tabla13[[#This Row],[SISMED]],TblDisponibilidad[],8,FALSE), 0)</f>
        <v>0</v>
      </c>
      <c r="E621">
        <f>IFERROR(VLOOKUP(Tabla13[[#This Row],[SISMED]],TblDisponibilidad[],9,FALSE), 0)</f>
        <v>0</v>
      </c>
      <c r="F621">
        <f>IFERROR(VLOOKUP(Tabla13[[#This Row],[SISMED]],TblDisponibilidad[],10,FALSE), 0)</f>
        <v>0</v>
      </c>
      <c r="G621">
        <f>IFERROR(VLOOKUP(Tabla13[[#This Row],[SISMED]],TblDisponibilidad[],11,FALSE), 0)</f>
        <v>0</v>
      </c>
      <c r="H621">
        <f>IFERROR(VLOOKUP(Tabla13[[#This Row],[SISMED]],TblDisponibilidad[],12,FALSE), 0)</f>
        <v>0</v>
      </c>
      <c r="I621">
        <f>IFERROR(VLOOKUP(Tabla13[[#This Row],[SISMED]],TblDisponibilidad[],13,FALSE), 0)</f>
        <v>0</v>
      </c>
      <c r="J621">
        <f>IFERROR(VLOOKUP(Tabla13[[#This Row],[SISMED]],TblDisponibilidad[],14,FALSE), 0)</f>
        <v>0</v>
      </c>
      <c r="K621">
        <f>IFERROR(VLOOKUP(Tabla13[[#This Row],[SISMED]],TblDisponibilidad[],15,FALSE), 0)</f>
        <v>0</v>
      </c>
      <c r="L621">
        <f>IFERROR(VLOOKUP(Tabla13[[#This Row],[SISMED]],TblDisponibilidad[],16,FALSE), 0)</f>
        <v>0</v>
      </c>
      <c r="M621">
        <f>IFERROR(VLOOKUP(Tabla13[[#This Row],[SISMED]],TblDisponibilidad[],17,FALSE), 0)</f>
        <v>0</v>
      </c>
      <c r="N621">
        <f>IFERROR(VLOOKUP(Tabla13[[#This Row],[SISMED]],TblDisponibilidad[],18,FALSE), 0)</f>
        <v>0</v>
      </c>
      <c r="O621">
        <f>IFERROR(VLOOKUP(Tabla13[[#This Row],[SISMED]],TblDisponibilidad[],19,FALSE), 0)</f>
        <v>0</v>
      </c>
      <c r="P621">
        <f>IFERROR(VLOOKUP(Tabla13[[#This Row],[SISMED]],TblDisponibilidad[],20,FALSE), 0)</f>
        <v>0</v>
      </c>
      <c r="Q621">
        <f>IFERROR(VLOOKUP(Tabla13[[#This Row],[SISMED]],TblDisponibilidad[],21,FALSE), 0)</f>
        <v>0</v>
      </c>
      <c r="R621">
        <f>IFERROR(VLOOKUP(Tabla13[[#This Row],[SISMED]],TblDisponibilidad[],22,FALSE), 0)</f>
        <v>0</v>
      </c>
      <c r="S621" s="15">
        <f>IFERROR(VLOOKUP(Tabla13[[#This Row],[SISMED]],TblDisponibilidad[],23,FALSE), 0)</f>
        <v>0</v>
      </c>
    </row>
    <row r="622" spans="1:19" x14ac:dyDescent="0.3">
      <c r="A622" s="15" t="s">
        <v>652</v>
      </c>
      <c r="B622" t="str">
        <f>IFERROR(VLOOKUP(Tabla13[[#This Row],[SISMED]],TblDisponibilidad[],2,FALSE), "")</f>
        <v/>
      </c>
      <c r="C622">
        <f>IFERROR(VLOOKUP(Tabla13[[#This Row],[SISMED]],TblDisponibilidad[],7,FALSE), 0)</f>
        <v>0</v>
      </c>
      <c r="D622">
        <f>IFERROR(VLOOKUP(Tabla13[[#This Row],[SISMED]],TblDisponibilidad[],8,FALSE), 0)</f>
        <v>0</v>
      </c>
      <c r="E622">
        <f>IFERROR(VLOOKUP(Tabla13[[#This Row],[SISMED]],TblDisponibilidad[],9,FALSE), 0)</f>
        <v>0</v>
      </c>
      <c r="F622">
        <f>IFERROR(VLOOKUP(Tabla13[[#This Row],[SISMED]],TblDisponibilidad[],10,FALSE), 0)</f>
        <v>0</v>
      </c>
      <c r="G622">
        <f>IFERROR(VLOOKUP(Tabla13[[#This Row],[SISMED]],TblDisponibilidad[],11,FALSE), 0)</f>
        <v>0</v>
      </c>
      <c r="H622">
        <f>IFERROR(VLOOKUP(Tabla13[[#This Row],[SISMED]],TblDisponibilidad[],12,FALSE), 0)</f>
        <v>0</v>
      </c>
      <c r="I622">
        <f>IFERROR(VLOOKUP(Tabla13[[#This Row],[SISMED]],TblDisponibilidad[],13,FALSE), 0)</f>
        <v>0</v>
      </c>
      <c r="J622">
        <f>IFERROR(VLOOKUP(Tabla13[[#This Row],[SISMED]],TblDisponibilidad[],14,FALSE), 0)</f>
        <v>0</v>
      </c>
      <c r="K622">
        <f>IFERROR(VLOOKUP(Tabla13[[#This Row],[SISMED]],TblDisponibilidad[],15,FALSE), 0)</f>
        <v>0</v>
      </c>
      <c r="L622">
        <f>IFERROR(VLOOKUP(Tabla13[[#This Row],[SISMED]],TblDisponibilidad[],16,FALSE), 0)</f>
        <v>0</v>
      </c>
      <c r="M622">
        <f>IFERROR(VLOOKUP(Tabla13[[#This Row],[SISMED]],TblDisponibilidad[],17,FALSE), 0)</f>
        <v>0</v>
      </c>
      <c r="N622">
        <f>IFERROR(VLOOKUP(Tabla13[[#This Row],[SISMED]],TblDisponibilidad[],18,FALSE), 0)</f>
        <v>0</v>
      </c>
      <c r="O622">
        <f>IFERROR(VLOOKUP(Tabla13[[#This Row],[SISMED]],TblDisponibilidad[],19,FALSE), 0)</f>
        <v>0</v>
      </c>
      <c r="P622">
        <f>IFERROR(VLOOKUP(Tabla13[[#This Row],[SISMED]],TblDisponibilidad[],20,FALSE), 0)</f>
        <v>0</v>
      </c>
      <c r="Q622">
        <f>IFERROR(VLOOKUP(Tabla13[[#This Row],[SISMED]],TblDisponibilidad[],21,FALSE), 0)</f>
        <v>0</v>
      </c>
      <c r="R622">
        <f>IFERROR(VLOOKUP(Tabla13[[#This Row],[SISMED]],TblDisponibilidad[],22,FALSE), 0)</f>
        <v>0</v>
      </c>
      <c r="S622" s="15">
        <f>IFERROR(VLOOKUP(Tabla13[[#This Row],[SISMED]],TblDisponibilidad[],23,FALSE), 0)</f>
        <v>0</v>
      </c>
    </row>
    <row r="623" spans="1:19" x14ac:dyDescent="0.3">
      <c r="A623" s="15" t="s">
        <v>653</v>
      </c>
      <c r="B623" t="str">
        <f>IFERROR(VLOOKUP(Tabla13[[#This Row],[SISMED]],TblDisponibilidad[],2,FALSE), "")</f>
        <v/>
      </c>
      <c r="C623">
        <f>IFERROR(VLOOKUP(Tabla13[[#This Row],[SISMED]],TblDisponibilidad[],7,FALSE), 0)</f>
        <v>0</v>
      </c>
      <c r="D623">
        <f>IFERROR(VLOOKUP(Tabla13[[#This Row],[SISMED]],TblDisponibilidad[],8,FALSE), 0)</f>
        <v>0</v>
      </c>
      <c r="E623">
        <f>IFERROR(VLOOKUP(Tabla13[[#This Row],[SISMED]],TblDisponibilidad[],9,FALSE), 0)</f>
        <v>0</v>
      </c>
      <c r="F623">
        <f>IFERROR(VLOOKUP(Tabla13[[#This Row],[SISMED]],TblDisponibilidad[],10,FALSE), 0)</f>
        <v>0</v>
      </c>
      <c r="G623">
        <f>IFERROR(VLOOKUP(Tabla13[[#This Row],[SISMED]],TblDisponibilidad[],11,FALSE), 0)</f>
        <v>0</v>
      </c>
      <c r="H623">
        <f>IFERROR(VLOOKUP(Tabla13[[#This Row],[SISMED]],TblDisponibilidad[],12,FALSE), 0)</f>
        <v>0</v>
      </c>
      <c r="I623">
        <f>IFERROR(VLOOKUP(Tabla13[[#This Row],[SISMED]],TblDisponibilidad[],13,FALSE), 0)</f>
        <v>0</v>
      </c>
      <c r="J623">
        <f>IFERROR(VLOOKUP(Tabla13[[#This Row],[SISMED]],TblDisponibilidad[],14,FALSE), 0)</f>
        <v>0</v>
      </c>
      <c r="K623">
        <f>IFERROR(VLOOKUP(Tabla13[[#This Row],[SISMED]],TblDisponibilidad[],15,FALSE), 0)</f>
        <v>0</v>
      </c>
      <c r="L623">
        <f>IFERROR(VLOOKUP(Tabla13[[#This Row],[SISMED]],TblDisponibilidad[],16,FALSE), 0)</f>
        <v>0</v>
      </c>
      <c r="M623">
        <f>IFERROR(VLOOKUP(Tabla13[[#This Row],[SISMED]],TblDisponibilidad[],17,FALSE), 0)</f>
        <v>0</v>
      </c>
      <c r="N623">
        <f>IFERROR(VLOOKUP(Tabla13[[#This Row],[SISMED]],TblDisponibilidad[],18,FALSE), 0)</f>
        <v>0</v>
      </c>
      <c r="O623">
        <f>IFERROR(VLOOKUP(Tabla13[[#This Row],[SISMED]],TblDisponibilidad[],19,FALSE), 0)</f>
        <v>0</v>
      </c>
      <c r="P623">
        <f>IFERROR(VLOOKUP(Tabla13[[#This Row],[SISMED]],TblDisponibilidad[],20,FALSE), 0)</f>
        <v>0</v>
      </c>
      <c r="Q623">
        <f>IFERROR(VLOOKUP(Tabla13[[#This Row],[SISMED]],TblDisponibilidad[],21,FALSE), 0)</f>
        <v>0</v>
      </c>
      <c r="R623">
        <f>IFERROR(VLOOKUP(Tabla13[[#This Row],[SISMED]],TblDisponibilidad[],22,FALSE), 0)</f>
        <v>0</v>
      </c>
      <c r="S623" s="15">
        <f>IFERROR(VLOOKUP(Tabla13[[#This Row],[SISMED]],TblDisponibilidad[],23,FALSE), 0)</f>
        <v>0</v>
      </c>
    </row>
    <row r="624" spans="1:19" x14ac:dyDescent="0.3">
      <c r="A624" s="15" t="s">
        <v>654</v>
      </c>
      <c r="B624" t="str">
        <f>IFERROR(VLOOKUP(Tabla13[[#This Row],[SISMED]],TblDisponibilidad[],2,FALSE), "")</f>
        <v/>
      </c>
      <c r="C624">
        <f>IFERROR(VLOOKUP(Tabla13[[#This Row],[SISMED]],TblDisponibilidad[],7,FALSE), 0)</f>
        <v>0</v>
      </c>
      <c r="D624">
        <f>IFERROR(VLOOKUP(Tabla13[[#This Row],[SISMED]],TblDisponibilidad[],8,FALSE), 0)</f>
        <v>0</v>
      </c>
      <c r="E624">
        <f>IFERROR(VLOOKUP(Tabla13[[#This Row],[SISMED]],TblDisponibilidad[],9,FALSE), 0)</f>
        <v>0</v>
      </c>
      <c r="F624">
        <f>IFERROR(VLOOKUP(Tabla13[[#This Row],[SISMED]],TblDisponibilidad[],10,FALSE), 0)</f>
        <v>0</v>
      </c>
      <c r="G624">
        <f>IFERROR(VLOOKUP(Tabla13[[#This Row],[SISMED]],TblDisponibilidad[],11,FALSE), 0)</f>
        <v>0</v>
      </c>
      <c r="H624">
        <f>IFERROR(VLOOKUP(Tabla13[[#This Row],[SISMED]],TblDisponibilidad[],12,FALSE), 0)</f>
        <v>0</v>
      </c>
      <c r="I624">
        <f>IFERROR(VLOOKUP(Tabla13[[#This Row],[SISMED]],TblDisponibilidad[],13,FALSE), 0)</f>
        <v>0</v>
      </c>
      <c r="J624">
        <f>IFERROR(VLOOKUP(Tabla13[[#This Row],[SISMED]],TblDisponibilidad[],14,FALSE), 0)</f>
        <v>0</v>
      </c>
      <c r="K624">
        <f>IFERROR(VLOOKUP(Tabla13[[#This Row],[SISMED]],TblDisponibilidad[],15,FALSE), 0)</f>
        <v>0</v>
      </c>
      <c r="L624">
        <f>IFERROR(VLOOKUP(Tabla13[[#This Row],[SISMED]],TblDisponibilidad[],16,FALSE), 0)</f>
        <v>0</v>
      </c>
      <c r="M624">
        <f>IFERROR(VLOOKUP(Tabla13[[#This Row],[SISMED]],TblDisponibilidad[],17,FALSE), 0)</f>
        <v>0</v>
      </c>
      <c r="N624">
        <f>IFERROR(VLOOKUP(Tabla13[[#This Row],[SISMED]],TblDisponibilidad[],18,FALSE), 0)</f>
        <v>0</v>
      </c>
      <c r="O624">
        <f>IFERROR(VLOOKUP(Tabla13[[#This Row],[SISMED]],TblDisponibilidad[],19,FALSE), 0)</f>
        <v>0</v>
      </c>
      <c r="P624">
        <f>IFERROR(VLOOKUP(Tabla13[[#This Row],[SISMED]],TblDisponibilidad[],20,FALSE), 0)</f>
        <v>0</v>
      </c>
      <c r="Q624">
        <f>IFERROR(VLOOKUP(Tabla13[[#This Row],[SISMED]],TblDisponibilidad[],21,FALSE), 0)</f>
        <v>0</v>
      </c>
      <c r="R624">
        <f>IFERROR(VLOOKUP(Tabla13[[#This Row],[SISMED]],TblDisponibilidad[],22,FALSE), 0)</f>
        <v>0</v>
      </c>
      <c r="S624" s="15">
        <f>IFERROR(VLOOKUP(Tabla13[[#This Row],[SISMED]],TblDisponibilidad[],23,FALSE), 0)</f>
        <v>0</v>
      </c>
    </row>
    <row r="625" spans="1:19" x14ac:dyDescent="0.3">
      <c r="A625" s="15" t="s">
        <v>655</v>
      </c>
      <c r="B625" t="str">
        <f>IFERROR(VLOOKUP(Tabla13[[#This Row],[SISMED]],TblDisponibilidad[],2,FALSE), "")</f>
        <v/>
      </c>
      <c r="C625">
        <f>IFERROR(VLOOKUP(Tabla13[[#This Row],[SISMED]],TblDisponibilidad[],7,FALSE), 0)</f>
        <v>0</v>
      </c>
      <c r="D625">
        <f>IFERROR(VLOOKUP(Tabla13[[#This Row],[SISMED]],TblDisponibilidad[],8,FALSE), 0)</f>
        <v>0</v>
      </c>
      <c r="E625">
        <f>IFERROR(VLOOKUP(Tabla13[[#This Row],[SISMED]],TblDisponibilidad[],9,FALSE), 0)</f>
        <v>0</v>
      </c>
      <c r="F625">
        <f>IFERROR(VLOOKUP(Tabla13[[#This Row],[SISMED]],TblDisponibilidad[],10,FALSE), 0)</f>
        <v>0</v>
      </c>
      <c r="G625">
        <f>IFERROR(VLOOKUP(Tabla13[[#This Row],[SISMED]],TblDisponibilidad[],11,FALSE), 0)</f>
        <v>0</v>
      </c>
      <c r="H625">
        <f>IFERROR(VLOOKUP(Tabla13[[#This Row],[SISMED]],TblDisponibilidad[],12,FALSE), 0)</f>
        <v>0</v>
      </c>
      <c r="I625">
        <f>IFERROR(VLOOKUP(Tabla13[[#This Row],[SISMED]],TblDisponibilidad[],13,FALSE), 0)</f>
        <v>0</v>
      </c>
      <c r="J625">
        <f>IFERROR(VLOOKUP(Tabla13[[#This Row],[SISMED]],TblDisponibilidad[],14,FALSE), 0)</f>
        <v>0</v>
      </c>
      <c r="K625">
        <f>IFERROR(VLOOKUP(Tabla13[[#This Row],[SISMED]],TblDisponibilidad[],15,FALSE), 0)</f>
        <v>0</v>
      </c>
      <c r="L625">
        <f>IFERROR(VLOOKUP(Tabla13[[#This Row],[SISMED]],TblDisponibilidad[],16,FALSE), 0)</f>
        <v>0</v>
      </c>
      <c r="M625">
        <f>IFERROR(VLOOKUP(Tabla13[[#This Row],[SISMED]],TblDisponibilidad[],17,FALSE), 0)</f>
        <v>0</v>
      </c>
      <c r="N625">
        <f>IFERROR(VLOOKUP(Tabla13[[#This Row],[SISMED]],TblDisponibilidad[],18,FALSE), 0)</f>
        <v>0</v>
      </c>
      <c r="O625">
        <f>IFERROR(VLOOKUP(Tabla13[[#This Row],[SISMED]],TblDisponibilidad[],19,FALSE), 0)</f>
        <v>0</v>
      </c>
      <c r="P625">
        <f>IFERROR(VLOOKUP(Tabla13[[#This Row],[SISMED]],TblDisponibilidad[],20,FALSE), 0)</f>
        <v>0</v>
      </c>
      <c r="Q625">
        <f>IFERROR(VLOOKUP(Tabla13[[#This Row],[SISMED]],TblDisponibilidad[],21,FALSE), 0)</f>
        <v>0</v>
      </c>
      <c r="R625">
        <f>IFERROR(VLOOKUP(Tabla13[[#This Row],[SISMED]],TblDisponibilidad[],22,FALSE), 0)</f>
        <v>0</v>
      </c>
      <c r="S625" s="15">
        <f>IFERROR(VLOOKUP(Tabla13[[#This Row],[SISMED]],TblDisponibilidad[],23,FALSE), 0)</f>
        <v>0</v>
      </c>
    </row>
    <row r="626" spans="1:19" x14ac:dyDescent="0.3">
      <c r="A626" s="15" t="s">
        <v>656</v>
      </c>
      <c r="B626" t="str">
        <f>IFERROR(VLOOKUP(Tabla13[[#This Row],[SISMED]],TblDisponibilidad[],2,FALSE), "")</f>
        <v/>
      </c>
      <c r="C626">
        <f>IFERROR(VLOOKUP(Tabla13[[#This Row],[SISMED]],TblDisponibilidad[],7,FALSE), 0)</f>
        <v>0</v>
      </c>
      <c r="D626">
        <f>IFERROR(VLOOKUP(Tabla13[[#This Row],[SISMED]],TblDisponibilidad[],8,FALSE), 0)</f>
        <v>0</v>
      </c>
      <c r="E626">
        <f>IFERROR(VLOOKUP(Tabla13[[#This Row],[SISMED]],TblDisponibilidad[],9,FALSE), 0)</f>
        <v>0</v>
      </c>
      <c r="F626">
        <f>IFERROR(VLOOKUP(Tabla13[[#This Row],[SISMED]],TblDisponibilidad[],10,FALSE), 0)</f>
        <v>0</v>
      </c>
      <c r="G626">
        <f>IFERROR(VLOOKUP(Tabla13[[#This Row],[SISMED]],TblDisponibilidad[],11,FALSE), 0)</f>
        <v>0</v>
      </c>
      <c r="H626">
        <f>IFERROR(VLOOKUP(Tabla13[[#This Row],[SISMED]],TblDisponibilidad[],12,FALSE), 0)</f>
        <v>0</v>
      </c>
      <c r="I626">
        <f>IFERROR(VLOOKUP(Tabla13[[#This Row],[SISMED]],TblDisponibilidad[],13,FALSE), 0)</f>
        <v>0</v>
      </c>
      <c r="J626">
        <f>IFERROR(VLOOKUP(Tabla13[[#This Row],[SISMED]],TblDisponibilidad[],14,FALSE), 0)</f>
        <v>0</v>
      </c>
      <c r="K626">
        <f>IFERROR(VLOOKUP(Tabla13[[#This Row],[SISMED]],TblDisponibilidad[],15,FALSE), 0)</f>
        <v>0</v>
      </c>
      <c r="L626">
        <f>IFERROR(VLOOKUP(Tabla13[[#This Row],[SISMED]],TblDisponibilidad[],16,FALSE), 0)</f>
        <v>0</v>
      </c>
      <c r="M626">
        <f>IFERROR(VLOOKUP(Tabla13[[#This Row],[SISMED]],TblDisponibilidad[],17,FALSE), 0)</f>
        <v>0</v>
      </c>
      <c r="N626">
        <f>IFERROR(VLOOKUP(Tabla13[[#This Row],[SISMED]],TblDisponibilidad[],18,FALSE), 0)</f>
        <v>0</v>
      </c>
      <c r="O626">
        <f>IFERROR(VLOOKUP(Tabla13[[#This Row],[SISMED]],TblDisponibilidad[],19,FALSE), 0)</f>
        <v>0</v>
      </c>
      <c r="P626">
        <f>IFERROR(VLOOKUP(Tabla13[[#This Row],[SISMED]],TblDisponibilidad[],20,FALSE), 0)</f>
        <v>0</v>
      </c>
      <c r="Q626">
        <f>IFERROR(VLOOKUP(Tabla13[[#This Row],[SISMED]],TblDisponibilidad[],21,FALSE), 0)</f>
        <v>0</v>
      </c>
      <c r="R626">
        <f>IFERROR(VLOOKUP(Tabla13[[#This Row],[SISMED]],TblDisponibilidad[],22,FALSE), 0)</f>
        <v>0</v>
      </c>
      <c r="S626" s="15">
        <f>IFERROR(VLOOKUP(Tabla13[[#This Row],[SISMED]],TblDisponibilidad[],23,FALSE), 0)</f>
        <v>0</v>
      </c>
    </row>
    <row r="627" spans="1:19" x14ac:dyDescent="0.3">
      <c r="A627" s="15" t="s">
        <v>657</v>
      </c>
      <c r="B627" t="str">
        <f>IFERROR(VLOOKUP(Tabla13[[#This Row],[SISMED]],TblDisponibilidad[],2,FALSE), "")</f>
        <v/>
      </c>
      <c r="C627">
        <f>IFERROR(VLOOKUP(Tabla13[[#This Row],[SISMED]],TblDisponibilidad[],7,FALSE), 0)</f>
        <v>0</v>
      </c>
      <c r="D627">
        <f>IFERROR(VLOOKUP(Tabla13[[#This Row],[SISMED]],TblDisponibilidad[],8,FALSE), 0)</f>
        <v>0</v>
      </c>
      <c r="E627">
        <f>IFERROR(VLOOKUP(Tabla13[[#This Row],[SISMED]],TblDisponibilidad[],9,FALSE), 0)</f>
        <v>0</v>
      </c>
      <c r="F627">
        <f>IFERROR(VLOOKUP(Tabla13[[#This Row],[SISMED]],TblDisponibilidad[],10,FALSE), 0)</f>
        <v>0</v>
      </c>
      <c r="G627">
        <f>IFERROR(VLOOKUP(Tabla13[[#This Row],[SISMED]],TblDisponibilidad[],11,FALSE), 0)</f>
        <v>0</v>
      </c>
      <c r="H627">
        <f>IFERROR(VLOOKUP(Tabla13[[#This Row],[SISMED]],TblDisponibilidad[],12,FALSE), 0)</f>
        <v>0</v>
      </c>
      <c r="I627">
        <f>IFERROR(VLOOKUP(Tabla13[[#This Row],[SISMED]],TblDisponibilidad[],13,FALSE), 0)</f>
        <v>0</v>
      </c>
      <c r="J627">
        <f>IFERROR(VLOOKUP(Tabla13[[#This Row],[SISMED]],TblDisponibilidad[],14,FALSE), 0)</f>
        <v>0</v>
      </c>
      <c r="K627">
        <f>IFERROR(VLOOKUP(Tabla13[[#This Row],[SISMED]],TblDisponibilidad[],15,FALSE), 0)</f>
        <v>0</v>
      </c>
      <c r="L627">
        <f>IFERROR(VLOOKUP(Tabla13[[#This Row],[SISMED]],TblDisponibilidad[],16,FALSE), 0)</f>
        <v>0</v>
      </c>
      <c r="M627">
        <f>IFERROR(VLOOKUP(Tabla13[[#This Row],[SISMED]],TblDisponibilidad[],17,FALSE), 0)</f>
        <v>0</v>
      </c>
      <c r="N627">
        <f>IFERROR(VLOOKUP(Tabla13[[#This Row],[SISMED]],TblDisponibilidad[],18,FALSE), 0)</f>
        <v>0</v>
      </c>
      <c r="O627">
        <f>IFERROR(VLOOKUP(Tabla13[[#This Row],[SISMED]],TblDisponibilidad[],19,FALSE), 0)</f>
        <v>0</v>
      </c>
      <c r="P627">
        <f>IFERROR(VLOOKUP(Tabla13[[#This Row],[SISMED]],TblDisponibilidad[],20,FALSE), 0)</f>
        <v>0</v>
      </c>
      <c r="Q627">
        <f>IFERROR(VLOOKUP(Tabla13[[#This Row],[SISMED]],TblDisponibilidad[],21,FALSE), 0)</f>
        <v>0</v>
      </c>
      <c r="R627">
        <f>IFERROR(VLOOKUP(Tabla13[[#This Row],[SISMED]],TblDisponibilidad[],22,FALSE), 0)</f>
        <v>0</v>
      </c>
      <c r="S627" s="15">
        <f>IFERROR(VLOOKUP(Tabla13[[#This Row],[SISMED]],TblDisponibilidad[],23,FALSE), 0)</f>
        <v>0</v>
      </c>
    </row>
    <row r="628" spans="1:19" x14ac:dyDescent="0.3">
      <c r="A628" s="15" t="s">
        <v>658</v>
      </c>
      <c r="B628" t="str">
        <f>IFERROR(VLOOKUP(Tabla13[[#This Row],[SISMED]],TblDisponibilidad[],2,FALSE), "")</f>
        <v/>
      </c>
      <c r="C628">
        <f>IFERROR(VLOOKUP(Tabla13[[#This Row],[SISMED]],TblDisponibilidad[],7,FALSE), 0)</f>
        <v>0</v>
      </c>
      <c r="D628">
        <f>IFERROR(VLOOKUP(Tabla13[[#This Row],[SISMED]],TblDisponibilidad[],8,FALSE), 0)</f>
        <v>0</v>
      </c>
      <c r="E628">
        <f>IFERROR(VLOOKUP(Tabla13[[#This Row],[SISMED]],TblDisponibilidad[],9,FALSE), 0)</f>
        <v>0</v>
      </c>
      <c r="F628">
        <f>IFERROR(VLOOKUP(Tabla13[[#This Row],[SISMED]],TblDisponibilidad[],10,FALSE), 0)</f>
        <v>0</v>
      </c>
      <c r="G628">
        <f>IFERROR(VLOOKUP(Tabla13[[#This Row],[SISMED]],TblDisponibilidad[],11,FALSE), 0)</f>
        <v>0</v>
      </c>
      <c r="H628">
        <f>IFERROR(VLOOKUP(Tabla13[[#This Row],[SISMED]],TblDisponibilidad[],12,FALSE), 0)</f>
        <v>0</v>
      </c>
      <c r="I628">
        <f>IFERROR(VLOOKUP(Tabla13[[#This Row],[SISMED]],TblDisponibilidad[],13,FALSE), 0)</f>
        <v>0</v>
      </c>
      <c r="J628">
        <f>IFERROR(VLOOKUP(Tabla13[[#This Row],[SISMED]],TblDisponibilidad[],14,FALSE), 0)</f>
        <v>0</v>
      </c>
      <c r="K628">
        <f>IFERROR(VLOOKUP(Tabla13[[#This Row],[SISMED]],TblDisponibilidad[],15,FALSE), 0)</f>
        <v>0</v>
      </c>
      <c r="L628">
        <f>IFERROR(VLOOKUP(Tabla13[[#This Row],[SISMED]],TblDisponibilidad[],16,FALSE), 0)</f>
        <v>0</v>
      </c>
      <c r="M628">
        <f>IFERROR(VLOOKUP(Tabla13[[#This Row],[SISMED]],TblDisponibilidad[],17,FALSE), 0)</f>
        <v>0</v>
      </c>
      <c r="N628">
        <f>IFERROR(VLOOKUP(Tabla13[[#This Row],[SISMED]],TblDisponibilidad[],18,FALSE), 0)</f>
        <v>0</v>
      </c>
      <c r="O628">
        <f>IFERROR(VLOOKUP(Tabla13[[#This Row],[SISMED]],TblDisponibilidad[],19,FALSE), 0)</f>
        <v>0</v>
      </c>
      <c r="P628">
        <f>IFERROR(VLOOKUP(Tabla13[[#This Row],[SISMED]],TblDisponibilidad[],20,FALSE), 0)</f>
        <v>0</v>
      </c>
      <c r="Q628">
        <f>IFERROR(VLOOKUP(Tabla13[[#This Row],[SISMED]],TblDisponibilidad[],21,FALSE), 0)</f>
        <v>0</v>
      </c>
      <c r="R628">
        <f>IFERROR(VLOOKUP(Tabla13[[#This Row],[SISMED]],TblDisponibilidad[],22,FALSE), 0)</f>
        <v>0</v>
      </c>
      <c r="S628" s="15">
        <f>IFERROR(VLOOKUP(Tabla13[[#This Row],[SISMED]],TblDisponibilidad[],23,FALSE), 0)</f>
        <v>0</v>
      </c>
    </row>
    <row r="629" spans="1:19" x14ac:dyDescent="0.3">
      <c r="A629" s="15" t="s">
        <v>659</v>
      </c>
      <c r="B629" t="str">
        <f>IFERROR(VLOOKUP(Tabla13[[#This Row],[SISMED]],TblDisponibilidad[],2,FALSE), "")</f>
        <v/>
      </c>
      <c r="C629">
        <f>IFERROR(VLOOKUP(Tabla13[[#This Row],[SISMED]],TblDisponibilidad[],7,FALSE), 0)</f>
        <v>0</v>
      </c>
      <c r="D629">
        <f>IFERROR(VLOOKUP(Tabla13[[#This Row],[SISMED]],TblDisponibilidad[],8,FALSE), 0)</f>
        <v>0</v>
      </c>
      <c r="E629">
        <f>IFERROR(VLOOKUP(Tabla13[[#This Row],[SISMED]],TblDisponibilidad[],9,FALSE), 0)</f>
        <v>0</v>
      </c>
      <c r="F629">
        <f>IFERROR(VLOOKUP(Tabla13[[#This Row],[SISMED]],TblDisponibilidad[],10,FALSE), 0)</f>
        <v>0</v>
      </c>
      <c r="G629">
        <f>IFERROR(VLOOKUP(Tabla13[[#This Row],[SISMED]],TblDisponibilidad[],11,FALSE), 0)</f>
        <v>0</v>
      </c>
      <c r="H629">
        <f>IFERROR(VLOOKUP(Tabla13[[#This Row],[SISMED]],TblDisponibilidad[],12,FALSE), 0)</f>
        <v>0</v>
      </c>
      <c r="I629">
        <f>IFERROR(VLOOKUP(Tabla13[[#This Row],[SISMED]],TblDisponibilidad[],13,FALSE), 0)</f>
        <v>0</v>
      </c>
      <c r="J629">
        <f>IFERROR(VLOOKUP(Tabla13[[#This Row],[SISMED]],TblDisponibilidad[],14,FALSE), 0)</f>
        <v>0</v>
      </c>
      <c r="K629">
        <f>IFERROR(VLOOKUP(Tabla13[[#This Row],[SISMED]],TblDisponibilidad[],15,FALSE), 0)</f>
        <v>0</v>
      </c>
      <c r="L629">
        <f>IFERROR(VLOOKUP(Tabla13[[#This Row],[SISMED]],TblDisponibilidad[],16,FALSE), 0)</f>
        <v>0</v>
      </c>
      <c r="M629">
        <f>IFERROR(VLOOKUP(Tabla13[[#This Row],[SISMED]],TblDisponibilidad[],17,FALSE), 0)</f>
        <v>0</v>
      </c>
      <c r="N629">
        <f>IFERROR(VLOOKUP(Tabla13[[#This Row],[SISMED]],TblDisponibilidad[],18,FALSE), 0)</f>
        <v>0</v>
      </c>
      <c r="O629">
        <f>IFERROR(VLOOKUP(Tabla13[[#This Row],[SISMED]],TblDisponibilidad[],19,FALSE), 0)</f>
        <v>0</v>
      </c>
      <c r="P629">
        <f>IFERROR(VLOOKUP(Tabla13[[#This Row],[SISMED]],TblDisponibilidad[],20,FALSE), 0)</f>
        <v>0</v>
      </c>
      <c r="Q629">
        <f>IFERROR(VLOOKUP(Tabla13[[#This Row],[SISMED]],TblDisponibilidad[],21,FALSE), 0)</f>
        <v>0</v>
      </c>
      <c r="R629">
        <f>IFERROR(VLOOKUP(Tabla13[[#This Row],[SISMED]],TblDisponibilidad[],22,FALSE), 0)</f>
        <v>0</v>
      </c>
      <c r="S629" s="15">
        <f>IFERROR(VLOOKUP(Tabla13[[#This Row],[SISMED]],TblDisponibilidad[],23,FALSE), 0)</f>
        <v>0</v>
      </c>
    </row>
    <row r="630" spans="1:19" x14ac:dyDescent="0.3">
      <c r="A630" s="15" t="s">
        <v>660</v>
      </c>
      <c r="B630" t="str">
        <f>IFERROR(VLOOKUP(Tabla13[[#This Row],[SISMED]],TblDisponibilidad[],2,FALSE), "")</f>
        <v/>
      </c>
      <c r="C630">
        <f>IFERROR(VLOOKUP(Tabla13[[#This Row],[SISMED]],TblDisponibilidad[],7,FALSE), 0)</f>
        <v>0</v>
      </c>
      <c r="D630">
        <f>IFERROR(VLOOKUP(Tabla13[[#This Row],[SISMED]],TblDisponibilidad[],8,FALSE), 0)</f>
        <v>0</v>
      </c>
      <c r="E630">
        <f>IFERROR(VLOOKUP(Tabla13[[#This Row],[SISMED]],TblDisponibilidad[],9,FALSE), 0)</f>
        <v>0</v>
      </c>
      <c r="F630">
        <f>IFERROR(VLOOKUP(Tabla13[[#This Row],[SISMED]],TblDisponibilidad[],10,FALSE), 0)</f>
        <v>0</v>
      </c>
      <c r="G630">
        <f>IFERROR(VLOOKUP(Tabla13[[#This Row],[SISMED]],TblDisponibilidad[],11,FALSE), 0)</f>
        <v>0</v>
      </c>
      <c r="H630">
        <f>IFERROR(VLOOKUP(Tabla13[[#This Row],[SISMED]],TblDisponibilidad[],12,FALSE), 0)</f>
        <v>0</v>
      </c>
      <c r="I630">
        <f>IFERROR(VLOOKUP(Tabla13[[#This Row],[SISMED]],TblDisponibilidad[],13,FALSE), 0)</f>
        <v>0</v>
      </c>
      <c r="J630">
        <f>IFERROR(VLOOKUP(Tabla13[[#This Row],[SISMED]],TblDisponibilidad[],14,FALSE), 0)</f>
        <v>0</v>
      </c>
      <c r="K630">
        <f>IFERROR(VLOOKUP(Tabla13[[#This Row],[SISMED]],TblDisponibilidad[],15,FALSE), 0)</f>
        <v>0</v>
      </c>
      <c r="L630">
        <f>IFERROR(VLOOKUP(Tabla13[[#This Row],[SISMED]],TblDisponibilidad[],16,FALSE), 0)</f>
        <v>0</v>
      </c>
      <c r="M630">
        <f>IFERROR(VLOOKUP(Tabla13[[#This Row],[SISMED]],TblDisponibilidad[],17,FALSE), 0)</f>
        <v>0</v>
      </c>
      <c r="N630">
        <f>IFERROR(VLOOKUP(Tabla13[[#This Row],[SISMED]],TblDisponibilidad[],18,FALSE), 0)</f>
        <v>0</v>
      </c>
      <c r="O630">
        <f>IFERROR(VLOOKUP(Tabla13[[#This Row],[SISMED]],TblDisponibilidad[],19,FALSE), 0)</f>
        <v>0</v>
      </c>
      <c r="P630">
        <f>IFERROR(VLOOKUP(Tabla13[[#This Row],[SISMED]],TblDisponibilidad[],20,FALSE), 0)</f>
        <v>0</v>
      </c>
      <c r="Q630">
        <f>IFERROR(VLOOKUP(Tabla13[[#This Row],[SISMED]],TblDisponibilidad[],21,FALSE), 0)</f>
        <v>0</v>
      </c>
      <c r="R630">
        <f>IFERROR(VLOOKUP(Tabla13[[#This Row],[SISMED]],TblDisponibilidad[],22,FALSE), 0)</f>
        <v>0</v>
      </c>
      <c r="S630" s="15">
        <f>IFERROR(VLOOKUP(Tabla13[[#This Row],[SISMED]],TblDisponibilidad[],23,FALSE), 0)</f>
        <v>0</v>
      </c>
    </row>
    <row r="631" spans="1:19" x14ac:dyDescent="0.3">
      <c r="A631" s="15" t="s">
        <v>661</v>
      </c>
      <c r="B631" t="str">
        <f>IFERROR(VLOOKUP(Tabla13[[#This Row],[SISMED]],TblDisponibilidad[],2,FALSE), "")</f>
        <v/>
      </c>
      <c r="C631">
        <f>IFERROR(VLOOKUP(Tabla13[[#This Row],[SISMED]],TblDisponibilidad[],7,FALSE), 0)</f>
        <v>0</v>
      </c>
      <c r="D631">
        <f>IFERROR(VLOOKUP(Tabla13[[#This Row],[SISMED]],TblDisponibilidad[],8,FALSE), 0)</f>
        <v>0</v>
      </c>
      <c r="E631">
        <f>IFERROR(VLOOKUP(Tabla13[[#This Row],[SISMED]],TblDisponibilidad[],9,FALSE), 0)</f>
        <v>0</v>
      </c>
      <c r="F631">
        <f>IFERROR(VLOOKUP(Tabla13[[#This Row],[SISMED]],TblDisponibilidad[],10,FALSE), 0)</f>
        <v>0</v>
      </c>
      <c r="G631">
        <f>IFERROR(VLOOKUP(Tabla13[[#This Row],[SISMED]],TblDisponibilidad[],11,FALSE), 0)</f>
        <v>0</v>
      </c>
      <c r="H631">
        <f>IFERROR(VLOOKUP(Tabla13[[#This Row],[SISMED]],TblDisponibilidad[],12,FALSE), 0)</f>
        <v>0</v>
      </c>
      <c r="I631">
        <f>IFERROR(VLOOKUP(Tabla13[[#This Row],[SISMED]],TblDisponibilidad[],13,FALSE), 0)</f>
        <v>0</v>
      </c>
      <c r="J631">
        <f>IFERROR(VLOOKUP(Tabla13[[#This Row],[SISMED]],TblDisponibilidad[],14,FALSE), 0)</f>
        <v>0</v>
      </c>
      <c r="K631">
        <f>IFERROR(VLOOKUP(Tabla13[[#This Row],[SISMED]],TblDisponibilidad[],15,FALSE), 0)</f>
        <v>0</v>
      </c>
      <c r="L631">
        <f>IFERROR(VLOOKUP(Tabla13[[#This Row],[SISMED]],TblDisponibilidad[],16,FALSE), 0)</f>
        <v>0</v>
      </c>
      <c r="M631">
        <f>IFERROR(VLOOKUP(Tabla13[[#This Row],[SISMED]],TblDisponibilidad[],17,FALSE), 0)</f>
        <v>0</v>
      </c>
      <c r="N631">
        <f>IFERROR(VLOOKUP(Tabla13[[#This Row],[SISMED]],TblDisponibilidad[],18,FALSE), 0)</f>
        <v>0</v>
      </c>
      <c r="O631">
        <f>IFERROR(VLOOKUP(Tabla13[[#This Row],[SISMED]],TblDisponibilidad[],19,FALSE), 0)</f>
        <v>0</v>
      </c>
      <c r="P631">
        <f>IFERROR(VLOOKUP(Tabla13[[#This Row],[SISMED]],TblDisponibilidad[],20,FALSE), 0)</f>
        <v>0</v>
      </c>
      <c r="Q631">
        <f>IFERROR(VLOOKUP(Tabla13[[#This Row],[SISMED]],TblDisponibilidad[],21,FALSE), 0)</f>
        <v>0</v>
      </c>
      <c r="R631">
        <f>IFERROR(VLOOKUP(Tabla13[[#This Row],[SISMED]],TblDisponibilidad[],22,FALSE), 0)</f>
        <v>0</v>
      </c>
      <c r="S631" s="15">
        <f>IFERROR(VLOOKUP(Tabla13[[#This Row],[SISMED]],TblDisponibilidad[],23,FALSE), 0)</f>
        <v>0</v>
      </c>
    </row>
    <row r="632" spans="1:19" x14ac:dyDescent="0.3">
      <c r="A632" s="15" t="s">
        <v>662</v>
      </c>
      <c r="B632" t="str">
        <f>IFERROR(VLOOKUP(Tabla13[[#This Row],[SISMED]],TblDisponibilidad[],2,FALSE), "")</f>
        <v/>
      </c>
      <c r="C632">
        <f>IFERROR(VLOOKUP(Tabla13[[#This Row],[SISMED]],TblDisponibilidad[],7,FALSE), 0)</f>
        <v>0</v>
      </c>
      <c r="D632">
        <f>IFERROR(VLOOKUP(Tabla13[[#This Row],[SISMED]],TblDisponibilidad[],8,FALSE), 0)</f>
        <v>0</v>
      </c>
      <c r="E632">
        <f>IFERROR(VLOOKUP(Tabla13[[#This Row],[SISMED]],TblDisponibilidad[],9,FALSE), 0)</f>
        <v>0</v>
      </c>
      <c r="F632">
        <f>IFERROR(VLOOKUP(Tabla13[[#This Row],[SISMED]],TblDisponibilidad[],10,FALSE), 0)</f>
        <v>0</v>
      </c>
      <c r="G632">
        <f>IFERROR(VLOOKUP(Tabla13[[#This Row],[SISMED]],TblDisponibilidad[],11,FALSE), 0)</f>
        <v>0</v>
      </c>
      <c r="H632">
        <f>IFERROR(VLOOKUP(Tabla13[[#This Row],[SISMED]],TblDisponibilidad[],12,FALSE), 0)</f>
        <v>0</v>
      </c>
      <c r="I632">
        <f>IFERROR(VLOOKUP(Tabla13[[#This Row],[SISMED]],TblDisponibilidad[],13,FALSE), 0)</f>
        <v>0</v>
      </c>
      <c r="J632">
        <f>IFERROR(VLOOKUP(Tabla13[[#This Row],[SISMED]],TblDisponibilidad[],14,FALSE), 0)</f>
        <v>0</v>
      </c>
      <c r="K632">
        <f>IFERROR(VLOOKUP(Tabla13[[#This Row],[SISMED]],TblDisponibilidad[],15,FALSE), 0)</f>
        <v>0</v>
      </c>
      <c r="L632">
        <f>IFERROR(VLOOKUP(Tabla13[[#This Row],[SISMED]],TblDisponibilidad[],16,FALSE), 0)</f>
        <v>0</v>
      </c>
      <c r="M632">
        <f>IFERROR(VLOOKUP(Tabla13[[#This Row],[SISMED]],TblDisponibilidad[],17,FALSE), 0)</f>
        <v>0</v>
      </c>
      <c r="N632">
        <f>IFERROR(VLOOKUP(Tabla13[[#This Row],[SISMED]],TblDisponibilidad[],18,FALSE), 0)</f>
        <v>0</v>
      </c>
      <c r="O632">
        <f>IFERROR(VLOOKUP(Tabla13[[#This Row],[SISMED]],TblDisponibilidad[],19,FALSE), 0)</f>
        <v>0</v>
      </c>
      <c r="P632">
        <f>IFERROR(VLOOKUP(Tabla13[[#This Row],[SISMED]],TblDisponibilidad[],20,FALSE), 0)</f>
        <v>0</v>
      </c>
      <c r="Q632">
        <f>IFERROR(VLOOKUP(Tabla13[[#This Row],[SISMED]],TblDisponibilidad[],21,FALSE), 0)</f>
        <v>0</v>
      </c>
      <c r="R632">
        <f>IFERROR(VLOOKUP(Tabla13[[#This Row],[SISMED]],TblDisponibilidad[],22,FALSE), 0)</f>
        <v>0</v>
      </c>
      <c r="S632" s="15">
        <f>IFERROR(VLOOKUP(Tabla13[[#This Row],[SISMED]],TblDisponibilidad[],23,FALSE), 0)</f>
        <v>0</v>
      </c>
    </row>
    <row r="633" spans="1:19" x14ac:dyDescent="0.3">
      <c r="A633" s="15" t="s">
        <v>663</v>
      </c>
      <c r="B633" t="str">
        <f>IFERROR(VLOOKUP(Tabla13[[#This Row],[SISMED]],TblDisponibilidad[],2,FALSE), "")</f>
        <v/>
      </c>
      <c r="C633">
        <f>IFERROR(VLOOKUP(Tabla13[[#This Row],[SISMED]],TblDisponibilidad[],7,FALSE), 0)</f>
        <v>0</v>
      </c>
      <c r="D633">
        <f>IFERROR(VLOOKUP(Tabla13[[#This Row],[SISMED]],TblDisponibilidad[],8,FALSE), 0)</f>
        <v>0</v>
      </c>
      <c r="E633">
        <f>IFERROR(VLOOKUP(Tabla13[[#This Row],[SISMED]],TblDisponibilidad[],9,FALSE), 0)</f>
        <v>0</v>
      </c>
      <c r="F633">
        <f>IFERROR(VLOOKUP(Tabla13[[#This Row],[SISMED]],TblDisponibilidad[],10,FALSE), 0)</f>
        <v>0</v>
      </c>
      <c r="G633">
        <f>IFERROR(VLOOKUP(Tabla13[[#This Row],[SISMED]],TblDisponibilidad[],11,FALSE), 0)</f>
        <v>0</v>
      </c>
      <c r="H633">
        <f>IFERROR(VLOOKUP(Tabla13[[#This Row],[SISMED]],TblDisponibilidad[],12,FALSE), 0)</f>
        <v>0</v>
      </c>
      <c r="I633">
        <f>IFERROR(VLOOKUP(Tabla13[[#This Row],[SISMED]],TblDisponibilidad[],13,FALSE), 0)</f>
        <v>0</v>
      </c>
      <c r="J633">
        <f>IFERROR(VLOOKUP(Tabla13[[#This Row],[SISMED]],TblDisponibilidad[],14,FALSE), 0)</f>
        <v>0</v>
      </c>
      <c r="K633">
        <f>IFERROR(VLOOKUP(Tabla13[[#This Row],[SISMED]],TblDisponibilidad[],15,FALSE), 0)</f>
        <v>0</v>
      </c>
      <c r="L633">
        <f>IFERROR(VLOOKUP(Tabla13[[#This Row],[SISMED]],TblDisponibilidad[],16,FALSE), 0)</f>
        <v>0</v>
      </c>
      <c r="M633">
        <f>IFERROR(VLOOKUP(Tabla13[[#This Row],[SISMED]],TblDisponibilidad[],17,FALSE), 0)</f>
        <v>0</v>
      </c>
      <c r="N633">
        <f>IFERROR(VLOOKUP(Tabla13[[#This Row],[SISMED]],TblDisponibilidad[],18,FALSE), 0)</f>
        <v>0</v>
      </c>
      <c r="O633">
        <f>IFERROR(VLOOKUP(Tabla13[[#This Row],[SISMED]],TblDisponibilidad[],19,FALSE), 0)</f>
        <v>0</v>
      </c>
      <c r="P633">
        <f>IFERROR(VLOOKUP(Tabla13[[#This Row],[SISMED]],TblDisponibilidad[],20,FALSE), 0)</f>
        <v>0</v>
      </c>
      <c r="Q633">
        <f>IFERROR(VLOOKUP(Tabla13[[#This Row],[SISMED]],TblDisponibilidad[],21,FALSE), 0)</f>
        <v>0</v>
      </c>
      <c r="R633">
        <f>IFERROR(VLOOKUP(Tabla13[[#This Row],[SISMED]],TblDisponibilidad[],22,FALSE), 0)</f>
        <v>0</v>
      </c>
      <c r="S633" s="15">
        <f>IFERROR(VLOOKUP(Tabla13[[#This Row],[SISMED]],TblDisponibilidad[],23,FALSE), 0)</f>
        <v>0</v>
      </c>
    </row>
    <row r="634" spans="1:19" x14ac:dyDescent="0.3">
      <c r="A634" s="15" t="s">
        <v>664</v>
      </c>
      <c r="B634" t="str">
        <f>IFERROR(VLOOKUP(Tabla13[[#This Row],[SISMED]],TblDisponibilidad[],2,FALSE), "")</f>
        <v/>
      </c>
      <c r="C634">
        <f>IFERROR(VLOOKUP(Tabla13[[#This Row],[SISMED]],TblDisponibilidad[],7,FALSE), 0)</f>
        <v>0</v>
      </c>
      <c r="D634">
        <f>IFERROR(VLOOKUP(Tabla13[[#This Row],[SISMED]],TblDisponibilidad[],8,FALSE), 0)</f>
        <v>0</v>
      </c>
      <c r="E634">
        <f>IFERROR(VLOOKUP(Tabla13[[#This Row],[SISMED]],TblDisponibilidad[],9,FALSE), 0)</f>
        <v>0</v>
      </c>
      <c r="F634">
        <f>IFERROR(VLOOKUP(Tabla13[[#This Row],[SISMED]],TblDisponibilidad[],10,FALSE), 0)</f>
        <v>0</v>
      </c>
      <c r="G634">
        <f>IFERROR(VLOOKUP(Tabla13[[#This Row],[SISMED]],TblDisponibilidad[],11,FALSE), 0)</f>
        <v>0</v>
      </c>
      <c r="H634">
        <f>IFERROR(VLOOKUP(Tabla13[[#This Row],[SISMED]],TblDisponibilidad[],12,FALSE), 0)</f>
        <v>0</v>
      </c>
      <c r="I634">
        <f>IFERROR(VLOOKUP(Tabla13[[#This Row],[SISMED]],TblDisponibilidad[],13,FALSE), 0)</f>
        <v>0</v>
      </c>
      <c r="J634">
        <f>IFERROR(VLOOKUP(Tabla13[[#This Row],[SISMED]],TblDisponibilidad[],14,FALSE), 0)</f>
        <v>0</v>
      </c>
      <c r="K634">
        <f>IFERROR(VLOOKUP(Tabla13[[#This Row],[SISMED]],TblDisponibilidad[],15,FALSE), 0)</f>
        <v>0</v>
      </c>
      <c r="L634">
        <f>IFERROR(VLOOKUP(Tabla13[[#This Row],[SISMED]],TblDisponibilidad[],16,FALSE), 0)</f>
        <v>0</v>
      </c>
      <c r="M634">
        <f>IFERROR(VLOOKUP(Tabla13[[#This Row],[SISMED]],TblDisponibilidad[],17,FALSE), 0)</f>
        <v>0</v>
      </c>
      <c r="N634">
        <f>IFERROR(VLOOKUP(Tabla13[[#This Row],[SISMED]],TblDisponibilidad[],18,FALSE), 0)</f>
        <v>0</v>
      </c>
      <c r="O634">
        <f>IFERROR(VLOOKUP(Tabla13[[#This Row],[SISMED]],TblDisponibilidad[],19,FALSE), 0)</f>
        <v>0</v>
      </c>
      <c r="P634">
        <f>IFERROR(VLOOKUP(Tabla13[[#This Row],[SISMED]],TblDisponibilidad[],20,FALSE), 0)</f>
        <v>0</v>
      </c>
      <c r="Q634">
        <f>IFERROR(VLOOKUP(Tabla13[[#This Row],[SISMED]],TblDisponibilidad[],21,FALSE), 0)</f>
        <v>0</v>
      </c>
      <c r="R634">
        <f>IFERROR(VLOOKUP(Tabla13[[#This Row],[SISMED]],TblDisponibilidad[],22,FALSE), 0)</f>
        <v>0</v>
      </c>
      <c r="S634" s="15">
        <f>IFERROR(VLOOKUP(Tabla13[[#This Row],[SISMED]],TblDisponibilidad[],23,FALSE), 0)</f>
        <v>0</v>
      </c>
    </row>
    <row r="635" spans="1:19" x14ac:dyDescent="0.3">
      <c r="A635" s="15" t="s">
        <v>665</v>
      </c>
      <c r="B635" t="str">
        <f>IFERROR(VLOOKUP(Tabla13[[#This Row],[SISMED]],TblDisponibilidad[],2,FALSE), "")</f>
        <v/>
      </c>
      <c r="C635">
        <f>IFERROR(VLOOKUP(Tabla13[[#This Row],[SISMED]],TblDisponibilidad[],7,FALSE), 0)</f>
        <v>0</v>
      </c>
      <c r="D635">
        <f>IFERROR(VLOOKUP(Tabla13[[#This Row],[SISMED]],TblDisponibilidad[],8,FALSE), 0)</f>
        <v>0</v>
      </c>
      <c r="E635">
        <f>IFERROR(VLOOKUP(Tabla13[[#This Row],[SISMED]],TblDisponibilidad[],9,FALSE), 0)</f>
        <v>0</v>
      </c>
      <c r="F635">
        <f>IFERROR(VLOOKUP(Tabla13[[#This Row],[SISMED]],TblDisponibilidad[],10,FALSE), 0)</f>
        <v>0</v>
      </c>
      <c r="G635">
        <f>IFERROR(VLOOKUP(Tabla13[[#This Row],[SISMED]],TblDisponibilidad[],11,FALSE), 0)</f>
        <v>0</v>
      </c>
      <c r="H635">
        <f>IFERROR(VLOOKUP(Tabla13[[#This Row],[SISMED]],TblDisponibilidad[],12,FALSE), 0)</f>
        <v>0</v>
      </c>
      <c r="I635">
        <f>IFERROR(VLOOKUP(Tabla13[[#This Row],[SISMED]],TblDisponibilidad[],13,FALSE), 0)</f>
        <v>0</v>
      </c>
      <c r="J635">
        <f>IFERROR(VLOOKUP(Tabla13[[#This Row],[SISMED]],TblDisponibilidad[],14,FALSE), 0)</f>
        <v>0</v>
      </c>
      <c r="K635">
        <f>IFERROR(VLOOKUP(Tabla13[[#This Row],[SISMED]],TblDisponibilidad[],15,FALSE), 0)</f>
        <v>0</v>
      </c>
      <c r="L635">
        <f>IFERROR(VLOOKUP(Tabla13[[#This Row],[SISMED]],TblDisponibilidad[],16,FALSE), 0)</f>
        <v>0</v>
      </c>
      <c r="M635">
        <f>IFERROR(VLOOKUP(Tabla13[[#This Row],[SISMED]],TblDisponibilidad[],17,FALSE), 0)</f>
        <v>0</v>
      </c>
      <c r="N635">
        <f>IFERROR(VLOOKUP(Tabla13[[#This Row],[SISMED]],TblDisponibilidad[],18,FALSE), 0)</f>
        <v>0</v>
      </c>
      <c r="O635">
        <f>IFERROR(VLOOKUP(Tabla13[[#This Row],[SISMED]],TblDisponibilidad[],19,FALSE), 0)</f>
        <v>0</v>
      </c>
      <c r="P635">
        <f>IFERROR(VLOOKUP(Tabla13[[#This Row],[SISMED]],TblDisponibilidad[],20,FALSE), 0)</f>
        <v>0</v>
      </c>
      <c r="Q635">
        <f>IFERROR(VLOOKUP(Tabla13[[#This Row],[SISMED]],TblDisponibilidad[],21,FALSE), 0)</f>
        <v>0</v>
      </c>
      <c r="R635">
        <f>IFERROR(VLOOKUP(Tabla13[[#This Row],[SISMED]],TblDisponibilidad[],22,FALSE), 0)</f>
        <v>0</v>
      </c>
      <c r="S635" s="15">
        <f>IFERROR(VLOOKUP(Tabla13[[#This Row],[SISMED]],TblDisponibilidad[],23,FALSE), 0)</f>
        <v>0</v>
      </c>
    </row>
    <row r="636" spans="1:19" x14ac:dyDescent="0.3">
      <c r="A636" s="15" t="s">
        <v>666</v>
      </c>
      <c r="B636" t="str">
        <f>IFERROR(VLOOKUP(Tabla13[[#This Row],[SISMED]],TblDisponibilidad[],2,FALSE), "")</f>
        <v/>
      </c>
      <c r="C636">
        <f>IFERROR(VLOOKUP(Tabla13[[#This Row],[SISMED]],TblDisponibilidad[],7,FALSE), 0)</f>
        <v>0</v>
      </c>
      <c r="D636">
        <f>IFERROR(VLOOKUP(Tabla13[[#This Row],[SISMED]],TblDisponibilidad[],8,FALSE), 0)</f>
        <v>0</v>
      </c>
      <c r="E636">
        <f>IFERROR(VLOOKUP(Tabla13[[#This Row],[SISMED]],TblDisponibilidad[],9,FALSE), 0)</f>
        <v>0</v>
      </c>
      <c r="F636">
        <f>IFERROR(VLOOKUP(Tabla13[[#This Row],[SISMED]],TblDisponibilidad[],10,FALSE), 0)</f>
        <v>0</v>
      </c>
      <c r="G636">
        <f>IFERROR(VLOOKUP(Tabla13[[#This Row],[SISMED]],TblDisponibilidad[],11,FALSE), 0)</f>
        <v>0</v>
      </c>
      <c r="H636">
        <f>IFERROR(VLOOKUP(Tabla13[[#This Row],[SISMED]],TblDisponibilidad[],12,FALSE), 0)</f>
        <v>0</v>
      </c>
      <c r="I636">
        <f>IFERROR(VLOOKUP(Tabla13[[#This Row],[SISMED]],TblDisponibilidad[],13,FALSE), 0)</f>
        <v>0</v>
      </c>
      <c r="J636">
        <f>IFERROR(VLOOKUP(Tabla13[[#This Row],[SISMED]],TblDisponibilidad[],14,FALSE), 0)</f>
        <v>0</v>
      </c>
      <c r="K636">
        <f>IFERROR(VLOOKUP(Tabla13[[#This Row],[SISMED]],TblDisponibilidad[],15,FALSE), 0)</f>
        <v>0</v>
      </c>
      <c r="L636">
        <f>IFERROR(VLOOKUP(Tabla13[[#This Row],[SISMED]],TblDisponibilidad[],16,FALSE), 0)</f>
        <v>0</v>
      </c>
      <c r="M636">
        <f>IFERROR(VLOOKUP(Tabla13[[#This Row],[SISMED]],TblDisponibilidad[],17,FALSE), 0)</f>
        <v>0</v>
      </c>
      <c r="N636">
        <f>IFERROR(VLOOKUP(Tabla13[[#This Row],[SISMED]],TblDisponibilidad[],18,FALSE), 0)</f>
        <v>0</v>
      </c>
      <c r="O636">
        <f>IFERROR(VLOOKUP(Tabla13[[#This Row],[SISMED]],TblDisponibilidad[],19,FALSE), 0)</f>
        <v>0</v>
      </c>
      <c r="P636">
        <f>IFERROR(VLOOKUP(Tabla13[[#This Row],[SISMED]],TblDisponibilidad[],20,FALSE), 0)</f>
        <v>0</v>
      </c>
      <c r="Q636">
        <f>IFERROR(VLOOKUP(Tabla13[[#This Row],[SISMED]],TblDisponibilidad[],21,FALSE), 0)</f>
        <v>0</v>
      </c>
      <c r="R636">
        <f>IFERROR(VLOOKUP(Tabla13[[#This Row],[SISMED]],TblDisponibilidad[],22,FALSE), 0)</f>
        <v>0</v>
      </c>
      <c r="S636" s="15">
        <f>IFERROR(VLOOKUP(Tabla13[[#This Row],[SISMED]],TblDisponibilidad[],23,FALSE), 0)</f>
        <v>0</v>
      </c>
    </row>
    <row r="637" spans="1:19" x14ac:dyDescent="0.3">
      <c r="A637" s="15" t="s">
        <v>667</v>
      </c>
      <c r="B637" t="str">
        <f>IFERROR(VLOOKUP(Tabla13[[#This Row],[SISMED]],TblDisponibilidad[],2,FALSE), "")</f>
        <v/>
      </c>
      <c r="C637">
        <f>IFERROR(VLOOKUP(Tabla13[[#This Row],[SISMED]],TblDisponibilidad[],7,FALSE), 0)</f>
        <v>0</v>
      </c>
      <c r="D637">
        <f>IFERROR(VLOOKUP(Tabla13[[#This Row],[SISMED]],TblDisponibilidad[],8,FALSE), 0)</f>
        <v>0</v>
      </c>
      <c r="E637">
        <f>IFERROR(VLOOKUP(Tabla13[[#This Row],[SISMED]],TblDisponibilidad[],9,FALSE), 0)</f>
        <v>0</v>
      </c>
      <c r="F637">
        <f>IFERROR(VLOOKUP(Tabla13[[#This Row],[SISMED]],TblDisponibilidad[],10,FALSE), 0)</f>
        <v>0</v>
      </c>
      <c r="G637">
        <f>IFERROR(VLOOKUP(Tabla13[[#This Row],[SISMED]],TblDisponibilidad[],11,FALSE), 0)</f>
        <v>0</v>
      </c>
      <c r="H637">
        <f>IFERROR(VLOOKUP(Tabla13[[#This Row],[SISMED]],TblDisponibilidad[],12,FALSE), 0)</f>
        <v>0</v>
      </c>
      <c r="I637">
        <f>IFERROR(VLOOKUP(Tabla13[[#This Row],[SISMED]],TblDisponibilidad[],13,FALSE), 0)</f>
        <v>0</v>
      </c>
      <c r="J637">
        <f>IFERROR(VLOOKUP(Tabla13[[#This Row],[SISMED]],TblDisponibilidad[],14,FALSE), 0)</f>
        <v>0</v>
      </c>
      <c r="K637">
        <f>IFERROR(VLOOKUP(Tabla13[[#This Row],[SISMED]],TblDisponibilidad[],15,FALSE), 0)</f>
        <v>0</v>
      </c>
      <c r="L637">
        <f>IFERROR(VLOOKUP(Tabla13[[#This Row],[SISMED]],TblDisponibilidad[],16,FALSE), 0)</f>
        <v>0</v>
      </c>
      <c r="M637">
        <f>IFERROR(VLOOKUP(Tabla13[[#This Row],[SISMED]],TblDisponibilidad[],17,FALSE), 0)</f>
        <v>0</v>
      </c>
      <c r="N637">
        <f>IFERROR(VLOOKUP(Tabla13[[#This Row],[SISMED]],TblDisponibilidad[],18,FALSE), 0)</f>
        <v>0</v>
      </c>
      <c r="O637">
        <f>IFERROR(VLOOKUP(Tabla13[[#This Row],[SISMED]],TblDisponibilidad[],19,FALSE), 0)</f>
        <v>0</v>
      </c>
      <c r="P637">
        <f>IFERROR(VLOOKUP(Tabla13[[#This Row],[SISMED]],TblDisponibilidad[],20,FALSE), 0)</f>
        <v>0</v>
      </c>
      <c r="Q637">
        <f>IFERROR(VLOOKUP(Tabla13[[#This Row],[SISMED]],TblDisponibilidad[],21,FALSE), 0)</f>
        <v>0</v>
      </c>
      <c r="R637">
        <f>IFERROR(VLOOKUP(Tabla13[[#This Row],[SISMED]],TblDisponibilidad[],22,FALSE), 0)</f>
        <v>0</v>
      </c>
      <c r="S637" s="15">
        <f>IFERROR(VLOOKUP(Tabla13[[#This Row],[SISMED]],TblDisponibilidad[],23,FALSE), 0)</f>
        <v>0</v>
      </c>
    </row>
    <row r="638" spans="1:19" x14ac:dyDescent="0.3">
      <c r="A638" s="15" t="s">
        <v>668</v>
      </c>
      <c r="B638" t="str">
        <f>IFERROR(VLOOKUP(Tabla13[[#This Row],[SISMED]],TblDisponibilidad[],2,FALSE), "")</f>
        <v/>
      </c>
      <c r="C638">
        <f>IFERROR(VLOOKUP(Tabla13[[#This Row],[SISMED]],TblDisponibilidad[],7,FALSE), 0)</f>
        <v>0</v>
      </c>
      <c r="D638">
        <f>IFERROR(VLOOKUP(Tabla13[[#This Row],[SISMED]],TblDisponibilidad[],8,FALSE), 0)</f>
        <v>0</v>
      </c>
      <c r="E638">
        <f>IFERROR(VLOOKUP(Tabla13[[#This Row],[SISMED]],TblDisponibilidad[],9,FALSE), 0)</f>
        <v>0</v>
      </c>
      <c r="F638">
        <f>IFERROR(VLOOKUP(Tabla13[[#This Row],[SISMED]],TblDisponibilidad[],10,FALSE), 0)</f>
        <v>0</v>
      </c>
      <c r="G638">
        <f>IFERROR(VLOOKUP(Tabla13[[#This Row],[SISMED]],TblDisponibilidad[],11,FALSE), 0)</f>
        <v>0</v>
      </c>
      <c r="H638">
        <f>IFERROR(VLOOKUP(Tabla13[[#This Row],[SISMED]],TblDisponibilidad[],12,FALSE), 0)</f>
        <v>0</v>
      </c>
      <c r="I638">
        <f>IFERROR(VLOOKUP(Tabla13[[#This Row],[SISMED]],TblDisponibilidad[],13,FALSE), 0)</f>
        <v>0</v>
      </c>
      <c r="J638">
        <f>IFERROR(VLOOKUP(Tabla13[[#This Row],[SISMED]],TblDisponibilidad[],14,FALSE), 0)</f>
        <v>0</v>
      </c>
      <c r="K638">
        <f>IFERROR(VLOOKUP(Tabla13[[#This Row],[SISMED]],TblDisponibilidad[],15,FALSE), 0)</f>
        <v>0</v>
      </c>
      <c r="L638">
        <f>IFERROR(VLOOKUP(Tabla13[[#This Row],[SISMED]],TblDisponibilidad[],16,FALSE), 0)</f>
        <v>0</v>
      </c>
      <c r="M638">
        <f>IFERROR(VLOOKUP(Tabla13[[#This Row],[SISMED]],TblDisponibilidad[],17,FALSE), 0)</f>
        <v>0</v>
      </c>
      <c r="N638">
        <f>IFERROR(VLOOKUP(Tabla13[[#This Row],[SISMED]],TblDisponibilidad[],18,FALSE), 0)</f>
        <v>0</v>
      </c>
      <c r="O638">
        <f>IFERROR(VLOOKUP(Tabla13[[#This Row],[SISMED]],TblDisponibilidad[],19,FALSE), 0)</f>
        <v>0</v>
      </c>
      <c r="P638">
        <f>IFERROR(VLOOKUP(Tabla13[[#This Row],[SISMED]],TblDisponibilidad[],20,FALSE), 0)</f>
        <v>0</v>
      </c>
      <c r="Q638">
        <f>IFERROR(VLOOKUP(Tabla13[[#This Row],[SISMED]],TblDisponibilidad[],21,FALSE), 0)</f>
        <v>0</v>
      </c>
      <c r="R638">
        <f>IFERROR(VLOOKUP(Tabla13[[#This Row],[SISMED]],TblDisponibilidad[],22,FALSE), 0)</f>
        <v>0</v>
      </c>
      <c r="S638" s="15">
        <f>IFERROR(VLOOKUP(Tabla13[[#This Row],[SISMED]],TblDisponibilidad[],23,FALSE), 0)</f>
        <v>0</v>
      </c>
    </row>
    <row r="639" spans="1:19" x14ac:dyDescent="0.3">
      <c r="A639" s="15" t="s">
        <v>669</v>
      </c>
      <c r="B639" t="str">
        <f>IFERROR(VLOOKUP(Tabla13[[#This Row],[SISMED]],TblDisponibilidad[],2,FALSE), "")</f>
        <v/>
      </c>
      <c r="C639">
        <f>IFERROR(VLOOKUP(Tabla13[[#This Row],[SISMED]],TblDisponibilidad[],7,FALSE), 0)</f>
        <v>0</v>
      </c>
      <c r="D639">
        <f>IFERROR(VLOOKUP(Tabla13[[#This Row],[SISMED]],TblDisponibilidad[],8,FALSE), 0)</f>
        <v>0</v>
      </c>
      <c r="E639">
        <f>IFERROR(VLOOKUP(Tabla13[[#This Row],[SISMED]],TblDisponibilidad[],9,FALSE), 0)</f>
        <v>0</v>
      </c>
      <c r="F639">
        <f>IFERROR(VLOOKUP(Tabla13[[#This Row],[SISMED]],TblDisponibilidad[],10,FALSE), 0)</f>
        <v>0</v>
      </c>
      <c r="G639">
        <f>IFERROR(VLOOKUP(Tabla13[[#This Row],[SISMED]],TblDisponibilidad[],11,FALSE), 0)</f>
        <v>0</v>
      </c>
      <c r="H639">
        <f>IFERROR(VLOOKUP(Tabla13[[#This Row],[SISMED]],TblDisponibilidad[],12,FALSE), 0)</f>
        <v>0</v>
      </c>
      <c r="I639">
        <f>IFERROR(VLOOKUP(Tabla13[[#This Row],[SISMED]],TblDisponibilidad[],13,FALSE), 0)</f>
        <v>0</v>
      </c>
      <c r="J639">
        <f>IFERROR(VLOOKUP(Tabla13[[#This Row],[SISMED]],TblDisponibilidad[],14,FALSE), 0)</f>
        <v>0</v>
      </c>
      <c r="K639">
        <f>IFERROR(VLOOKUP(Tabla13[[#This Row],[SISMED]],TblDisponibilidad[],15,FALSE), 0)</f>
        <v>0</v>
      </c>
      <c r="L639">
        <f>IFERROR(VLOOKUP(Tabla13[[#This Row],[SISMED]],TblDisponibilidad[],16,FALSE), 0)</f>
        <v>0</v>
      </c>
      <c r="M639">
        <f>IFERROR(VLOOKUP(Tabla13[[#This Row],[SISMED]],TblDisponibilidad[],17,FALSE), 0)</f>
        <v>0</v>
      </c>
      <c r="N639">
        <f>IFERROR(VLOOKUP(Tabla13[[#This Row],[SISMED]],TblDisponibilidad[],18,FALSE), 0)</f>
        <v>0</v>
      </c>
      <c r="O639">
        <f>IFERROR(VLOOKUP(Tabla13[[#This Row],[SISMED]],TblDisponibilidad[],19,FALSE), 0)</f>
        <v>0</v>
      </c>
      <c r="P639">
        <f>IFERROR(VLOOKUP(Tabla13[[#This Row],[SISMED]],TblDisponibilidad[],20,FALSE), 0)</f>
        <v>0</v>
      </c>
      <c r="Q639">
        <f>IFERROR(VLOOKUP(Tabla13[[#This Row],[SISMED]],TblDisponibilidad[],21,FALSE), 0)</f>
        <v>0</v>
      </c>
      <c r="R639">
        <f>IFERROR(VLOOKUP(Tabla13[[#This Row],[SISMED]],TblDisponibilidad[],22,FALSE), 0)</f>
        <v>0</v>
      </c>
      <c r="S639" s="15">
        <f>IFERROR(VLOOKUP(Tabla13[[#This Row],[SISMED]],TblDisponibilidad[],23,FALSE), 0)</f>
        <v>0</v>
      </c>
    </row>
    <row r="640" spans="1:19" x14ac:dyDescent="0.3">
      <c r="A640" s="15" t="s">
        <v>670</v>
      </c>
      <c r="B640" t="str">
        <f>IFERROR(VLOOKUP(Tabla13[[#This Row],[SISMED]],TblDisponibilidad[],2,FALSE), "")</f>
        <v/>
      </c>
      <c r="C640">
        <f>IFERROR(VLOOKUP(Tabla13[[#This Row],[SISMED]],TblDisponibilidad[],7,FALSE), 0)</f>
        <v>0</v>
      </c>
      <c r="D640">
        <f>IFERROR(VLOOKUP(Tabla13[[#This Row],[SISMED]],TblDisponibilidad[],8,FALSE), 0)</f>
        <v>0</v>
      </c>
      <c r="E640">
        <f>IFERROR(VLOOKUP(Tabla13[[#This Row],[SISMED]],TblDisponibilidad[],9,FALSE), 0)</f>
        <v>0</v>
      </c>
      <c r="F640">
        <f>IFERROR(VLOOKUP(Tabla13[[#This Row],[SISMED]],TblDisponibilidad[],10,FALSE), 0)</f>
        <v>0</v>
      </c>
      <c r="G640">
        <f>IFERROR(VLOOKUP(Tabla13[[#This Row],[SISMED]],TblDisponibilidad[],11,FALSE), 0)</f>
        <v>0</v>
      </c>
      <c r="H640">
        <f>IFERROR(VLOOKUP(Tabla13[[#This Row],[SISMED]],TblDisponibilidad[],12,FALSE), 0)</f>
        <v>0</v>
      </c>
      <c r="I640">
        <f>IFERROR(VLOOKUP(Tabla13[[#This Row],[SISMED]],TblDisponibilidad[],13,FALSE), 0)</f>
        <v>0</v>
      </c>
      <c r="J640">
        <f>IFERROR(VLOOKUP(Tabla13[[#This Row],[SISMED]],TblDisponibilidad[],14,FALSE), 0)</f>
        <v>0</v>
      </c>
      <c r="K640">
        <f>IFERROR(VLOOKUP(Tabla13[[#This Row],[SISMED]],TblDisponibilidad[],15,FALSE), 0)</f>
        <v>0</v>
      </c>
      <c r="L640">
        <f>IFERROR(VLOOKUP(Tabla13[[#This Row],[SISMED]],TblDisponibilidad[],16,FALSE), 0)</f>
        <v>0</v>
      </c>
      <c r="M640">
        <f>IFERROR(VLOOKUP(Tabla13[[#This Row],[SISMED]],TblDisponibilidad[],17,FALSE), 0)</f>
        <v>0</v>
      </c>
      <c r="N640">
        <f>IFERROR(VLOOKUP(Tabla13[[#This Row],[SISMED]],TblDisponibilidad[],18,FALSE), 0)</f>
        <v>0</v>
      </c>
      <c r="O640">
        <f>IFERROR(VLOOKUP(Tabla13[[#This Row],[SISMED]],TblDisponibilidad[],19,FALSE), 0)</f>
        <v>0</v>
      </c>
      <c r="P640">
        <f>IFERROR(VLOOKUP(Tabla13[[#This Row],[SISMED]],TblDisponibilidad[],20,FALSE), 0)</f>
        <v>0</v>
      </c>
      <c r="Q640">
        <f>IFERROR(VLOOKUP(Tabla13[[#This Row],[SISMED]],TblDisponibilidad[],21,FALSE), 0)</f>
        <v>0</v>
      </c>
      <c r="R640">
        <f>IFERROR(VLOOKUP(Tabla13[[#This Row],[SISMED]],TblDisponibilidad[],22,FALSE), 0)</f>
        <v>0</v>
      </c>
      <c r="S640" s="15">
        <f>IFERROR(VLOOKUP(Tabla13[[#This Row],[SISMED]],TblDisponibilidad[],23,FALSE), 0)</f>
        <v>0</v>
      </c>
    </row>
    <row r="641" spans="1:19" x14ac:dyDescent="0.3">
      <c r="A641" s="15" t="s">
        <v>671</v>
      </c>
      <c r="B641" t="str">
        <f>IFERROR(VLOOKUP(Tabla13[[#This Row],[SISMED]],TblDisponibilidad[],2,FALSE), "")</f>
        <v/>
      </c>
      <c r="C641">
        <f>IFERROR(VLOOKUP(Tabla13[[#This Row],[SISMED]],TblDisponibilidad[],7,FALSE), 0)</f>
        <v>0</v>
      </c>
      <c r="D641">
        <f>IFERROR(VLOOKUP(Tabla13[[#This Row],[SISMED]],TblDisponibilidad[],8,FALSE), 0)</f>
        <v>0</v>
      </c>
      <c r="E641">
        <f>IFERROR(VLOOKUP(Tabla13[[#This Row],[SISMED]],TblDisponibilidad[],9,FALSE), 0)</f>
        <v>0</v>
      </c>
      <c r="F641">
        <f>IFERROR(VLOOKUP(Tabla13[[#This Row],[SISMED]],TblDisponibilidad[],10,FALSE), 0)</f>
        <v>0</v>
      </c>
      <c r="G641">
        <f>IFERROR(VLOOKUP(Tabla13[[#This Row],[SISMED]],TblDisponibilidad[],11,FALSE), 0)</f>
        <v>0</v>
      </c>
      <c r="H641">
        <f>IFERROR(VLOOKUP(Tabla13[[#This Row],[SISMED]],TblDisponibilidad[],12,FALSE), 0)</f>
        <v>0</v>
      </c>
      <c r="I641">
        <f>IFERROR(VLOOKUP(Tabla13[[#This Row],[SISMED]],TblDisponibilidad[],13,FALSE), 0)</f>
        <v>0</v>
      </c>
      <c r="J641">
        <f>IFERROR(VLOOKUP(Tabla13[[#This Row],[SISMED]],TblDisponibilidad[],14,FALSE), 0)</f>
        <v>0</v>
      </c>
      <c r="K641">
        <f>IFERROR(VLOOKUP(Tabla13[[#This Row],[SISMED]],TblDisponibilidad[],15,FALSE), 0)</f>
        <v>0</v>
      </c>
      <c r="L641">
        <f>IFERROR(VLOOKUP(Tabla13[[#This Row],[SISMED]],TblDisponibilidad[],16,FALSE), 0)</f>
        <v>0</v>
      </c>
      <c r="M641">
        <f>IFERROR(VLOOKUP(Tabla13[[#This Row],[SISMED]],TblDisponibilidad[],17,FALSE), 0)</f>
        <v>0</v>
      </c>
      <c r="N641">
        <f>IFERROR(VLOOKUP(Tabla13[[#This Row],[SISMED]],TblDisponibilidad[],18,FALSE), 0)</f>
        <v>0</v>
      </c>
      <c r="O641">
        <f>IFERROR(VLOOKUP(Tabla13[[#This Row],[SISMED]],TblDisponibilidad[],19,FALSE), 0)</f>
        <v>0</v>
      </c>
      <c r="P641">
        <f>IFERROR(VLOOKUP(Tabla13[[#This Row],[SISMED]],TblDisponibilidad[],20,FALSE), 0)</f>
        <v>0</v>
      </c>
      <c r="Q641">
        <f>IFERROR(VLOOKUP(Tabla13[[#This Row],[SISMED]],TblDisponibilidad[],21,FALSE), 0)</f>
        <v>0</v>
      </c>
      <c r="R641">
        <f>IFERROR(VLOOKUP(Tabla13[[#This Row],[SISMED]],TblDisponibilidad[],22,FALSE), 0)</f>
        <v>0</v>
      </c>
      <c r="S641" s="15">
        <f>IFERROR(VLOOKUP(Tabla13[[#This Row],[SISMED]],TblDisponibilidad[],23,FALSE), 0)</f>
        <v>0</v>
      </c>
    </row>
    <row r="642" spans="1:19" x14ac:dyDescent="0.3">
      <c r="A642" s="15" t="s">
        <v>672</v>
      </c>
      <c r="B642" t="str">
        <f>IFERROR(VLOOKUP(Tabla13[[#This Row],[SISMED]],TblDisponibilidad[],2,FALSE), "")</f>
        <v/>
      </c>
      <c r="C642">
        <f>IFERROR(VLOOKUP(Tabla13[[#This Row],[SISMED]],TblDisponibilidad[],7,FALSE), 0)</f>
        <v>0</v>
      </c>
      <c r="D642">
        <f>IFERROR(VLOOKUP(Tabla13[[#This Row],[SISMED]],TblDisponibilidad[],8,FALSE), 0)</f>
        <v>0</v>
      </c>
      <c r="E642">
        <f>IFERROR(VLOOKUP(Tabla13[[#This Row],[SISMED]],TblDisponibilidad[],9,FALSE), 0)</f>
        <v>0</v>
      </c>
      <c r="F642">
        <f>IFERROR(VLOOKUP(Tabla13[[#This Row],[SISMED]],TblDisponibilidad[],10,FALSE), 0)</f>
        <v>0</v>
      </c>
      <c r="G642">
        <f>IFERROR(VLOOKUP(Tabla13[[#This Row],[SISMED]],TblDisponibilidad[],11,FALSE), 0)</f>
        <v>0</v>
      </c>
      <c r="H642">
        <f>IFERROR(VLOOKUP(Tabla13[[#This Row],[SISMED]],TblDisponibilidad[],12,FALSE), 0)</f>
        <v>0</v>
      </c>
      <c r="I642">
        <f>IFERROR(VLOOKUP(Tabla13[[#This Row],[SISMED]],TblDisponibilidad[],13,FALSE), 0)</f>
        <v>0</v>
      </c>
      <c r="J642">
        <f>IFERROR(VLOOKUP(Tabla13[[#This Row],[SISMED]],TblDisponibilidad[],14,FALSE), 0)</f>
        <v>0</v>
      </c>
      <c r="K642">
        <f>IFERROR(VLOOKUP(Tabla13[[#This Row],[SISMED]],TblDisponibilidad[],15,FALSE), 0)</f>
        <v>0</v>
      </c>
      <c r="L642">
        <f>IFERROR(VLOOKUP(Tabla13[[#This Row],[SISMED]],TblDisponibilidad[],16,FALSE), 0)</f>
        <v>0</v>
      </c>
      <c r="M642">
        <f>IFERROR(VLOOKUP(Tabla13[[#This Row],[SISMED]],TblDisponibilidad[],17,FALSE), 0)</f>
        <v>0</v>
      </c>
      <c r="N642">
        <f>IFERROR(VLOOKUP(Tabla13[[#This Row],[SISMED]],TblDisponibilidad[],18,FALSE), 0)</f>
        <v>0</v>
      </c>
      <c r="O642">
        <f>IFERROR(VLOOKUP(Tabla13[[#This Row],[SISMED]],TblDisponibilidad[],19,FALSE), 0)</f>
        <v>0</v>
      </c>
      <c r="P642">
        <f>IFERROR(VLOOKUP(Tabla13[[#This Row],[SISMED]],TblDisponibilidad[],20,FALSE), 0)</f>
        <v>0</v>
      </c>
      <c r="Q642">
        <f>IFERROR(VLOOKUP(Tabla13[[#This Row],[SISMED]],TblDisponibilidad[],21,FALSE), 0)</f>
        <v>0</v>
      </c>
      <c r="R642">
        <f>IFERROR(VLOOKUP(Tabla13[[#This Row],[SISMED]],TblDisponibilidad[],22,FALSE), 0)</f>
        <v>0</v>
      </c>
      <c r="S642" s="15">
        <f>IFERROR(VLOOKUP(Tabla13[[#This Row],[SISMED]],TblDisponibilidad[],23,FALSE), 0)</f>
        <v>0</v>
      </c>
    </row>
    <row r="643" spans="1:19" x14ac:dyDescent="0.3">
      <c r="A643" s="15" t="s">
        <v>673</v>
      </c>
      <c r="B643" t="str">
        <f>IFERROR(VLOOKUP(Tabla13[[#This Row],[SISMED]],TblDisponibilidad[],2,FALSE), "")</f>
        <v/>
      </c>
      <c r="C643">
        <f>IFERROR(VLOOKUP(Tabla13[[#This Row],[SISMED]],TblDisponibilidad[],7,FALSE), 0)</f>
        <v>0</v>
      </c>
      <c r="D643">
        <f>IFERROR(VLOOKUP(Tabla13[[#This Row],[SISMED]],TblDisponibilidad[],8,FALSE), 0)</f>
        <v>0</v>
      </c>
      <c r="E643">
        <f>IFERROR(VLOOKUP(Tabla13[[#This Row],[SISMED]],TblDisponibilidad[],9,FALSE), 0)</f>
        <v>0</v>
      </c>
      <c r="F643">
        <f>IFERROR(VLOOKUP(Tabla13[[#This Row],[SISMED]],TblDisponibilidad[],10,FALSE), 0)</f>
        <v>0</v>
      </c>
      <c r="G643">
        <f>IFERROR(VLOOKUP(Tabla13[[#This Row],[SISMED]],TblDisponibilidad[],11,FALSE), 0)</f>
        <v>0</v>
      </c>
      <c r="H643">
        <f>IFERROR(VLOOKUP(Tabla13[[#This Row],[SISMED]],TblDisponibilidad[],12,FALSE), 0)</f>
        <v>0</v>
      </c>
      <c r="I643">
        <f>IFERROR(VLOOKUP(Tabla13[[#This Row],[SISMED]],TblDisponibilidad[],13,FALSE), 0)</f>
        <v>0</v>
      </c>
      <c r="J643">
        <f>IFERROR(VLOOKUP(Tabla13[[#This Row],[SISMED]],TblDisponibilidad[],14,FALSE), 0)</f>
        <v>0</v>
      </c>
      <c r="K643">
        <f>IFERROR(VLOOKUP(Tabla13[[#This Row],[SISMED]],TblDisponibilidad[],15,FALSE), 0)</f>
        <v>0</v>
      </c>
      <c r="L643">
        <f>IFERROR(VLOOKUP(Tabla13[[#This Row],[SISMED]],TblDisponibilidad[],16,FALSE), 0)</f>
        <v>0</v>
      </c>
      <c r="M643">
        <f>IFERROR(VLOOKUP(Tabla13[[#This Row],[SISMED]],TblDisponibilidad[],17,FALSE), 0)</f>
        <v>0</v>
      </c>
      <c r="N643">
        <f>IFERROR(VLOOKUP(Tabla13[[#This Row],[SISMED]],TblDisponibilidad[],18,FALSE), 0)</f>
        <v>0</v>
      </c>
      <c r="O643">
        <f>IFERROR(VLOOKUP(Tabla13[[#This Row],[SISMED]],TblDisponibilidad[],19,FALSE), 0)</f>
        <v>0</v>
      </c>
      <c r="P643">
        <f>IFERROR(VLOOKUP(Tabla13[[#This Row],[SISMED]],TblDisponibilidad[],20,FALSE), 0)</f>
        <v>0</v>
      </c>
      <c r="Q643">
        <f>IFERROR(VLOOKUP(Tabla13[[#This Row],[SISMED]],TblDisponibilidad[],21,FALSE), 0)</f>
        <v>0</v>
      </c>
      <c r="R643">
        <f>IFERROR(VLOOKUP(Tabla13[[#This Row],[SISMED]],TblDisponibilidad[],22,FALSE), 0)</f>
        <v>0</v>
      </c>
      <c r="S643" s="15">
        <f>IFERROR(VLOOKUP(Tabla13[[#This Row],[SISMED]],TblDisponibilidad[],23,FALSE), 0)</f>
        <v>0</v>
      </c>
    </row>
    <row r="644" spans="1:19" x14ac:dyDescent="0.3">
      <c r="A644" s="15" t="s">
        <v>674</v>
      </c>
      <c r="B644" t="str">
        <f>IFERROR(VLOOKUP(Tabla13[[#This Row],[SISMED]],TblDisponibilidad[],2,FALSE), "")</f>
        <v/>
      </c>
      <c r="C644">
        <f>IFERROR(VLOOKUP(Tabla13[[#This Row],[SISMED]],TblDisponibilidad[],7,FALSE), 0)</f>
        <v>0</v>
      </c>
      <c r="D644">
        <f>IFERROR(VLOOKUP(Tabla13[[#This Row],[SISMED]],TblDisponibilidad[],8,FALSE), 0)</f>
        <v>0</v>
      </c>
      <c r="E644">
        <f>IFERROR(VLOOKUP(Tabla13[[#This Row],[SISMED]],TblDisponibilidad[],9,FALSE), 0)</f>
        <v>0</v>
      </c>
      <c r="F644">
        <f>IFERROR(VLOOKUP(Tabla13[[#This Row],[SISMED]],TblDisponibilidad[],10,FALSE), 0)</f>
        <v>0</v>
      </c>
      <c r="G644">
        <f>IFERROR(VLOOKUP(Tabla13[[#This Row],[SISMED]],TblDisponibilidad[],11,FALSE), 0)</f>
        <v>0</v>
      </c>
      <c r="H644">
        <f>IFERROR(VLOOKUP(Tabla13[[#This Row],[SISMED]],TblDisponibilidad[],12,FALSE), 0)</f>
        <v>0</v>
      </c>
      <c r="I644">
        <f>IFERROR(VLOOKUP(Tabla13[[#This Row],[SISMED]],TblDisponibilidad[],13,FALSE), 0)</f>
        <v>0</v>
      </c>
      <c r="J644">
        <f>IFERROR(VLOOKUP(Tabla13[[#This Row],[SISMED]],TblDisponibilidad[],14,FALSE), 0)</f>
        <v>0</v>
      </c>
      <c r="K644">
        <f>IFERROR(VLOOKUP(Tabla13[[#This Row],[SISMED]],TblDisponibilidad[],15,FALSE), 0)</f>
        <v>0</v>
      </c>
      <c r="L644">
        <f>IFERROR(VLOOKUP(Tabla13[[#This Row],[SISMED]],TblDisponibilidad[],16,FALSE), 0)</f>
        <v>0</v>
      </c>
      <c r="M644">
        <f>IFERROR(VLOOKUP(Tabla13[[#This Row],[SISMED]],TblDisponibilidad[],17,FALSE), 0)</f>
        <v>0</v>
      </c>
      <c r="N644">
        <f>IFERROR(VLOOKUP(Tabla13[[#This Row],[SISMED]],TblDisponibilidad[],18,FALSE), 0)</f>
        <v>0</v>
      </c>
      <c r="O644">
        <f>IFERROR(VLOOKUP(Tabla13[[#This Row],[SISMED]],TblDisponibilidad[],19,FALSE), 0)</f>
        <v>0</v>
      </c>
      <c r="P644">
        <f>IFERROR(VLOOKUP(Tabla13[[#This Row],[SISMED]],TblDisponibilidad[],20,FALSE), 0)</f>
        <v>0</v>
      </c>
      <c r="Q644">
        <f>IFERROR(VLOOKUP(Tabla13[[#This Row],[SISMED]],TblDisponibilidad[],21,FALSE), 0)</f>
        <v>0</v>
      </c>
      <c r="R644">
        <f>IFERROR(VLOOKUP(Tabla13[[#This Row],[SISMED]],TblDisponibilidad[],22,FALSE), 0)</f>
        <v>0</v>
      </c>
      <c r="S644" s="15">
        <f>IFERROR(VLOOKUP(Tabla13[[#This Row],[SISMED]],TblDisponibilidad[],23,FALSE), 0)</f>
        <v>0</v>
      </c>
    </row>
    <row r="645" spans="1:19" x14ac:dyDescent="0.3">
      <c r="A645" s="15" t="s">
        <v>675</v>
      </c>
      <c r="B645" t="str">
        <f>IFERROR(VLOOKUP(Tabla13[[#This Row],[SISMED]],TblDisponibilidad[],2,FALSE), "")</f>
        <v/>
      </c>
      <c r="C645">
        <f>IFERROR(VLOOKUP(Tabla13[[#This Row],[SISMED]],TblDisponibilidad[],7,FALSE), 0)</f>
        <v>0</v>
      </c>
      <c r="D645">
        <f>IFERROR(VLOOKUP(Tabla13[[#This Row],[SISMED]],TblDisponibilidad[],8,FALSE), 0)</f>
        <v>0</v>
      </c>
      <c r="E645">
        <f>IFERROR(VLOOKUP(Tabla13[[#This Row],[SISMED]],TblDisponibilidad[],9,FALSE), 0)</f>
        <v>0</v>
      </c>
      <c r="F645">
        <f>IFERROR(VLOOKUP(Tabla13[[#This Row],[SISMED]],TblDisponibilidad[],10,FALSE), 0)</f>
        <v>0</v>
      </c>
      <c r="G645">
        <f>IFERROR(VLOOKUP(Tabla13[[#This Row],[SISMED]],TblDisponibilidad[],11,FALSE), 0)</f>
        <v>0</v>
      </c>
      <c r="H645">
        <f>IFERROR(VLOOKUP(Tabla13[[#This Row],[SISMED]],TblDisponibilidad[],12,FALSE), 0)</f>
        <v>0</v>
      </c>
      <c r="I645">
        <f>IFERROR(VLOOKUP(Tabla13[[#This Row],[SISMED]],TblDisponibilidad[],13,FALSE), 0)</f>
        <v>0</v>
      </c>
      <c r="J645">
        <f>IFERROR(VLOOKUP(Tabla13[[#This Row],[SISMED]],TblDisponibilidad[],14,FALSE), 0)</f>
        <v>0</v>
      </c>
      <c r="K645">
        <f>IFERROR(VLOOKUP(Tabla13[[#This Row],[SISMED]],TblDisponibilidad[],15,FALSE), 0)</f>
        <v>0</v>
      </c>
      <c r="L645">
        <f>IFERROR(VLOOKUP(Tabla13[[#This Row],[SISMED]],TblDisponibilidad[],16,FALSE), 0)</f>
        <v>0</v>
      </c>
      <c r="M645">
        <f>IFERROR(VLOOKUP(Tabla13[[#This Row],[SISMED]],TblDisponibilidad[],17,FALSE), 0)</f>
        <v>0</v>
      </c>
      <c r="N645">
        <f>IFERROR(VLOOKUP(Tabla13[[#This Row],[SISMED]],TblDisponibilidad[],18,FALSE), 0)</f>
        <v>0</v>
      </c>
      <c r="O645">
        <f>IFERROR(VLOOKUP(Tabla13[[#This Row],[SISMED]],TblDisponibilidad[],19,FALSE), 0)</f>
        <v>0</v>
      </c>
      <c r="P645">
        <f>IFERROR(VLOOKUP(Tabla13[[#This Row],[SISMED]],TblDisponibilidad[],20,FALSE), 0)</f>
        <v>0</v>
      </c>
      <c r="Q645">
        <f>IFERROR(VLOOKUP(Tabla13[[#This Row],[SISMED]],TblDisponibilidad[],21,FALSE), 0)</f>
        <v>0</v>
      </c>
      <c r="R645">
        <f>IFERROR(VLOOKUP(Tabla13[[#This Row],[SISMED]],TblDisponibilidad[],22,FALSE), 0)</f>
        <v>0</v>
      </c>
      <c r="S645" s="15">
        <f>IFERROR(VLOOKUP(Tabla13[[#This Row],[SISMED]],TblDisponibilidad[],23,FALSE), 0)</f>
        <v>0</v>
      </c>
    </row>
    <row r="646" spans="1:19" x14ac:dyDescent="0.3">
      <c r="A646" s="15" t="s">
        <v>676</v>
      </c>
      <c r="B646" t="str">
        <f>IFERROR(VLOOKUP(Tabla13[[#This Row],[SISMED]],TblDisponibilidad[],2,FALSE), "")</f>
        <v/>
      </c>
      <c r="C646">
        <f>IFERROR(VLOOKUP(Tabla13[[#This Row],[SISMED]],TblDisponibilidad[],7,FALSE), 0)</f>
        <v>0</v>
      </c>
      <c r="D646">
        <f>IFERROR(VLOOKUP(Tabla13[[#This Row],[SISMED]],TblDisponibilidad[],8,FALSE), 0)</f>
        <v>0</v>
      </c>
      <c r="E646">
        <f>IFERROR(VLOOKUP(Tabla13[[#This Row],[SISMED]],TblDisponibilidad[],9,FALSE), 0)</f>
        <v>0</v>
      </c>
      <c r="F646">
        <f>IFERROR(VLOOKUP(Tabla13[[#This Row],[SISMED]],TblDisponibilidad[],10,FALSE), 0)</f>
        <v>0</v>
      </c>
      <c r="G646">
        <f>IFERROR(VLOOKUP(Tabla13[[#This Row],[SISMED]],TblDisponibilidad[],11,FALSE), 0)</f>
        <v>0</v>
      </c>
      <c r="H646">
        <f>IFERROR(VLOOKUP(Tabla13[[#This Row],[SISMED]],TblDisponibilidad[],12,FALSE), 0)</f>
        <v>0</v>
      </c>
      <c r="I646">
        <f>IFERROR(VLOOKUP(Tabla13[[#This Row],[SISMED]],TblDisponibilidad[],13,FALSE), 0)</f>
        <v>0</v>
      </c>
      <c r="J646">
        <f>IFERROR(VLOOKUP(Tabla13[[#This Row],[SISMED]],TblDisponibilidad[],14,FALSE), 0)</f>
        <v>0</v>
      </c>
      <c r="K646">
        <f>IFERROR(VLOOKUP(Tabla13[[#This Row],[SISMED]],TblDisponibilidad[],15,FALSE), 0)</f>
        <v>0</v>
      </c>
      <c r="L646">
        <f>IFERROR(VLOOKUP(Tabla13[[#This Row],[SISMED]],TblDisponibilidad[],16,FALSE), 0)</f>
        <v>0</v>
      </c>
      <c r="M646">
        <f>IFERROR(VLOOKUP(Tabla13[[#This Row],[SISMED]],TblDisponibilidad[],17,FALSE), 0)</f>
        <v>0</v>
      </c>
      <c r="N646">
        <f>IFERROR(VLOOKUP(Tabla13[[#This Row],[SISMED]],TblDisponibilidad[],18,FALSE), 0)</f>
        <v>0</v>
      </c>
      <c r="O646">
        <f>IFERROR(VLOOKUP(Tabla13[[#This Row],[SISMED]],TblDisponibilidad[],19,FALSE), 0)</f>
        <v>0</v>
      </c>
      <c r="P646">
        <f>IFERROR(VLOOKUP(Tabla13[[#This Row],[SISMED]],TblDisponibilidad[],20,FALSE), 0)</f>
        <v>0</v>
      </c>
      <c r="Q646">
        <f>IFERROR(VLOOKUP(Tabla13[[#This Row],[SISMED]],TblDisponibilidad[],21,FALSE), 0)</f>
        <v>0</v>
      </c>
      <c r="R646">
        <f>IFERROR(VLOOKUP(Tabla13[[#This Row],[SISMED]],TblDisponibilidad[],22,FALSE), 0)</f>
        <v>0</v>
      </c>
      <c r="S646" s="15">
        <f>IFERROR(VLOOKUP(Tabla13[[#This Row],[SISMED]],TblDisponibilidad[],23,FALSE), 0)</f>
        <v>0</v>
      </c>
    </row>
    <row r="647" spans="1:19" x14ac:dyDescent="0.3">
      <c r="A647" s="15" t="s">
        <v>677</v>
      </c>
      <c r="B647" t="str">
        <f>IFERROR(VLOOKUP(Tabla13[[#This Row],[SISMED]],TblDisponibilidad[],2,FALSE), "")</f>
        <v/>
      </c>
      <c r="C647">
        <f>IFERROR(VLOOKUP(Tabla13[[#This Row],[SISMED]],TblDisponibilidad[],7,FALSE), 0)</f>
        <v>0</v>
      </c>
      <c r="D647">
        <f>IFERROR(VLOOKUP(Tabla13[[#This Row],[SISMED]],TblDisponibilidad[],8,FALSE), 0)</f>
        <v>0</v>
      </c>
      <c r="E647">
        <f>IFERROR(VLOOKUP(Tabla13[[#This Row],[SISMED]],TblDisponibilidad[],9,FALSE), 0)</f>
        <v>0</v>
      </c>
      <c r="F647">
        <f>IFERROR(VLOOKUP(Tabla13[[#This Row],[SISMED]],TblDisponibilidad[],10,FALSE), 0)</f>
        <v>0</v>
      </c>
      <c r="G647">
        <f>IFERROR(VLOOKUP(Tabla13[[#This Row],[SISMED]],TblDisponibilidad[],11,FALSE), 0)</f>
        <v>0</v>
      </c>
      <c r="H647">
        <f>IFERROR(VLOOKUP(Tabla13[[#This Row],[SISMED]],TblDisponibilidad[],12,FALSE), 0)</f>
        <v>0</v>
      </c>
      <c r="I647">
        <f>IFERROR(VLOOKUP(Tabla13[[#This Row],[SISMED]],TblDisponibilidad[],13,FALSE), 0)</f>
        <v>0</v>
      </c>
      <c r="J647">
        <f>IFERROR(VLOOKUP(Tabla13[[#This Row],[SISMED]],TblDisponibilidad[],14,FALSE), 0)</f>
        <v>0</v>
      </c>
      <c r="K647">
        <f>IFERROR(VLOOKUP(Tabla13[[#This Row],[SISMED]],TblDisponibilidad[],15,FALSE), 0)</f>
        <v>0</v>
      </c>
      <c r="L647">
        <f>IFERROR(VLOOKUP(Tabla13[[#This Row],[SISMED]],TblDisponibilidad[],16,FALSE), 0)</f>
        <v>0</v>
      </c>
      <c r="M647">
        <f>IFERROR(VLOOKUP(Tabla13[[#This Row],[SISMED]],TblDisponibilidad[],17,FALSE), 0)</f>
        <v>0</v>
      </c>
      <c r="N647">
        <f>IFERROR(VLOOKUP(Tabla13[[#This Row],[SISMED]],TblDisponibilidad[],18,FALSE), 0)</f>
        <v>0</v>
      </c>
      <c r="O647">
        <f>IFERROR(VLOOKUP(Tabla13[[#This Row],[SISMED]],TblDisponibilidad[],19,FALSE), 0)</f>
        <v>0</v>
      </c>
      <c r="P647">
        <f>IFERROR(VLOOKUP(Tabla13[[#This Row],[SISMED]],TblDisponibilidad[],20,FALSE), 0)</f>
        <v>0</v>
      </c>
      <c r="Q647">
        <f>IFERROR(VLOOKUP(Tabla13[[#This Row],[SISMED]],TblDisponibilidad[],21,FALSE), 0)</f>
        <v>0</v>
      </c>
      <c r="R647">
        <f>IFERROR(VLOOKUP(Tabla13[[#This Row],[SISMED]],TblDisponibilidad[],22,FALSE), 0)</f>
        <v>0</v>
      </c>
      <c r="S647" s="15">
        <f>IFERROR(VLOOKUP(Tabla13[[#This Row],[SISMED]],TblDisponibilidad[],23,FALSE), 0)</f>
        <v>0</v>
      </c>
    </row>
    <row r="648" spans="1:19" x14ac:dyDescent="0.3">
      <c r="A648" s="15" t="s">
        <v>678</v>
      </c>
      <c r="B648" t="str">
        <f>IFERROR(VLOOKUP(Tabla13[[#This Row],[SISMED]],TblDisponibilidad[],2,FALSE), "")</f>
        <v/>
      </c>
      <c r="C648">
        <f>IFERROR(VLOOKUP(Tabla13[[#This Row],[SISMED]],TblDisponibilidad[],7,FALSE), 0)</f>
        <v>0</v>
      </c>
      <c r="D648">
        <f>IFERROR(VLOOKUP(Tabla13[[#This Row],[SISMED]],TblDisponibilidad[],8,FALSE), 0)</f>
        <v>0</v>
      </c>
      <c r="E648">
        <f>IFERROR(VLOOKUP(Tabla13[[#This Row],[SISMED]],TblDisponibilidad[],9,FALSE), 0)</f>
        <v>0</v>
      </c>
      <c r="F648">
        <f>IFERROR(VLOOKUP(Tabla13[[#This Row],[SISMED]],TblDisponibilidad[],10,FALSE), 0)</f>
        <v>0</v>
      </c>
      <c r="G648">
        <f>IFERROR(VLOOKUP(Tabla13[[#This Row],[SISMED]],TblDisponibilidad[],11,FALSE), 0)</f>
        <v>0</v>
      </c>
      <c r="H648">
        <f>IFERROR(VLOOKUP(Tabla13[[#This Row],[SISMED]],TblDisponibilidad[],12,FALSE), 0)</f>
        <v>0</v>
      </c>
      <c r="I648">
        <f>IFERROR(VLOOKUP(Tabla13[[#This Row],[SISMED]],TblDisponibilidad[],13,FALSE), 0)</f>
        <v>0</v>
      </c>
      <c r="J648">
        <f>IFERROR(VLOOKUP(Tabla13[[#This Row],[SISMED]],TblDisponibilidad[],14,FALSE), 0)</f>
        <v>0</v>
      </c>
      <c r="K648">
        <f>IFERROR(VLOOKUP(Tabla13[[#This Row],[SISMED]],TblDisponibilidad[],15,FALSE), 0)</f>
        <v>0</v>
      </c>
      <c r="L648">
        <f>IFERROR(VLOOKUP(Tabla13[[#This Row],[SISMED]],TblDisponibilidad[],16,FALSE), 0)</f>
        <v>0</v>
      </c>
      <c r="M648">
        <f>IFERROR(VLOOKUP(Tabla13[[#This Row],[SISMED]],TblDisponibilidad[],17,FALSE), 0)</f>
        <v>0</v>
      </c>
      <c r="N648">
        <f>IFERROR(VLOOKUP(Tabla13[[#This Row],[SISMED]],TblDisponibilidad[],18,FALSE), 0)</f>
        <v>0</v>
      </c>
      <c r="O648">
        <f>IFERROR(VLOOKUP(Tabla13[[#This Row],[SISMED]],TblDisponibilidad[],19,FALSE), 0)</f>
        <v>0</v>
      </c>
      <c r="P648">
        <f>IFERROR(VLOOKUP(Tabla13[[#This Row],[SISMED]],TblDisponibilidad[],20,FALSE), 0)</f>
        <v>0</v>
      </c>
      <c r="Q648">
        <f>IFERROR(VLOOKUP(Tabla13[[#This Row],[SISMED]],TblDisponibilidad[],21,FALSE), 0)</f>
        <v>0</v>
      </c>
      <c r="R648">
        <f>IFERROR(VLOOKUP(Tabla13[[#This Row],[SISMED]],TblDisponibilidad[],22,FALSE), 0)</f>
        <v>0</v>
      </c>
      <c r="S648" s="15">
        <f>IFERROR(VLOOKUP(Tabla13[[#This Row],[SISMED]],TblDisponibilidad[],23,FALSE), 0)</f>
        <v>0</v>
      </c>
    </row>
    <row r="649" spans="1:19" x14ac:dyDescent="0.3">
      <c r="A649" s="15" t="s">
        <v>679</v>
      </c>
      <c r="B649" t="str">
        <f>IFERROR(VLOOKUP(Tabla13[[#This Row],[SISMED]],TblDisponibilidad[],2,FALSE), "")</f>
        <v/>
      </c>
      <c r="C649">
        <f>IFERROR(VLOOKUP(Tabla13[[#This Row],[SISMED]],TblDisponibilidad[],7,FALSE), 0)</f>
        <v>0</v>
      </c>
      <c r="D649">
        <f>IFERROR(VLOOKUP(Tabla13[[#This Row],[SISMED]],TblDisponibilidad[],8,FALSE), 0)</f>
        <v>0</v>
      </c>
      <c r="E649">
        <f>IFERROR(VLOOKUP(Tabla13[[#This Row],[SISMED]],TblDisponibilidad[],9,FALSE), 0)</f>
        <v>0</v>
      </c>
      <c r="F649">
        <f>IFERROR(VLOOKUP(Tabla13[[#This Row],[SISMED]],TblDisponibilidad[],10,FALSE), 0)</f>
        <v>0</v>
      </c>
      <c r="G649">
        <f>IFERROR(VLOOKUP(Tabla13[[#This Row],[SISMED]],TblDisponibilidad[],11,FALSE), 0)</f>
        <v>0</v>
      </c>
      <c r="H649">
        <f>IFERROR(VLOOKUP(Tabla13[[#This Row],[SISMED]],TblDisponibilidad[],12,FALSE), 0)</f>
        <v>0</v>
      </c>
      <c r="I649">
        <f>IFERROR(VLOOKUP(Tabla13[[#This Row],[SISMED]],TblDisponibilidad[],13,FALSE), 0)</f>
        <v>0</v>
      </c>
      <c r="J649">
        <f>IFERROR(VLOOKUP(Tabla13[[#This Row],[SISMED]],TblDisponibilidad[],14,FALSE), 0)</f>
        <v>0</v>
      </c>
      <c r="K649">
        <f>IFERROR(VLOOKUP(Tabla13[[#This Row],[SISMED]],TblDisponibilidad[],15,FALSE), 0)</f>
        <v>0</v>
      </c>
      <c r="L649">
        <f>IFERROR(VLOOKUP(Tabla13[[#This Row],[SISMED]],TblDisponibilidad[],16,FALSE), 0)</f>
        <v>0</v>
      </c>
      <c r="M649">
        <f>IFERROR(VLOOKUP(Tabla13[[#This Row],[SISMED]],TblDisponibilidad[],17,FALSE), 0)</f>
        <v>0</v>
      </c>
      <c r="N649">
        <f>IFERROR(VLOOKUP(Tabla13[[#This Row],[SISMED]],TblDisponibilidad[],18,FALSE), 0)</f>
        <v>0</v>
      </c>
      <c r="O649">
        <f>IFERROR(VLOOKUP(Tabla13[[#This Row],[SISMED]],TblDisponibilidad[],19,FALSE), 0)</f>
        <v>0</v>
      </c>
      <c r="P649">
        <f>IFERROR(VLOOKUP(Tabla13[[#This Row],[SISMED]],TblDisponibilidad[],20,FALSE), 0)</f>
        <v>0</v>
      </c>
      <c r="Q649">
        <f>IFERROR(VLOOKUP(Tabla13[[#This Row],[SISMED]],TblDisponibilidad[],21,FALSE), 0)</f>
        <v>0</v>
      </c>
      <c r="R649">
        <f>IFERROR(VLOOKUP(Tabla13[[#This Row],[SISMED]],TblDisponibilidad[],22,FALSE), 0)</f>
        <v>0</v>
      </c>
      <c r="S649" s="15">
        <f>IFERROR(VLOOKUP(Tabla13[[#This Row],[SISMED]],TblDisponibilidad[],23,FALSE), 0)</f>
        <v>0</v>
      </c>
    </row>
    <row r="650" spans="1:19" x14ac:dyDescent="0.3">
      <c r="A650" s="15" t="s">
        <v>680</v>
      </c>
      <c r="B650" t="str">
        <f>IFERROR(VLOOKUP(Tabla13[[#This Row],[SISMED]],TblDisponibilidad[],2,FALSE), "")</f>
        <v/>
      </c>
      <c r="C650">
        <f>IFERROR(VLOOKUP(Tabla13[[#This Row],[SISMED]],TblDisponibilidad[],7,FALSE), 0)</f>
        <v>0</v>
      </c>
      <c r="D650">
        <f>IFERROR(VLOOKUP(Tabla13[[#This Row],[SISMED]],TblDisponibilidad[],8,FALSE), 0)</f>
        <v>0</v>
      </c>
      <c r="E650">
        <f>IFERROR(VLOOKUP(Tabla13[[#This Row],[SISMED]],TblDisponibilidad[],9,FALSE), 0)</f>
        <v>0</v>
      </c>
      <c r="F650">
        <f>IFERROR(VLOOKUP(Tabla13[[#This Row],[SISMED]],TblDisponibilidad[],10,FALSE), 0)</f>
        <v>0</v>
      </c>
      <c r="G650">
        <f>IFERROR(VLOOKUP(Tabla13[[#This Row],[SISMED]],TblDisponibilidad[],11,FALSE), 0)</f>
        <v>0</v>
      </c>
      <c r="H650">
        <f>IFERROR(VLOOKUP(Tabla13[[#This Row],[SISMED]],TblDisponibilidad[],12,FALSE), 0)</f>
        <v>0</v>
      </c>
      <c r="I650">
        <f>IFERROR(VLOOKUP(Tabla13[[#This Row],[SISMED]],TblDisponibilidad[],13,FALSE), 0)</f>
        <v>0</v>
      </c>
      <c r="J650">
        <f>IFERROR(VLOOKUP(Tabla13[[#This Row],[SISMED]],TblDisponibilidad[],14,FALSE), 0)</f>
        <v>0</v>
      </c>
      <c r="K650">
        <f>IFERROR(VLOOKUP(Tabla13[[#This Row],[SISMED]],TblDisponibilidad[],15,FALSE), 0)</f>
        <v>0</v>
      </c>
      <c r="L650">
        <f>IFERROR(VLOOKUP(Tabla13[[#This Row],[SISMED]],TblDisponibilidad[],16,FALSE), 0)</f>
        <v>0</v>
      </c>
      <c r="M650">
        <f>IFERROR(VLOOKUP(Tabla13[[#This Row],[SISMED]],TblDisponibilidad[],17,FALSE), 0)</f>
        <v>0</v>
      </c>
      <c r="N650">
        <f>IFERROR(VLOOKUP(Tabla13[[#This Row],[SISMED]],TblDisponibilidad[],18,FALSE), 0)</f>
        <v>0</v>
      </c>
      <c r="O650">
        <f>IFERROR(VLOOKUP(Tabla13[[#This Row],[SISMED]],TblDisponibilidad[],19,FALSE), 0)</f>
        <v>0</v>
      </c>
      <c r="P650">
        <f>IFERROR(VLOOKUP(Tabla13[[#This Row],[SISMED]],TblDisponibilidad[],20,FALSE), 0)</f>
        <v>0</v>
      </c>
      <c r="Q650">
        <f>IFERROR(VLOOKUP(Tabla13[[#This Row],[SISMED]],TblDisponibilidad[],21,FALSE), 0)</f>
        <v>0</v>
      </c>
      <c r="R650">
        <f>IFERROR(VLOOKUP(Tabla13[[#This Row],[SISMED]],TblDisponibilidad[],22,FALSE), 0)</f>
        <v>0</v>
      </c>
      <c r="S650" s="15">
        <f>IFERROR(VLOOKUP(Tabla13[[#This Row],[SISMED]],TblDisponibilidad[],23,FALSE), 0)</f>
        <v>0</v>
      </c>
    </row>
    <row r="651" spans="1:19" x14ac:dyDescent="0.3">
      <c r="A651" s="15" t="s">
        <v>681</v>
      </c>
      <c r="B651" t="str">
        <f>IFERROR(VLOOKUP(Tabla13[[#This Row],[SISMED]],TblDisponibilidad[],2,FALSE), "")</f>
        <v/>
      </c>
      <c r="C651">
        <f>IFERROR(VLOOKUP(Tabla13[[#This Row],[SISMED]],TblDisponibilidad[],7,FALSE), 0)</f>
        <v>0</v>
      </c>
      <c r="D651">
        <f>IFERROR(VLOOKUP(Tabla13[[#This Row],[SISMED]],TblDisponibilidad[],8,FALSE), 0)</f>
        <v>0</v>
      </c>
      <c r="E651">
        <f>IFERROR(VLOOKUP(Tabla13[[#This Row],[SISMED]],TblDisponibilidad[],9,FALSE), 0)</f>
        <v>0</v>
      </c>
      <c r="F651">
        <f>IFERROR(VLOOKUP(Tabla13[[#This Row],[SISMED]],TblDisponibilidad[],10,FALSE), 0)</f>
        <v>0</v>
      </c>
      <c r="G651">
        <f>IFERROR(VLOOKUP(Tabla13[[#This Row],[SISMED]],TblDisponibilidad[],11,FALSE), 0)</f>
        <v>0</v>
      </c>
      <c r="H651">
        <f>IFERROR(VLOOKUP(Tabla13[[#This Row],[SISMED]],TblDisponibilidad[],12,FALSE), 0)</f>
        <v>0</v>
      </c>
      <c r="I651">
        <f>IFERROR(VLOOKUP(Tabla13[[#This Row],[SISMED]],TblDisponibilidad[],13,FALSE), 0)</f>
        <v>0</v>
      </c>
      <c r="J651">
        <f>IFERROR(VLOOKUP(Tabla13[[#This Row],[SISMED]],TblDisponibilidad[],14,FALSE), 0)</f>
        <v>0</v>
      </c>
      <c r="K651">
        <f>IFERROR(VLOOKUP(Tabla13[[#This Row],[SISMED]],TblDisponibilidad[],15,FALSE), 0)</f>
        <v>0</v>
      </c>
      <c r="L651">
        <f>IFERROR(VLOOKUP(Tabla13[[#This Row],[SISMED]],TblDisponibilidad[],16,FALSE), 0)</f>
        <v>0</v>
      </c>
      <c r="M651">
        <f>IFERROR(VLOOKUP(Tabla13[[#This Row],[SISMED]],TblDisponibilidad[],17,FALSE), 0)</f>
        <v>0</v>
      </c>
      <c r="N651">
        <f>IFERROR(VLOOKUP(Tabla13[[#This Row],[SISMED]],TblDisponibilidad[],18,FALSE), 0)</f>
        <v>0</v>
      </c>
      <c r="O651">
        <f>IFERROR(VLOOKUP(Tabla13[[#This Row],[SISMED]],TblDisponibilidad[],19,FALSE), 0)</f>
        <v>0</v>
      </c>
      <c r="P651">
        <f>IFERROR(VLOOKUP(Tabla13[[#This Row],[SISMED]],TblDisponibilidad[],20,FALSE), 0)</f>
        <v>0</v>
      </c>
      <c r="Q651">
        <f>IFERROR(VLOOKUP(Tabla13[[#This Row],[SISMED]],TblDisponibilidad[],21,FALSE), 0)</f>
        <v>0</v>
      </c>
      <c r="R651">
        <f>IFERROR(VLOOKUP(Tabla13[[#This Row],[SISMED]],TblDisponibilidad[],22,FALSE), 0)</f>
        <v>0</v>
      </c>
      <c r="S651" s="15">
        <f>IFERROR(VLOOKUP(Tabla13[[#This Row],[SISMED]],TblDisponibilidad[],23,FALSE), 0)</f>
        <v>0</v>
      </c>
    </row>
    <row r="652" spans="1:19" x14ac:dyDescent="0.3">
      <c r="A652" s="15" t="s">
        <v>682</v>
      </c>
      <c r="B652" t="str">
        <f>IFERROR(VLOOKUP(Tabla13[[#This Row],[SISMED]],TblDisponibilidad[],2,FALSE), "")</f>
        <v/>
      </c>
      <c r="C652">
        <f>IFERROR(VLOOKUP(Tabla13[[#This Row],[SISMED]],TblDisponibilidad[],7,FALSE), 0)</f>
        <v>0</v>
      </c>
      <c r="D652">
        <f>IFERROR(VLOOKUP(Tabla13[[#This Row],[SISMED]],TblDisponibilidad[],8,FALSE), 0)</f>
        <v>0</v>
      </c>
      <c r="E652">
        <f>IFERROR(VLOOKUP(Tabla13[[#This Row],[SISMED]],TblDisponibilidad[],9,FALSE), 0)</f>
        <v>0</v>
      </c>
      <c r="F652">
        <f>IFERROR(VLOOKUP(Tabla13[[#This Row],[SISMED]],TblDisponibilidad[],10,FALSE), 0)</f>
        <v>0</v>
      </c>
      <c r="G652">
        <f>IFERROR(VLOOKUP(Tabla13[[#This Row],[SISMED]],TblDisponibilidad[],11,FALSE), 0)</f>
        <v>0</v>
      </c>
      <c r="H652">
        <f>IFERROR(VLOOKUP(Tabla13[[#This Row],[SISMED]],TblDisponibilidad[],12,FALSE), 0)</f>
        <v>0</v>
      </c>
      <c r="I652">
        <f>IFERROR(VLOOKUP(Tabla13[[#This Row],[SISMED]],TblDisponibilidad[],13,FALSE), 0)</f>
        <v>0</v>
      </c>
      <c r="J652">
        <f>IFERROR(VLOOKUP(Tabla13[[#This Row],[SISMED]],TblDisponibilidad[],14,FALSE), 0)</f>
        <v>0</v>
      </c>
      <c r="K652">
        <f>IFERROR(VLOOKUP(Tabla13[[#This Row],[SISMED]],TblDisponibilidad[],15,FALSE), 0)</f>
        <v>0</v>
      </c>
      <c r="L652">
        <f>IFERROR(VLOOKUP(Tabla13[[#This Row],[SISMED]],TblDisponibilidad[],16,FALSE), 0)</f>
        <v>0</v>
      </c>
      <c r="M652">
        <f>IFERROR(VLOOKUP(Tabla13[[#This Row],[SISMED]],TblDisponibilidad[],17,FALSE), 0)</f>
        <v>0</v>
      </c>
      <c r="N652">
        <f>IFERROR(VLOOKUP(Tabla13[[#This Row],[SISMED]],TblDisponibilidad[],18,FALSE), 0)</f>
        <v>0</v>
      </c>
      <c r="O652">
        <f>IFERROR(VLOOKUP(Tabla13[[#This Row],[SISMED]],TblDisponibilidad[],19,FALSE), 0)</f>
        <v>0</v>
      </c>
      <c r="P652">
        <f>IFERROR(VLOOKUP(Tabla13[[#This Row],[SISMED]],TblDisponibilidad[],20,FALSE), 0)</f>
        <v>0</v>
      </c>
      <c r="Q652">
        <f>IFERROR(VLOOKUP(Tabla13[[#This Row],[SISMED]],TblDisponibilidad[],21,FALSE), 0)</f>
        <v>0</v>
      </c>
      <c r="R652">
        <f>IFERROR(VLOOKUP(Tabla13[[#This Row],[SISMED]],TblDisponibilidad[],22,FALSE), 0)</f>
        <v>0</v>
      </c>
      <c r="S652" s="15">
        <f>IFERROR(VLOOKUP(Tabla13[[#This Row],[SISMED]],TblDisponibilidad[],23,FALSE), 0)</f>
        <v>0</v>
      </c>
    </row>
    <row r="653" spans="1:19" x14ac:dyDescent="0.3">
      <c r="A653" s="15" t="s">
        <v>683</v>
      </c>
      <c r="B653" t="str">
        <f>IFERROR(VLOOKUP(Tabla13[[#This Row],[SISMED]],TblDisponibilidad[],2,FALSE), "")</f>
        <v/>
      </c>
      <c r="C653">
        <f>IFERROR(VLOOKUP(Tabla13[[#This Row],[SISMED]],TblDisponibilidad[],7,FALSE), 0)</f>
        <v>0</v>
      </c>
      <c r="D653">
        <f>IFERROR(VLOOKUP(Tabla13[[#This Row],[SISMED]],TblDisponibilidad[],8,FALSE), 0)</f>
        <v>0</v>
      </c>
      <c r="E653">
        <f>IFERROR(VLOOKUP(Tabla13[[#This Row],[SISMED]],TblDisponibilidad[],9,FALSE), 0)</f>
        <v>0</v>
      </c>
      <c r="F653">
        <f>IFERROR(VLOOKUP(Tabla13[[#This Row],[SISMED]],TblDisponibilidad[],10,FALSE), 0)</f>
        <v>0</v>
      </c>
      <c r="G653">
        <f>IFERROR(VLOOKUP(Tabla13[[#This Row],[SISMED]],TblDisponibilidad[],11,FALSE), 0)</f>
        <v>0</v>
      </c>
      <c r="H653">
        <f>IFERROR(VLOOKUP(Tabla13[[#This Row],[SISMED]],TblDisponibilidad[],12,FALSE), 0)</f>
        <v>0</v>
      </c>
      <c r="I653">
        <f>IFERROR(VLOOKUP(Tabla13[[#This Row],[SISMED]],TblDisponibilidad[],13,FALSE), 0)</f>
        <v>0</v>
      </c>
      <c r="J653">
        <f>IFERROR(VLOOKUP(Tabla13[[#This Row],[SISMED]],TblDisponibilidad[],14,FALSE), 0)</f>
        <v>0</v>
      </c>
      <c r="K653">
        <f>IFERROR(VLOOKUP(Tabla13[[#This Row],[SISMED]],TblDisponibilidad[],15,FALSE), 0)</f>
        <v>0</v>
      </c>
      <c r="L653">
        <f>IFERROR(VLOOKUP(Tabla13[[#This Row],[SISMED]],TblDisponibilidad[],16,FALSE), 0)</f>
        <v>0</v>
      </c>
      <c r="M653">
        <f>IFERROR(VLOOKUP(Tabla13[[#This Row],[SISMED]],TblDisponibilidad[],17,FALSE), 0)</f>
        <v>0</v>
      </c>
      <c r="N653">
        <f>IFERROR(VLOOKUP(Tabla13[[#This Row],[SISMED]],TblDisponibilidad[],18,FALSE), 0)</f>
        <v>0</v>
      </c>
      <c r="O653">
        <f>IFERROR(VLOOKUP(Tabla13[[#This Row],[SISMED]],TblDisponibilidad[],19,FALSE), 0)</f>
        <v>0</v>
      </c>
      <c r="P653">
        <f>IFERROR(VLOOKUP(Tabla13[[#This Row],[SISMED]],TblDisponibilidad[],20,FALSE), 0)</f>
        <v>0</v>
      </c>
      <c r="Q653">
        <f>IFERROR(VLOOKUP(Tabla13[[#This Row],[SISMED]],TblDisponibilidad[],21,FALSE), 0)</f>
        <v>0</v>
      </c>
      <c r="R653">
        <f>IFERROR(VLOOKUP(Tabla13[[#This Row],[SISMED]],TblDisponibilidad[],22,FALSE), 0)</f>
        <v>0</v>
      </c>
      <c r="S653" s="15">
        <f>IFERROR(VLOOKUP(Tabla13[[#This Row],[SISMED]],TblDisponibilidad[],23,FALSE), 0)</f>
        <v>0</v>
      </c>
    </row>
    <row r="654" spans="1:19" x14ac:dyDescent="0.3">
      <c r="A654" s="15" t="s">
        <v>684</v>
      </c>
      <c r="B654" t="str">
        <f>IFERROR(VLOOKUP(Tabla13[[#This Row],[SISMED]],TblDisponibilidad[],2,FALSE), "")</f>
        <v/>
      </c>
      <c r="C654">
        <f>IFERROR(VLOOKUP(Tabla13[[#This Row],[SISMED]],TblDisponibilidad[],7,FALSE), 0)</f>
        <v>0</v>
      </c>
      <c r="D654">
        <f>IFERROR(VLOOKUP(Tabla13[[#This Row],[SISMED]],TblDisponibilidad[],8,FALSE), 0)</f>
        <v>0</v>
      </c>
      <c r="E654">
        <f>IFERROR(VLOOKUP(Tabla13[[#This Row],[SISMED]],TblDisponibilidad[],9,FALSE), 0)</f>
        <v>0</v>
      </c>
      <c r="F654">
        <f>IFERROR(VLOOKUP(Tabla13[[#This Row],[SISMED]],TblDisponibilidad[],10,FALSE), 0)</f>
        <v>0</v>
      </c>
      <c r="G654">
        <f>IFERROR(VLOOKUP(Tabla13[[#This Row],[SISMED]],TblDisponibilidad[],11,FALSE), 0)</f>
        <v>0</v>
      </c>
      <c r="H654">
        <f>IFERROR(VLOOKUP(Tabla13[[#This Row],[SISMED]],TblDisponibilidad[],12,FALSE), 0)</f>
        <v>0</v>
      </c>
      <c r="I654">
        <f>IFERROR(VLOOKUP(Tabla13[[#This Row],[SISMED]],TblDisponibilidad[],13,FALSE), 0)</f>
        <v>0</v>
      </c>
      <c r="J654">
        <f>IFERROR(VLOOKUP(Tabla13[[#This Row],[SISMED]],TblDisponibilidad[],14,FALSE), 0)</f>
        <v>0</v>
      </c>
      <c r="K654">
        <f>IFERROR(VLOOKUP(Tabla13[[#This Row],[SISMED]],TblDisponibilidad[],15,FALSE), 0)</f>
        <v>0</v>
      </c>
      <c r="L654">
        <f>IFERROR(VLOOKUP(Tabla13[[#This Row],[SISMED]],TblDisponibilidad[],16,FALSE), 0)</f>
        <v>0</v>
      </c>
      <c r="M654">
        <f>IFERROR(VLOOKUP(Tabla13[[#This Row],[SISMED]],TblDisponibilidad[],17,FALSE), 0)</f>
        <v>0</v>
      </c>
      <c r="N654">
        <f>IFERROR(VLOOKUP(Tabla13[[#This Row],[SISMED]],TblDisponibilidad[],18,FALSE), 0)</f>
        <v>0</v>
      </c>
      <c r="O654">
        <f>IFERROR(VLOOKUP(Tabla13[[#This Row],[SISMED]],TblDisponibilidad[],19,FALSE), 0)</f>
        <v>0</v>
      </c>
      <c r="P654">
        <f>IFERROR(VLOOKUP(Tabla13[[#This Row],[SISMED]],TblDisponibilidad[],20,FALSE), 0)</f>
        <v>0</v>
      </c>
      <c r="Q654">
        <f>IFERROR(VLOOKUP(Tabla13[[#This Row],[SISMED]],TblDisponibilidad[],21,FALSE), 0)</f>
        <v>0</v>
      </c>
      <c r="R654">
        <f>IFERROR(VLOOKUP(Tabla13[[#This Row],[SISMED]],TblDisponibilidad[],22,FALSE), 0)</f>
        <v>0</v>
      </c>
      <c r="S654" s="15">
        <f>IFERROR(VLOOKUP(Tabla13[[#This Row],[SISMED]],TblDisponibilidad[],23,FALSE), 0)</f>
        <v>0</v>
      </c>
    </row>
    <row r="655" spans="1:19" x14ac:dyDescent="0.3">
      <c r="A655" s="15" t="s">
        <v>685</v>
      </c>
      <c r="B655" t="str">
        <f>IFERROR(VLOOKUP(Tabla13[[#This Row],[SISMED]],TblDisponibilidad[],2,FALSE), "")</f>
        <v/>
      </c>
      <c r="C655">
        <f>IFERROR(VLOOKUP(Tabla13[[#This Row],[SISMED]],TblDisponibilidad[],7,FALSE), 0)</f>
        <v>0</v>
      </c>
      <c r="D655">
        <f>IFERROR(VLOOKUP(Tabla13[[#This Row],[SISMED]],TblDisponibilidad[],8,FALSE), 0)</f>
        <v>0</v>
      </c>
      <c r="E655">
        <f>IFERROR(VLOOKUP(Tabla13[[#This Row],[SISMED]],TblDisponibilidad[],9,FALSE), 0)</f>
        <v>0</v>
      </c>
      <c r="F655">
        <f>IFERROR(VLOOKUP(Tabla13[[#This Row],[SISMED]],TblDisponibilidad[],10,FALSE), 0)</f>
        <v>0</v>
      </c>
      <c r="G655">
        <f>IFERROR(VLOOKUP(Tabla13[[#This Row],[SISMED]],TblDisponibilidad[],11,FALSE), 0)</f>
        <v>0</v>
      </c>
      <c r="H655">
        <f>IFERROR(VLOOKUP(Tabla13[[#This Row],[SISMED]],TblDisponibilidad[],12,FALSE), 0)</f>
        <v>0</v>
      </c>
      <c r="I655">
        <f>IFERROR(VLOOKUP(Tabla13[[#This Row],[SISMED]],TblDisponibilidad[],13,FALSE), 0)</f>
        <v>0</v>
      </c>
      <c r="J655">
        <f>IFERROR(VLOOKUP(Tabla13[[#This Row],[SISMED]],TblDisponibilidad[],14,FALSE), 0)</f>
        <v>0</v>
      </c>
      <c r="K655">
        <f>IFERROR(VLOOKUP(Tabla13[[#This Row],[SISMED]],TblDisponibilidad[],15,FALSE), 0)</f>
        <v>0</v>
      </c>
      <c r="L655">
        <f>IFERROR(VLOOKUP(Tabla13[[#This Row],[SISMED]],TblDisponibilidad[],16,FALSE), 0)</f>
        <v>0</v>
      </c>
      <c r="M655">
        <f>IFERROR(VLOOKUP(Tabla13[[#This Row],[SISMED]],TblDisponibilidad[],17,FALSE), 0)</f>
        <v>0</v>
      </c>
      <c r="N655">
        <f>IFERROR(VLOOKUP(Tabla13[[#This Row],[SISMED]],TblDisponibilidad[],18,FALSE), 0)</f>
        <v>0</v>
      </c>
      <c r="O655">
        <f>IFERROR(VLOOKUP(Tabla13[[#This Row],[SISMED]],TblDisponibilidad[],19,FALSE), 0)</f>
        <v>0</v>
      </c>
      <c r="P655">
        <f>IFERROR(VLOOKUP(Tabla13[[#This Row],[SISMED]],TblDisponibilidad[],20,FALSE), 0)</f>
        <v>0</v>
      </c>
      <c r="Q655">
        <f>IFERROR(VLOOKUP(Tabla13[[#This Row],[SISMED]],TblDisponibilidad[],21,FALSE), 0)</f>
        <v>0</v>
      </c>
      <c r="R655">
        <f>IFERROR(VLOOKUP(Tabla13[[#This Row],[SISMED]],TblDisponibilidad[],22,FALSE), 0)</f>
        <v>0</v>
      </c>
      <c r="S655" s="15">
        <f>IFERROR(VLOOKUP(Tabla13[[#This Row],[SISMED]],TblDisponibilidad[],23,FALSE), 0)</f>
        <v>0</v>
      </c>
    </row>
    <row r="656" spans="1:19" x14ac:dyDescent="0.3">
      <c r="A656" s="15" t="s">
        <v>686</v>
      </c>
      <c r="B656" t="str">
        <f>IFERROR(VLOOKUP(Tabla13[[#This Row],[SISMED]],TblDisponibilidad[],2,FALSE), "")</f>
        <v/>
      </c>
      <c r="C656">
        <f>IFERROR(VLOOKUP(Tabla13[[#This Row],[SISMED]],TblDisponibilidad[],7,FALSE), 0)</f>
        <v>0</v>
      </c>
      <c r="D656">
        <f>IFERROR(VLOOKUP(Tabla13[[#This Row],[SISMED]],TblDisponibilidad[],8,FALSE), 0)</f>
        <v>0</v>
      </c>
      <c r="E656">
        <f>IFERROR(VLOOKUP(Tabla13[[#This Row],[SISMED]],TblDisponibilidad[],9,FALSE), 0)</f>
        <v>0</v>
      </c>
      <c r="F656">
        <f>IFERROR(VLOOKUP(Tabla13[[#This Row],[SISMED]],TblDisponibilidad[],10,FALSE), 0)</f>
        <v>0</v>
      </c>
      <c r="G656">
        <f>IFERROR(VLOOKUP(Tabla13[[#This Row],[SISMED]],TblDisponibilidad[],11,FALSE), 0)</f>
        <v>0</v>
      </c>
      <c r="H656">
        <f>IFERROR(VLOOKUP(Tabla13[[#This Row],[SISMED]],TblDisponibilidad[],12,FALSE), 0)</f>
        <v>0</v>
      </c>
      <c r="I656">
        <f>IFERROR(VLOOKUP(Tabla13[[#This Row],[SISMED]],TblDisponibilidad[],13,FALSE), 0)</f>
        <v>0</v>
      </c>
      <c r="J656">
        <f>IFERROR(VLOOKUP(Tabla13[[#This Row],[SISMED]],TblDisponibilidad[],14,FALSE), 0)</f>
        <v>0</v>
      </c>
      <c r="K656">
        <f>IFERROR(VLOOKUP(Tabla13[[#This Row],[SISMED]],TblDisponibilidad[],15,FALSE), 0)</f>
        <v>0</v>
      </c>
      <c r="L656">
        <f>IFERROR(VLOOKUP(Tabla13[[#This Row],[SISMED]],TblDisponibilidad[],16,FALSE), 0)</f>
        <v>0</v>
      </c>
      <c r="M656">
        <f>IFERROR(VLOOKUP(Tabla13[[#This Row],[SISMED]],TblDisponibilidad[],17,FALSE), 0)</f>
        <v>0</v>
      </c>
      <c r="N656">
        <f>IFERROR(VLOOKUP(Tabla13[[#This Row],[SISMED]],TblDisponibilidad[],18,FALSE), 0)</f>
        <v>0</v>
      </c>
      <c r="O656">
        <f>IFERROR(VLOOKUP(Tabla13[[#This Row],[SISMED]],TblDisponibilidad[],19,FALSE), 0)</f>
        <v>0</v>
      </c>
      <c r="P656">
        <f>IFERROR(VLOOKUP(Tabla13[[#This Row],[SISMED]],TblDisponibilidad[],20,FALSE), 0)</f>
        <v>0</v>
      </c>
      <c r="Q656">
        <f>IFERROR(VLOOKUP(Tabla13[[#This Row],[SISMED]],TblDisponibilidad[],21,FALSE), 0)</f>
        <v>0</v>
      </c>
      <c r="R656">
        <f>IFERROR(VLOOKUP(Tabla13[[#This Row],[SISMED]],TblDisponibilidad[],22,FALSE), 0)</f>
        <v>0</v>
      </c>
      <c r="S656" s="15">
        <f>IFERROR(VLOOKUP(Tabla13[[#This Row],[SISMED]],TblDisponibilidad[],23,FALSE), 0)</f>
        <v>0</v>
      </c>
    </row>
    <row r="657" spans="1:19" x14ac:dyDescent="0.3">
      <c r="A657" s="15" t="s">
        <v>687</v>
      </c>
      <c r="B657" t="str">
        <f>IFERROR(VLOOKUP(Tabla13[[#This Row],[SISMED]],TblDisponibilidad[],2,FALSE), "")</f>
        <v/>
      </c>
      <c r="C657">
        <f>IFERROR(VLOOKUP(Tabla13[[#This Row],[SISMED]],TblDisponibilidad[],7,FALSE), 0)</f>
        <v>0</v>
      </c>
      <c r="D657">
        <f>IFERROR(VLOOKUP(Tabla13[[#This Row],[SISMED]],TblDisponibilidad[],8,FALSE), 0)</f>
        <v>0</v>
      </c>
      <c r="E657">
        <f>IFERROR(VLOOKUP(Tabla13[[#This Row],[SISMED]],TblDisponibilidad[],9,FALSE), 0)</f>
        <v>0</v>
      </c>
      <c r="F657">
        <f>IFERROR(VLOOKUP(Tabla13[[#This Row],[SISMED]],TblDisponibilidad[],10,FALSE), 0)</f>
        <v>0</v>
      </c>
      <c r="G657">
        <f>IFERROR(VLOOKUP(Tabla13[[#This Row],[SISMED]],TblDisponibilidad[],11,FALSE), 0)</f>
        <v>0</v>
      </c>
      <c r="H657">
        <f>IFERROR(VLOOKUP(Tabla13[[#This Row],[SISMED]],TblDisponibilidad[],12,FALSE), 0)</f>
        <v>0</v>
      </c>
      <c r="I657">
        <f>IFERROR(VLOOKUP(Tabla13[[#This Row],[SISMED]],TblDisponibilidad[],13,FALSE), 0)</f>
        <v>0</v>
      </c>
      <c r="J657">
        <f>IFERROR(VLOOKUP(Tabla13[[#This Row],[SISMED]],TblDisponibilidad[],14,FALSE), 0)</f>
        <v>0</v>
      </c>
      <c r="K657">
        <f>IFERROR(VLOOKUP(Tabla13[[#This Row],[SISMED]],TblDisponibilidad[],15,FALSE), 0)</f>
        <v>0</v>
      </c>
      <c r="L657">
        <f>IFERROR(VLOOKUP(Tabla13[[#This Row],[SISMED]],TblDisponibilidad[],16,FALSE), 0)</f>
        <v>0</v>
      </c>
      <c r="M657">
        <f>IFERROR(VLOOKUP(Tabla13[[#This Row],[SISMED]],TblDisponibilidad[],17,FALSE), 0)</f>
        <v>0</v>
      </c>
      <c r="N657">
        <f>IFERROR(VLOOKUP(Tabla13[[#This Row],[SISMED]],TblDisponibilidad[],18,FALSE), 0)</f>
        <v>0</v>
      </c>
      <c r="O657">
        <f>IFERROR(VLOOKUP(Tabla13[[#This Row],[SISMED]],TblDisponibilidad[],19,FALSE), 0)</f>
        <v>0</v>
      </c>
      <c r="P657">
        <f>IFERROR(VLOOKUP(Tabla13[[#This Row],[SISMED]],TblDisponibilidad[],20,FALSE), 0)</f>
        <v>0</v>
      </c>
      <c r="Q657">
        <f>IFERROR(VLOOKUP(Tabla13[[#This Row],[SISMED]],TblDisponibilidad[],21,FALSE), 0)</f>
        <v>0</v>
      </c>
      <c r="R657">
        <f>IFERROR(VLOOKUP(Tabla13[[#This Row],[SISMED]],TblDisponibilidad[],22,FALSE), 0)</f>
        <v>0</v>
      </c>
      <c r="S657" s="15">
        <f>IFERROR(VLOOKUP(Tabla13[[#This Row],[SISMED]],TblDisponibilidad[],23,FALSE), 0)</f>
        <v>0</v>
      </c>
    </row>
    <row r="658" spans="1:19" x14ac:dyDescent="0.3">
      <c r="A658" s="15" t="s">
        <v>688</v>
      </c>
      <c r="B658" t="str">
        <f>IFERROR(VLOOKUP(Tabla13[[#This Row],[SISMED]],TblDisponibilidad[],2,FALSE), "")</f>
        <v/>
      </c>
      <c r="C658">
        <f>IFERROR(VLOOKUP(Tabla13[[#This Row],[SISMED]],TblDisponibilidad[],7,FALSE), 0)</f>
        <v>0</v>
      </c>
      <c r="D658">
        <f>IFERROR(VLOOKUP(Tabla13[[#This Row],[SISMED]],TblDisponibilidad[],8,FALSE), 0)</f>
        <v>0</v>
      </c>
      <c r="E658">
        <f>IFERROR(VLOOKUP(Tabla13[[#This Row],[SISMED]],TblDisponibilidad[],9,FALSE), 0)</f>
        <v>0</v>
      </c>
      <c r="F658">
        <f>IFERROR(VLOOKUP(Tabla13[[#This Row],[SISMED]],TblDisponibilidad[],10,FALSE), 0)</f>
        <v>0</v>
      </c>
      <c r="G658">
        <f>IFERROR(VLOOKUP(Tabla13[[#This Row],[SISMED]],TblDisponibilidad[],11,FALSE), 0)</f>
        <v>0</v>
      </c>
      <c r="H658">
        <f>IFERROR(VLOOKUP(Tabla13[[#This Row],[SISMED]],TblDisponibilidad[],12,FALSE), 0)</f>
        <v>0</v>
      </c>
      <c r="I658">
        <f>IFERROR(VLOOKUP(Tabla13[[#This Row],[SISMED]],TblDisponibilidad[],13,FALSE), 0)</f>
        <v>0</v>
      </c>
      <c r="J658">
        <f>IFERROR(VLOOKUP(Tabla13[[#This Row],[SISMED]],TblDisponibilidad[],14,FALSE), 0)</f>
        <v>0</v>
      </c>
      <c r="K658">
        <f>IFERROR(VLOOKUP(Tabla13[[#This Row],[SISMED]],TblDisponibilidad[],15,FALSE), 0)</f>
        <v>0</v>
      </c>
      <c r="L658">
        <f>IFERROR(VLOOKUP(Tabla13[[#This Row],[SISMED]],TblDisponibilidad[],16,FALSE), 0)</f>
        <v>0</v>
      </c>
      <c r="M658">
        <f>IFERROR(VLOOKUP(Tabla13[[#This Row],[SISMED]],TblDisponibilidad[],17,FALSE), 0)</f>
        <v>0</v>
      </c>
      <c r="N658">
        <f>IFERROR(VLOOKUP(Tabla13[[#This Row],[SISMED]],TblDisponibilidad[],18,FALSE), 0)</f>
        <v>0</v>
      </c>
      <c r="O658">
        <f>IFERROR(VLOOKUP(Tabla13[[#This Row],[SISMED]],TblDisponibilidad[],19,FALSE), 0)</f>
        <v>0</v>
      </c>
      <c r="P658">
        <f>IFERROR(VLOOKUP(Tabla13[[#This Row],[SISMED]],TblDisponibilidad[],20,FALSE), 0)</f>
        <v>0</v>
      </c>
      <c r="Q658">
        <f>IFERROR(VLOOKUP(Tabla13[[#This Row],[SISMED]],TblDisponibilidad[],21,FALSE), 0)</f>
        <v>0</v>
      </c>
      <c r="R658">
        <f>IFERROR(VLOOKUP(Tabla13[[#This Row],[SISMED]],TblDisponibilidad[],22,FALSE), 0)</f>
        <v>0</v>
      </c>
      <c r="S658" s="15">
        <f>IFERROR(VLOOKUP(Tabla13[[#This Row],[SISMED]],TblDisponibilidad[],23,FALSE), 0)</f>
        <v>0</v>
      </c>
    </row>
    <row r="659" spans="1:19" x14ac:dyDescent="0.3">
      <c r="A659" s="15" t="s">
        <v>689</v>
      </c>
      <c r="B659" t="str">
        <f>IFERROR(VLOOKUP(Tabla13[[#This Row],[SISMED]],TblDisponibilidad[],2,FALSE), "")</f>
        <v/>
      </c>
      <c r="C659">
        <f>IFERROR(VLOOKUP(Tabla13[[#This Row],[SISMED]],TblDisponibilidad[],7,FALSE), 0)</f>
        <v>0</v>
      </c>
      <c r="D659">
        <f>IFERROR(VLOOKUP(Tabla13[[#This Row],[SISMED]],TblDisponibilidad[],8,FALSE), 0)</f>
        <v>0</v>
      </c>
      <c r="E659">
        <f>IFERROR(VLOOKUP(Tabla13[[#This Row],[SISMED]],TblDisponibilidad[],9,FALSE), 0)</f>
        <v>0</v>
      </c>
      <c r="F659">
        <f>IFERROR(VLOOKUP(Tabla13[[#This Row],[SISMED]],TblDisponibilidad[],10,FALSE), 0)</f>
        <v>0</v>
      </c>
      <c r="G659">
        <f>IFERROR(VLOOKUP(Tabla13[[#This Row],[SISMED]],TblDisponibilidad[],11,FALSE), 0)</f>
        <v>0</v>
      </c>
      <c r="H659">
        <f>IFERROR(VLOOKUP(Tabla13[[#This Row],[SISMED]],TblDisponibilidad[],12,FALSE), 0)</f>
        <v>0</v>
      </c>
      <c r="I659">
        <f>IFERROR(VLOOKUP(Tabla13[[#This Row],[SISMED]],TblDisponibilidad[],13,FALSE), 0)</f>
        <v>0</v>
      </c>
      <c r="J659">
        <f>IFERROR(VLOOKUP(Tabla13[[#This Row],[SISMED]],TblDisponibilidad[],14,FALSE), 0)</f>
        <v>0</v>
      </c>
      <c r="K659">
        <f>IFERROR(VLOOKUP(Tabla13[[#This Row],[SISMED]],TblDisponibilidad[],15,FALSE), 0)</f>
        <v>0</v>
      </c>
      <c r="L659">
        <f>IFERROR(VLOOKUP(Tabla13[[#This Row],[SISMED]],TblDisponibilidad[],16,FALSE), 0)</f>
        <v>0</v>
      </c>
      <c r="M659">
        <f>IFERROR(VLOOKUP(Tabla13[[#This Row],[SISMED]],TblDisponibilidad[],17,FALSE), 0)</f>
        <v>0</v>
      </c>
      <c r="N659">
        <f>IFERROR(VLOOKUP(Tabla13[[#This Row],[SISMED]],TblDisponibilidad[],18,FALSE), 0)</f>
        <v>0</v>
      </c>
      <c r="O659">
        <f>IFERROR(VLOOKUP(Tabla13[[#This Row],[SISMED]],TblDisponibilidad[],19,FALSE), 0)</f>
        <v>0</v>
      </c>
      <c r="P659">
        <f>IFERROR(VLOOKUP(Tabla13[[#This Row],[SISMED]],TblDisponibilidad[],20,FALSE), 0)</f>
        <v>0</v>
      </c>
      <c r="Q659">
        <f>IFERROR(VLOOKUP(Tabla13[[#This Row],[SISMED]],TblDisponibilidad[],21,FALSE), 0)</f>
        <v>0</v>
      </c>
      <c r="R659">
        <f>IFERROR(VLOOKUP(Tabla13[[#This Row],[SISMED]],TblDisponibilidad[],22,FALSE), 0)</f>
        <v>0</v>
      </c>
      <c r="S659" s="15">
        <f>IFERROR(VLOOKUP(Tabla13[[#This Row],[SISMED]],TblDisponibilidad[],23,FALSE), 0)</f>
        <v>0</v>
      </c>
    </row>
    <row r="660" spans="1:19" x14ac:dyDescent="0.3">
      <c r="A660" s="15" t="s">
        <v>690</v>
      </c>
      <c r="B660" t="str">
        <f>IFERROR(VLOOKUP(Tabla13[[#This Row],[SISMED]],TblDisponibilidad[],2,FALSE), "")</f>
        <v/>
      </c>
      <c r="C660">
        <f>IFERROR(VLOOKUP(Tabla13[[#This Row],[SISMED]],TblDisponibilidad[],7,FALSE), 0)</f>
        <v>0</v>
      </c>
      <c r="D660">
        <f>IFERROR(VLOOKUP(Tabla13[[#This Row],[SISMED]],TblDisponibilidad[],8,FALSE), 0)</f>
        <v>0</v>
      </c>
      <c r="E660">
        <f>IFERROR(VLOOKUP(Tabla13[[#This Row],[SISMED]],TblDisponibilidad[],9,FALSE), 0)</f>
        <v>0</v>
      </c>
      <c r="F660">
        <f>IFERROR(VLOOKUP(Tabla13[[#This Row],[SISMED]],TblDisponibilidad[],10,FALSE), 0)</f>
        <v>0</v>
      </c>
      <c r="G660">
        <f>IFERROR(VLOOKUP(Tabla13[[#This Row],[SISMED]],TblDisponibilidad[],11,FALSE), 0)</f>
        <v>0</v>
      </c>
      <c r="H660">
        <f>IFERROR(VLOOKUP(Tabla13[[#This Row],[SISMED]],TblDisponibilidad[],12,FALSE), 0)</f>
        <v>0</v>
      </c>
      <c r="I660">
        <f>IFERROR(VLOOKUP(Tabla13[[#This Row],[SISMED]],TblDisponibilidad[],13,FALSE), 0)</f>
        <v>0</v>
      </c>
      <c r="J660">
        <f>IFERROR(VLOOKUP(Tabla13[[#This Row],[SISMED]],TblDisponibilidad[],14,FALSE), 0)</f>
        <v>0</v>
      </c>
      <c r="K660">
        <f>IFERROR(VLOOKUP(Tabla13[[#This Row],[SISMED]],TblDisponibilidad[],15,FALSE), 0)</f>
        <v>0</v>
      </c>
      <c r="L660">
        <f>IFERROR(VLOOKUP(Tabla13[[#This Row],[SISMED]],TblDisponibilidad[],16,FALSE), 0)</f>
        <v>0</v>
      </c>
      <c r="M660">
        <f>IFERROR(VLOOKUP(Tabla13[[#This Row],[SISMED]],TblDisponibilidad[],17,FALSE), 0)</f>
        <v>0</v>
      </c>
      <c r="N660">
        <f>IFERROR(VLOOKUP(Tabla13[[#This Row],[SISMED]],TblDisponibilidad[],18,FALSE), 0)</f>
        <v>0</v>
      </c>
      <c r="O660">
        <f>IFERROR(VLOOKUP(Tabla13[[#This Row],[SISMED]],TblDisponibilidad[],19,FALSE), 0)</f>
        <v>0</v>
      </c>
      <c r="P660">
        <f>IFERROR(VLOOKUP(Tabla13[[#This Row],[SISMED]],TblDisponibilidad[],20,FALSE), 0)</f>
        <v>0</v>
      </c>
      <c r="Q660">
        <f>IFERROR(VLOOKUP(Tabla13[[#This Row],[SISMED]],TblDisponibilidad[],21,FALSE), 0)</f>
        <v>0</v>
      </c>
      <c r="R660">
        <f>IFERROR(VLOOKUP(Tabla13[[#This Row],[SISMED]],TblDisponibilidad[],22,FALSE), 0)</f>
        <v>0</v>
      </c>
      <c r="S660" s="15">
        <f>IFERROR(VLOOKUP(Tabla13[[#This Row],[SISMED]],TblDisponibilidad[],23,FALSE), 0)</f>
        <v>0</v>
      </c>
    </row>
    <row r="661" spans="1:19" x14ac:dyDescent="0.3">
      <c r="A661" s="15" t="s">
        <v>691</v>
      </c>
      <c r="B661" t="str">
        <f>IFERROR(VLOOKUP(Tabla13[[#This Row],[SISMED]],TblDisponibilidad[],2,FALSE), "")</f>
        <v/>
      </c>
      <c r="C661">
        <f>IFERROR(VLOOKUP(Tabla13[[#This Row],[SISMED]],TblDisponibilidad[],7,FALSE), 0)</f>
        <v>0</v>
      </c>
      <c r="D661">
        <f>IFERROR(VLOOKUP(Tabla13[[#This Row],[SISMED]],TblDisponibilidad[],8,FALSE), 0)</f>
        <v>0</v>
      </c>
      <c r="E661">
        <f>IFERROR(VLOOKUP(Tabla13[[#This Row],[SISMED]],TblDisponibilidad[],9,FALSE), 0)</f>
        <v>0</v>
      </c>
      <c r="F661">
        <f>IFERROR(VLOOKUP(Tabla13[[#This Row],[SISMED]],TblDisponibilidad[],10,FALSE), 0)</f>
        <v>0</v>
      </c>
      <c r="G661">
        <f>IFERROR(VLOOKUP(Tabla13[[#This Row],[SISMED]],TblDisponibilidad[],11,FALSE), 0)</f>
        <v>0</v>
      </c>
      <c r="H661">
        <f>IFERROR(VLOOKUP(Tabla13[[#This Row],[SISMED]],TblDisponibilidad[],12,FALSE), 0)</f>
        <v>0</v>
      </c>
      <c r="I661">
        <f>IFERROR(VLOOKUP(Tabla13[[#This Row],[SISMED]],TblDisponibilidad[],13,FALSE), 0)</f>
        <v>0</v>
      </c>
      <c r="J661">
        <f>IFERROR(VLOOKUP(Tabla13[[#This Row],[SISMED]],TblDisponibilidad[],14,FALSE), 0)</f>
        <v>0</v>
      </c>
      <c r="K661">
        <f>IFERROR(VLOOKUP(Tabla13[[#This Row],[SISMED]],TblDisponibilidad[],15,FALSE), 0)</f>
        <v>0</v>
      </c>
      <c r="L661">
        <f>IFERROR(VLOOKUP(Tabla13[[#This Row],[SISMED]],TblDisponibilidad[],16,FALSE), 0)</f>
        <v>0</v>
      </c>
      <c r="M661">
        <f>IFERROR(VLOOKUP(Tabla13[[#This Row],[SISMED]],TblDisponibilidad[],17,FALSE), 0)</f>
        <v>0</v>
      </c>
      <c r="N661">
        <f>IFERROR(VLOOKUP(Tabla13[[#This Row],[SISMED]],TblDisponibilidad[],18,FALSE), 0)</f>
        <v>0</v>
      </c>
      <c r="O661">
        <f>IFERROR(VLOOKUP(Tabla13[[#This Row],[SISMED]],TblDisponibilidad[],19,FALSE), 0)</f>
        <v>0</v>
      </c>
      <c r="P661">
        <f>IFERROR(VLOOKUP(Tabla13[[#This Row],[SISMED]],TblDisponibilidad[],20,FALSE), 0)</f>
        <v>0</v>
      </c>
      <c r="Q661">
        <f>IFERROR(VLOOKUP(Tabla13[[#This Row],[SISMED]],TblDisponibilidad[],21,FALSE), 0)</f>
        <v>0</v>
      </c>
      <c r="R661">
        <f>IFERROR(VLOOKUP(Tabla13[[#This Row],[SISMED]],TblDisponibilidad[],22,FALSE), 0)</f>
        <v>0</v>
      </c>
      <c r="S661" s="15">
        <f>IFERROR(VLOOKUP(Tabla13[[#This Row],[SISMED]],TblDisponibilidad[],23,FALSE), 0)</f>
        <v>0</v>
      </c>
    </row>
    <row r="662" spans="1:19" x14ac:dyDescent="0.3">
      <c r="A662" s="15" t="s">
        <v>692</v>
      </c>
      <c r="B662" t="str">
        <f>IFERROR(VLOOKUP(Tabla13[[#This Row],[SISMED]],TblDisponibilidad[],2,FALSE), "")</f>
        <v/>
      </c>
      <c r="C662">
        <f>IFERROR(VLOOKUP(Tabla13[[#This Row],[SISMED]],TblDisponibilidad[],7,FALSE), 0)</f>
        <v>0</v>
      </c>
      <c r="D662">
        <f>IFERROR(VLOOKUP(Tabla13[[#This Row],[SISMED]],TblDisponibilidad[],8,FALSE), 0)</f>
        <v>0</v>
      </c>
      <c r="E662">
        <f>IFERROR(VLOOKUP(Tabla13[[#This Row],[SISMED]],TblDisponibilidad[],9,FALSE), 0)</f>
        <v>0</v>
      </c>
      <c r="F662">
        <f>IFERROR(VLOOKUP(Tabla13[[#This Row],[SISMED]],TblDisponibilidad[],10,FALSE), 0)</f>
        <v>0</v>
      </c>
      <c r="G662">
        <f>IFERROR(VLOOKUP(Tabla13[[#This Row],[SISMED]],TblDisponibilidad[],11,FALSE), 0)</f>
        <v>0</v>
      </c>
      <c r="H662">
        <f>IFERROR(VLOOKUP(Tabla13[[#This Row],[SISMED]],TblDisponibilidad[],12,FALSE), 0)</f>
        <v>0</v>
      </c>
      <c r="I662">
        <f>IFERROR(VLOOKUP(Tabla13[[#This Row],[SISMED]],TblDisponibilidad[],13,FALSE), 0)</f>
        <v>0</v>
      </c>
      <c r="J662">
        <f>IFERROR(VLOOKUP(Tabla13[[#This Row],[SISMED]],TblDisponibilidad[],14,FALSE), 0)</f>
        <v>0</v>
      </c>
      <c r="K662">
        <f>IFERROR(VLOOKUP(Tabla13[[#This Row],[SISMED]],TblDisponibilidad[],15,FALSE), 0)</f>
        <v>0</v>
      </c>
      <c r="L662">
        <f>IFERROR(VLOOKUP(Tabla13[[#This Row],[SISMED]],TblDisponibilidad[],16,FALSE), 0)</f>
        <v>0</v>
      </c>
      <c r="M662">
        <f>IFERROR(VLOOKUP(Tabla13[[#This Row],[SISMED]],TblDisponibilidad[],17,FALSE), 0)</f>
        <v>0</v>
      </c>
      <c r="N662">
        <f>IFERROR(VLOOKUP(Tabla13[[#This Row],[SISMED]],TblDisponibilidad[],18,FALSE), 0)</f>
        <v>0</v>
      </c>
      <c r="O662">
        <f>IFERROR(VLOOKUP(Tabla13[[#This Row],[SISMED]],TblDisponibilidad[],19,FALSE), 0)</f>
        <v>0</v>
      </c>
      <c r="P662">
        <f>IFERROR(VLOOKUP(Tabla13[[#This Row],[SISMED]],TblDisponibilidad[],20,FALSE), 0)</f>
        <v>0</v>
      </c>
      <c r="Q662">
        <f>IFERROR(VLOOKUP(Tabla13[[#This Row],[SISMED]],TblDisponibilidad[],21,FALSE), 0)</f>
        <v>0</v>
      </c>
      <c r="R662">
        <f>IFERROR(VLOOKUP(Tabla13[[#This Row],[SISMED]],TblDisponibilidad[],22,FALSE), 0)</f>
        <v>0</v>
      </c>
      <c r="S662" s="15">
        <f>IFERROR(VLOOKUP(Tabla13[[#This Row],[SISMED]],TblDisponibilidad[],23,FALSE), 0)</f>
        <v>0</v>
      </c>
    </row>
    <row r="663" spans="1:19" x14ac:dyDescent="0.3">
      <c r="A663" s="15" t="s">
        <v>693</v>
      </c>
      <c r="B663" t="str">
        <f>IFERROR(VLOOKUP(Tabla13[[#This Row],[SISMED]],TblDisponibilidad[],2,FALSE), "")</f>
        <v/>
      </c>
      <c r="C663">
        <f>IFERROR(VLOOKUP(Tabla13[[#This Row],[SISMED]],TblDisponibilidad[],7,FALSE), 0)</f>
        <v>0</v>
      </c>
      <c r="D663">
        <f>IFERROR(VLOOKUP(Tabla13[[#This Row],[SISMED]],TblDisponibilidad[],8,FALSE), 0)</f>
        <v>0</v>
      </c>
      <c r="E663">
        <f>IFERROR(VLOOKUP(Tabla13[[#This Row],[SISMED]],TblDisponibilidad[],9,FALSE), 0)</f>
        <v>0</v>
      </c>
      <c r="F663">
        <f>IFERROR(VLOOKUP(Tabla13[[#This Row],[SISMED]],TblDisponibilidad[],10,FALSE), 0)</f>
        <v>0</v>
      </c>
      <c r="G663">
        <f>IFERROR(VLOOKUP(Tabla13[[#This Row],[SISMED]],TblDisponibilidad[],11,FALSE), 0)</f>
        <v>0</v>
      </c>
      <c r="H663">
        <f>IFERROR(VLOOKUP(Tabla13[[#This Row],[SISMED]],TblDisponibilidad[],12,FALSE), 0)</f>
        <v>0</v>
      </c>
      <c r="I663">
        <f>IFERROR(VLOOKUP(Tabla13[[#This Row],[SISMED]],TblDisponibilidad[],13,FALSE), 0)</f>
        <v>0</v>
      </c>
      <c r="J663">
        <f>IFERROR(VLOOKUP(Tabla13[[#This Row],[SISMED]],TblDisponibilidad[],14,FALSE), 0)</f>
        <v>0</v>
      </c>
      <c r="K663">
        <f>IFERROR(VLOOKUP(Tabla13[[#This Row],[SISMED]],TblDisponibilidad[],15,FALSE), 0)</f>
        <v>0</v>
      </c>
      <c r="L663">
        <f>IFERROR(VLOOKUP(Tabla13[[#This Row],[SISMED]],TblDisponibilidad[],16,FALSE), 0)</f>
        <v>0</v>
      </c>
      <c r="M663">
        <f>IFERROR(VLOOKUP(Tabla13[[#This Row],[SISMED]],TblDisponibilidad[],17,FALSE), 0)</f>
        <v>0</v>
      </c>
      <c r="N663">
        <f>IFERROR(VLOOKUP(Tabla13[[#This Row],[SISMED]],TblDisponibilidad[],18,FALSE), 0)</f>
        <v>0</v>
      </c>
      <c r="O663">
        <f>IFERROR(VLOOKUP(Tabla13[[#This Row],[SISMED]],TblDisponibilidad[],19,FALSE), 0)</f>
        <v>0</v>
      </c>
      <c r="P663">
        <f>IFERROR(VLOOKUP(Tabla13[[#This Row],[SISMED]],TblDisponibilidad[],20,FALSE), 0)</f>
        <v>0</v>
      </c>
      <c r="Q663">
        <f>IFERROR(VLOOKUP(Tabla13[[#This Row],[SISMED]],TblDisponibilidad[],21,FALSE), 0)</f>
        <v>0</v>
      </c>
      <c r="R663">
        <f>IFERROR(VLOOKUP(Tabla13[[#This Row],[SISMED]],TblDisponibilidad[],22,FALSE), 0)</f>
        <v>0</v>
      </c>
      <c r="S663" s="15">
        <f>IFERROR(VLOOKUP(Tabla13[[#This Row],[SISMED]],TblDisponibilidad[],23,FALSE), 0)</f>
        <v>0</v>
      </c>
    </row>
    <row r="664" spans="1:19" x14ac:dyDescent="0.3">
      <c r="A664" s="15" t="s">
        <v>694</v>
      </c>
      <c r="B664" t="str">
        <f>IFERROR(VLOOKUP(Tabla13[[#This Row],[SISMED]],TblDisponibilidad[],2,FALSE), "")</f>
        <v/>
      </c>
      <c r="C664">
        <f>IFERROR(VLOOKUP(Tabla13[[#This Row],[SISMED]],TblDisponibilidad[],7,FALSE), 0)</f>
        <v>0</v>
      </c>
      <c r="D664">
        <f>IFERROR(VLOOKUP(Tabla13[[#This Row],[SISMED]],TblDisponibilidad[],8,FALSE), 0)</f>
        <v>0</v>
      </c>
      <c r="E664">
        <f>IFERROR(VLOOKUP(Tabla13[[#This Row],[SISMED]],TblDisponibilidad[],9,FALSE), 0)</f>
        <v>0</v>
      </c>
      <c r="F664">
        <f>IFERROR(VLOOKUP(Tabla13[[#This Row],[SISMED]],TblDisponibilidad[],10,FALSE), 0)</f>
        <v>0</v>
      </c>
      <c r="G664">
        <f>IFERROR(VLOOKUP(Tabla13[[#This Row],[SISMED]],TblDisponibilidad[],11,FALSE), 0)</f>
        <v>0</v>
      </c>
      <c r="H664">
        <f>IFERROR(VLOOKUP(Tabla13[[#This Row],[SISMED]],TblDisponibilidad[],12,FALSE), 0)</f>
        <v>0</v>
      </c>
      <c r="I664">
        <f>IFERROR(VLOOKUP(Tabla13[[#This Row],[SISMED]],TblDisponibilidad[],13,FALSE), 0)</f>
        <v>0</v>
      </c>
      <c r="J664">
        <f>IFERROR(VLOOKUP(Tabla13[[#This Row],[SISMED]],TblDisponibilidad[],14,FALSE), 0)</f>
        <v>0</v>
      </c>
      <c r="K664">
        <f>IFERROR(VLOOKUP(Tabla13[[#This Row],[SISMED]],TblDisponibilidad[],15,FALSE), 0)</f>
        <v>0</v>
      </c>
      <c r="L664">
        <f>IFERROR(VLOOKUP(Tabla13[[#This Row],[SISMED]],TblDisponibilidad[],16,FALSE), 0)</f>
        <v>0</v>
      </c>
      <c r="M664">
        <f>IFERROR(VLOOKUP(Tabla13[[#This Row],[SISMED]],TblDisponibilidad[],17,FALSE), 0)</f>
        <v>0</v>
      </c>
      <c r="N664">
        <f>IFERROR(VLOOKUP(Tabla13[[#This Row],[SISMED]],TblDisponibilidad[],18,FALSE), 0)</f>
        <v>0</v>
      </c>
      <c r="O664">
        <f>IFERROR(VLOOKUP(Tabla13[[#This Row],[SISMED]],TblDisponibilidad[],19,FALSE), 0)</f>
        <v>0</v>
      </c>
      <c r="P664">
        <f>IFERROR(VLOOKUP(Tabla13[[#This Row],[SISMED]],TblDisponibilidad[],20,FALSE), 0)</f>
        <v>0</v>
      </c>
      <c r="Q664">
        <f>IFERROR(VLOOKUP(Tabla13[[#This Row],[SISMED]],TblDisponibilidad[],21,FALSE), 0)</f>
        <v>0</v>
      </c>
      <c r="R664">
        <f>IFERROR(VLOOKUP(Tabla13[[#This Row],[SISMED]],TblDisponibilidad[],22,FALSE), 0)</f>
        <v>0</v>
      </c>
      <c r="S664" s="15">
        <f>IFERROR(VLOOKUP(Tabla13[[#This Row],[SISMED]],TblDisponibilidad[],23,FALSE), 0)</f>
        <v>0</v>
      </c>
    </row>
    <row r="665" spans="1:19" x14ac:dyDescent="0.3">
      <c r="A665" s="15" t="s">
        <v>695</v>
      </c>
      <c r="B665" t="str">
        <f>IFERROR(VLOOKUP(Tabla13[[#This Row],[SISMED]],TblDisponibilidad[],2,FALSE), "")</f>
        <v/>
      </c>
      <c r="C665">
        <f>IFERROR(VLOOKUP(Tabla13[[#This Row],[SISMED]],TblDisponibilidad[],7,FALSE), 0)</f>
        <v>0</v>
      </c>
      <c r="D665">
        <f>IFERROR(VLOOKUP(Tabla13[[#This Row],[SISMED]],TblDisponibilidad[],8,FALSE), 0)</f>
        <v>0</v>
      </c>
      <c r="E665">
        <f>IFERROR(VLOOKUP(Tabla13[[#This Row],[SISMED]],TblDisponibilidad[],9,FALSE), 0)</f>
        <v>0</v>
      </c>
      <c r="F665">
        <f>IFERROR(VLOOKUP(Tabla13[[#This Row],[SISMED]],TblDisponibilidad[],10,FALSE), 0)</f>
        <v>0</v>
      </c>
      <c r="G665">
        <f>IFERROR(VLOOKUP(Tabla13[[#This Row],[SISMED]],TblDisponibilidad[],11,FALSE), 0)</f>
        <v>0</v>
      </c>
      <c r="H665">
        <f>IFERROR(VLOOKUP(Tabla13[[#This Row],[SISMED]],TblDisponibilidad[],12,FALSE), 0)</f>
        <v>0</v>
      </c>
      <c r="I665">
        <f>IFERROR(VLOOKUP(Tabla13[[#This Row],[SISMED]],TblDisponibilidad[],13,FALSE), 0)</f>
        <v>0</v>
      </c>
      <c r="J665">
        <f>IFERROR(VLOOKUP(Tabla13[[#This Row],[SISMED]],TblDisponibilidad[],14,FALSE), 0)</f>
        <v>0</v>
      </c>
      <c r="K665">
        <f>IFERROR(VLOOKUP(Tabla13[[#This Row],[SISMED]],TblDisponibilidad[],15,FALSE), 0)</f>
        <v>0</v>
      </c>
      <c r="L665">
        <f>IFERROR(VLOOKUP(Tabla13[[#This Row],[SISMED]],TblDisponibilidad[],16,FALSE), 0)</f>
        <v>0</v>
      </c>
      <c r="M665">
        <f>IFERROR(VLOOKUP(Tabla13[[#This Row],[SISMED]],TblDisponibilidad[],17,FALSE), 0)</f>
        <v>0</v>
      </c>
      <c r="N665">
        <f>IFERROR(VLOOKUP(Tabla13[[#This Row],[SISMED]],TblDisponibilidad[],18,FALSE), 0)</f>
        <v>0</v>
      </c>
      <c r="O665">
        <f>IFERROR(VLOOKUP(Tabla13[[#This Row],[SISMED]],TblDisponibilidad[],19,FALSE), 0)</f>
        <v>0</v>
      </c>
      <c r="P665">
        <f>IFERROR(VLOOKUP(Tabla13[[#This Row],[SISMED]],TblDisponibilidad[],20,FALSE), 0)</f>
        <v>0</v>
      </c>
      <c r="Q665">
        <f>IFERROR(VLOOKUP(Tabla13[[#This Row],[SISMED]],TblDisponibilidad[],21,FALSE), 0)</f>
        <v>0</v>
      </c>
      <c r="R665">
        <f>IFERROR(VLOOKUP(Tabla13[[#This Row],[SISMED]],TblDisponibilidad[],22,FALSE), 0)</f>
        <v>0</v>
      </c>
      <c r="S665" s="15">
        <f>IFERROR(VLOOKUP(Tabla13[[#This Row],[SISMED]],TblDisponibilidad[],23,FALSE), 0)</f>
        <v>0</v>
      </c>
    </row>
    <row r="666" spans="1:19" x14ac:dyDescent="0.3">
      <c r="A666" s="15" t="s">
        <v>696</v>
      </c>
      <c r="B666" t="str">
        <f>IFERROR(VLOOKUP(Tabla13[[#This Row],[SISMED]],TblDisponibilidad[],2,FALSE), "")</f>
        <v/>
      </c>
      <c r="C666">
        <f>IFERROR(VLOOKUP(Tabla13[[#This Row],[SISMED]],TblDisponibilidad[],7,FALSE), 0)</f>
        <v>0</v>
      </c>
      <c r="D666">
        <f>IFERROR(VLOOKUP(Tabla13[[#This Row],[SISMED]],TblDisponibilidad[],8,FALSE), 0)</f>
        <v>0</v>
      </c>
      <c r="E666">
        <f>IFERROR(VLOOKUP(Tabla13[[#This Row],[SISMED]],TblDisponibilidad[],9,FALSE), 0)</f>
        <v>0</v>
      </c>
      <c r="F666">
        <f>IFERROR(VLOOKUP(Tabla13[[#This Row],[SISMED]],TblDisponibilidad[],10,FALSE), 0)</f>
        <v>0</v>
      </c>
      <c r="G666">
        <f>IFERROR(VLOOKUP(Tabla13[[#This Row],[SISMED]],TblDisponibilidad[],11,FALSE), 0)</f>
        <v>0</v>
      </c>
      <c r="H666">
        <f>IFERROR(VLOOKUP(Tabla13[[#This Row],[SISMED]],TblDisponibilidad[],12,FALSE), 0)</f>
        <v>0</v>
      </c>
      <c r="I666">
        <f>IFERROR(VLOOKUP(Tabla13[[#This Row],[SISMED]],TblDisponibilidad[],13,FALSE), 0)</f>
        <v>0</v>
      </c>
      <c r="J666">
        <f>IFERROR(VLOOKUP(Tabla13[[#This Row],[SISMED]],TblDisponibilidad[],14,FALSE), 0)</f>
        <v>0</v>
      </c>
      <c r="K666">
        <f>IFERROR(VLOOKUP(Tabla13[[#This Row],[SISMED]],TblDisponibilidad[],15,FALSE), 0)</f>
        <v>0</v>
      </c>
      <c r="L666">
        <f>IFERROR(VLOOKUP(Tabla13[[#This Row],[SISMED]],TblDisponibilidad[],16,FALSE), 0)</f>
        <v>0</v>
      </c>
      <c r="M666">
        <f>IFERROR(VLOOKUP(Tabla13[[#This Row],[SISMED]],TblDisponibilidad[],17,FALSE), 0)</f>
        <v>0</v>
      </c>
      <c r="N666">
        <f>IFERROR(VLOOKUP(Tabla13[[#This Row],[SISMED]],TblDisponibilidad[],18,FALSE), 0)</f>
        <v>0</v>
      </c>
      <c r="O666">
        <f>IFERROR(VLOOKUP(Tabla13[[#This Row],[SISMED]],TblDisponibilidad[],19,FALSE), 0)</f>
        <v>0</v>
      </c>
      <c r="P666">
        <f>IFERROR(VLOOKUP(Tabla13[[#This Row],[SISMED]],TblDisponibilidad[],20,FALSE), 0)</f>
        <v>0</v>
      </c>
      <c r="Q666">
        <f>IFERROR(VLOOKUP(Tabla13[[#This Row],[SISMED]],TblDisponibilidad[],21,FALSE), 0)</f>
        <v>0</v>
      </c>
      <c r="R666">
        <f>IFERROR(VLOOKUP(Tabla13[[#This Row],[SISMED]],TblDisponibilidad[],22,FALSE), 0)</f>
        <v>0</v>
      </c>
      <c r="S666" s="15">
        <f>IFERROR(VLOOKUP(Tabla13[[#This Row],[SISMED]],TblDisponibilidad[],23,FALSE), 0)</f>
        <v>0</v>
      </c>
    </row>
    <row r="667" spans="1:19" x14ac:dyDescent="0.3">
      <c r="A667" s="15" t="s">
        <v>697</v>
      </c>
      <c r="B667" t="str">
        <f>IFERROR(VLOOKUP(Tabla13[[#This Row],[SISMED]],TblDisponibilidad[],2,FALSE), "")</f>
        <v/>
      </c>
      <c r="C667">
        <f>IFERROR(VLOOKUP(Tabla13[[#This Row],[SISMED]],TblDisponibilidad[],7,FALSE), 0)</f>
        <v>0</v>
      </c>
      <c r="D667">
        <f>IFERROR(VLOOKUP(Tabla13[[#This Row],[SISMED]],TblDisponibilidad[],8,FALSE), 0)</f>
        <v>0</v>
      </c>
      <c r="E667">
        <f>IFERROR(VLOOKUP(Tabla13[[#This Row],[SISMED]],TblDisponibilidad[],9,FALSE), 0)</f>
        <v>0</v>
      </c>
      <c r="F667">
        <f>IFERROR(VLOOKUP(Tabla13[[#This Row],[SISMED]],TblDisponibilidad[],10,FALSE), 0)</f>
        <v>0</v>
      </c>
      <c r="G667">
        <f>IFERROR(VLOOKUP(Tabla13[[#This Row],[SISMED]],TblDisponibilidad[],11,FALSE), 0)</f>
        <v>0</v>
      </c>
      <c r="H667">
        <f>IFERROR(VLOOKUP(Tabla13[[#This Row],[SISMED]],TblDisponibilidad[],12,FALSE), 0)</f>
        <v>0</v>
      </c>
      <c r="I667">
        <f>IFERROR(VLOOKUP(Tabla13[[#This Row],[SISMED]],TblDisponibilidad[],13,FALSE), 0)</f>
        <v>0</v>
      </c>
      <c r="J667">
        <f>IFERROR(VLOOKUP(Tabla13[[#This Row],[SISMED]],TblDisponibilidad[],14,FALSE), 0)</f>
        <v>0</v>
      </c>
      <c r="K667">
        <f>IFERROR(VLOOKUP(Tabla13[[#This Row],[SISMED]],TblDisponibilidad[],15,FALSE), 0)</f>
        <v>0</v>
      </c>
      <c r="L667">
        <f>IFERROR(VLOOKUP(Tabla13[[#This Row],[SISMED]],TblDisponibilidad[],16,FALSE), 0)</f>
        <v>0</v>
      </c>
      <c r="M667">
        <f>IFERROR(VLOOKUP(Tabla13[[#This Row],[SISMED]],TblDisponibilidad[],17,FALSE), 0)</f>
        <v>0</v>
      </c>
      <c r="N667">
        <f>IFERROR(VLOOKUP(Tabla13[[#This Row],[SISMED]],TblDisponibilidad[],18,FALSE), 0)</f>
        <v>0</v>
      </c>
      <c r="O667">
        <f>IFERROR(VLOOKUP(Tabla13[[#This Row],[SISMED]],TblDisponibilidad[],19,FALSE), 0)</f>
        <v>0</v>
      </c>
      <c r="P667">
        <f>IFERROR(VLOOKUP(Tabla13[[#This Row],[SISMED]],TblDisponibilidad[],20,FALSE), 0)</f>
        <v>0</v>
      </c>
      <c r="Q667">
        <f>IFERROR(VLOOKUP(Tabla13[[#This Row],[SISMED]],TblDisponibilidad[],21,FALSE), 0)</f>
        <v>0</v>
      </c>
      <c r="R667">
        <f>IFERROR(VLOOKUP(Tabla13[[#This Row],[SISMED]],TblDisponibilidad[],22,FALSE), 0)</f>
        <v>0</v>
      </c>
      <c r="S667" s="15">
        <f>IFERROR(VLOOKUP(Tabla13[[#This Row],[SISMED]],TblDisponibilidad[],23,FALSE), 0)</f>
        <v>0</v>
      </c>
    </row>
    <row r="668" spans="1:19" x14ac:dyDescent="0.3">
      <c r="A668" s="15" t="s">
        <v>698</v>
      </c>
      <c r="B668" t="str">
        <f>IFERROR(VLOOKUP(Tabla13[[#This Row],[SISMED]],TblDisponibilidad[],2,FALSE), "")</f>
        <v/>
      </c>
      <c r="C668">
        <f>IFERROR(VLOOKUP(Tabla13[[#This Row],[SISMED]],TblDisponibilidad[],7,FALSE), 0)</f>
        <v>0</v>
      </c>
      <c r="D668">
        <f>IFERROR(VLOOKUP(Tabla13[[#This Row],[SISMED]],TblDisponibilidad[],8,FALSE), 0)</f>
        <v>0</v>
      </c>
      <c r="E668">
        <f>IFERROR(VLOOKUP(Tabla13[[#This Row],[SISMED]],TblDisponibilidad[],9,FALSE), 0)</f>
        <v>0</v>
      </c>
      <c r="F668">
        <f>IFERROR(VLOOKUP(Tabla13[[#This Row],[SISMED]],TblDisponibilidad[],10,FALSE), 0)</f>
        <v>0</v>
      </c>
      <c r="G668">
        <f>IFERROR(VLOOKUP(Tabla13[[#This Row],[SISMED]],TblDisponibilidad[],11,FALSE), 0)</f>
        <v>0</v>
      </c>
      <c r="H668">
        <f>IFERROR(VLOOKUP(Tabla13[[#This Row],[SISMED]],TblDisponibilidad[],12,FALSE), 0)</f>
        <v>0</v>
      </c>
      <c r="I668">
        <f>IFERROR(VLOOKUP(Tabla13[[#This Row],[SISMED]],TblDisponibilidad[],13,FALSE), 0)</f>
        <v>0</v>
      </c>
      <c r="J668">
        <f>IFERROR(VLOOKUP(Tabla13[[#This Row],[SISMED]],TblDisponibilidad[],14,FALSE), 0)</f>
        <v>0</v>
      </c>
      <c r="K668">
        <f>IFERROR(VLOOKUP(Tabla13[[#This Row],[SISMED]],TblDisponibilidad[],15,FALSE), 0)</f>
        <v>0</v>
      </c>
      <c r="L668">
        <f>IFERROR(VLOOKUP(Tabla13[[#This Row],[SISMED]],TblDisponibilidad[],16,FALSE), 0)</f>
        <v>0</v>
      </c>
      <c r="M668">
        <f>IFERROR(VLOOKUP(Tabla13[[#This Row],[SISMED]],TblDisponibilidad[],17,FALSE), 0)</f>
        <v>0</v>
      </c>
      <c r="N668">
        <f>IFERROR(VLOOKUP(Tabla13[[#This Row],[SISMED]],TblDisponibilidad[],18,FALSE), 0)</f>
        <v>0</v>
      </c>
      <c r="O668">
        <f>IFERROR(VLOOKUP(Tabla13[[#This Row],[SISMED]],TblDisponibilidad[],19,FALSE), 0)</f>
        <v>0</v>
      </c>
      <c r="P668">
        <f>IFERROR(VLOOKUP(Tabla13[[#This Row],[SISMED]],TblDisponibilidad[],20,FALSE), 0)</f>
        <v>0</v>
      </c>
      <c r="Q668">
        <f>IFERROR(VLOOKUP(Tabla13[[#This Row],[SISMED]],TblDisponibilidad[],21,FALSE), 0)</f>
        <v>0</v>
      </c>
      <c r="R668">
        <f>IFERROR(VLOOKUP(Tabla13[[#This Row],[SISMED]],TblDisponibilidad[],22,FALSE), 0)</f>
        <v>0</v>
      </c>
      <c r="S668" s="15">
        <f>IFERROR(VLOOKUP(Tabla13[[#This Row],[SISMED]],TblDisponibilidad[],23,FALSE), 0)</f>
        <v>0</v>
      </c>
    </row>
    <row r="669" spans="1:19" x14ac:dyDescent="0.3">
      <c r="A669" s="15" t="s">
        <v>699</v>
      </c>
      <c r="B669" t="str">
        <f>IFERROR(VLOOKUP(Tabla13[[#This Row],[SISMED]],TblDisponibilidad[],2,FALSE), "")</f>
        <v/>
      </c>
      <c r="C669">
        <f>IFERROR(VLOOKUP(Tabla13[[#This Row],[SISMED]],TblDisponibilidad[],7,FALSE), 0)</f>
        <v>0</v>
      </c>
      <c r="D669">
        <f>IFERROR(VLOOKUP(Tabla13[[#This Row],[SISMED]],TblDisponibilidad[],8,FALSE), 0)</f>
        <v>0</v>
      </c>
      <c r="E669">
        <f>IFERROR(VLOOKUP(Tabla13[[#This Row],[SISMED]],TblDisponibilidad[],9,FALSE), 0)</f>
        <v>0</v>
      </c>
      <c r="F669">
        <f>IFERROR(VLOOKUP(Tabla13[[#This Row],[SISMED]],TblDisponibilidad[],10,FALSE), 0)</f>
        <v>0</v>
      </c>
      <c r="G669">
        <f>IFERROR(VLOOKUP(Tabla13[[#This Row],[SISMED]],TblDisponibilidad[],11,FALSE), 0)</f>
        <v>0</v>
      </c>
      <c r="H669">
        <f>IFERROR(VLOOKUP(Tabla13[[#This Row],[SISMED]],TblDisponibilidad[],12,FALSE), 0)</f>
        <v>0</v>
      </c>
      <c r="I669">
        <f>IFERROR(VLOOKUP(Tabla13[[#This Row],[SISMED]],TblDisponibilidad[],13,FALSE), 0)</f>
        <v>0</v>
      </c>
      <c r="J669">
        <f>IFERROR(VLOOKUP(Tabla13[[#This Row],[SISMED]],TblDisponibilidad[],14,FALSE), 0)</f>
        <v>0</v>
      </c>
      <c r="K669">
        <f>IFERROR(VLOOKUP(Tabla13[[#This Row],[SISMED]],TblDisponibilidad[],15,FALSE), 0)</f>
        <v>0</v>
      </c>
      <c r="L669">
        <f>IFERROR(VLOOKUP(Tabla13[[#This Row],[SISMED]],TblDisponibilidad[],16,FALSE), 0)</f>
        <v>0</v>
      </c>
      <c r="M669">
        <f>IFERROR(VLOOKUP(Tabla13[[#This Row],[SISMED]],TblDisponibilidad[],17,FALSE), 0)</f>
        <v>0</v>
      </c>
      <c r="N669">
        <f>IFERROR(VLOOKUP(Tabla13[[#This Row],[SISMED]],TblDisponibilidad[],18,FALSE), 0)</f>
        <v>0</v>
      </c>
      <c r="O669">
        <f>IFERROR(VLOOKUP(Tabla13[[#This Row],[SISMED]],TblDisponibilidad[],19,FALSE), 0)</f>
        <v>0</v>
      </c>
      <c r="P669">
        <f>IFERROR(VLOOKUP(Tabla13[[#This Row],[SISMED]],TblDisponibilidad[],20,FALSE), 0)</f>
        <v>0</v>
      </c>
      <c r="Q669">
        <f>IFERROR(VLOOKUP(Tabla13[[#This Row],[SISMED]],TblDisponibilidad[],21,FALSE), 0)</f>
        <v>0</v>
      </c>
      <c r="R669">
        <f>IFERROR(VLOOKUP(Tabla13[[#This Row],[SISMED]],TblDisponibilidad[],22,FALSE), 0)</f>
        <v>0</v>
      </c>
      <c r="S669" s="15">
        <f>IFERROR(VLOOKUP(Tabla13[[#This Row],[SISMED]],TblDisponibilidad[],23,FALSE), 0)</f>
        <v>0</v>
      </c>
    </row>
    <row r="670" spans="1:19" x14ac:dyDescent="0.3">
      <c r="A670" s="15" t="s">
        <v>700</v>
      </c>
      <c r="B670" t="str">
        <f>IFERROR(VLOOKUP(Tabla13[[#This Row],[SISMED]],TblDisponibilidad[],2,FALSE), "")</f>
        <v/>
      </c>
      <c r="C670">
        <f>IFERROR(VLOOKUP(Tabla13[[#This Row],[SISMED]],TblDisponibilidad[],7,FALSE), 0)</f>
        <v>0</v>
      </c>
      <c r="D670">
        <f>IFERROR(VLOOKUP(Tabla13[[#This Row],[SISMED]],TblDisponibilidad[],8,FALSE), 0)</f>
        <v>0</v>
      </c>
      <c r="E670">
        <f>IFERROR(VLOOKUP(Tabla13[[#This Row],[SISMED]],TblDisponibilidad[],9,FALSE), 0)</f>
        <v>0</v>
      </c>
      <c r="F670">
        <f>IFERROR(VLOOKUP(Tabla13[[#This Row],[SISMED]],TblDisponibilidad[],10,FALSE), 0)</f>
        <v>0</v>
      </c>
      <c r="G670">
        <f>IFERROR(VLOOKUP(Tabla13[[#This Row],[SISMED]],TblDisponibilidad[],11,FALSE), 0)</f>
        <v>0</v>
      </c>
      <c r="H670">
        <f>IFERROR(VLOOKUP(Tabla13[[#This Row],[SISMED]],TblDisponibilidad[],12,FALSE), 0)</f>
        <v>0</v>
      </c>
      <c r="I670">
        <f>IFERROR(VLOOKUP(Tabla13[[#This Row],[SISMED]],TblDisponibilidad[],13,FALSE), 0)</f>
        <v>0</v>
      </c>
      <c r="J670">
        <f>IFERROR(VLOOKUP(Tabla13[[#This Row],[SISMED]],TblDisponibilidad[],14,FALSE), 0)</f>
        <v>0</v>
      </c>
      <c r="K670">
        <f>IFERROR(VLOOKUP(Tabla13[[#This Row],[SISMED]],TblDisponibilidad[],15,FALSE), 0)</f>
        <v>0</v>
      </c>
      <c r="L670">
        <f>IFERROR(VLOOKUP(Tabla13[[#This Row],[SISMED]],TblDisponibilidad[],16,FALSE), 0)</f>
        <v>0</v>
      </c>
      <c r="M670">
        <f>IFERROR(VLOOKUP(Tabla13[[#This Row],[SISMED]],TblDisponibilidad[],17,FALSE), 0)</f>
        <v>0</v>
      </c>
      <c r="N670">
        <f>IFERROR(VLOOKUP(Tabla13[[#This Row],[SISMED]],TblDisponibilidad[],18,FALSE), 0)</f>
        <v>0</v>
      </c>
      <c r="O670">
        <f>IFERROR(VLOOKUP(Tabla13[[#This Row],[SISMED]],TblDisponibilidad[],19,FALSE), 0)</f>
        <v>0</v>
      </c>
      <c r="P670">
        <f>IFERROR(VLOOKUP(Tabla13[[#This Row],[SISMED]],TblDisponibilidad[],20,FALSE), 0)</f>
        <v>0</v>
      </c>
      <c r="Q670">
        <f>IFERROR(VLOOKUP(Tabla13[[#This Row],[SISMED]],TblDisponibilidad[],21,FALSE), 0)</f>
        <v>0</v>
      </c>
      <c r="R670">
        <f>IFERROR(VLOOKUP(Tabla13[[#This Row],[SISMED]],TblDisponibilidad[],22,FALSE), 0)</f>
        <v>0</v>
      </c>
      <c r="S670" s="15">
        <f>IFERROR(VLOOKUP(Tabla13[[#This Row],[SISMED]],TblDisponibilidad[],23,FALSE), 0)</f>
        <v>0</v>
      </c>
    </row>
    <row r="671" spans="1:19" x14ac:dyDescent="0.3">
      <c r="A671" s="15" t="s">
        <v>701</v>
      </c>
      <c r="B671" t="str">
        <f>IFERROR(VLOOKUP(Tabla13[[#This Row],[SISMED]],TblDisponibilidad[],2,FALSE), "")</f>
        <v/>
      </c>
      <c r="C671">
        <f>IFERROR(VLOOKUP(Tabla13[[#This Row],[SISMED]],TblDisponibilidad[],7,FALSE), 0)</f>
        <v>0</v>
      </c>
      <c r="D671">
        <f>IFERROR(VLOOKUP(Tabla13[[#This Row],[SISMED]],TblDisponibilidad[],8,FALSE), 0)</f>
        <v>0</v>
      </c>
      <c r="E671">
        <f>IFERROR(VLOOKUP(Tabla13[[#This Row],[SISMED]],TblDisponibilidad[],9,FALSE), 0)</f>
        <v>0</v>
      </c>
      <c r="F671">
        <f>IFERROR(VLOOKUP(Tabla13[[#This Row],[SISMED]],TblDisponibilidad[],10,FALSE), 0)</f>
        <v>0</v>
      </c>
      <c r="G671">
        <f>IFERROR(VLOOKUP(Tabla13[[#This Row],[SISMED]],TblDisponibilidad[],11,FALSE), 0)</f>
        <v>0</v>
      </c>
      <c r="H671">
        <f>IFERROR(VLOOKUP(Tabla13[[#This Row],[SISMED]],TblDisponibilidad[],12,FALSE), 0)</f>
        <v>0</v>
      </c>
      <c r="I671">
        <f>IFERROR(VLOOKUP(Tabla13[[#This Row],[SISMED]],TblDisponibilidad[],13,FALSE), 0)</f>
        <v>0</v>
      </c>
      <c r="J671">
        <f>IFERROR(VLOOKUP(Tabla13[[#This Row],[SISMED]],TblDisponibilidad[],14,FALSE), 0)</f>
        <v>0</v>
      </c>
      <c r="K671">
        <f>IFERROR(VLOOKUP(Tabla13[[#This Row],[SISMED]],TblDisponibilidad[],15,FALSE), 0)</f>
        <v>0</v>
      </c>
      <c r="L671">
        <f>IFERROR(VLOOKUP(Tabla13[[#This Row],[SISMED]],TblDisponibilidad[],16,FALSE), 0)</f>
        <v>0</v>
      </c>
      <c r="M671">
        <f>IFERROR(VLOOKUP(Tabla13[[#This Row],[SISMED]],TblDisponibilidad[],17,FALSE), 0)</f>
        <v>0</v>
      </c>
      <c r="N671">
        <f>IFERROR(VLOOKUP(Tabla13[[#This Row],[SISMED]],TblDisponibilidad[],18,FALSE), 0)</f>
        <v>0</v>
      </c>
      <c r="O671">
        <f>IFERROR(VLOOKUP(Tabla13[[#This Row],[SISMED]],TblDisponibilidad[],19,FALSE), 0)</f>
        <v>0</v>
      </c>
      <c r="P671">
        <f>IFERROR(VLOOKUP(Tabla13[[#This Row],[SISMED]],TblDisponibilidad[],20,FALSE), 0)</f>
        <v>0</v>
      </c>
      <c r="Q671">
        <f>IFERROR(VLOOKUP(Tabla13[[#This Row],[SISMED]],TblDisponibilidad[],21,FALSE), 0)</f>
        <v>0</v>
      </c>
      <c r="R671">
        <f>IFERROR(VLOOKUP(Tabla13[[#This Row],[SISMED]],TblDisponibilidad[],22,FALSE), 0)</f>
        <v>0</v>
      </c>
      <c r="S671" s="15">
        <f>IFERROR(VLOOKUP(Tabla13[[#This Row],[SISMED]],TblDisponibilidad[],23,FALSE), 0)</f>
        <v>0</v>
      </c>
    </row>
    <row r="672" spans="1:19" x14ac:dyDescent="0.3">
      <c r="A672" s="15" t="s">
        <v>702</v>
      </c>
      <c r="B672" t="str">
        <f>IFERROR(VLOOKUP(Tabla13[[#This Row],[SISMED]],TblDisponibilidad[],2,FALSE), "")</f>
        <v/>
      </c>
      <c r="C672">
        <f>IFERROR(VLOOKUP(Tabla13[[#This Row],[SISMED]],TblDisponibilidad[],7,FALSE), 0)</f>
        <v>0</v>
      </c>
      <c r="D672">
        <f>IFERROR(VLOOKUP(Tabla13[[#This Row],[SISMED]],TblDisponibilidad[],8,FALSE), 0)</f>
        <v>0</v>
      </c>
      <c r="E672">
        <f>IFERROR(VLOOKUP(Tabla13[[#This Row],[SISMED]],TblDisponibilidad[],9,FALSE), 0)</f>
        <v>0</v>
      </c>
      <c r="F672">
        <f>IFERROR(VLOOKUP(Tabla13[[#This Row],[SISMED]],TblDisponibilidad[],10,FALSE), 0)</f>
        <v>0</v>
      </c>
      <c r="G672">
        <f>IFERROR(VLOOKUP(Tabla13[[#This Row],[SISMED]],TblDisponibilidad[],11,FALSE), 0)</f>
        <v>0</v>
      </c>
      <c r="H672">
        <f>IFERROR(VLOOKUP(Tabla13[[#This Row],[SISMED]],TblDisponibilidad[],12,FALSE), 0)</f>
        <v>0</v>
      </c>
      <c r="I672">
        <f>IFERROR(VLOOKUP(Tabla13[[#This Row],[SISMED]],TblDisponibilidad[],13,FALSE), 0)</f>
        <v>0</v>
      </c>
      <c r="J672">
        <f>IFERROR(VLOOKUP(Tabla13[[#This Row],[SISMED]],TblDisponibilidad[],14,FALSE), 0)</f>
        <v>0</v>
      </c>
      <c r="K672">
        <f>IFERROR(VLOOKUP(Tabla13[[#This Row],[SISMED]],TblDisponibilidad[],15,FALSE), 0)</f>
        <v>0</v>
      </c>
      <c r="L672">
        <f>IFERROR(VLOOKUP(Tabla13[[#This Row],[SISMED]],TblDisponibilidad[],16,FALSE), 0)</f>
        <v>0</v>
      </c>
      <c r="M672">
        <f>IFERROR(VLOOKUP(Tabla13[[#This Row],[SISMED]],TblDisponibilidad[],17,FALSE), 0)</f>
        <v>0</v>
      </c>
      <c r="N672">
        <f>IFERROR(VLOOKUP(Tabla13[[#This Row],[SISMED]],TblDisponibilidad[],18,FALSE), 0)</f>
        <v>0</v>
      </c>
      <c r="O672">
        <f>IFERROR(VLOOKUP(Tabla13[[#This Row],[SISMED]],TblDisponibilidad[],19,FALSE), 0)</f>
        <v>0</v>
      </c>
      <c r="P672">
        <f>IFERROR(VLOOKUP(Tabla13[[#This Row],[SISMED]],TblDisponibilidad[],20,FALSE), 0)</f>
        <v>0</v>
      </c>
      <c r="Q672">
        <f>IFERROR(VLOOKUP(Tabla13[[#This Row],[SISMED]],TblDisponibilidad[],21,FALSE), 0)</f>
        <v>0</v>
      </c>
      <c r="R672">
        <f>IFERROR(VLOOKUP(Tabla13[[#This Row],[SISMED]],TblDisponibilidad[],22,FALSE), 0)</f>
        <v>0</v>
      </c>
      <c r="S672" s="15">
        <f>IFERROR(VLOOKUP(Tabla13[[#This Row],[SISMED]],TblDisponibilidad[],23,FALSE), 0)</f>
        <v>0</v>
      </c>
    </row>
    <row r="673" spans="1:19" x14ac:dyDescent="0.3">
      <c r="A673" s="15" t="s">
        <v>703</v>
      </c>
      <c r="B673" t="str">
        <f>IFERROR(VLOOKUP(Tabla13[[#This Row],[SISMED]],TblDisponibilidad[],2,FALSE), "")</f>
        <v/>
      </c>
      <c r="C673">
        <f>IFERROR(VLOOKUP(Tabla13[[#This Row],[SISMED]],TblDisponibilidad[],7,FALSE), 0)</f>
        <v>0</v>
      </c>
      <c r="D673">
        <f>IFERROR(VLOOKUP(Tabla13[[#This Row],[SISMED]],TblDisponibilidad[],8,FALSE), 0)</f>
        <v>0</v>
      </c>
      <c r="E673">
        <f>IFERROR(VLOOKUP(Tabla13[[#This Row],[SISMED]],TblDisponibilidad[],9,FALSE), 0)</f>
        <v>0</v>
      </c>
      <c r="F673">
        <f>IFERROR(VLOOKUP(Tabla13[[#This Row],[SISMED]],TblDisponibilidad[],10,FALSE), 0)</f>
        <v>0</v>
      </c>
      <c r="G673">
        <f>IFERROR(VLOOKUP(Tabla13[[#This Row],[SISMED]],TblDisponibilidad[],11,FALSE), 0)</f>
        <v>0</v>
      </c>
      <c r="H673">
        <f>IFERROR(VLOOKUP(Tabla13[[#This Row],[SISMED]],TblDisponibilidad[],12,FALSE), 0)</f>
        <v>0</v>
      </c>
      <c r="I673">
        <f>IFERROR(VLOOKUP(Tabla13[[#This Row],[SISMED]],TblDisponibilidad[],13,FALSE), 0)</f>
        <v>0</v>
      </c>
      <c r="J673">
        <f>IFERROR(VLOOKUP(Tabla13[[#This Row],[SISMED]],TblDisponibilidad[],14,FALSE), 0)</f>
        <v>0</v>
      </c>
      <c r="K673">
        <f>IFERROR(VLOOKUP(Tabla13[[#This Row],[SISMED]],TblDisponibilidad[],15,FALSE), 0)</f>
        <v>0</v>
      </c>
      <c r="L673">
        <f>IFERROR(VLOOKUP(Tabla13[[#This Row],[SISMED]],TblDisponibilidad[],16,FALSE), 0)</f>
        <v>0</v>
      </c>
      <c r="M673">
        <f>IFERROR(VLOOKUP(Tabla13[[#This Row],[SISMED]],TblDisponibilidad[],17,FALSE), 0)</f>
        <v>0</v>
      </c>
      <c r="N673">
        <f>IFERROR(VLOOKUP(Tabla13[[#This Row],[SISMED]],TblDisponibilidad[],18,FALSE), 0)</f>
        <v>0</v>
      </c>
      <c r="O673">
        <f>IFERROR(VLOOKUP(Tabla13[[#This Row],[SISMED]],TblDisponibilidad[],19,FALSE), 0)</f>
        <v>0</v>
      </c>
      <c r="P673">
        <f>IFERROR(VLOOKUP(Tabla13[[#This Row],[SISMED]],TblDisponibilidad[],20,FALSE), 0)</f>
        <v>0</v>
      </c>
      <c r="Q673">
        <f>IFERROR(VLOOKUP(Tabla13[[#This Row],[SISMED]],TblDisponibilidad[],21,FALSE), 0)</f>
        <v>0</v>
      </c>
      <c r="R673">
        <f>IFERROR(VLOOKUP(Tabla13[[#This Row],[SISMED]],TblDisponibilidad[],22,FALSE), 0)</f>
        <v>0</v>
      </c>
      <c r="S673" s="15">
        <f>IFERROR(VLOOKUP(Tabla13[[#This Row],[SISMED]],TblDisponibilidad[],23,FALSE), 0)</f>
        <v>0</v>
      </c>
    </row>
    <row r="674" spans="1:19" x14ac:dyDescent="0.3">
      <c r="A674" s="15" t="s">
        <v>704</v>
      </c>
      <c r="B674" t="str">
        <f>IFERROR(VLOOKUP(Tabla13[[#This Row],[SISMED]],TblDisponibilidad[],2,FALSE), "")</f>
        <v/>
      </c>
      <c r="C674">
        <f>IFERROR(VLOOKUP(Tabla13[[#This Row],[SISMED]],TblDisponibilidad[],7,FALSE), 0)</f>
        <v>0</v>
      </c>
      <c r="D674">
        <f>IFERROR(VLOOKUP(Tabla13[[#This Row],[SISMED]],TblDisponibilidad[],8,FALSE), 0)</f>
        <v>0</v>
      </c>
      <c r="E674">
        <f>IFERROR(VLOOKUP(Tabla13[[#This Row],[SISMED]],TblDisponibilidad[],9,FALSE), 0)</f>
        <v>0</v>
      </c>
      <c r="F674">
        <f>IFERROR(VLOOKUP(Tabla13[[#This Row],[SISMED]],TblDisponibilidad[],10,FALSE), 0)</f>
        <v>0</v>
      </c>
      <c r="G674">
        <f>IFERROR(VLOOKUP(Tabla13[[#This Row],[SISMED]],TblDisponibilidad[],11,FALSE), 0)</f>
        <v>0</v>
      </c>
      <c r="H674">
        <f>IFERROR(VLOOKUP(Tabla13[[#This Row],[SISMED]],TblDisponibilidad[],12,FALSE), 0)</f>
        <v>0</v>
      </c>
      <c r="I674">
        <f>IFERROR(VLOOKUP(Tabla13[[#This Row],[SISMED]],TblDisponibilidad[],13,FALSE), 0)</f>
        <v>0</v>
      </c>
      <c r="J674">
        <f>IFERROR(VLOOKUP(Tabla13[[#This Row],[SISMED]],TblDisponibilidad[],14,FALSE), 0)</f>
        <v>0</v>
      </c>
      <c r="K674">
        <f>IFERROR(VLOOKUP(Tabla13[[#This Row],[SISMED]],TblDisponibilidad[],15,FALSE), 0)</f>
        <v>0</v>
      </c>
      <c r="L674">
        <f>IFERROR(VLOOKUP(Tabla13[[#This Row],[SISMED]],TblDisponibilidad[],16,FALSE), 0)</f>
        <v>0</v>
      </c>
      <c r="M674">
        <f>IFERROR(VLOOKUP(Tabla13[[#This Row],[SISMED]],TblDisponibilidad[],17,FALSE), 0)</f>
        <v>0</v>
      </c>
      <c r="N674">
        <f>IFERROR(VLOOKUP(Tabla13[[#This Row],[SISMED]],TblDisponibilidad[],18,FALSE), 0)</f>
        <v>0</v>
      </c>
      <c r="O674">
        <f>IFERROR(VLOOKUP(Tabla13[[#This Row],[SISMED]],TblDisponibilidad[],19,FALSE), 0)</f>
        <v>0</v>
      </c>
      <c r="P674">
        <f>IFERROR(VLOOKUP(Tabla13[[#This Row],[SISMED]],TblDisponibilidad[],20,FALSE), 0)</f>
        <v>0</v>
      </c>
      <c r="Q674">
        <f>IFERROR(VLOOKUP(Tabla13[[#This Row],[SISMED]],TblDisponibilidad[],21,FALSE), 0)</f>
        <v>0</v>
      </c>
      <c r="R674">
        <f>IFERROR(VLOOKUP(Tabla13[[#This Row],[SISMED]],TblDisponibilidad[],22,FALSE), 0)</f>
        <v>0</v>
      </c>
      <c r="S674" s="15">
        <f>IFERROR(VLOOKUP(Tabla13[[#This Row],[SISMED]],TblDisponibilidad[],23,FALSE), 0)</f>
        <v>0</v>
      </c>
    </row>
    <row r="675" spans="1:19" x14ac:dyDescent="0.3">
      <c r="A675" s="15" t="s">
        <v>705</v>
      </c>
      <c r="B675" t="str">
        <f>IFERROR(VLOOKUP(Tabla13[[#This Row],[SISMED]],TblDisponibilidad[],2,FALSE), "")</f>
        <v/>
      </c>
      <c r="C675">
        <f>IFERROR(VLOOKUP(Tabla13[[#This Row],[SISMED]],TblDisponibilidad[],7,FALSE), 0)</f>
        <v>0</v>
      </c>
      <c r="D675">
        <f>IFERROR(VLOOKUP(Tabla13[[#This Row],[SISMED]],TblDisponibilidad[],8,FALSE), 0)</f>
        <v>0</v>
      </c>
      <c r="E675">
        <f>IFERROR(VLOOKUP(Tabla13[[#This Row],[SISMED]],TblDisponibilidad[],9,FALSE), 0)</f>
        <v>0</v>
      </c>
      <c r="F675">
        <f>IFERROR(VLOOKUP(Tabla13[[#This Row],[SISMED]],TblDisponibilidad[],10,FALSE), 0)</f>
        <v>0</v>
      </c>
      <c r="G675">
        <f>IFERROR(VLOOKUP(Tabla13[[#This Row],[SISMED]],TblDisponibilidad[],11,FALSE), 0)</f>
        <v>0</v>
      </c>
      <c r="H675">
        <f>IFERROR(VLOOKUP(Tabla13[[#This Row],[SISMED]],TblDisponibilidad[],12,FALSE), 0)</f>
        <v>0</v>
      </c>
      <c r="I675">
        <f>IFERROR(VLOOKUP(Tabla13[[#This Row],[SISMED]],TblDisponibilidad[],13,FALSE), 0)</f>
        <v>0</v>
      </c>
      <c r="J675">
        <f>IFERROR(VLOOKUP(Tabla13[[#This Row],[SISMED]],TblDisponibilidad[],14,FALSE), 0)</f>
        <v>0</v>
      </c>
      <c r="K675">
        <f>IFERROR(VLOOKUP(Tabla13[[#This Row],[SISMED]],TblDisponibilidad[],15,FALSE), 0)</f>
        <v>0</v>
      </c>
      <c r="L675">
        <f>IFERROR(VLOOKUP(Tabla13[[#This Row],[SISMED]],TblDisponibilidad[],16,FALSE), 0)</f>
        <v>0</v>
      </c>
      <c r="M675">
        <f>IFERROR(VLOOKUP(Tabla13[[#This Row],[SISMED]],TblDisponibilidad[],17,FALSE), 0)</f>
        <v>0</v>
      </c>
      <c r="N675">
        <f>IFERROR(VLOOKUP(Tabla13[[#This Row],[SISMED]],TblDisponibilidad[],18,FALSE), 0)</f>
        <v>0</v>
      </c>
      <c r="O675">
        <f>IFERROR(VLOOKUP(Tabla13[[#This Row],[SISMED]],TblDisponibilidad[],19,FALSE), 0)</f>
        <v>0</v>
      </c>
      <c r="P675">
        <f>IFERROR(VLOOKUP(Tabla13[[#This Row],[SISMED]],TblDisponibilidad[],20,FALSE), 0)</f>
        <v>0</v>
      </c>
      <c r="Q675">
        <f>IFERROR(VLOOKUP(Tabla13[[#This Row],[SISMED]],TblDisponibilidad[],21,FALSE), 0)</f>
        <v>0</v>
      </c>
      <c r="R675">
        <f>IFERROR(VLOOKUP(Tabla13[[#This Row],[SISMED]],TblDisponibilidad[],22,FALSE), 0)</f>
        <v>0</v>
      </c>
      <c r="S675" s="15">
        <f>IFERROR(VLOOKUP(Tabla13[[#This Row],[SISMED]],TblDisponibilidad[],23,FALSE), 0)</f>
        <v>0</v>
      </c>
    </row>
    <row r="676" spans="1:19" x14ac:dyDescent="0.3">
      <c r="A676" s="15" t="s">
        <v>706</v>
      </c>
      <c r="B676" t="str">
        <f>IFERROR(VLOOKUP(Tabla13[[#This Row],[SISMED]],TblDisponibilidad[],2,FALSE), "")</f>
        <v/>
      </c>
      <c r="C676">
        <f>IFERROR(VLOOKUP(Tabla13[[#This Row],[SISMED]],TblDisponibilidad[],7,FALSE), 0)</f>
        <v>0</v>
      </c>
      <c r="D676">
        <f>IFERROR(VLOOKUP(Tabla13[[#This Row],[SISMED]],TblDisponibilidad[],8,FALSE), 0)</f>
        <v>0</v>
      </c>
      <c r="E676">
        <f>IFERROR(VLOOKUP(Tabla13[[#This Row],[SISMED]],TblDisponibilidad[],9,FALSE), 0)</f>
        <v>0</v>
      </c>
      <c r="F676">
        <f>IFERROR(VLOOKUP(Tabla13[[#This Row],[SISMED]],TblDisponibilidad[],10,FALSE), 0)</f>
        <v>0</v>
      </c>
      <c r="G676">
        <f>IFERROR(VLOOKUP(Tabla13[[#This Row],[SISMED]],TblDisponibilidad[],11,FALSE), 0)</f>
        <v>0</v>
      </c>
      <c r="H676">
        <f>IFERROR(VLOOKUP(Tabla13[[#This Row],[SISMED]],TblDisponibilidad[],12,FALSE), 0)</f>
        <v>0</v>
      </c>
      <c r="I676">
        <f>IFERROR(VLOOKUP(Tabla13[[#This Row],[SISMED]],TblDisponibilidad[],13,FALSE), 0)</f>
        <v>0</v>
      </c>
      <c r="J676">
        <f>IFERROR(VLOOKUP(Tabla13[[#This Row],[SISMED]],TblDisponibilidad[],14,FALSE), 0)</f>
        <v>0</v>
      </c>
      <c r="K676">
        <f>IFERROR(VLOOKUP(Tabla13[[#This Row],[SISMED]],TblDisponibilidad[],15,FALSE), 0)</f>
        <v>0</v>
      </c>
      <c r="L676">
        <f>IFERROR(VLOOKUP(Tabla13[[#This Row],[SISMED]],TblDisponibilidad[],16,FALSE), 0)</f>
        <v>0</v>
      </c>
      <c r="M676">
        <f>IFERROR(VLOOKUP(Tabla13[[#This Row],[SISMED]],TblDisponibilidad[],17,FALSE), 0)</f>
        <v>0</v>
      </c>
      <c r="N676">
        <f>IFERROR(VLOOKUP(Tabla13[[#This Row],[SISMED]],TblDisponibilidad[],18,FALSE), 0)</f>
        <v>0</v>
      </c>
      <c r="O676">
        <f>IFERROR(VLOOKUP(Tabla13[[#This Row],[SISMED]],TblDisponibilidad[],19,FALSE), 0)</f>
        <v>0</v>
      </c>
      <c r="P676">
        <f>IFERROR(VLOOKUP(Tabla13[[#This Row],[SISMED]],TblDisponibilidad[],20,FALSE), 0)</f>
        <v>0</v>
      </c>
      <c r="Q676">
        <f>IFERROR(VLOOKUP(Tabla13[[#This Row],[SISMED]],TblDisponibilidad[],21,FALSE), 0)</f>
        <v>0</v>
      </c>
      <c r="R676">
        <f>IFERROR(VLOOKUP(Tabla13[[#This Row],[SISMED]],TblDisponibilidad[],22,FALSE), 0)</f>
        <v>0</v>
      </c>
      <c r="S676" s="15">
        <f>IFERROR(VLOOKUP(Tabla13[[#This Row],[SISMED]],TblDisponibilidad[],23,FALSE), 0)</f>
        <v>0</v>
      </c>
    </row>
    <row r="677" spans="1:19" x14ac:dyDescent="0.3">
      <c r="A677" s="15" t="s">
        <v>707</v>
      </c>
      <c r="B677" t="str">
        <f>IFERROR(VLOOKUP(Tabla13[[#This Row],[SISMED]],TblDisponibilidad[],2,FALSE), "")</f>
        <v/>
      </c>
      <c r="C677">
        <f>IFERROR(VLOOKUP(Tabla13[[#This Row],[SISMED]],TblDisponibilidad[],7,FALSE), 0)</f>
        <v>0</v>
      </c>
      <c r="D677">
        <f>IFERROR(VLOOKUP(Tabla13[[#This Row],[SISMED]],TblDisponibilidad[],8,FALSE), 0)</f>
        <v>0</v>
      </c>
      <c r="E677">
        <f>IFERROR(VLOOKUP(Tabla13[[#This Row],[SISMED]],TblDisponibilidad[],9,FALSE), 0)</f>
        <v>0</v>
      </c>
      <c r="F677">
        <f>IFERROR(VLOOKUP(Tabla13[[#This Row],[SISMED]],TblDisponibilidad[],10,FALSE), 0)</f>
        <v>0</v>
      </c>
      <c r="G677">
        <f>IFERROR(VLOOKUP(Tabla13[[#This Row],[SISMED]],TblDisponibilidad[],11,FALSE), 0)</f>
        <v>0</v>
      </c>
      <c r="H677">
        <f>IFERROR(VLOOKUP(Tabla13[[#This Row],[SISMED]],TblDisponibilidad[],12,FALSE), 0)</f>
        <v>0</v>
      </c>
      <c r="I677">
        <f>IFERROR(VLOOKUP(Tabla13[[#This Row],[SISMED]],TblDisponibilidad[],13,FALSE), 0)</f>
        <v>0</v>
      </c>
      <c r="J677">
        <f>IFERROR(VLOOKUP(Tabla13[[#This Row],[SISMED]],TblDisponibilidad[],14,FALSE), 0)</f>
        <v>0</v>
      </c>
      <c r="K677">
        <f>IFERROR(VLOOKUP(Tabla13[[#This Row],[SISMED]],TblDisponibilidad[],15,FALSE), 0)</f>
        <v>0</v>
      </c>
      <c r="L677">
        <f>IFERROR(VLOOKUP(Tabla13[[#This Row],[SISMED]],TblDisponibilidad[],16,FALSE), 0)</f>
        <v>0</v>
      </c>
      <c r="M677">
        <f>IFERROR(VLOOKUP(Tabla13[[#This Row],[SISMED]],TblDisponibilidad[],17,FALSE), 0)</f>
        <v>0</v>
      </c>
      <c r="N677">
        <f>IFERROR(VLOOKUP(Tabla13[[#This Row],[SISMED]],TblDisponibilidad[],18,FALSE), 0)</f>
        <v>0</v>
      </c>
      <c r="O677">
        <f>IFERROR(VLOOKUP(Tabla13[[#This Row],[SISMED]],TblDisponibilidad[],19,FALSE), 0)</f>
        <v>0</v>
      </c>
      <c r="P677">
        <f>IFERROR(VLOOKUP(Tabla13[[#This Row],[SISMED]],TblDisponibilidad[],20,FALSE), 0)</f>
        <v>0</v>
      </c>
      <c r="Q677">
        <f>IFERROR(VLOOKUP(Tabla13[[#This Row],[SISMED]],TblDisponibilidad[],21,FALSE), 0)</f>
        <v>0</v>
      </c>
      <c r="R677">
        <f>IFERROR(VLOOKUP(Tabla13[[#This Row],[SISMED]],TblDisponibilidad[],22,FALSE), 0)</f>
        <v>0</v>
      </c>
      <c r="S677" s="15">
        <f>IFERROR(VLOOKUP(Tabla13[[#This Row],[SISMED]],TblDisponibilidad[],23,FALSE), 0)</f>
        <v>0</v>
      </c>
    </row>
    <row r="678" spans="1:19" x14ac:dyDescent="0.3">
      <c r="A678" s="15" t="s">
        <v>708</v>
      </c>
      <c r="B678" t="str">
        <f>IFERROR(VLOOKUP(Tabla13[[#This Row],[SISMED]],TblDisponibilidad[],2,FALSE), "")</f>
        <v/>
      </c>
      <c r="C678">
        <f>IFERROR(VLOOKUP(Tabla13[[#This Row],[SISMED]],TblDisponibilidad[],7,FALSE), 0)</f>
        <v>0</v>
      </c>
      <c r="D678">
        <f>IFERROR(VLOOKUP(Tabla13[[#This Row],[SISMED]],TblDisponibilidad[],8,FALSE), 0)</f>
        <v>0</v>
      </c>
      <c r="E678">
        <f>IFERROR(VLOOKUP(Tabla13[[#This Row],[SISMED]],TblDisponibilidad[],9,FALSE), 0)</f>
        <v>0</v>
      </c>
      <c r="F678">
        <f>IFERROR(VLOOKUP(Tabla13[[#This Row],[SISMED]],TblDisponibilidad[],10,FALSE), 0)</f>
        <v>0</v>
      </c>
      <c r="G678">
        <f>IFERROR(VLOOKUP(Tabla13[[#This Row],[SISMED]],TblDisponibilidad[],11,FALSE), 0)</f>
        <v>0</v>
      </c>
      <c r="H678">
        <f>IFERROR(VLOOKUP(Tabla13[[#This Row],[SISMED]],TblDisponibilidad[],12,FALSE), 0)</f>
        <v>0</v>
      </c>
      <c r="I678">
        <f>IFERROR(VLOOKUP(Tabla13[[#This Row],[SISMED]],TblDisponibilidad[],13,FALSE), 0)</f>
        <v>0</v>
      </c>
      <c r="J678">
        <f>IFERROR(VLOOKUP(Tabla13[[#This Row],[SISMED]],TblDisponibilidad[],14,FALSE), 0)</f>
        <v>0</v>
      </c>
      <c r="K678">
        <f>IFERROR(VLOOKUP(Tabla13[[#This Row],[SISMED]],TblDisponibilidad[],15,FALSE), 0)</f>
        <v>0</v>
      </c>
      <c r="L678">
        <f>IFERROR(VLOOKUP(Tabla13[[#This Row],[SISMED]],TblDisponibilidad[],16,FALSE), 0)</f>
        <v>0</v>
      </c>
      <c r="M678">
        <f>IFERROR(VLOOKUP(Tabla13[[#This Row],[SISMED]],TblDisponibilidad[],17,FALSE), 0)</f>
        <v>0</v>
      </c>
      <c r="N678">
        <f>IFERROR(VLOOKUP(Tabla13[[#This Row],[SISMED]],TblDisponibilidad[],18,FALSE), 0)</f>
        <v>0</v>
      </c>
      <c r="O678">
        <f>IFERROR(VLOOKUP(Tabla13[[#This Row],[SISMED]],TblDisponibilidad[],19,FALSE), 0)</f>
        <v>0</v>
      </c>
      <c r="P678">
        <f>IFERROR(VLOOKUP(Tabla13[[#This Row],[SISMED]],TblDisponibilidad[],20,FALSE), 0)</f>
        <v>0</v>
      </c>
      <c r="Q678">
        <f>IFERROR(VLOOKUP(Tabla13[[#This Row],[SISMED]],TblDisponibilidad[],21,FALSE), 0)</f>
        <v>0</v>
      </c>
      <c r="R678">
        <f>IFERROR(VLOOKUP(Tabla13[[#This Row],[SISMED]],TblDisponibilidad[],22,FALSE), 0)</f>
        <v>0</v>
      </c>
      <c r="S678" s="15">
        <f>IFERROR(VLOOKUP(Tabla13[[#This Row],[SISMED]],TblDisponibilidad[],23,FALSE), 0)</f>
        <v>0</v>
      </c>
    </row>
    <row r="679" spans="1:19" x14ac:dyDescent="0.3">
      <c r="A679" s="15" t="s">
        <v>709</v>
      </c>
      <c r="B679" t="str">
        <f>IFERROR(VLOOKUP(Tabla13[[#This Row],[SISMED]],TblDisponibilidad[],2,FALSE), "")</f>
        <v/>
      </c>
      <c r="C679">
        <f>IFERROR(VLOOKUP(Tabla13[[#This Row],[SISMED]],TblDisponibilidad[],7,FALSE), 0)</f>
        <v>0</v>
      </c>
      <c r="D679">
        <f>IFERROR(VLOOKUP(Tabla13[[#This Row],[SISMED]],TblDisponibilidad[],8,FALSE), 0)</f>
        <v>0</v>
      </c>
      <c r="E679">
        <f>IFERROR(VLOOKUP(Tabla13[[#This Row],[SISMED]],TblDisponibilidad[],9,FALSE), 0)</f>
        <v>0</v>
      </c>
      <c r="F679">
        <f>IFERROR(VLOOKUP(Tabla13[[#This Row],[SISMED]],TblDisponibilidad[],10,FALSE), 0)</f>
        <v>0</v>
      </c>
      <c r="G679">
        <f>IFERROR(VLOOKUP(Tabla13[[#This Row],[SISMED]],TblDisponibilidad[],11,FALSE), 0)</f>
        <v>0</v>
      </c>
      <c r="H679">
        <f>IFERROR(VLOOKUP(Tabla13[[#This Row],[SISMED]],TblDisponibilidad[],12,FALSE), 0)</f>
        <v>0</v>
      </c>
      <c r="I679">
        <f>IFERROR(VLOOKUP(Tabla13[[#This Row],[SISMED]],TblDisponibilidad[],13,FALSE), 0)</f>
        <v>0</v>
      </c>
      <c r="J679">
        <f>IFERROR(VLOOKUP(Tabla13[[#This Row],[SISMED]],TblDisponibilidad[],14,FALSE), 0)</f>
        <v>0</v>
      </c>
      <c r="K679">
        <f>IFERROR(VLOOKUP(Tabla13[[#This Row],[SISMED]],TblDisponibilidad[],15,FALSE), 0)</f>
        <v>0</v>
      </c>
      <c r="L679">
        <f>IFERROR(VLOOKUP(Tabla13[[#This Row],[SISMED]],TblDisponibilidad[],16,FALSE), 0)</f>
        <v>0</v>
      </c>
      <c r="M679">
        <f>IFERROR(VLOOKUP(Tabla13[[#This Row],[SISMED]],TblDisponibilidad[],17,FALSE), 0)</f>
        <v>0</v>
      </c>
      <c r="N679">
        <f>IFERROR(VLOOKUP(Tabla13[[#This Row],[SISMED]],TblDisponibilidad[],18,FALSE), 0)</f>
        <v>0</v>
      </c>
      <c r="O679">
        <f>IFERROR(VLOOKUP(Tabla13[[#This Row],[SISMED]],TblDisponibilidad[],19,FALSE), 0)</f>
        <v>0</v>
      </c>
      <c r="P679">
        <f>IFERROR(VLOOKUP(Tabla13[[#This Row],[SISMED]],TblDisponibilidad[],20,FALSE), 0)</f>
        <v>0</v>
      </c>
      <c r="Q679">
        <f>IFERROR(VLOOKUP(Tabla13[[#This Row],[SISMED]],TblDisponibilidad[],21,FALSE), 0)</f>
        <v>0</v>
      </c>
      <c r="R679">
        <f>IFERROR(VLOOKUP(Tabla13[[#This Row],[SISMED]],TblDisponibilidad[],22,FALSE), 0)</f>
        <v>0</v>
      </c>
      <c r="S679" s="15">
        <f>IFERROR(VLOOKUP(Tabla13[[#This Row],[SISMED]],TblDisponibilidad[],23,FALSE), 0)</f>
        <v>0</v>
      </c>
    </row>
    <row r="680" spans="1:19" x14ac:dyDescent="0.3">
      <c r="A680" s="15" t="s">
        <v>710</v>
      </c>
      <c r="B680" t="str">
        <f>IFERROR(VLOOKUP(Tabla13[[#This Row],[SISMED]],TblDisponibilidad[],2,FALSE), "")</f>
        <v/>
      </c>
      <c r="C680">
        <f>IFERROR(VLOOKUP(Tabla13[[#This Row],[SISMED]],TblDisponibilidad[],7,FALSE), 0)</f>
        <v>0</v>
      </c>
      <c r="D680">
        <f>IFERROR(VLOOKUP(Tabla13[[#This Row],[SISMED]],TblDisponibilidad[],8,FALSE), 0)</f>
        <v>0</v>
      </c>
      <c r="E680">
        <f>IFERROR(VLOOKUP(Tabla13[[#This Row],[SISMED]],TblDisponibilidad[],9,FALSE), 0)</f>
        <v>0</v>
      </c>
      <c r="F680">
        <f>IFERROR(VLOOKUP(Tabla13[[#This Row],[SISMED]],TblDisponibilidad[],10,FALSE), 0)</f>
        <v>0</v>
      </c>
      <c r="G680">
        <f>IFERROR(VLOOKUP(Tabla13[[#This Row],[SISMED]],TblDisponibilidad[],11,FALSE), 0)</f>
        <v>0</v>
      </c>
      <c r="H680">
        <f>IFERROR(VLOOKUP(Tabla13[[#This Row],[SISMED]],TblDisponibilidad[],12,FALSE), 0)</f>
        <v>0</v>
      </c>
      <c r="I680">
        <f>IFERROR(VLOOKUP(Tabla13[[#This Row],[SISMED]],TblDisponibilidad[],13,FALSE), 0)</f>
        <v>0</v>
      </c>
      <c r="J680">
        <f>IFERROR(VLOOKUP(Tabla13[[#This Row],[SISMED]],TblDisponibilidad[],14,FALSE), 0)</f>
        <v>0</v>
      </c>
      <c r="K680">
        <f>IFERROR(VLOOKUP(Tabla13[[#This Row],[SISMED]],TblDisponibilidad[],15,FALSE), 0)</f>
        <v>0</v>
      </c>
      <c r="L680">
        <f>IFERROR(VLOOKUP(Tabla13[[#This Row],[SISMED]],TblDisponibilidad[],16,FALSE), 0)</f>
        <v>0</v>
      </c>
      <c r="M680">
        <f>IFERROR(VLOOKUP(Tabla13[[#This Row],[SISMED]],TblDisponibilidad[],17,FALSE), 0)</f>
        <v>0</v>
      </c>
      <c r="N680">
        <f>IFERROR(VLOOKUP(Tabla13[[#This Row],[SISMED]],TblDisponibilidad[],18,FALSE), 0)</f>
        <v>0</v>
      </c>
      <c r="O680">
        <f>IFERROR(VLOOKUP(Tabla13[[#This Row],[SISMED]],TblDisponibilidad[],19,FALSE), 0)</f>
        <v>0</v>
      </c>
      <c r="P680">
        <f>IFERROR(VLOOKUP(Tabla13[[#This Row],[SISMED]],TblDisponibilidad[],20,FALSE), 0)</f>
        <v>0</v>
      </c>
      <c r="Q680">
        <f>IFERROR(VLOOKUP(Tabla13[[#This Row],[SISMED]],TblDisponibilidad[],21,FALSE), 0)</f>
        <v>0</v>
      </c>
      <c r="R680">
        <f>IFERROR(VLOOKUP(Tabla13[[#This Row],[SISMED]],TblDisponibilidad[],22,FALSE), 0)</f>
        <v>0</v>
      </c>
      <c r="S680" s="15">
        <f>IFERROR(VLOOKUP(Tabla13[[#This Row],[SISMED]],TblDisponibilidad[],23,FALSE), 0)</f>
        <v>0</v>
      </c>
    </row>
    <row r="681" spans="1:19" x14ac:dyDescent="0.3">
      <c r="A681" s="15" t="s">
        <v>711</v>
      </c>
      <c r="B681" t="str">
        <f>IFERROR(VLOOKUP(Tabla13[[#This Row],[SISMED]],TblDisponibilidad[],2,FALSE), "")</f>
        <v/>
      </c>
      <c r="C681">
        <f>IFERROR(VLOOKUP(Tabla13[[#This Row],[SISMED]],TblDisponibilidad[],7,FALSE), 0)</f>
        <v>0</v>
      </c>
      <c r="D681">
        <f>IFERROR(VLOOKUP(Tabla13[[#This Row],[SISMED]],TblDisponibilidad[],8,FALSE), 0)</f>
        <v>0</v>
      </c>
      <c r="E681">
        <f>IFERROR(VLOOKUP(Tabla13[[#This Row],[SISMED]],TblDisponibilidad[],9,FALSE), 0)</f>
        <v>0</v>
      </c>
      <c r="F681">
        <f>IFERROR(VLOOKUP(Tabla13[[#This Row],[SISMED]],TblDisponibilidad[],10,FALSE), 0)</f>
        <v>0</v>
      </c>
      <c r="G681">
        <f>IFERROR(VLOOKUP(Tabla13[[#This Row],[SISMED]],TblDisponibilidad[],11,FALSE), 0)</f>
        <v>0</v>
      </c>
      <c r="H681">
        <f>IFERROR(VLOOKUP(Tabla13[[#This Row],[SISMED]],TblDisponibilidad[],12,FALSE), 0)</f>
        <v>0</v>
      </c>
      <c r="I681">
        <f>IFERROR(VLOOKUP(Tabla13[[#This Row],[SISMED]],TblDisponibilidad[],13,FALSE), 0)</f>
        <v>0</v>
      </c>
      <c r="J681">
        <f>IFERROR(VLOOKUP(Tabla13[[#This Row],[SISMED]],TblDisponibilidad[],14,FALSE), 0)</f>
        <v>0</v>
      </c>
      <c r="K681">
        <f>IFERROR(VLOOKUP(Tabla13[[#This Row],[SISMED]],TblDisponibilidad[],15,FALSE), 0)</f>
        <v>0</v>
      </c>
      <c r="L681">
        <f>IFERROR(VLOOKUP(Tabla13[[#This Row],[SISMED]],TblDisponibilidad[],16,FALSE), 0)</f>
        <v>0</v>
      </c>
      <c r="M681">
        <f>IFERROR(VLOOKUP(Tabla13[[#This Row],[SISMED]],TblDisponibilidad[],17,FALSE), 0)</f>
        <v>0</v>
      </c>
      <c r="N681">
        <f>IFERROR(VLOOKUP(Tabla13[[#This Row],[SISMED]],TblDisponibilidad[],18,FALSE), 0)</f>
        <v>0</v>
      </c>
      <c r="O681">
        <f>IFERROR(VLOOKUP(Tabla13[[#This Row],[SISMED]],TblDisponibilidad[],19,FALSE), 0)</f>
        <v>0</v>
      </c>
      <c r="P681">
        <f>IFERROR(VLOOKUP(Tabla13[[#This Row],[SISMED]],TblDisponibilidad[],20,FALSE), 0)</f>
        <v>0</v>
      </c>
      <c r="Q681">
        <f>IFERROR(VLOOKUP(Tabla13[[#This Row],[SISMED]],TblDisponibilidad[],21,FALSE), 0)</f>
        <v>0</v>
      </c>
      <c r="R681">
        <f>IFERROR(VLOOKUP(Tabla13[[#This Row],[SISMED]],TblDisponibilidad[],22,FALSE), 0)</f>
        <v>0</v>
      </c>
      <c r="S681" s="15">
        <f>IFERROR(VLOOKUP(Tabla13[[#This Row],[SISMED]],TblDisponibilidad[],23,FALSE), 0)</f>
        <v>0</v>
      </c>
    </row>
    <row r="682" spans="1:19" x14ac:dyDescent="0.3">
      <c r="A682" s="15" t="s">
        <v>712</v>
      </c>
      <c r="B682" t="str">
        <f>IFERROR(VLOOKUP(Tabla13[[#This Row],[SISMED]],TblDisponibilidad[],2,FALSE), "")</f>
        <v/>
      </c>
      <c r="C682">
        <f>IFERROR(VLOOKUP(Tabla13[[#This Row],[SISMED]],TblDisponibilidad[],7,FALSE), 0)</f>
        <v>0</v>
      </c>
      <c r="D682">
        <f>IFERROR(VLOOKUP(Tabla13[[#This Row],[SISMED]],TblDisponibilidad[],8,FALSE), 0)</f>
        <v>0</v>
      </c>
      <c r="E682">
        <f>IFERROR(VLOOKUP(Tabla13[[#This Row],[SISMED]],TblDisponibilidad[],9,FALSE), 0)</f>
        <v>0</v>
      </c>
      <c r="F682">
        <f>IFERROR(VLOOKUP(Tabla13[[#This Row],[SISMED]],TblDisponibilidad[],10,FALSE), 0)</f>
        <v>0</v>
      </c>
      <c r="G682">
        <f>IFERROR(VLOOKUP(Tabla13[[#This Row],[SISMED]],TblDisponibilidad[],11,FALSE), 0)</f>
        <v>0</v>
      </c>
      <c r="H682">
        <f>IFERROR(VLOOKUP(Tabla13[[#This Row],[SISMED]],TblDisponibilidad[],12,FALSE), 0)</f>
        <v>0</v>
      </c>
      <c r="I682">
        <f>IFERROR(VLOOKUP(Tabla13[[#This Row],[SISMED]],TblDisponibilidad[],13,FALSE), 0)</f>
        <v>0</v>
      </c>
      <c r="J682">
        <f>IFERROR(VLOOKUP(Tabla13[[#This Row],[SISMED]],TblDisponibilidad[],14,FALSE), 0)</f>
        <v>0</v>
      </c>
      <c r="K682">
        <f>IFERROR(VLOOKUP(Tabla13[[#This Row],[SISMED]],TblDisponibilidad[],15,FALSE), 0)</f>
        <v>0</v>
      </c>
      <c r="L682">
        <f>IFERROR(VLOOKUP(Tabla13[[#This Row],[SISMED]],TblDisponibilidad[],16,FALSE), 0)</f>
        <v>0</v>
      </c>
      <c r="M682">
        <f>IFERROR(VLOOKUP(Tabla13[[#This Row],[SISMED]],TblDisponibilidad[],17,FALSE), 0)</f>
        <v>0</v>
      </c>
      <c r="N682">
        <f>IFERROR(VLOOKUP(Tabla13[[#This Row],[SISMED]],TblDisponibilidad[],18,FALSE), 0)</f>
        <v>0</v>
      </c>
      <c r="O682">
        <f>IFERROR(VLOOKUP(Tabla13[[#This Row],[SISMED]],TblDisponibilidad[],19,FALSE), 0)</f>
        <v>0</v>
      </c>
      <c r="P682">
        <f>IFERROR(VLOOKUP(Tabla13[[#This Row],[SISMED]],TblDisponibilidad[],20,FALSE), 0)</f>
        <v>0</v>
      </c>
      <c r="Q682">
        <f>IFERROR(VLOOKUP(Tabla13[[#This Row],[SISMED]],TblDisponibilidad[],21,FALSE), 0)</f>
        <v>0</v>
      </c>
      <c r="R682">
        <f>IFERROR(VLOOKUP(Tabla13[[#This Row],[SISMED]],TblDisponibilidad[],22,FALSE), 0)</f>
        <v>0</v>
      </c>
      <c r="S682" s="15">
        <f>IFERROR(VLOOKUP(Tabla13[[#This Row],[SISMED]],TblDisponibilidad[],23,FALSE), 0)</f>
        <v>0</v>
      </c>
    </row>
    <row r="683" spans="1:19" x14ac:dyDescent="0.3">
      <c r="A683" s="15" t="s">
        <v>713</v>
      </c>
      <c r="B683" t="str">
        <f>IFERROR(VLOOKUP(Tabla13[[#This Row],[SISMED]],TblDisponibilidad[],2,FALSE), "")</f>
        <v/>
      </c>
      <c r="C683">
        <f>IFERROR(VLOOKUP(Tabla13[[#This Row],[SISMED]],TblDisponibilidad[],7,FALSE), 0)</f>
        <v>0</v>
      </c>
      <c r="D683">
        <f>IFERROR(VLOOKUP(Tabla13[[#This Row],[SISMED]],TblDisponibilidad[],8,FALSE), 0)</f>
        <v>0</v>
      </c>
      <c r="E683">
        <f>IFERROR(VLOOKUP(Tabla13[[#This Row],[SISMED]],TblDisponibilidad[],9,FALSE), 0)</f>
        <v>0</v>
      </c>
      <c r="F683">
        <f>IFERROR(VLOOKUP(Tabla13[[#This Row],[SISMED]],TblDisponibilidad[],10,FALSE), 0)</f>
        <v>0</v>
      </c>
      <c r="G683">
        <f>IFERROR(VLOOKUP(Tabla13[[#This Row],[SISMED]],TblDisponibilidad[],11,FALSE), 0)</f>
        <v>0</v>
      </c>
      <c r="H683">
        <f>IFERROR(VLOOKUP(Tabla13[[#This Row],[SISMED]],TblDisponibilidad[],12,FALSE), 0)</f>
        <v>0</v>
      </c>
      <c r="I683">
        <f>IFERROR(VLOOKUP(Tabla13[[#This Row],[SISMED]],TblDisponibilidad[],13,FALSE), 0)</f>
        <v>0</v>
      </c>
      <c r="J683">
        <f>IFERROR(VLOOKUP(Tabla13[[#This Row],[SISMED]],TblDisponibilidad[],14,FALSE), 0)</f>
        <v>0</v>
      </c>
      <c r="K683">
        <f>IFERROR(VLOOKUP(Tabla13[[#This Row],[SISMED]],TblDisponibilidad[],15,FALSE), 0)</f>
        <v>0</v>
      </c>
      <c r="L683">
        <f>IFERROR(VLOOKUP(Tabla13[[#This Row],[SISMED]],TblDisponibilidad[],16,FALSE), 0)</f>
        <v>0</v>
      </c>
      <c r="M683">
        <f>IFERROR(VLOOKUP(Tabla13[[#This Row],[SISMED]],TblDisponibilidad[],17,FALSE), 0)</f>
        <v>0</v>
      </c>
      <c r="N683">
        <f>IFERROR(VLOOKUP(Tabla13[[#This Row],[SISMED]],TblDisponibilidad[],18,FALSE), 0)</f>
        <v>0</v>
      </c>
      <c r="O683">
        <f>IFERROR(VLOOKUP(Tabla13[[#This Row],[SISMED]],TblDisponibilidad[],19,FALSE), 0)</f>
        <v>0</v>
      </c>
      <c r="P683">
        <f>IFERROR(VLOOKUP(Tabla13[[#This Row],[SISMED]],TblDisponibilidad[],20,FALSE), 0)</f>
        <v>0</v>
      </c>
      <c r="Q683">
        <f>IFERROR(VLOOKUP(Tabla13[[#This Row],[SISMED]],TblDisponibilidad[],21,FALSE), 0)</f>
        <v>0</v>
      </c>
      <c r="R683">
        <f>IFERROR(VLOOKUP(Tabla13[[#This Row],[SISMED]],TblDisponibilidad[],22,FALSE), 0)</f>
        <v>0</v>
      </c>
      <c r="S683" s="15">
        <f>IFERROR(VLOOKUP(Tabla13[[#This Row],[SISMED]],TblDisponibilidad[],23,FALSE), 0)</f>
        <v>0</v>
      </c>
    </row>
    <row r="684" spans="1:19" x14ac:dyDescent="0.3">
      <c r="A684" s="15" t="s">
        <v>714</v>
      </c>
      <c r="B684" t="str">
        <f>IFERROR(VLOOKUP(Tabla13[[#This Row],[SISMED]],TblDisponibilidad[],2,FALSE), "")</f>
        <v/>
      </c>
      <c r="C684">
        <f>IFERROR(VLOOKUP(Tabla13[[#This Row],[SISMED]],TblDisponibilidad[],7,FALSE), 0)</f>
        <v>0</v>
      </c>
      <c r="D684">
        <f>IFERROR(VLOOKUP(Tabla13[[#This Row],[SISMED]],TblDisponibilidad[],8,FALSE), 0)</f>
        <v>0</v>
      </c>
      <c r="E684">
        <f>IFERROR(VLOOKUP(Tabla13[[#This Row],[SISMED]],TblDisponibilidad[],9,FALSE), 0)</f>
        <v>0</v>
      </c>
      <c r="F684">
        <f>IFERROR(VLOOKUP(Tabla13[[#This Row],[SISMED]],TblDisponibilidad[],10,FALSE), 0)</f>
        <v>0</v>
      </c>
      <c r="G684">
        <f>IFERROR(VLOOKUP(Tabla13[[#This Row],[SISMED]],TblDisponibilidad[],11,FALSE), 0)</f>
        <v>0</v>
      </c>
      <c r="H684">
        <f>IFERROR(VLOOKUP(Tabla13[[#This Row],[SISMED]],TblDisponibilidad[],12,FALSE), 0)</f>
        <v>0</v>
      </c>
      <c r="I684">
        <f>IFERROR(VLOOKUP(Tabla13[[#This Row],[SISMED]],TblDisponibilidad[],13,FALSE), 0)</f>
        <v>0</v>
      </c>
      <c r="J684">
        <f>IFERROR(VLOOKUP(Tabla13[[#This Row],[SISMED]],TblDisponibilidad[],14,FALSE), 0)</f>
        <v>0</v>
      </c>
      <c r="K684">
        <f>IFERROR(VLOOKUP(Tabla13[[#This Row],[SISMED]],TblDisponibilidad[],15,FALSE), 0)</f>
        <v>0</v>
      </c>
      <c r="L684">
        <f>IFERROR(VLOOKUP(Tabla13[[#This Row],[SISMED]],TblDisponibilidad[],16,FALSE), 0)</f>
        <v>0</v>
      </c>
      <c r="M684">
        <f>IFERROR(VLOOKUP(Tabla13[[#This Row],[SISMED]],TblDisponibilidad[],17,FALSE), 0)</f>
        <v>0</v>
      </c>
      <c r="N684">
        <f>IFERROR(VLOOKUP(Tabla13[[#This Row],[SISMED]],TblDisponibilidad[],18,FALSE), 0)</f>
        <v>0</v>
      </c>
      <c r="O684">
        <f>IFERROR(VLOOKUP(Tabla13[[#This Row],[SISMED]],TblDisponibilidad[],19,FALSE), 0)</f>
        <v>0</v>
      </c>
      <c r="P684">
        <f>IFERROR(VLOOKUP(Tabla13[[#This Row],[SISMED]],TblDisponibilidad[],20,FALSE), 0)</f>
        <v>0</v>
      </c>
      <c r="Q684">
        <f>IFERROR(VLOOKUP(Tabla13[[#This Row],[SISMED]],TblDisponibilidad[],21,FALSE), 0)</f>
        <v>0</v>
      </c>
      <c r="R684">
        <f>IFERROR(VLOOKUP(Tabla13[[#This Row],[SISMED]],TblDisponibilidad[],22,FALSE), 0)</f>
        <v>0</v>
      </c>
      <c r="S684" s="15">
        <f>IFERROR(VLOOKUP(Tabla13[[#This Row],[SISMED]],TblDisponibilidad[],23,FALSE), 0)</f>
        <v>0</v>
      </c>
    </row>
    <row r="685" spans="1:19" x14ac:dyDescent="0.3">
      <c r="A685" s="15" t="s">
        <v>715</v>
      </c>
      <c r="B685" t="str">
        <f>IFERROR(VLOOKUP(Tabla13[[#This Row],[SISMED]],TblDisponibilidad[],2,FALSE), "")</f>
        <v/>
      </c>
      <c r="C685">
        <f>IFERROR(VLOOKUP(Tabla13[[#This Row],[SISMED]],TblDisponibilidad[],7,FALSE), 0)</f>
        <v>0</v>
      </c>
      <c r="D685">
        <f>IFERROR(VLOOKUP(Tabla13[[#This Row],[SISMED]],TblDisponibilidad[],8,FALSE), 0)</f>
        <v>0</v>
      </c>
      <c r="E685">
        <f>IFERROR(VLOOKUP(Tabla13[[#This Row],[SISMED]],TblDisponibilidad[],9,FALSE), 0)</f>
        <v>0</v>
      </c>
      <c r="F685">
        <f>IFERROR(VLOOKUP(Tabla13[[#This Row],[SISMED]],TblDisponibilidad[],10,FALSE), 0)</f>
        <v>0</v>
      </c>
      <c r="G685">
        <f>IFERROR(VLOOKUP(Tabla13[[#This Row],[SISMED]],TblDisponibilidad[],11,FALSE), 0)</f>
        <v>0</v>
      </c>
      <c r="H685">
        <f>IFERROR(VLOOKUP(Tabla13[[#This Row],[SISMED]],TblDisponibilidad[],12,FALSE), 0)</f>
        <v>0</v>
      </c>
      <c r="I685">
        <f>IFERROR(VLOOKUP(Tabla13[[#This Row],[SISMED]],TblDisponibilidad[],13,FALSE), 0)</f>
        <v>0</v>
      </c>
      <c r="J685">
        <f>IFERROR(VLOOKUP(Tabla13[[#This Row],[SISMED]],TblDisponibilidad[],14,FALSE), 0)</f>
        <v>0</v>
      </c>
      <c r="K685">
        <f>IFERROR(VLOOKUP(Tabla13[[#This Row],[SISMED]],TblDisponibilidad[],15,FALSE), 0)</f>
        <v>0</v>
      </c>
      <c r="L685">
        <f>IFERROR(VLOOKUP(Tabla13[[#This Row],[SISMED]],TblDisponibilidad[],16,FALSE), 0)</f>
        <v>0</v>
      </c>
      <c r="M685">
        <f>IFERROR(VLOOKUP(Tabla13[[#This Row],[SISMED]],TblDisponibilidad[],17,FALSE), 0)</f>
        <v>0</v>
      </c>
      <c r="N685">
        <f>IFERROR(VLOOKUP(Tabla13[[#This Row],[SISMED]],TblDisponibilidad[],18,FALSE), 0)</f>
        <v>0</v>
      </c>
      <c r="O685">
        <f>IFERROR(VLOOKUP(Tabla13[[#This Row],[SISMED]],TblDisponibilidad[],19,FALSE), 0)</f>
        <v>0</v>
      </c>
      <c r="P685">
        <f>IFERROR(VLOOKUP(Tabla13[[#This Row],[SISMED]],TblDisponibilidad[],20,FALSE), 0)</f>
        <v>0</v>
      </c>
      <c r="Q685">
        <f>IFERROR(VLOOKUP(Tabla13[[#This Row],[SISMED]],TblDisponibilidad[],21,FALSE), 0)</f>
        <v>0</v>
      </c>
      <c r="R685">
        <f>IFERROR(VLOOKUP(Tabla13[[#This Row],[SISMED]],TblDisponibilidad[],22,FALSE), 0)</f>
        <v>0</v>
      </c>
      <c r="S685" s="15">
        <f>IFERROR(VLOOKUP(Tabla13[[#This Row],[SISMED]],TblDisponibilidad[],23,FALSE), 0)</f>
        <v>0</v>
      </c>
    </row>
    <row r="686" spans="1:19" x14ac:dyDescent="0.3">
      <c r="A686" s="15" t="s">
        <v>716</v>
      </c>
      <c r="B686" t="str">
        <f>IFERROR(VLOOKUP(Tabla13[[#This Row],[SISMED]],TblDisponibilidad[],2,FALSE), "")</f>
        <v/>
      </c>
      <c r="C686">
        <f>IFERROR(VLOOKUP(Tabla13[[#This Row],[SISMED]],TblDisponibilidad[],7,FALSE), 0)</f>
        <v>0</v>
      </c>
      <c r="D686">
        <f>IFERROR(VLOOKUP(Tabla13[[#This Row],[SISMED]],TblDisponibilidad[],8,FALSE), 0)</f>
        <v>0</v>
      </c>
      <c r="E686">
        <f>IFERROR(VLOOKUP(Tabla13[[#This Row],[SISMED]],TblDisponibilidad[],9,FALSE), 0)</f>
        <v>0</v>
      </c>
      <c r="F686">
        <f>IFERROR(VLOOKUP(Tabla13[[#This Row],[SISMED]],TblDisponibilidad[],10,FALSE), 0)</f>
        <v>0</v>
      </c>
      <c r="G686">
        <f>IFERROR(VLOOKUP(Tabla13[[#This Row],[SISMED]],TblDisponibilidad[],11,FALSE), 0)</f>
        <v>0</v>
      </c>
      <c r="H686">
        <f>IFERROR(VLOOKUP(Tabla13[[#This Row],[SISMED]],TblDisponibilidad[],12,FALSE), 0)</f>
        <v>0</v>
      </c>
      <c r="I686">
        <f>IFERROR(VLOOKUP(Tabla13[[#This Row],[SISMED]],TblDisponibilidad[],13,FALSE), 0)</f>
        <v>0</v>
      </c>
      <c r="J686">
        <f>IFERROR(VLOOKUP(Tabla13[[#This Row],[SISMED]],TblDisponibilidad[],14,FALSE), 0)</f>
        <v>0</v>
      </c>
      <c r="K686">
        <f>IFERROR(VLOOKUP(Tabla13[[#This Row],[SISMED]],TblDisponibilidad[],15,FALSE), 0)</f>
        <v>0</v>
      </c>
      <c r="L686">
        <f>IFERROR(VLOOKUP(Tabla13[[#This Row],[SISMED]],TblDisponibilidad[],16,FALSE), 0)</f>
        <v>0</v>
      </c>
      <c r="M686">
        <f>IFERROR(VLOOKUP(Tabla13[[#This Row],[SISMED]],TblDisponibilidad[],17,FALSE), 0)</f>
        <v>0</v>
      </c>
      <c r="N686">
        <f>IFERROR(VLOOKUP(Tabla13[[#This Row],[SISMED]],TblDisponibilidad[],18,FALSE), 0)</f>
        <v>0</v>
      </c>
      <c r="O686">
        <f>IFERROR(VLOOKUP(Tabla13[[#This Row],[SISMED]],TblDisponibilidad[],19,FALSE), 0)</f>
        <v>0</v>
      </c>
      <c r="P686">
        <f>IFERROR(VLOOKUP(Tabla13[[#This Row],[SISMED]],TblDisponibilidad[],20,FALSE), 0)</f>
        <v>0</v>
      </c>
      <c r="Q686">
        <f>IFERROR(VLOOKUP(Tabla13[[#This Row],[SISMED]],TblDisponibilidad[],21,FALSE), 0)</f>
        <v>0</v>
      </c>
      <c r="R686">
        <f>IFERROR(VLOOKUP(Tabla13[[#This Row],[SISMED]],TblDisponibilidad[],22,FALSE), 0)</f>
        <v>0</v>
      </c>
      <c r="S686" s="15">
        <f>IFERROR(VLOOKUP(Tabla13[[#This Row],[SISMED]],TblDisponibilidad[],23,FALSE), 0)</f>
        <v>0</v>
      </c>
    </row>
    <row r="687" spans="1:19" x14ac:dyDescent="0.3">
      <c r="A687" s="15" t="s">
        <v>717</v>
      </c>
      <c r="B687" t="str">
        <f>IFERROR(VLOOKUP(Tabla13[[#This Row],[SISMED]],TblDisponibilidad[],2,FALSE), "")</f>
        <v/>
      </c>
      <c r="C687">
        <f>IFERROR(VLOOKUP(Tabla13[[#This Row],[SISMED]],TblDisponibilidad[],7,FALSE), 0)</f>
        <v>0</v>
      </c>
      <c r="D687">
        <f>IFERROR(VLOOKUP(Tabla13[[#This Row],[SISMED]],TblDisponibilidad[],8,FALSE), 0)</f>
        <v>0</v>
      </c>
      <c r="E687">
        <f>IFERROR(VLOOKUP(Tabla13[[#This Row],[SISMED]],TblDisponibilidad[],9,FALSE), 0)</f>
        <v>0</v>
      </c>
      <c r="F687">
        <f>IFERROR(VLOOKUP(Tabla13[[#This Row],[SISMED]],TblDisponibilidad[],10,FALSE), 0)</f>
        <v>0</v>
      </c>
      <c r="G687">
        <f>IFERROR(VLOOKUP(Tabla13[[#This Row],[SISMED]],TblDisponibilidad[],11,FALSE), 0)</f>
        <v>0</v>
      </c>
      <c r="H687">
        <f>IFERROR(VLOOKUP(Tabla13[[#This Row],[SISMED]],TblDisponibilidad[],12,FALSE), 0)</f>
        <v>0</v>
      </c>
      <c r="I687">
        <f>IFERROR(VLOOKUP(Tabla13[[#This Row],[SISMED]],TblDisponibilidad[],13,FALSE), 0)</f>
        <v>0</v>
      </c>
      <c r="J687">
        <f>IFERROR(VLOOKUP(Tabla13[[#This Row],[SISMED]],TblDisponibilidad[],14,FALSE), 0)</f>
        <v>0</v>
      </c>
      <c r="K687">
        <f>IFERROR(VLOOKUP(Tabla13[[#This Row],[SISMED]],TblDisponibilidad[],15,FALSE), 0)</f>
        <v>0</v>
      </c>
      <c r="L687">
        <f>IFERROR(VLOOKUP(Tabla13[[#This Row],[SISMED]],TblDisponibilidad[],16,FALSE), 0)</f>
        <v>0</v>
      </c>
      <c r="M687">
        <f>IFERROR(VLOOKUP(Tabla13[[#This Row],[SISMED]],TblDisponibilidad[],17,FALSE), 0)</f>
        <v>0</v>
      </c>
      <c r="N687">
        <f>IFERROR(VLOOKUP(Tabla13[[#This Row],[SISMED]],TblDisponibilidad[],18,FALSE), 0)</f>
        <v>0</v>
      </c>
      <c r="O687">
        <f>IFERROR(VLOOKUP(Tabla13[[#This Row],[SISMED]],TblDisponibilidad[],19,FALSE), 0)</f>
        <v>0</v>
      </c>
      <c r="P687">
        <f>IFERROR(VLOOKUP(Tabla13[[#This Row],[SISMED]],TblDisponibilidad[],20,FALSE), 0)</f>
        <v>0</v>
      </c>
      <c r="Q687">
        <f>IFERROR(VLOOKUP(Tabla13[[#This Row],[SISMED]],TblDisponibilidad[],21,FALSE), 0)</f>
        <v>0</v>
      </c>
      <c r="R687">
        <f>IFERROR(VLOOKUP(Tabla13[[#This Row],[SISMED]],TblDisponibilidad[],22,FALSE), 0)</f>
        <v>0</v>
      </c>
      <c r="S687" s="15">
        <f>IFERROR(VLOOKUP(Tabla13[[#This Row],[SISMED]],TblDisponibilidad[],23,FALSE), 0)</f>
        <v>0</v>
      </c>
    </row>
    <row r="688" spans="1:19" x14ac:dyDescent="0.3">
      <c r="A688" s="15" t="s">
        <v>718</v>
      </c>
      <c r="B688" t="str">
        <f>IFERROR(VLOOKUP(Tabla13[[#This Row],[SISMED]],TblDisponibilidad[],2,FALSE), "")</f>
        <v/>
      </c>
      <c r="C688">
        <f>IFERROR(VLOOKUP(Tabla13[[#This Row],[SISMED]],TblDisponibilidad[],7,FALSE), 0)</f>
        <v>0</v>
      </c>
      <c r="D688">
        <f>IFERROR(VLOOKUP(Tabla13[[#This Row],[SISMED]],TblDisponibilidad[],8,FALSE), 0)</f>
        <v>0</v>
      </c>
      <c r="E688">
        <f>IFERROR(VLOOKUP(Tabla13[[#This Row],[SISMED]],TblDisponibilidad[],9,FALSE), 0)</f>
        <v>0</v>
      </c>
      <c r="F688">
        <f>IFERROR(VLOOKUP(Tabla13[[#This Row],[SISMED]],TblDisponibilidad[],10,FALSE), 0)</f>
        <v>0</v>
      </c>
      <c r="G688">
        <f>IFERROR(VLOOKUP(Tabla13[[#This Row],[SISMED]],TblDisponibilidad[],11,FALSE), 0)</f>
        <v>0</v>
      </c>
      <c r="H688">
        <f>IFERROR(VLOOKUP(Tabla13[[#This Row],[SISMED]],TblDisponibilidad[],12,FALSE), 0)</f>
        <v>0</v>
      </c>
      <c r="I688">
        <f>IFERROR(VLOOKUP(Tabla13[[#This Row],[SISMED]],TblDisponibilidad[],13,FALSE), 0)</f>
        <v>0</v>
      </c>
      <c r="J688">
        <f>IFERROR(VLOOKUP(Tabla13[[#This Row],[SISMED]],TblDisponibilidad[],14,FALSE), 0)</f>
        <v>0</v>
      </c>
      <c r="K688">
        <f>IFERROR(VLOOKUP(Tabla13[[#This Row],[SISMED]],TblDisponibilidad[],15,FALSE), 0)</f>
        <v>0</v>
      </c>
      <c r="L688">
        <f>IFERROR(VLOOKUP(Tabla13[[#This Row],[SISMED]],TblDisponibilidad[],16,FALSE), 0)</f>
        <v>0</v>
      </c>
      <c r="M688">
        <f>IFERROR(VLOOKUP(Tabla13[[#This Row],[SISMED]],TblDisponibilidad[],17,FALSE), 0)</f>
        <v>0</v>
      </c>
      <c r="N688">
        <f>IFERROR(VLOOKUP(Tabla13[[#This Row],[SISMED]],TblDisponibilidad[],18,FALSE), 0)</f>
        <v>0</v>
      </c>
      <c r="O688">
        <f>IFERROR(VLOOKUP(Tabla13[[#This Row],[SISMED]],TblDisponibilidad[],19,FALSE), 0)</f>
        <v>0</v>
      </c>
      <c r="P688">
        <f>IFERROR(VLOOKUP(Tabla13[[#This Row],[SISMED]],TblDisponibilidad[],20,FALSE), 0)</f>
        <v>0</v>
      </c>
      <c r="Q688">
        <f>IFERROR(VLOOKUP(Tabla13[[#This Row],[SISMED]],TblDisponibilidad[],21,FALSE), 0)</f>
        <v>0</v>
      </c>
      <c r="R688">
        <f>IFERROR(VLOOKUP(Tabla13[[#This Row],[SISMED]],TblDisponibilidad[],22,FALSE), 0)</f>
        <v>0</v>
      </c>
      <c r="S688" s="15">
        <f>IFERROR(VLOOKUP(Tabla13[[#This Row],[SISMED]],TblDisponibilidad[],23,FALSE), 0)</f>
        <v>0</v>
      </c>
    </row>
    <row r="689" spans="1:19" x14ac:dyDescent="0.3">
      <c r="A689" s="15" t="s">
        <v>719</v>
      </c>
      <c r="B689" t="str">
        <f>IFERROR(VLOOKUP(Tabla13[[#This Row],[SISMED]],TblDisponibilidad[],2,FALSE), "")</f>
        <v/>
      </c>
      <c r="C689">
        <f>IFERROR(VLOOKUP(Tabla13[[#This Row],[SISMED]],TblDisponibilidad[],7,FALSE), 0)</f>
        <v>0</v>
      </c>
      <c r="D689">
        <f>IFERROR(VLOOKUP(Tabla13[[#This Row],[SISMED]],TblDisponibilidad[],8,FALSE), 0)</f>
        <v>0</v>
      </c>
      <c r="E689">
        <f>IFERROR(VLOOKUP(Tabla13[[#This Row],[SISMED]],TblDisponibilidad[],9,FALSE), 0)</f>
        <v>0</v>
      </c>
      <c r="F689">
        <f>IFERROR(VLOOKUP(Tabla13[[#This Row],[SISMED]],TblDisponibilidad[],10,FALSE), 0)</f>
        <v>0</v>
      </c>
      <c r="G689">
        <f>IFERROR(VLOOKUP(Tabla13[[#This Row],[SISMED]],TblDisponibilidad[],11,FALSE), 0)</f>
        <v>0</v>
      </c>
      <c r="H689">
        <f>IFERROR(VLOOKUP(Tabla13[[#This Row],[SISMED]],TblDisponibilidad[],12,FALSE), 0)</f>
        <v>0</v>
      </c>
      <c r="I689">
        <f>IFERROR(VLOOKUP(Tabla13[[#This Row],[SISMED]],TblDisponibilidad[],13,FALSE), 0)</f>
        <v>0</v>
      </c>
      <c r="J689">
        <f>IFERROR(VLOOKUP(Tabla13[[#This Row],[SISMED]],TblDisponibilidad[],14,FALSE), 0)</f>
        <v>0</v>
      </c>
      <c r="K689">
        <f>IFERROR(VLOOKUP(Tabla13[[#This Row],[SISMED]],TblDisponibilidad[],15,FALSE), 0)</f>
        <v>0</v>
      </c>
      <c r="L689">
        <f>IFERROR(VLOOKUP(Tabla13[[#This Row],[SISMED]],TblDisponibilidad[],16,FALSE), 0)</f>
        <v>0</v>
      </c>
      <c r="M689">
        <f>IFERROR(VLOOKUP(Tabla13[[#This Row],[SISMED]],TblDisponibilidad[],17,FALSE), 0)</f>
        <v>0</v>
      </c>
      <c r="N689">
        <f>IFERROR(VLOOKUP(Tabla13[[#This Row],[SISMED]],TblDisponibilidad[],18,FALSE), 0)</f>
        <v>0</v>
      </c>
      <c r="O689">
        <f>IFERROR(VLOOKUP(Tabla13[[#This Row],[SISMED]],TblDisponibilidad[],19,FALSE), 0)</f>
        <v>0</v>
      </c>
      <c r="P689">
        <f>IFERROR(VLOOKUP(Tabla13[[#This Row],[SISMED]],TblDisponibilidad[],20,FALSE), 0)</f>
        <v>0</v>
      </c>
      <c r="Q689">
        <f>IFERROR(VLOOKUP(Tabla13[[#This Row],[SISMED]],TblDisponibilidad[],21,FALSE), 0)</f>
        <v>0</v>
      </c>
      <c r="R689">
        <f>IFERROR(VLOOKUP(Tabla13[[#This Row],[SISMED]],TblDisponibilidad[],22,FALSE), 0)</f>
        <v>0</v>
      </c>
      <c r="S689" s="15">
        <f>IFERROR(VLOOKUP(Tabla13[[#This Row],[SISMED]],TblDisponibilidad[],23,FALSE), 0)</f>
        <v>0</v>
      </c>
    </row>
    <row r="690" spans="1:19" x14ac:dyDescent="0.3">
      <c r="A690" s="15" t="s">
        <v>720</v>
      </c>
      <c r="B690" t="str">
        <f>IFERROR(VLOOKUP(Tabla13[[#This Row],[SISMED]],TblDisponibilidad[],2,FALSE), "")</f>
        <v/>
      </c>
      <c r="C690">
        <f>IFERROR(VLOOKUP(Tabla13[[#This Row],[SISMED]],TblDisponibilidad[],7,FALSE), 0)</f>
        <v>0</v>
      </c>
      <c r="D690">
        <f>IFERROR(VLOOKUP(Tabla13[[#This Row],[SISMED]],TblDisponibilidad[],8,FALSE), 0)</f>
        <v>0</v>
      </c>
      <c r="E690">
        <f>IFERROR(VLOOKUP(Tabla13[[#This Row],[SISMED]],TblDisponibilidad[],9,FALSE), 0)</f>
        <v>0</v>
      </c>
      <c r="F690">
        <f>IFERROR(VLOOKUP(Tabla13[[#This Row],[SISMED]],TblDisponibilidad[],10,FALSE), 0)</f>
        <v>0</v>
      </c>
      <c r="G690">
        <f>IFERROR(VLOOKUP(Tabla13[[#This Row],[SISMED]],TblDisponibilidad[],11,FALSE), 0)</f>
        <v>0</v>
      </c>
      <c r="H690">
        <f>IFERROR(VLOOKUP(Tabla13[[#This Row],[SISMED]],TblDisponibilidad[],12,FALSE), 0)</f>
        <v>0</v>
      </c>
      <c r="I690">
        <f>IFERROR(VLOOKUP(Tabla13[[#This Row],[SISMED]],TblDisponibilidad[],13,FALSE), 0)</f>
        <v>0</v>
      </c>
      <c r="J690">
        <f>IFERROR(VLOOKUP(Tabla13[[#This Row],[SISMED]],TblDisponibilidad[],14,FALSE), 0)</f>
        <v>0</v>
      </c>
      <c r="K690">
        <f>IFERROR(VLOOKUP(Tabla13[[#This Row],[SISMED]],TblDisponibilidad[],15,FALSE), 0)</f>
        <v>0</v>
      </c>
      <c r="L690">
        <f>IFERROR(VLOOKUP(Tabla13[[#This Row],[SISMED]],TblDisponibilidad[],16,FALSE), 0)</f>
        <v>0</v>
      </c>
      <c r="M690">
        <f>IFERROR(VLOOKUP(Tabla13[[#This Row],[SISMED]],TblDisponibilidad[],17,FALSE), 0)</f>
        <v>0</v>
      </c>
      <c r="N690">
        <f>IFERROR(VLOOKUP(Tabla13[[#This Row],[SISMED]],TblDisponibilidad[],18,FALSE), 0)</f>
        <v>0</v>
      </c>
      <c r="O690">
        <f>IFERROR(VLOOKUP(Tabla13[[#This Row],[SISMED]],TblDisponibilidad[],19,FALSE), 0)</f>
        <v>0</v>
      </c>
      <c r="P690">
        <f>IFERROR(VLOOKUP(Tabla13[[#This Row],[SISMED]],TblDisponibilidad[],20,FALSE), 0)</f>
        <v>0</v>
      </c>
      <c r="Q690">
        <f>IFERROR(VLOOKUP(Tabla13[[#This Row],[SISMED]],TblDisponibilidad[],21,FALSE), 0)</f>
        <v>0</v>
      </c>
      <c r="R690">
        <f>IFERROR(VLOOKUP(Tabla13[[#This Row],[SISMED]],TblDisponibilidad[],22,FALSE), 0)</f>
        <v>0</v>
      </c>
      <c r="S690" s="15">
        <f>IFERROR(VLOOKUP(Tabla13[[#This Row],[SISMED]],TblDisponibilidad[],23,FALSE), 0)</f>
        <v>0</v>
      </c>
    </row>
    <row r="691" spans="1:19" x14ac:dyDescent="0.3">
      <c r="A691" s="15" t="s">
        <v>721</v>
      </c>
      <c r="B691" t="str">
        <f>IFERROR(VLOOKUP(Tabla13[[#This Row],[SISMED]],TblDisponibilidad[],2,FALSE), "")</f>
        <v/>
      </c>
      <c r="C691">
        <f>IFERROR(VLOOKUP(Tabla13[[#This Row],[SISMED]],TblDisponibilidad[],7,FALSE), 0)</f>
        <v>0</v>
      </c>
      <c r="D691">
        <f>IFERROR(VLOOKUP(Tabla13[[#This Row],[SISMED]],TblDisponibilidad[],8,FALSE), 0)</f>
        <v>0</v>
      </c>
      <c r="E691">
        <f>IFERROR(VLOOKUP(Tabla13[[#This Row],[SISMED]],TblDisponibilidad[],9,FALSE), 0)</f>
        <v>0</v>
      </c>
      <c r="F691">
        <f>IFERROR(VLOOKUP(Tabla13[[#This Row],[SISMED]],TblDisponibilidad[],10,FALSE), 0)</f>
        <v>0</v>
      </c>
      <c r="G691">
        <f>IFERROR(VLOOKUP(Tabla13[[#This Row],[SISMED]],TblDisponibilidad[],11,FALSE), 0)</f>
        <v>0</v>
      </c>
      <c r="H691">
        <f>IFERROR(VLOOKUP(Tabla13[[#This Row],[SISMED]],TblDisponibilidad[],12,FALSE), 0)</f>
        <v>0</v>
      </c>
      <c r="I691">
        <f>IFERROR(VLOOKUP(Tabla13[[#This Row],[SISMED]],TblDisponibilidad[],13,FALSE), 0)</f>
        <v>0</v>
      </c>
      <c r="J691">
        <f>IFERROR(VLOOKUP(Tabla13[[#This Row],[SISMED]],TblDisponibilidad[],14,FALSE), 0)</f>
        <v>0</v>
      </c>
      <c r="K691">
        <f>IFERROR(VLOOKUP(Tabla13[[#This Row],[SISMED]],TblDisponibilidad[],15,FALSE), 0)</f>
        <v>0</v>
      </c>
      <c r="L691">
        <f>IFERROR(VLOOKUP(Tabla13[[#This Row],[SISMED]],TblDisponibilidad[],16,FALSE), 0)</f>
        <v>0</v>
      </c>
      <c r="M691">
        <f>IFERROR(VLOOKUP(Tabla13[[#This Row],[SISMED]],TblDisponibilidad[],17,FALSE), 0)</f>
        <v>0</v>
      </c>
      <c r="N691">
        <f>IFERROR(VLOOKUP(Tabla13[[#This Row],[SISMED]],TblDisponibilidad[],18,FALSE), 0)</f>
        <v>0</v>
      </c>
      <c r="O691">
        <f>IFERROR(VLOOKUP(Tabla13[[#This Row],[SISMED]],TblDisponibilidad[],19,FALSE), 0)</f>
        <v>0</v>
      </c>
      <c r="P691">
        <f>IFERROR(VLOOKUP(Tabla13[[#This Row],[SISMED]],TblDisponibilidad[],20,FALSE), 0)</f>
        <v>0</v>
      </c>
      <c r="Q691">
        <f>IFERROR(VLOOKUP(Tabla13[[#This Row],[SISMED]],TblDisponibilidad[],21,FALSE), 0)</f>
        <v>0</v>
      </c>
      <c r="R691">
        <f>IFERROR(VLOOKUP(Tabla13[[#This Row],[SISMED]],TblDisponibilidad[],22,FALSE), 0)</f>
        <v>0</v>
      </c>
      <c r="S691" s="15">
        <f>IFERROR(VLOOKUP(Tabla13[[#This Row],[SISMED]],TblDisponibilidad[],23,FALSE), 0)</f>
        <v>0</v>
      </c>
    </row>
    <row r="692" spans="1:19" x14ac:dyDescent="0.3">
      <c r="A692" s="15" t="s">
        <v>722</v>
      </c>
      <c r="B692" t="str">
        <f>IFERROR(VLOOKUP(Tabla13[[#This Row],[SISMED]],TblDisponibilidad[],2,FALSE), "")</f>
        <v/>
      </c>
      <c r="C692">
        <f>IFERROR(VLOOKUP(Tabla13[[#This Row],[SISMED]],TblDisponibilidad[],7,FALSE), 0)</f>
        <v>0</v>
      </c>
      <c r="D692">
        <f>IFERROR(VLOOKUP(Tabla13[[#This Row],[SISMED]],TblDisponibilidad[],8,FALSE), 0)</f>
        <v>0</v>
      </c>
      <c r="E692">
        <f>IFERROR(VLOOKUP(Tabla13[[#This Row],[SISMED]],TblDisponibilidad[],9,FALSE), 0)</f>
        <v>0</v>
      </c>
      <c r="F692">
        <f>IFERROR(VLOOKUP(Tabla13[[#This Row],[SISMED]],TblDisponibilidad[],10,FALSE), 0)</f>
        <v>0</v>
      </c>
      <c r="G692">
        <f>IFERROR(VLOOKUP(Tabla13[[#This Row],[SISMED]],TblDisponibilidad[],11,FALSE), 0)</f>
        <v>0</v>
      </c>
      <c r="H692">
        <f>IFERROR(VLOOKUP(Tabla13[[#This Row],[SISMED]],TblDisponibilidad[],12,FALSE), 0)</f>
        <v>0</v>
      </c>
      <c r="I692">
        <f>IFERROR(VLOOKUP(Tabla13[[#This Row],[SISMED]],TblDisponibilidad[],13,FALSE), 0)</f>
        <v>0</v>
      </c>
      <c r="J692">
        <f>IFERROR(VLOOKUP(Tabla13[[#This Row],[SISMED]],TblDisponibilidad[],14,FALSE), 0)</f>
        <v>0</v>
      </c>
      <c r="K692">
        <f>IFERROR(VLOOKUP(Tabla13[[#This Row],[SISMED]],TblDisponibilidad[],15,FALSE), 0)</f>
        <v>0</v>
      </c>
      <c r="L692">
        <f>IFERROR(VLOOKUP(Tabla13[[#This Row],[SISMED]],TblDisponibilidad[],16,FALSE), 0)</f>
        <v>0</v>
      </c>
      <c r="M692">
        <f>IFERROR(VLOOKUP(Tabla13[[#This Row],[SISMED]],TblDisponibilidad[],17,FALSE), 0)</f>
        <v>0</v>
      </c>
      <c r="N692">
        <f>IFERROR(VLOOKUP(Tabla13[[#This Row],[SISMED]],TblDisponibilidad[],18,FALSE), 0)</f>
        <v>0</v>
      </c>
      <c r="O692">
        <f>IFERROR(VLOOKUP(Tabla13[[#This Row],[SISMED]],TblDisponibilidad[],19,FALSE), 0)</f>
        <v>0</v>
      </c>
      <c r="P692">
        <f>IFERROR(VLOOKUP(Tabla13[[#This Row],[SISMED]],TblDisponibilidad[],20,FALSE), 0)</f>
        <v>0</v>
      </c>
      <c r="Q692">
        <f>IFERROR(VLOOKUP(Tabla13[[#This Row],[SISMED]],TblDisponibilidad[],21,FALSE), 0)</f>
        <v>0</v>
      </c>
      <c r="R692">
        <f>IFERROR(VLOOKUP(Tabla13[[#This Row],[SISMED]],TblDisponibilidad[],22,FALSE), 0)</f>
        <v>0</v>
      </c>
      <c r="S692" s="15">
        <f>IFERROR(VLOOKUP(Tabla13[[#This Row],[SISMED]],TblDisponibilidad[],23,FALSE), 0)</f>
        <v>0</v>
      </c>
    </row>
    <row r="693" spans="1:19" x14ac:dyDescent="0.3">
      <c r="A693" s="15" t="s">
        <v>723</v>
      </c>
      <c r="B693" t="str">
        <f>IFERROR(VLOOKUP(Tabla13[[#This Row],[SISMED]],TblDisponibilidad[],2,FALSE), "")</f>
        <v/>
      </c>
      <c r="C693">
        <f>IFERROR(VLOOKUP(Tabla13[[#This Row],[SISMED]],TblDisponibilidad[],7,FALSE), 0)</f>
        <v>0</v>
      </c>
      <c r="D693">
        <f>IFERROR(VLOOKUP(Tabla13[[#This Row],[SISMED]],TblDisponibilidad[],8,FALSE), 0)</f>
        <v>0</v>
      </c>
      <c r="E693">
        <f>IFERROR(VLOOKUP(Tabla13[[#This Row],[SISMED]],TblDisponibilidad[],9,FALSE), 0)</f>
        <v>0</v>
      </c>
      <c r="F693">
        <f>IFERROR(VLOOKUP(Tabla13[[#This Row],[SISMED]],TblDisponibilidad[],10,FALSE), 0)</f>
        <v>0</v>
      </c>
      <c r="G693">
        <f>IFERROR(VLOOKUP(Tabla13[[#This Row],[SISMED]],TblDisponibilidad[],11,FALSE), 0)</f>
        <v>0</v>
      </c>
      <c r="H693">
        <f>IFERROR(VLOOKUP(Tabla13[[#This Row],[SISMED]],TblDisponibilidad[],12,FALSE), 0)</f>
        <v>0</v>
      </c>
      <c r="I693">
        <f>IFERROR(VLOOKUP(Tabla13[[#This Row],[SISMED]],TblDisponibilidad[],13,FALSE), 0)</f>
        <v>0</v>
      </c>
      <c r="J693">
        <f>IFERROR(VLOOKUP(Tabla13[[#This Row],[SISMED]],TblDisponibilidad[],14,FALSE), 0)</f>
        <v>0</v>
      </c>
      <c r="K693">
        <f>IFERROR(VLOOKUP(Tabla13[[#This Row],[SISMED]],TblDisponibilidad[],15,FALSE), 0)</f>
        <v>0</v>
      </c>
      <c r="L693">
        <f>IFERROR(VLOOKUP(Tabla13[[#This Row],[SISMED]],TblDisponibilidad[],16,FALSE), 0)</f>
        <v>0</v>
      </c>
      <c r="M693">
        <f>IFERROR(VLOOKUP(Tabla13[[#This Row],[SISMED]],TblDisponibilidad[],17,FALSE), 0)</f>
        <v>0</v>
      </c>
      <c r="N693">
        <f>IFERROR(VLOOKUP(Tabla13[[#This Row],[SISMED]],TblDisponibilidad[],18,FALSE), 0)</f>
        <v>0</v>
      </c>
      <c r="O693">
        <f>IFERROR(VLOOKUP(Tabla13[[#This Row],[SISMED]],TblDisponibilidad[],19,FALSE), 0)</f>
        <v>0</v>
      </c>
      <c r="P693">
        <f>IFERROR(VLOOKUP(Tabla13[[#This Row],[SISMED]],TblDisponibilidad[],20,FALSE), 0)</f>
        <v>0</v>
      </c>
      <c r="Q693">
        <f>IFERROR(VLOOKUP(Tabla13[[#This Row],[SISMED]],TblDisponibilidad[],21,FALSE), 0)</f>
        <v>0</v>
      </c>
      <c r="R693">
        <f>IFERROR(VLOOKUP(Tabla13[[#This Row],[SISMED]],TblDisponibilidad[],22,FALSE), 0)</f>
        <v>0</v>
      </c>
      <c r="S693" s="15">
        <f>IFERROR(VLOOKUP(Tabla13[[#This Row],[SISMED]],TblDisponibilidad[],23,FALSE), 0)</f>
        <v>0</v>
      </c>
    </row>
    <row r="694" spans="1:19" x14ac:dyDescent="0.3">
      <c r="A694" s="15" t="s">
        <v>724</v>
      </c>
      <c r="B694" t="str">
        <f>IFERROR(VLOOKUP(Tabla13[[#This Row],[SISMED]],TblDisponibilidad[],2,FALSE), "")</f>
        <v/>
      </c>
      <c r="C694">
        <f>IFERROR(VLOOKUP(Tabla13[[#This Row],[SISMED]],TblDisponibilidad[],7,FALSE), 0)</f>
        <v>0</v>
      </c>
      <c r="D694">
        <f>IFERROR(VLOOKUP(Tabla13[[#This Row],[SISMED]],TblDisponibilidad[],8,FALSE), 0)</f>
        <v>0</v>
      </c>
      <c r="E694">
        <f>IFERROR(VLOOKUP(Tabla13[[#This Row],[SISMED]],TblDisponibilidad[],9,FALSE), 0)</f>
        <v>0</v>
      </c>
      <c r="F694">
        <f>IFERROR(VLOOKUP(Tabla13[[#This Row],[SISMED]],TblDisponibilidad[],10,FALSE), 0)</f>
        <v>0</v>
      </c>
      <c r="G694">
        <f>IFERROR(VLOOKUP(Tabla13[[#This Row],[SISMED]],TblDisponibilidad[],11,FALSE), 0)</f>
        <v>0</v>
      </c>
      <c r="H694">
        <f>IFERROR(VLOOKUP(Tabla13[[#This Row],[SISMED]],TblDisponibilidad[],12,FALSE), 0)</f>
        <v>0</v>
      </c>
      <c r="I694">
        <f>IFERROR(VLOOKUP(Tabla13[[#This Row],[SISMED]],TblDisponibilidad[],13,FALSE), 0)</f>
        <v>0</v>
      </c>
      <c r="J694">
        <f>IFERROR(VLOOKUP(Tabla13[[#This Row],[SISMED]],TblDisponibilidad[],14,FALSE), 0)</f>
        <v>0</v>
      </c>
      <c r="K694">
        <f>IFERROR(VLOOKUP(Tabla13[[#This Row],[SISMED]],TblDisponibilidad[],15,FALSE), 0)</f>
        <v>0</v>
      </c>
      <c r="L694">
        <f>IFERROR(VLOOKUP(Tabla13[[#This Row],[SISMED]],TblDisponibilidad[],16,FALSE), 0)</f>
        <v>0</v>
      </c>
      <c r="M694">
        <f>IFERROR(VLOOKUP(Tabla13[[#This Row],[SISMED]],TblDisponibilidad[],17,FALSE), 0)</f>
        <v>0</v>
      </c>
      <c r="N694">
        <f>IFERROR(VLOOKUP(Tabla13[[#This Row],[SISMED]],TblDisponibilidad[],18,FALSE), 0)</f>
        <v>0</v>
      </c>
      <c r="O694">
        <f>IFERROR(VLOOKUP(Tabla13[[#This Row],[SISMED]],TblDisponibilidad[],19,FALSE), 0)</f>
        <v>0</v>
      </c>
      <c r="P694">
        <f>IFERROR(VLOOKUP(Tabla13[[#This Row],[SISMED]],TblDisponibilidad[],20,FALSE), 0)</f>
        <v>0</v>
      </c>
      <c r="Q694">
        <f>IFERROR(VLOOKUP(Tabla13[[#This Row],[SISMED]],TblDisponibilidad[],21,FALSE), 0)</f>
        <v>0</v>
      </c>
      <c r="R694">
        <f>IFERROR(VLOOKUP(Tabla13[[#This Row],[SISMED]],TblDisponibilidad[],22,FALSE), 0)</f>
        <v>0</v>
      </c>
      <c r="S694" s="15">
        <f>IFERROR(VLOOKUP(Tabla13[[#This Row],[SISMED]],TblDisponibilidad[],23,FALSE), 0)</f>
        <v>0</v>
      </c>
    </row>
    <row r="695" spans="1:19" x14ac:dyDescent="0.3">
      <c r="A695" s="15" t="s">
        <v>725</v>
      </c>
      <c r="B695" t="str">
        <f>IFERROR(VLOOKUP(Tabla13[[#This Row],[SISMED]],TblDisponibilidad[],2,FALSE), "")</f>
        <v/>
      </c>
      <c r="C695">
        <f>IFERROR(VLOOKUP(Tabla13[[#This Row],[SISMED]],TblDisponibilidad[],7,FALSE), 0)</f>
        <v>0</v>
      </c>
      <c r="D695">
        <f>IFERROR(VLOOKUP(Tabla13[[#This Row],[SISMED]],TblDisponibilidad[],8,FALSE), 0)</f>
        <v>0</v>
      </c>
      <c r="E695">
        <f>IFERROR(VLOOKUP(Tabla13[[#This Row],[SISMED]],TblDisponibilidad[],9,FALSE), 0)</f>
        <v>0</v>
      </c>
      <c r="F695">
        <f>IFERROR(VLOOKUP(Tabla13[[#This Row],[SISMED]],TblDisponibilidad[],10,FALSE), 0)</f>
        <v>0</v>
      </c>
      <c r="G695">
        <f>IFERROR(VLOOKUP(Tabla13[[#This Row],[SISMED]],TblDisponibilidad[],11,FALSE), 0)</f>
        <v>0</v>
      </c>
      <c r="H695">
        <f>IFERROR(VLOOKUP(Tabla13[[#This Row],[SISMED]],TblDisponibilidad[],12,FALSE), 0)</f>
        <v>0</v>
      </c>
      <c r="I695">
        <f>IFERROR(VLOOKUP(Tabla13[[#This Row],[SISMED]],TblDisponibilidad[],13,FALSE), 0)</f>
        <v>0</v>
      </c>
      <c r="J695">
        <f>IFERROR(VLOOKUP(Tabla13[[#This Row],[SISMED]],TblDisponibilidad[],14,FALSE), 0)</f>
        <v>0</v>
      </c>
      <c r="K695">
        <f>IFERROR(VLOOKUP(Tabla13[[#This Row],[SISMED]],TblDisponibilidad[],15,FALSE), 0)</f>
        <v>0</v>
      </c>
      <c r="L695">
        <f>IFERROR(VLOOKUP(Tabla13[[#This Row],[SISMED]],TblDisponibilidad[],16,FALSE), 0)</f>
        <v>0</v>
      </c>
      <c r="M695">
        <f>IFERROR(VLOOKUP(Tabla13[[#This Row],[SISMED]],TblDisponibilidad[],17,FALSE), 0)</f>
        <v>0</v>
      </c>
      <c r="N695">
        <f>IFERROR(VLOOKUP(Tabla13[[#This Row],[SISMED]],TblDisponibilidad[],18,FALSE), 0)</f>
        <v>0</v>
      </c>
      <c r="O695">
        <f>IFERROR(VLOOKUP(Tabla13[[#This Row],[SISMED]],TblDisponibilidad[],19,FALSE), 0)</f>
        <v>0</v>
      </c>
      <c r="P695">
        <f>IFERROR(VLOOKUP(Tabla13[[#This Row],[SISMED]],TblDisponibilidad[],20,FALSE), 0)</f>
        <v>0</v>
      </c>
      <c r="Q695">
        <f>IFERROR(VLOOKUP(Tabla13[[#This Row],[SISMED]],TblDisponibilidad[],21,FALSE), 0)</f>
        <v>0</v>
      </c>
      <c r="R695">
        <f>IFERROR(VLOOKUP(Tabla13[[#This Row],[SISMED]],TblDisponibilidad[],22,FALSE), 0)</f>
        <v>0</v>
      </c>
      <c r="S695" s="15">
        <f>IFERROR(VLOOKUP(Tabla13[[#This Row],[SISMED]],TblDisponibilidad[],23,FALSE), 0)</f>
        <v>0</v>
      </c>
    </row>
    <row r="696" spans="1:19" x14ac:dyDescent="0.3">
      <c r="A696" s="15" t="s">
        <v>726</v>
      </c>
      <c r="B696" t="str">
        <f>IFERROR(VLOOKUP(Tabla13[[#This Row],[SISMED]],TblDisponibilidad[],2,FALSE), "")</f>
        <v/>
      </c>
      <c r="C696">
        <f>IFERROR(VLOOKUP(Tabla13[[#This Row],[SISMED]],TblDisponibilidad[],7,FALSE), 0)</f>
        <v>0</v>
      </c>
      <c r="D696">
        <f>IFERROR(VLOOKUP(Tabla13[[#This Row],[SISMED]],TblDisponibilidad[],8,FALSE), 0)</f>
        <v>0</v>
      </c>
      <c r="E696">
        <f>IFERROR(VLOOKUP(Tabla13[[#This Row],[SISMED]],TblDisponibilidad[],9,FALSE), 0)</f>
        <v>0</v>
      </c>
      <c r="F696">
        <f>IFERROR(VLOOKUP(Tabla13[[#This Row],[SISMED]],TblDisponibilidad[],10,FALSE), 0)</f>
        <v>0</v>
      </c>
      <c r="G696">
        <f>IFERROR(VLOOKUP(Tabla13[[#This Row],[SISMED]],TblDisponibilidad[],11,FALSE), 0)</f>
        <v>0</v>
      </c>
      <c r="H696">
        <f>IFERROR(VLOOKUP(Tabla13[[#This Row],[SISMED]],TblDisponibilidad[],12,FALSE), 0)</f>
        <v>0</v>
      </c>
      <c r="I696">
        <f>IFERROR(VLOOKUP(Tabla13[[#This Row],[SISMED]],TblDisponibilidad[],13,FALSE), 0)</f>
        <v>0</v>
      </c>
      <c r="J696">
        <f>IFERROR(VLOOKUP(Tabla13[[#This Row],[SISMED]],TblDisponibilidad[],14,FALSE), 0)</f>
        <v>0</v>
      </c>
      <c r="K696">
        <f>IFERROR(VLOOKUP(Tabla13[[#This Row],[SISMED]],TblDisponibilidad[],15,FALSE), 0)</f>
        <v>0</v>
      </c>
      <c r="L696">
        <f>IFERROR(VLOOKUP(Tabla13[[#This Row],[SISMED]],TblDisponibilidad[],16,FALSE), 0)</f>
        <v>0</v>
      </c>
      <c r="M696">
        <f>IFERROR(VLOOKUP(Tabla13[[#This Row],[SISMED]],TblDisponibilidad[],17,FALSE), 0)</f>
        <v>0</v>
      </c>
      <c r="N696">
        <f>IFERROR(VLOOKUP(Tabla13[[#This Row],[SISMED]],TblDisponibilidad[],18,FALSE), 0)</f>
        <v>0</v>
      </c>
      <c r="O696">
        <f>IFERROR(VLOOKUP(Tabla13[[#This Row],[SISMED]],TblDisponibilidad[],19,FALSE), 0)</f>
        <v>0</v>
      </c>
      <c r="P696">
        <f>IFERROR(VLOOKUP(Tabla13[[#This Row],[SISMED]],TblDisponibilidad[],20,FALSE), 0)</f>
        <v>0</v>
      </c>
      <c r="Q696">
        <f>IFERROR(VLOOKUP(Tabla13[[#This Row],[SISMED]],TblDisponibilidad[],21,FALSE), 0)</f>
        <v>0</v>
      </c>
      <c r="R696">
        <f>IFERROR(VLOOKUP(Tabla13[[#This Row],[SISMED]],TblDisponibilidad[],22,FALSE), 0)</f>
        <v>0</v>
      </c>
      <c r="S696" s="15">
        <f>IFERROR(VLOOKUP(Tabla13[[#This Row],[SISMED]],TblDisponibilidad[],23,FALSE), 0)</f>
        <v>0</v>
      </c>
    </row>
    <row r="697" spans="1:19" x14ac:dyDescent="0.3">
      <c r="A697" s="15" t="s">
        <v>727</v>
      </c>
      <c r="B697" t="str">
        <f>IFERROR(VLOOKUP(Tabla13[[#This Row],[SISMED]],TblDisponibilidad[],2,FALSE), "")</f>
        <v/>
      </c>
      <c r="C697">
        <f>IFERROR(VLOOKUP(Tabla13[[#This Row],[SISMED]],TblDisponibilidad[],7,FALSE), 0)</f>
        <v>0</v>
      </c>
      <c r="D697">
        <f>IFERROR(VLOOKUP(Tabla13[[#This Row],[SISMED]],TblDisponibilidad[],8,FALSE), 0)</f>
        <v>0</v>
      </c>
      <c r="E697">
        <f>IFERROR(VLOOKUP(Tabla13[[#This Row],[SISMED]],TblDisponibilidad[],9,FALSE), 0)</f>
        <v>0</v>
      </c>
      <c r="F697">
        <f>IFERROR(VLOOKUP(Tabla13[[#This Row],[SISMED]],TblDisponibilidad[],10,FALSE), 0)</f>
        <v>0</v>
      </c>
      <c r="G697">
        <f>IFERROR(VLOOKUP(Tabla13[[#This Row],[SISMED]],TblDisponibilidad[],11,FALSE), 0)</f>
        <v>0</v>
      </c>
      <c r="H697">
        <f>IFERROR(VLOOKUP(Tabla13[[#This Row],[SISMED]],TblDisponibilidad[],12,FALSE), 0)</f>
        <v>0</v>
      </c>
      <c r="I697">
        <f>IFERROR(VLOOKUP(Tabla13[[#This Row],[SISMED]],TblDisponibilidad[],13,FALSE), 0)</f>
        <v>0</v>
      </c>
      <c r="J697">
        <f>IFERROR(VLOOKUP(Tabla13[[#This Row],[SISMED]],TblDisponibilidad[],14,FALSE), 0)</f>
        <v>0</v>
      </c>
      <c r="K697">
        <f>IFERROR(VLOOKUP(Tabla13[[#This Row],[SISMED]],TblDisponibilidad[],15,FALSE), 0)</f>
        <v>0</v>
      </c>
      <c r="L697">
        <f>IFERROR(VLOOKUP(Tabla13[[#This Row],[SISMED]],TblDisponibilidad[],16,FALSE), 0)</f>
        <v>0</v>
      </c>
      <c r="M697">
        <f>IFERROR(VLOOKUP(Tabla13[[#This Row],[SISMED]],TblDisponibilidad[],17,FALSE), 0)</f>
        <v>0</v>
      </c>
      <c r="N697">
        <f>IFERROR(VLOOKUP(Tabla13[[#This Row],[SISMED]],TblDisponibilidad[],18,FALSE), 0)</f>
        <v>0</v>
      </c>
      <c r="O697">
        <f>IFERROR(VLOOKUP(Tabla13[[#This Row],[SISMED]],TblDisponibilidad[],19,FALSE), 0)</f>
        <v>0</v>
      </c>
      <c r="P697">
        <f>IFERROR(VLOOKUP(Tabla13[[#This Row],[SISMED]],TblDisponibilidad[],20,FALSE), 0)</f>
        <v>0</v>
      </c>
      <c r="Q697">
        <f>IFERROR(VLOOKUP(Tabla13[[#This Row],[SISMED]],TblDisponibilidad[],21,FALSE), 0)</f>
        <v>0</v>
      </c>
      <c r="R697">
        <f>IFERROR(VLOOKUP(Tabla13[[#This Row],[SISMED]],TblDisponibilidad[],22,FALSE), 0)</f>
        <v>0</v>
      </c>
      <c r="S697" s="15">
        <f>IFERROR(VLOOKUP(Tabla13[[#This Row],[SISMED]],TblDisponibilidad[],23,FALSE), 0)</f>
        <v>0</v>
      </c>
    </row>
    <row r="698" spans="1:19" x14ac:dyDescent="0.3">
      <c r="A698" s="15" t="s">
        <v>728</v>
      </c>
      <c r="B698" t="str">
        <f>IFERROR(VLOOKUP(Tabla13[[#This Row],[SISMED]],TblDisponibilidad[],2,FALSE), "")</f>
        <v/>
      </c>
      <c r="C698">
        <f>IFERROR(VLOOKUP(Tabla13[[#This Row],[SISMED]],TblDisponibilidad[],7,FALSE), 0)</f>
        <v>0</v>
      </c>
      <c r="D698">
        <f>IFERROR(VLOOKUP(Tabla13[[#This Row],[SISMED]],TblDisponibilidad[],8,FALSE), 0)</f>
        <v>0</v>
      </c>
      <c r="E698">
        <f>IFERROR(VLOOKUP(Tabla13[[#This Row],[SISMED]],TblDisponibilidad[],9,FALSE), 0)</f>
        <v>0</v>
      </c>
      <c r="F698">
        <f>IFERROR(VLOOKUP(Tabla13[[#This Row],[SISMED]],TblDisponibilidad[],10,FALSE), 0)</f>
        <v>0</v>
      </c>
      <c r="G698">
        <f>IFERROR(VLOOKUP(Tabla13[[#This Row],[SISMED]],TblDisponibilidad[],11,FALSE), 0)</f>
        <v>0</v>
      </c>
      <c r="H698">
        <f>IFERROR(VLOOKUP(Tabla13[[#This Row],[SISMED]],TblDisponibilidad[],12,FALSE), 0)</f>
        <v>0</v>
      </c>
      <c r="I698">
        <f>IFERROR(VLOOKUP(Tabla13[[#This Row],[SISMED]],TblDisponibilidad[],13,FALSE), 0)</f>
        <v>0</v>
      </c>
      <c r="J698">
        <f>IFERROR(VLOOKUP(Tabla13[[#This Row],[SISMED]],TblDisponibilidad[],14,FALSE), 0)</f>
        <v>0</v>
      </c>
      <c r="K698">
        <f>IFERROR(VLOOKUP(Tabla13[[#This Row],[SISMED]],TblDisponibilidad[],15,FALSE), 0)</f>
        <v>0</v>
      </c>
      <c r="L698">
        <f>IFERROR(VLOOKUP(Tabla13[[#This Row],[SISMED]],TblDisponibilidad[],16,FALSE), 0)</f>
        <v>0</v>
      </c>
      <c r="M698">
        <f>IFERROR(VLOOKUP(Tabla13[[#This Row],[SISMED]],TblDisponibilidad[],17,FALSE), 0)</f>
        <v>0</v>
      </c>
      <c r="N698">
        <f>IFERROR(VLOOKUP(Tabla13[[#This Row],[SISMED]],TblDisponibilidad[],18,FALSE), 0)</f>
        <v>0</v>
      </c>
      <c r="O698">
        <f>IFERROR(VLOOKUP(Tabla13[[#This Row],[SISMED]],TblDisponibilidad[],19,FALSE), 0)</f>
        <v>0</v>
      </c>
      <c r="P698">
        <f>IFERROR(VLOOKUP(Tabla13[[#This Row],[SISMED]],TblDisponibilidad[],20,FALSE), 0)</f>
        <v>0</v>
      </c>
      <c r="Q698">
        <f>IFERROR(VLOOKUP(Tabla13[[#This Row],[SISMED]],TblDisponibilidad[],21,FALSE), 0)</f>
        <v>0</v>
      </c>
      <c r="R698">
        <f>IFERROR(VLOOKUP(Tabla13[[#This Row],[SISMED]],TblDisponibilidad[],22,FALSE), 0)</f>
        <v>0</v>
      </c>
      <c r="S698" s="15">
        <f>IFERROR(VLOOKUP(Tabla13[[#This Row],[SISMED]],TblDisponibilidad[],23,FALSE), 0)</f>
        <v>0</v>
      </c>
    </row>
    <row r="699" spans="1:19" x14ac:dyDescent="0.3">
      <c r="A699" s="15" t="s">
        <v>729</v>
      </c>
      <c r="B699" t="str">
        <f>IFERROR(VLOOKUP(Tabla13[[#This Row],[SISMED]],TblDisponibilidad[],2,FALSE), "")</f>
        <v/>
      </c>
      <c r="C699">
        <f>IFERROR(VLOOKUP(Tabla13[[#This Row],[SISMED]],TblDisponibilidad[],7,FALSE), 0)</f>
        <v>0</v>
      </c>
      <c r="D699">
        <f>IFERROR(VLOOKUP(Tabla13[[#This Row],[SISMED]],TblDisponibilidad[],8,FALSE), 0)</f>
        <v>0</v>
      </c>
      <c r="E699">
        <f>IFERROR(VLOOKUP(Tabla13[[#This Row],[SISMED]],TblDisponibilidad[],9,FALSE), 0)</f>
        <v>0</v>
      </c>
      <c r="F699">
        <f>IFERROR(VLOOKUP(Tabla13[[#This Row],[SISMED]],TblDisponibilidad[],10,FALSE), 0)</f>
        <v>0</v>
      </c>
      <c r="G699">
        <f>IFERROR(VLOOKUP(Tabla13[[#This Row],[SISMED]],TblDisponibilidad[],11,FALSE), 0)</f>
        <v>0</v>
      </c>
      <c r="H699">
        <f>IFERROR(VLOOKUP(Tabla13[[#This Row],[SISMED]],TblDisponibilidad[],12,FALSE), 0)</f>
        <v>0</v>
      </c>
      <c r="I699">
        <f>IFERROR(VLOOKUP(Tabla13[[#This Row],[SISMED]],TblDisponibilidad[],13,FALSE), 0)</f>
        <v>0</v>
      </c>
      <c r="J699">
        <f>IFERROR(VLOOKUP(Tabla13[[#This Row],[SISMED]],TblDisponibilidad[],14,FALSE), 0)</f>
        <v>0</v>
      </c>
      <c r="K699">
        <f>IFERROR(VLOOKUP(Tabla13[[#This Row],[SISMED]],TblDisponibilidad[],15,FALSE), 0)</f>
        <v>0</v>
      </c>
      <c r="L699">
        <f>IFERROR(VLOOKUP(Tabla13[[#This Row],[SISMED]],TblDisponibilidad[],16,FALSE), 0)</f>
        <v>0</v>
      </c>
      <c r="M699">
        <f>IFERROR(VLOOKUP(Tabla13[[#This Row],[SISMED]],TblDisponibilidad[],17,FALSE), 0)</f>
        <v>0</v>
      </c>
      <c r="N699">
        <f>IFERROR(VLOOKUP(Tabla13[[#This Row],[SISMED]],TblDisponibilidad[],18,FALSE), 0)</f>
        <v>0</v>
      </c>
      <c r="O699">
        <f>IFERROR(VLOOKUP(Tabla13[[#This Row],[SISMED]],TblDisponibilidad[],19,FALSE), 0)</f>
        <v>0</v>
      </c>
      <c r="P699">
        <f>IFERROR(VLOOKUP(Tabla13[[#This Row],[SISMED]],TblDisponibilidad[],20,FALSE), 0)</f>
        <v>0</v>
      </c>
      <c r="Q699">
        <f>IFERROR(VLOOKUP(Tabla13[[#This Row],[SISMED]],TblDisponibilidad[],21,FALSE), 0)</f>
        <v>0</v>
      </c>
      <c r="R699">
        <f>IFERROR(VLOOKUP(Tabla13[[#This Row],[SISMED]],TblDisponibilidad[],22,FALSE), 0)</f>
        <v>0</v>
      </c>
      <c r="S699" s="15">
        <f>IFERROR(VLOOKUP(Tabla13[[#This Row],[SISMED]],TblDisponibilidad[],23,FALSE), 0)</f>
        <v>0</v>
      </c>
    </row>
    <row r="700" spans="1:19" x14ac:dyDescent="0.3">
      <c r="A700" s="15" t="s">
        <v>730</v>
      </c>
      <c r="B700" t="str">
        <f>IFERROR(VLOOKUP(Tabla13[[#This Row],[SISMED]],TblDisponibilidad[],2,FALSE), "")</f>
        <v/>
      </c>
      <c r="C700">
        <f>IFERROR(VLOOKUP(Tabla13[[#This Row],[SISMED]],TblDisponibilidad[],7,FALSE), 0)</f>
        <v>0</v>
      </c>
      <c r="D700">
        <f>IFERROR(VLOOKUP(Tabla13[[#This Row],[SISMED]],TblDisponibilidad[],8,FALSE), 0)</f>
        <v>0</v>
      </c>
      <c r="E700">
        <f>IFERROR(VLOOKUP(Tabla13[[#This Row],[SISMED]],TblDisponibilidad[],9,FALSE), 0)</f>
        <v>0</v>
      </c>
      <c r="F700">
        <f>IFERROR(VLOOKUP(Tabla13[[#This Row],[SISMED]],TblDisponibilidad[],10,FALSE), 0)</f>
        <v>0</v>
      </c>
      <c r="G700">
        <f>IFERROR(VLOOKUP(Tabla13[[#This Row],[SISMED]],TblDisponibilidad[],11,FALSE), 0)</f>
        <v>0</v>
      </c>
      <c r="H700">
        <f>IFERROR(VLOOKUP(Tabla13[[#This Row],[SISMED]],TblDisponibilidad[],12,FALSE), 0)</f>
        <v>0</v>
      </c>
      <c r="I700">
        <f>IFERROR(VLOOKUP(Tabla13[[#This Row],[SISMED]],TblDisponibilidad[],13,FALSE), 0)</f>
        <v>0</v>
      </c>
      <c r="J700">
        <f>IFERROR(VLOOKUP(Tabla13[[#This Row],[SISMED]],TblDisponibilidad[],14,FALSE), 0)</f>
        <v>0</v>
      </c>
      <c r="K700">
        <f>IFERROR(VLOOKUP(Tabla13[[#This Row],[SISMED]],TblDisponibilidad[],15,FALSE), 0)</f>
        <v>0</v>
      </c>
      <c r="L700">
        <f>IFERROR(VLOOKUP(Tabla13[[#This Row],[SISMED]],TblDisponibilidad[],16,FALSE), 0)</f>
        <v>0</v>
      </c>
      <c r="M700">
        <f>IFERROR(VLOOKUP(Tabla13[[#This Row],[SISMED]],TblDisponibilidad[],17,FALSE), 0)</f>
        <v>0</v>
      </c>
      <c r="N700">
        <f>IFERROR(VLOOKUP(Tabla13[[#This Row],[SISMED]],TblDisponibilidad[],18,FALSE), 0)</f>
        <v>0</v>
      </c>
      <c r="O700">
        <f>IFERROR(VLOOKUP(Tabla13[[#This Row],[SISMED]],TblDisponibilidad[],19,FALSE), 0)</f>
        <v>0</v>
      </c>
      <c r="P700">
        <f>IFERROR(VLOOKUP(Tabla13[[#This Row],[SISMED]],TblDisponibilidad[],20,FALSE), 0)</f>
        <v>0</v>
      </c>
      <c r="Q700">
        <f>IFERROR(VLOOKUP(Tabla13[[#This Row],[SISMED]],TblDisponibilidad[],21,FALSE), 0)</f>
        <v>0</v>
      </c>
      <c r="R700">
        <f>IFERROR(VLOOKUP(Tabla13[[#This Row],[SISMED]],TblDisponibilidad[],22,FALSE), 0)</f>
        <v>0</v>
      </c>
      <c r="S700" s="15">
        <f>IFERROR(VLOOKUP(Tabla13[[#This Row],[SISMED]],TblDisponibilidad[],23,FALSE), 0)</f>
        <v>0</v>
      </c>
    </row>
    <row r="701" spans="1:19" x14ac:dyDescent="0.3">
      <c r="A701" s="15" t="s">
        <v>731</v>
      </c>
      <c r="B701" t="str">
        <f>IFERROR(VLOOKUP(Tabla13[[#This Row],[SISMED]],TblDisponibilidad[],2,FALSE), "")</f>
        <v/>
      </c>
      <c r="C701">
        <f>IFERROR(VLOOKUP(Tabla13[[#This Row],[SISMED]],TblDisponibilidad[],7,FALSE), 0)</f>
        <v>0</v>
      </c>
      <c r="D701">
        <f>IFERROR(VLOOKUP(Tabla13[[#This Row],[SISMED]],TblDisponibilidad[],8,FALSE), 0)</f>
        <v>0</v>
      </c>
      <c r="E701">
        <f>IFERROR(VLOOKUP(Tabla13[[#This Row],[SISMED]],TblDisponibilidad[],9,FALSE), 0)</f>
        <v>0</v>
      </c>
      <c r="F701">
        <f>IFERROR(VLOOKUP(Tabla13[[#This Row],[SISMED]],TblDisponibilidad[],10,FALSE), 0)</f>
        <v>0</v>
      </c>
      <c r="G701">
        <f>IFERROR(VLOOKUP(Tabla13[[#This Row],[SISMED]],TblDisponibilidad[],11,FALSE), 0)</f>
        <v>0</v>
      </c>
      <c r="H701">
        <f>IFERROR(VLOOKUP(Tabla13[[#This Row],[SISMED]],TblDisponibilidad[],12,FALSE), 0)</f>
        <v>0</v>
      </c>
      <c r="I701">
        <f>IFERROR(VLOOKUP(Tabla13[[#This Row],[SISMED]],TblDisponibilidad[],13,FALSE), 0)</f>
        <v>0</v>
      </c>
      <c r="J701">
        <f>IFERROR(VLOOKUP(Tabla13[[#This Row],[SISMED]],TblDisponibilidad[],14,FALSE), 0)</f>
        <v>0</v>
      </c>
      <c r="K701">
        <f>IFERROR(VLOOKUP(Tabla13[[#This Row],[SISMED]],TblDisponibilidad[],15,FALSE), 0)</f>
        <v>0</v>
      </c>
      <c r="L701">
        <f>IFERROR(VLOOKUP(Tabla13[[#This Row],[SISMED]],TblDisponibilidad[],16,FALSE), 0)</f>
        <v>0</v>
      </c>
      <c r="M701">
        <f>IFERROR(VLOOKUP(Tabla13[[#This Row],[SISMED]],TblDisponibilidad[],17,FALSE), 0)</f>
        <v>0</v>
      </c>
      <c r="N701">
        <f>IFERROR(VLOOKUP(Tabla13[[#This Row],[SISMED]],TblDisponibilidad[],18,FALSE), 0)</f>
        <v>0</v>
      </c>
      <c r="O701">
        <f>IFERROR(VLOOKUP(Tabla13[[#This Row],[SISMED]],TblDisponibilidad[],19,FALSE), 0)</f>
        <v>0</v>
      </c>
      <c r="P701">
        <f>IFERROR(VLOOKUP(Tabla13[[#This Row],[SISMED]],TblDisponibilidad[],20,FALSE), 0)</f>
        <v>0</v>
      </c>
      <c r="Q701">
        <f>IFERROR(VLOOKUP(Tabla13[[#This Row],[SISMED]],TblDisponibilidad[],21,FALSE), 0)</f>
        <v>0</v>
      </c>
      <c r="R701">
        <f>IFERROR(VLOOKUP(Tabla13[[#This Row],[SISMED]],TblDisponibilidad[],22,FALSE), 0)</f>
        <v>0</v>
      </c>
      <c r="S701" s="15">
        <f>IFERROR(VLOOKUP(Tabla13[[#This Row],[SISMED]],TblDisponibilidad[],23,FALSE), 0)</f>
        <v>0</v>
      </c>
    </row>
    <row r="702" spans="1:19" x14ac:dyDescent="0.3">
      <c r="A702" s="15" t="s">
        <v>732</v>
      </c>
      <c r="B702" t="str">
        <f>IFERROR(VLOOKUP(Tabla13[[#This Row],[SISMED]],TblDisponibilidad[],2,FALSE), "")</f>
        <v/>
      </c>
      <c r="C702">
        <f>IFERROR(VLOOKUP(Tabla13[[#This Row],[SISMED]],TblDisponibilidad[],7,FALSE), 0)</f>
        <v>0</v>
      </c>
      <c r="D702">
        <f>IFERROR(VLOOKUP(Tabla13[[#This Row],[SISMED]],TblDisponibilidad[],8,FALSE), 0)</f>
        <v>0</v>
      </c>
      <c r="E702">
        <f>IFERROR(VLOOKUP(Tabla13[[#This Row],[SISMED]],TblDisponibilidad[],9,FALSE), 0)</f>
        <v>0</v>
      </c>
      <c r="F702">
        <f>IFERROR(VLOOKUP(Tabla13[[#This Row],[SISMED]],TblDisponibilidad[],10,FALSE), 0)</f>
        <v>0</v>
      </c>
      <c r="G702">
        <f>IFERROR(VLOOKUP(Tabla13[[#This Row],[SISMED]],TblDisponibilidad[],11,FALSE), 0)</f>
        <v>0</v>
      </c>
      <c r="H702">
        <f>IFERROR(VLOOKUP(Tabla13[[#This Row],[SISMED]],TblDisponibilidad[],12,FALSE), 0)</f>
        <v>0</v>
      </c>
      <c r="I702">
        <f>IFERROR(VLOOKUP(Tabla13[[#This Row],[SISMED]],TblDisponibilidad[],13,FALSE), 0)</f>
        <v>0</v>
      </c>
      <c r="J702">
        <f>IFERROR(VLOOKUP(Tabla13[[#This Row],[SISMED]],TblDisponibilidad[],14,FALSE), 0)</f>
        <v>0</v>
      </c>
      <c r="K702">
        <f>IFERROR(VLOOKUP(Tabla13[[#This Row],[SISMED]],TblDisponibilidad[],15,FALSE), 0)</f>
        <v>0</v>
      </c>
      <c r="L702">
        <f>IFERROR(VLOOKUP(Tabla13[[#This Row],[SISMED]],TblDisponibilidad[],16,FALSE), 0)</f>
        <v>0</v>
      </c>
      <c r="M702">
        <f>IFERROR(VLOOKUP(Tabla13[[#This Row],[SISMED]],TblDisponibilidad[],17,FALSE), 0)</f>
        <v>0</v>
      </c>
      <c r="N702">
        <f>IFERROR(VLOOKUP(Tabla13[[#This Row],[SISMED]],TblDisponibilidad[],18,FALSE), 0)</f>
        <v>0</v>
      </c>
      <c r="O702">
        <f>IFERROR(VLOOKUP(Tabla13[[#This Row],[SISMED]],TblDisponibilidad[],19,FALSE), 0)</f>
        <v>0</v>
      </c>
      <c r="P702">
        <f>IFERROR(VLOOKUP(Tabla13[[#This Row],[SISMED]],TblDisponibilidad[],20,FALSE), 0)</f>
        <v>0</v>
      </c>
      <c r="Q702">
        <f>IFERROR(VLOOKUP(Tabla13[[#This Row],[SISMED]],TblDisponibilidad[],21,FALSE), 0)</f>
        <v>0</v>
      </c>
      <c r="R702">
        <f>IFERROR(VLOOKUP(Tabla13[[#This Row],[SISMED]],TblDisponibilidad[],22,FALSE), 0)</f>
        <v>0</v>
      </c>
      <c r="S702" s="15">
        <f>IFERROR(VLOOKUP(Tabla13[[#This Row],[SISMED]],TblDisponibilidad[],23,FALSE), 0)</f>
        <v>0</v>
      </c>
    </row>
    <row r="703" spans="1:19" x14ac:dyDescent="0.3">
      <c r="A703" s="15" t="s">
        <v>733</v>
      </c>
      <c r="B703" t="str">
        <f>IFERROR(VLOOKUP(Tabla13[[#This Row],[SISMED]],TblDisponibilidad[],2,FALSE), "")</f>
        <v/>
      </c>
      <c r="C703">
        <f>IFERROR(VLOOKUP(Tabla13[[#This Row],[SISMED]],TblDisponibilidad[],7,FALSE), 0)</f>
        <v>0</v>
      </c>
      <c r="D703">
        <f>IFERROR(VLOOKUP(Tabla13[[#This Row],[SISMED]],TblDisponibilidad[],8,FALSE), 0)</f>
        <v>0</v>
      </c>
      <c r="E703">
        <f>IFERROR(VLOOKUP(Tabla13[[#This Row],[SISMED]],TblDisponibilidad[],9,FALSE), 0)</f>
        <v>0</v>
      </c>
      <c r="F703">
        <f>IFERROR(VLOOKUP(Tabla13[[#This Row],[SISMED]],TblDisponibilidad[],10,FALSE), 0)</f>
        <v>0</v>
      </c>
      <c r="G703">
        <f>IFERROR(VLOOKUP(Tabla13[[#This Row],[SISMED]],TblDisponibilidad[],11,FALSE), 0)</f>
        <v>0</v>
      </c>
      <c r="H703">
        <f>IFERROR(VLOOKUP(Tabla13[[#This Row],[SISMED]],TblDisponibilidad[],12,FALSE), 0)</f>
        <v>0</v>
      </c>
      <c r="I703">
        <f>IFERROR(VLOOKUP(Tabla13[[#This Row],[SISMED]],TblDisponibilidad[],13,FALSE), 0)</f>
        <v>0</v>
      </c>
      <c r="J703">
        <f>IFERROR(VLOOKUP(Tabla13[[#This Row],[SISMED]],TblDisponibilidad[],14,FALSE), 0)</f>
        <v>0</v>
      </c>
      <c r="K703">
        <f>IFERROR(VLOOKUP(Tabla13[[#This Row],[SISMED]],TblDisponibilidad[],15,FALSE), 0)</f>
        <v>0</v>
      </c>
      <c r="L703">
        <f>IFERROR(VLOOKUP(Tabla13[[#This Row],[SISMED]],TblDisponibilidad[],16,FALSE), 0)</f>
        <v>0</v>
      </c>
      <c r="M703">
        <f>IFERROR(VLOOKUP(Tabla13[[#This Row],[SISMED]],TblDisponibilidad[],17,FALSE), 0)</f>
        <v>0</v>
      </c>
      <c r="N703">
        <f>IFERROR(VLOOKUP(Tabla13[[#This Row],[SISMED]],TblDisponibilidad[],18,FALSE), 0)</f>
        <v>0</v>
      </c>
      <c r="O703">
        <f>IFERROR(VLOOKUP(Tabla13[[#This Row],[SISMED]],TblDisponibilidad[],19,FALSE), 0)</f>
        <v>0</v>
      </c>
      <c r="P703">
        <f>IFERROR(VLOOKUP(Tabla13[[#This Row],[SISMED]],TblDisponibilidad[],20,FALSE), 0)</f>
        <v>0</v>
      </c>
      <c r="Q703">
        <f>IFERROR(VLOOKUP(Tabla13[[#This Row],[SISMED]],TblDisponibilidad[],21,FALSE), 0)</f>
        <v>0</v>
      </c>
      <c r="R703">
        <f>IFERROR(VLOOKUP(Tabla13[[#This Row],[SISMED]],TblDisponibilidad[],22,FALSE), 0)</f>
        <v>0</v>
      </c>
      <c r="S703" s="15">
        <f>IFERROR(VLOOKUP(Tabla13[[#This Row],[SISMED]],TblDisponibilidad[],23,FALSE), 0)</f>
        <v>0</v>
      </c>
    </row>
    <row r="704" spans="1:19" x14ac:dyDescent="0.3">
      <c r="A704" s="15" t="s">
        <v>734</v>
      </c>
      <c r="B704" t="str">
        <f>IFERROR(VLOOKUP(Tabla13[[#This Row],[SISMED]],TblDisponibilidad[],2,FALSE), "")</f>
        <v/>
      </c>
      <c r="C704">
        <f>IFERROR(VLOOKUP(Tabla13[[#This Row],[SISMED]],TblDisponibilidad[],7,FALSE), 0)</f>
        <v>0</v>
      </c>
      <c r="D704">
        <f>IFERROR(VLOOKUP(Tabla13[[#This Row],[SISMED]],TblDisponibilidad[],8,FALSE), 0)</f>
        <v>0</v>
      </c>
      <c r="E704">
        <f>IFERROR(VLOOKUP(Tabla13[[#This Row],[SISMED]],TblDisponibilidad[],9,FALSE), 0)</f>
        <v>0</v>
      </c>
      <c r="F704">
        <f>IFERROR(VLOOKUP(Tabla13[[#This Row],[SISMED]],TblDisponibilidad[],10,FALSE), 0)</f>
        <v>0</v>
      </c>
      <c r="G704">
        <f>IFERROR(VLOOKUP(Tabla13[[#This Row],[SISMED]],TblDisponibilidad[],11,FALSE), 0)</f>
        <v>0</v>
      </c>
      <c r="H704">
        <f>IFERROR(VLOOKUP(Tabla13[[#This Row],[SISMED]],TblDisponibilidad[],12,FALSE), 0)</f>
        <v>0</v>
      </c>
      <c r="I704">
        <f>IFERROR(VLOOKUP(Tabla13[[#This Row],[SISMED]],TblDisponibilidad[],13,FALSE), 0)</f>
        <v>0</v>
      </c>
      <c r="J704">
        <f>IFERROR(VLOOKUP(Tabla13[[#This Row],[SISMED]],TblDisponibilidad[],14,FALSE), 0)</f>
        <v>0</v>
      </c>
      <c r="K704">
        <f>IFERROR(VLOOKUP(Tabla13[[#This Row],[SISMED]],TblDisponibilidad[],15,FALSE), 0)</f>
        <v>0</v>
      </c>
      <c r="L704">
        <f>IFERROR(VLOOKUP(Tabla13[[#This Row],[SISMED]],TblDisponibilidad[],16,FALSE), 0)</f>
        <v>0</v>
      </c>
      <c r="M704">
        <f>IFERROR(VLOOKUP(Tabla13[[#This Row],[SISMED]],TblDisponibilidad[],17,FALSE), 0)</f>
        <v>0</v>
      </c>
      <c r="N704">
        <f>IFERROR(VLOOKUP(Tabla13[[#This Row],[SISMED]],TblDisponibilidad[],18,FALSE), 0)</f>
        <v>0</v>
      </c>
      <c r="O704">
        <f>IFERROR(VLOOKUP(Tabla13[[#This Row],[SISMED]],TblDisponibilidad[],19,FALSE), 0)</f>
        <v>0</v>
      </c>
      <c r="P704">
        <f>IFERROR(VLOOKUP(Tabla13[[#This Row],[SISMED]],TblDisponibilidad[],20,FALSE), 0)</f>
        <v>0</v>
      </c>
      <c r="Q704">
        <f>IFERROR(VLOOKUP(Tabla13[[#This Row],[SISMED]],TblDisponibilidad[],21,FALSE), 0)</f>
        <v>0</v>
      </c>
      <c r="R704">
        <f>IFERROR(VLOOKUP(Tabla13[[#This Row],[SISMED]],TblDisponibilidad[],22,FALSE), 0)</f>
        <v>0</v>
      </c>
      <c r="S704" s="15">
        <f>IFERROR(VLOOKUP(Tabla13[[#This Row],[SISMED]],TblDisponibilidad[],23,FALSE), 0)</f>
        <v>0</v>
      </c>
    </row>
    <row r="705" spans="1:19" x14ac:dyDescent="0.3">
      <c r="A705" s="15" t="s">
        <v>735</v>
      </c>
      <c r="B705" t="str">
        <f>IFERROR(VLOOKUP(Tabla13[[#This Row],[SISMED]],TblDisponibilidad[],2,FALSE), "")</f>
        <v/>
      </c>
      <c r="C705">
        <f>IFERROR(VLOOKUP(Tabla13[[#This Row],[SISMED]],TblDisponibilidad[],7,FALSE), 0)</f>
        <v>0</v>
      </c>
      <c r="D705">
        <f>IFERROR(VLOOKUP(Tabla13[[#This Row],[SISMED]],TblDisponibilidad[],8,FALSE), 0)</f>
        <v>0</v>
      </c>
      <c r="E705">
        <f>IFERROR(VLOOKUP(Tabla13[[#This Row],[SISMED]],TblDisponibilidad[],9,FALSE), 0)</f>
        <v>0</v>
      </c>
      <c r="F705">
        <f>IFERROR(VLOOKUP(Tabla13[[#This Row],[SISMED]],TblDisponibilidad[],10,FALSE), 0)</f>
        <v>0</v>
      </c>
      <c r="G705">
        <f>IFERROR(VLOOKUP(Tabla13[[#This Row],[SISMED]],TblDisponibilidad[],11,FALSE), 0)</f>
        <v>0</v>
      </c>
      <c r="H705">
        <f>IFERROR(VLOOKUP(Tabla13[[#This Row],[SISMED]],TblDisponibilidad[],12,FALSE), 0)</f>
        <v>0</v>
      </c>
      <c r="I705">
        <f>IFERROR(VLOOKUP(Tabla13[[#This Row],[SISMED]],TblDisponibilidad[],13,FALSE), 0)</f>
        <v>0</v>
      </c>
      <c r="J705">
        <f>IFERROR(VLOOKUP(Tabla13[[#This Row],[SISMED]],TblDisponibilidad[],14,FALSE), 0)</f>
        <v>0</v>
      </c>
      <c r="K705">
        <f>IFERROR(VLOOKUP(Tabla13[[#This Row],[SISMED]],TblDisponibilidad[],15,FALSE), 0)</f>
        <v>0</v>
      </c>
      <c r="L705">
        <f>IFERROR(VLOOKUP(Tabla13[[#This Row],[SISMED]],TblDisponibilidad[],16,FALSE), 0)</f>
        <v>0</v>
      </c>
      <c r="M705">
        <f>IFERROR(VLOOKUP(Tabla13[[#This Row],[SISMED]],TblDisponibilidad[],17,FALSE), 0)</f>
        <v>0</v>
      </c>
      <c r="N705">
        <f>IFERROR(VLOOKUP(Tabla13[[#This Row],[SISMED]],TblDisponibilidad[],18,FALSE), 0)</f>
        <v>0</v>
      </c>
      <c r="O705">
        <f>IFERROR(VLOOKUP(Tabla13[[#This Row],[SISMED]],TblDisponibilidad[],19,FALSE), 0)</f>
        <v>0</v>
      </c>
      <c r="P705">
        <f>IFERROR(VLOOKUP(Tabla13[[#This Row],[SISMED]],TblDisponibilidad[],20,FALSE), 0)</f>
        <v>0</v>
      </c>
      <c r="Q705">
        <f>IFERROR(VLOOKUP(Tabla13[[#This Row],[SISMED]],TblDisponibilidad[],21,FALSE), 0)</f>
        <v>0</v>
      </c>
      <c r="R705">
        <f>IFERROR(VLOOKUP(Tabla13[[#This Row],[SISMED]],TblDisponibilidad[],22,FALSE), 0)</f>
        <v>0</v>
      </c>
      <c r="S705" s="15">
        <f>IFERROR(VLOOKUP(Tabla13[[#This Row],[SISMED]],TblDisponibilidad[],23,FALSE), 0)</f>
        <v>0</v>
      </c>
    </row>
    <row r="706" spans="1:19" x14ac:dyDescent="0.3">
      <c r="A706" s="15" t="s">
        <v>736</v>
      </c>
      <c r="B706" t="str">
        <f>IFERROR(VLOOKUP(Tabla13[[#This Row],[SISMED]],TblDisponibilidad[],2,FALSE), "")</f>
        <v/>
      </c>
      <c r="C706">
        <f>IFERROR(VLOOKUP(Tabla13[[#This Row],[SISMED]],TblDisponibilidad[],7,FALSE), 0)</f>
        <v>0</v>
      </c>
      <c r="D706">
        <f>IFERROR(VLOOKUP(Tabla13[[#This Row],[SISMED]],TblDisponibilidad[],8,FALSE), 0)</f>
        <v>0</v>
      </c>
      <c r="E706">
        <f>IFERROR(VLOOKUP(Tabla13[[#This Row],[SISMED]],TblDisponibilidad[],9,FALSE), 0)</f>
        <v>0</v>
      </c>
      <c r="F706">
        <f>IFERROR(VLOOKUP(Tabla13[[#This Row],[SISMED]],TblDisponibilidad[],10,FALSE), 0)</f>
        <v>0</v>
      </c>
      <c r="G706">
        <f>IFERROR(VLOOKUP(Tabla13[[#This Row],[SISMED]],TblDisponibilidad[],11,FALSE), 0)</f>
        <v>0</v>
      </c>
      <c r="H706">
        <f>IFERROR(VLOOKUP(Tabla13[[#This Row],[SISMED]],TblDisponibilidad[],12,FALSE), 0)</f>
        <v>0</v>
      </c>
      <c r="I706">
        <f>IFERROR(VLOOKUP(Tabla13[[#This Row],[SISMED]],TblDisponibilidad[],13,FALSE), 0)</f>
        <v>0</v>
      </c>
      <c r="J706">
        <f>IFERROR(VLOOKUP(Tabla13[[#This Row],[SISMED]],TblDisponibilidad[],14,FALSE), 0)</f>
        <v>0</v>
      </c>
      <c r="K706">
        <f>IFERROR(VLOOKUP(Tabla13[[#This Row],[SISMED]],TblDisponibilidad[],15,FALSE), 0)</f>
        <v>0</v>
      </c>
      <c r="L706">
        <f>IFERROR(VLOOKUP(Tabla13[[#This Row],[SISMED]],TblDisponibilidad[],16,FALSE), 0)</f>
        <v>0</v>
      </c>
      <c r="M706">
        <f>IFERROR(VLOOKUP(Tabla13[[#This Row],[SISMED]],TblDisponibilidad[],17,FALSE), 0)</f>
        <v>0</v>
      </c>
      <c r="N706">
        <f>IFERROR(VLOOKUP(Tabla13[[#This Row],[SISMED]],TblDisponibilidad[],18,FALSE), 0)</f>
        <v>0</v>
      </c>
      <c r="O706">
        <f>IFERROR(VLOOKUP(Tabla13[[#This Row],[SISMED]],TblDisponibilidad[],19,FALSE), 0)</f>
        <v>0</v>
      </c>
      <c r="P706">
        <f>IFERROR(VLOOKUP(Tabla13[[#This Row],[SISMED]],TblDisponibilidad[],20,FALSE), 0)</f>
        <v>0</v>
      </c>
      <c r="Q706">
        <f>IFERROR(VLOOKUP(Tabla13[[#This Row],[SISMED]],TblDisponibilidad[],21,FALSE), 0)</f>
        <v>0</v>
      </c>
      <c r="R706">
        <f>IFERROR(VLOOKUP(Tabla13[[#This Row],[SISMED]],TblDisponibilidad[],22,FALSE), 0)</f>
        <v>0</v>
      </c>
      <c r="S706" s="15">
        <f>IFERROR(VLOOKUP(Tabla13[[#This Row],[SISMED]],TblDisponibilidad[],23,FALSE), 0)</f>
        <v>0</v>
      </c>
    </row>
    <row r="707" spans="1:19" x14ac:dyDescent="0.3">
      <c r="A707" s="15" t="s">
        <v>737</v>
      </c>
      <c r="B707" t="str">
        <f>IFERROR(VLOOKUP(Tabla13[[#This Row],[SISMED]],TblDisponibilidad[],2,FALSE), "")</f>
        <v/>
      </c>
      <c r="C707">
        <f>IFERROR(VLOOKUP(Tabla13[[#This Row],[SISMED]],TblDisponibilidad[],7,FALSE), 0)</f>
        <v>0</v>
      </c>
      <c r="D707">
        <f>IFERROR(VLOOKUP(Tabla13[[#This Row],[SISMED]],TblDisponibilidad[],8,FALSE), 0)</f>
        <v>0</v>
      </c>
      <c r="E707">
        <f>IFERROR(VLOOKUP(Tabla13[[#This Row],[SISMED]],TblDisponibilidad[],9,FALSE), 0)</f>
        <v>0</v>
      </c>
      <c r="F707">
        <f>IFERROR(VLOOKUP(Tabla13[[#This Row],[SISMED]],TblDisponibilidad[],10,FALSE), 0)</f>
        <v>0</v>
      </c>
      <c r="G707">
        <f>IFERROR(VLOOKUP(Tabla13[[#This Row],[SISMED]],TblDisponibilidad[],11,FALSE), 0)</f>
        <v>0</v>
      </c>
      <c r="H707">
        <f>IFERROR(VLOOKUP(Tabla13[[#This Row],[SISMED]],TblDisponibilidad[],12,FALSE), 0)</f>
        <v>0</v>
      </c>
      <c r="I707">
        <f>IFERROR(VLOOKUP(Tabla13[[#This Row],[SISMED]],TblDisponibilidad[],13,FALSE), 0)</f>
        <v>0</v>
      </c>
      <c r="J707">
        <f>IFERROR(VLOOKUP(Tabla13[[#This Row],[SISMED]],TblDisponibilidad[],14,FALSE), 0)</f>
        <v>0</v>
      </c>
      <c r="K707">
        <f>IFERROR(VLOOKUP(Tabla13[[#This Row],[SISMED]],TblDisponibilidad[],15,FALSE), 0)</f>
        <v>0</v>
      </c>
      <c r="L707">
        <f>IFERROR(VLOOKUP(Tabla13[[#This Row],[SISMED]],TblDisponibilidad[],16,FALSE), 0)</f>
        <v>0</v>
      </c>
      <c r="M707">
        <f>IFERROR(VLOOKUP(Tabla13[[#This Row],[SISMED]],TblDisponibilidad[],17,FALSE), 0)</f>
        <v>0</v>
      </c>
      <c r="N707">
        <f>IFERROR(VLOOKUP(Tabla13[[#This Row],[SISMED]],TblDisponibilidad[],18,FALSE), 0)</f>
        <v>0</v>
      </c>
      <c r="O707">
        <f>IFERROR(VLOOKUP(Tabla13[[#This Row],[SISMED]],TblDisponibilidad[],19,FALSE), 0)</f>
        <v>0</v>
      </c>
      <c r="P707">
        <f>IFERROR(VLOOKUP(Tabla13[[#This Row],[SISMED]],TblDisponibilidad[],20,FALSE), 0)</f>
        <v>0</v>
      </c>
      <c r="Q707">
        <f>IFERROR(VLOOKUP(Tabla13[[#This Row],[SISMED]],TblDisponibilidad[],21,FALSE), 0)</f>
        <v>0</v>
      </c>
      <c r="R707">
        <f>IFERROR(VLOOKUP(Tabla13[[#This Row],[SISMED]],TblDisponibilidad[],22,FALSE), 0)</f>
        <v>0</v>
      </c>
      <c r="S707" s="15">
        <f>IFERROR(VLOOKUP(Tabla13[[#This Row],[SISMED]],TblDisponibilidad[],23,FALSE), 0)</f>
        <v>0</v>
      </c>
    </row>
    <row r="708" spans="1:19" x14ac:dyDescent="0.3">
      <c r="A708" s="15" t="s">
        <v>738</v>
      </c>
      <c r="B708" t="str">
        <f>IFERROR(VLOOKUP(Tabla13[[#This Row],[SISMED]],TblDisponibilidad[],2,FALSE), "")</f>
        <v/>
      </c>
      <c r="C708">
        <f>IFERROR(VLOOKUP(Tabla13[[#This Row],[SISMED]],TblDisponibilidad[],7,FALSE), 0)</f>
        <v>0</v>
      </c>
      <c r="D708">
        <f>IFERROR(VLOOKUP(Tabla13[[#This Row],[SISMED]],TblDisponibilidad[],8,FALSE), 0)</f>
        <v>0</v>
      </c>
      <c r="E708">
        <f>IFERROR(VLOOKUP(Tabla13[[#This Row],[SISMED]],TblDisponibilidad[],9,FALSE), 0)</f>
        <v>0</v>
      </c>
      <c r="F708">
        <f>IFERROR(VLOOKUP(Tabla13[[#This Row],[SISMED]],TblDisponibilidad[],10,FALSE), 0)</f>
        <v>0</v>
      </c>
      <c r="G708">
        <f>IFERROR(VLOOKUP(Tabla13[[#This Row],[SISMED]],TblDisponibilidad[],11,FALSE), 0)</f>
        <v>0</v>
      </c>
      <c r="H708">
        <f>IFERROR(VLOOKUP(Tabla13[[#This Row],[SISMED]],TblDisponibilidad[],12,FALSE), 0)</f>
        <v>0</v>
      </c>
      <c r="I708">
        <f>IFERROR(VLOOKUP(Tabla13[[#This Row],[SISMED]],TblDisponibilidad[],13,FALSE), 0)</f>
        <v>0</v>
      </c>
      <c r="J708">
        <f>IFERROR(VLOOKUP(Tabla13[[#This Row],[SISMED]],TblDisponibilidad[],14,FALSE), 0)</f>
        <v>0</v>
      </c>
      <c r="K708">
        <f>IFERROR(VLOOKUP(Tabla13[[#This Row],[SISMED]],TblDisponibilidad[],15,FALSE), 0)</f>
        <v>0</v>
      </c>
      <c r="L708">
        <f>IFERROR(VLOOKUP(Tabla13[[#This Row],[SISMED]],TblDisponibilidad[],16,FALSE), 0)</f>
        <v>0</v>
      </c>
      <c r="M708">
        <f>IFERROR(VLOOKUP(Tabla13[[#This Row],[SISMED]],TblDisponibilidad[],17,FALSE), 0)</f>
        <v>0</v>
      </c>
      <c r="N708">
        <f>IFERROR(VLOOKUP(Tabla13[[#This Row],[SISMED]],TblDisponibilidad[],18,FALSE), 0)</f>
        <v>0</v>
      </c>
      <c r="O708">
        <f>IFERROR(VLOOKUP(Tabla13[[#This Row],[SISMED]],TblDisponibilidad[],19,FALSE), 0)</f>
        <v>0</v>
      </c>
      <c r="P708">
        <f>IFERROR(VLOOKUP(Tabla13[[#This Row],[SISMED]],TblDisponibilidad[],20,FALSE), 0)</f>
        <v>0</v>
      </c>
      <c r="Q708">
        <f>IFERROR(VLOOKUP(Tabla13[[#This Row],[SISMED]],TblDisponibilidad[],21,FALSE), 0)</f>
        <v>0</v>
      </c>
      <c r="R708">
        <f>IFERROR(VLOOKUP(Tabla13[[#This Row],[SISMED]],TblDisponibilidad[],22,FALSE), 0)</f>
        <v>0</v>
      </c>
      <c r="S708" s="15">
        <f>IFERROR(VLOOKUP(Tabla13[[#This Row],[SISMED]],TblDisponibilidad[],23,FALSE), 0)</f>
        <v>0</v>
      </c>
    </row>
    <row r="709" spans="1:19" x14ac:dyDescent="0.3">
      <c r="A709" s="15" t="s">
        <v>739</v>
      </c>
      <c r="B709" t="str">
        <f>IFERROR(VLOOKUP(Tabla13[[#This Row],[SISMED]],TblDisponibilidad[],2,FALSE), "")</f>
        <v/>
      </c>
      <c r="C709">
        <f>IFERROR(VLOOKUP(Tabla13[[#This Row],[SISMED]],TblDisponibilidad[],7,FALSE), 0)</f>
        <v>0</v>
      </c>
      <c r="D709">
        <f>IFERROR(VLOOKUP(Tabla13[[#This Row],[SISMED]],TblDisponibilidad[],8,FALSE), 0)</f>
        <v>0</v>
      </c>
      <c r="E709">
        <f>IFERROR(VLOOKUP(Tabla13[[#This Row],[SISMED]],TblDisponibilidad[],9,FALSE), 0)</f>
        <v>0</v>
      </c>
      <c r="F709">
        <f>IFERROR(VLOOKUP(Tabla13[[#This Row],[SISMED]],TblDisponibilidad[],10,FALSE), 0)</f>
        <v>0</v>
      </c>
      <c r="G709">
        <f>IFERROR(VLOOKUP(Tabla13[[#This Row],[SISMED]],TblDisponibilidad[],11,FALSE), 0)</f>
        <v>0</v>
      </c>
      <c r="H709">
        <f>IFERROR(VLOOKUP(Tabla13[[#This Row],[SISMED]],TblDisponibilidad[],12,FALSE), 0)</f>
        <v>0</v>
      </c>
      <c r="I709">
        <f>IFERROR(VLOOKUP(Tabla13[[#This Row],[SISMED]],TblDisponibilidad[],13,FALSE), 0)</f>
        <v>0</v>
      </c>
      <c r="J709">
        <f>IFERROR(VLOOKUP(Tabla13[[#This Row],[SISMED]],TblDisponibilidad[],14,FALSE), 0)</f>
        <v>0</v>
      </c>
      <c r="K709">
        <f>IFERROR(VLOOKUP(Tabla13[[#This Row],[SISMED]],TblDisponibilidad[],15,FALSE), 0)</f>
        <v>0</v>
      </c>
      <c r="L709">
        <f>IFERROR(VLOOKUP(Tabla13[[#This Row],[SISMED]],TblDisponibilidad[],16,FALSE), 0)</f>
        <v>0</v>
      </c>
      <c r="M709">
        <f>IFERROR(VLOOKUP(Tabla13[[#This Row],[SISMED]],TblDisponibilidad[],17,FALSE), 0)</f>
        <v>0</v>
      </c>
      <c r="N709">
        <f>IFERROR(VLOOKUP(Tabla13[[#This Row],[SISMED]],TblDisponibilidad[],18,FALSE), 0)</f>
        <v>0</v>
      </c>
      <c r="O709">
        <f>IFERROR(VLOOKUP(Tabla13[[#This Row],[SISMED]],TblDisponibilidad[],19,FALSE), 0)</f>
        <v>0</v>
      </c>
      <c r="P709">
        <f>IFERROR(VLOOKUP(Tabla13[[#This Row],[SISMED]],TblDisponibilidad[],20,FALSE), 0)</f>
        <v>0</v>
      </c>
      <c r="Q709">
        <f>IFERROR(VLOOKUP(Tabla13[[#This Row],[SISMED]],TblDisponibilidad[],21,FALSE), 0)</f>
        <v>0</v>
      </c>
      <c r="R709">
        <f>IFERROR(VLOOKUP(Tabla13[[#This Row],[SISMED]],TblDisponibilidad[],22,FALSE), 0)</f>
        <v>0</v>
      </c>
      <c r="S709" s="15">
        <f>IFERROR(VLOOKUP(Tabla13[[#This Row],[SISMED]],TblDisponibilidad[],23,FALSE), 0)</f>
        <v>0</v>
      </c>
    </row>
    <row r="710" spans="1:19" x14ac:dyDescent="0.3">
      <c r="A710" s="15" t="s">
        <v>740</v>
      </c>
      <c r="B710" t="str">
        <f>IFERROR(VLOOKUP(Tabla13[[#This Row],[SISMED]],TblDisponibilidad[],2,FALSE), "")</f>
        <v/>
      </c>
      <c r="C710">
        <f>IFERROR(VLOOKUP(Tabla13[[#This Row],[SISMED]],TblDisponibilidad[],7,FALSE), 0)</f>
        <v>0</v>
      </c>
      <c r="D710">
        <f>IFERROR(VLOOKUP(Tabla13[[#This Row],[SISMED]],TblDisponibilidad[],8,FALSE), 0)</f>
        <v>0</v>
      </c>
      <c r="E710">
        <f>IFERROR(VLOOKUP(Tabla13[[#This Row],[SISMED]],TblDisponibilidad[],9,FALSE), 0)</f>
        <v>0</v>
      </c>
      <c r="F710">
        <f>IFERROR(VLOOKUP(Tabla13[[#This Row],[SISMED]],TblDisponibilidad[],10,FALSE), 0)</f>
        <v>0</v>
      </c>
      <c r="G710">
        <f>IFERROR(VLOOKUP(Tabla13[[#This Row],[SISMED]],TblDisponibilidad[],11,FALSE), 0)</f>
        <v>0</v>
      </c>
      <c r="H710">
        <f>IFERROR(VLOOKUP(Tabla13[[#This Row],[SISMED]],TblDisponibilidad[],12,FALSE), 0)</f>
        <v>0</v>
      </c>
      <c r="I710">
        <f>IFERROR(VLOOKUP(Tabla13[[#This Row],[SISMED]],TblDisponibilidad[],13,FALSE), 0)</f>
        <v>0</v>
      </c>
      <c r="J710">
        <f>IFERROR(VLOOKUP(Tabla13[[#This Row],[SISMED]],TblDisponibilidad[],14,FALSE), 0)</f>
        <v>0</v>
      </c>
      <c r="K710">
        <f>IFERROR(VLOOKUP(Tabla13[[#This Row],[SISMED]],TblDisponibilidad[],15,FALSE), 0)</f>
        <v>0</v>
      </c>
      <c r="L710">
        <f>IFERROR(VLOOKUP(Tabla13[[#This Row],[SISMED]],TblDisponibilidad[],16,FALSE), 0)</f>
        <v>0</v>
      </c>
      <c r="M710">
        <f>IFERROR(VLOOKUP(Tabla13[[#This Row],[SISMED]],TblDisponibilidad[],17,FALSE), 0)</f>
        <v>0</v>
      </c>
      <c r="N710">
        <f>IFERROR(VLOOKUP(Tabla13[[#This Row],[SISMED]],TblDisponibilidad[],18,FALSE), 0)</f>
        <v>0</v>
      </c>
      <c r="O710">
        <f>IFERROR(VLOOKUP(Tabla13[[#This Row],[SISMED]],TblDisponibilidad[],19,FALSE), 0)</f>
        <v>0</v>
      </c>
      <c r="P710">
        <f>IFERROR(VLOOKUP(Tabla13[[#This Row],[SISMED]],TblDisponibilidad[],20,FALSE), 0)</f>
        <v>0</v>
      </c>
      <c r="Q710">
        <f>IFERROR(VLOOKUP(Tabla13[[#This Row],[SISMED]],TblDisponibilidad[],21,FALSE), 0)</f>
        <v>0</v>
      </c>
      <c r="R710">
        <f>IFERROR(VLOOKUP(Tabla13[[#This Row],[SISMED]],TblDisponibilidad[],22,FALSE), 0)</f>
        <v>0</v>
      </c>
      <c r="S710" s="15">
        <f>IFERROR(VLOOKUP(Tabla13[[#This Row],[SISMED]],TblDisponibilidad[],23,FALSE), 0)</f>
        <v>0</v>
      </c>
    </row>
    <row r="711" spans="1:19" x14ac:dyDescent="0.3">
      <c r="A711" s="15" t="s">
        <v>741</v>
      </c>
      <c r="B711" t="str">
        <f>IFERROR(VLOOKUP(Tabla13[[#This Row],[SISMED]],TblDisponibilidad[],2,FALSE), "")</f>
        <v/>
      </c>
      <c r="C711">
        <f>IFERROR(VLOOKUP(Tabla13[[#This Row],[SISMED]],TblDisponibilidad[],7,FALSE), 0)</f>
        <v>0</v>
      </c>
      <c r="D711">
        <f>IFERROR(VLOOKUP(Tabla13[[#This Row],[SISMED]],TblDisponibilidad[],8,FALSE), 0)</f>
        <v>0</v>
      </c>
      <c r="E711">
        <f>IFERROR(VLOOKUP(Tabla13[[#This Row],[SISMED]],TblDisponibilidad[],9,FALSE), 0)</f>
        <v>0</v>
      </c>
      <c r="F711">
        <f>IFERROR(VLOOKUP(Tabla13[[#This Row],[SISMED]],TblDisponibilidad[],10,FALSE), 0)</f>
        <v>0</v>
      </c>
      <c r="G711">
        <f>IFERROR(VLOOKUP(Tabla13[[#This Row],[SISMED]],TblDisponibilidad[],11,FALSE), 0)</f>
        <v>0</v>
      </c>
      <c r="H711">
        <f>IFERROR(VLOOKUP(Tabla13[[#This Row],[SISMED]],TblDisponibilidad[],12,FALSE), 0)</f>
        <v>0</v>
      </c>
      <c r="I711">
        <f>IFERROR(VLOOKUP(Tabla13[[#This Row],[SISMED]],TblDisponibilidad[],13,FALSE), 0)</f>
        <v>0</v>
      </c>
      <c r="J711">
        <f>IFERROR(VLOOKUP(Tabla13[[#This Row],[SISMED]],TblDisponibilidad[],14,FALSE), 0)</f>
        <v>0</v>
      </c>
      <c r="K711">
        <f>IFERROR(VLOOKUP(Tabla13[[#This Row],[SISMED]],TblDisponibilidad[],15,FALSE), 0)</f>
        <v>0</v>
      </c>
      <c r="L711">
        <f>IFERROR(VLOOKUP(Tabla13[[#This Row],[SISMED]],TblDisponibilidad[],16,FALSE), 0)</f>
        <v>0</v>
      </c>
      <c r="M711">
        <f>IFERROR(VLOOKUP(Tabla13[[#This Row],[SISMED]],TblDisponibilidad[],17,FALSE), 0)</f>
        <v>0</v>
      </c>
      <c r="N711">
        <f>IFERROR(VLOOKUP(Tabla13[[#This Row],[SISMED]],TblDisponibilidad[],18,FALSE), 0)</f>
        <v>0</v>
      </c>
      <c r="O711">
        <f>IFERROR(VLOOKUP(Tabla13[[#This Row],[SISMED]],TblDisponibilidad[],19,FALSE), 0)</f>
        <v>0</v>
      </c>
      <c r="P711">
        <f>IFERROR(VLOOKUP(Tabla13[[#This Row],[SISMED]],TblDisponibilidad[],20,FALSE), 0)</f>
        <v>0</v>
      </c>
      <c r="Q711">
        <f>IFERROR(VLOOKUP(Tabla13[[#This Row],[SISMED]],TblDisponibilidad[],21,FALSE), 0)</f>
        <v>0</v>
      </c>
      <c r="R711">
        <f>IFERROR(VLOOKUP(Tabla13[[#This Row],[SISMED]],TblDisponibilidad[],22,FALSE), 0)</f>
        <v>0</v>
      </c>
      <c r="S711" s="15">
        <f>IFERROR(VLOOKUP(Tabla13[[#This Row],[SISMED]],TblDisponibilidad[],23,FALSE), 0)</f>
        <v>0</v>
      </c>
    </row>
    <row r="712" spans="1:19" x14ac:dyDescent="0.3">
      <c r="A712" s="15" t="s">
        <v>742</v>
      </c>
      <c r="B712" t="str">
        <f>IFERROR(VLOOKUP(Tabla13[[#This Row],[SISMED]],TblDisponibilidad[],2,FALSE), "")</f>
        <v/>
      </c>
      <c r="C712">
        <f>IFERROR(VLOOKUP(Tabla13[[#This Row],[SISMED]],TblDisponibilidad[],7,FALSE), 0)</f>
        <v>0</v>
      </c>
      <c r="D712">
        <f>IFERROR(VLOOKUP(Tabla13[[#This Row],[SISMED]],TblDisponibilidad[],8,FALSE), 0)</f>
        <v>0</v>
      </c>
      <c r="E712">
        <f>IFERROR(VLOOKUP(Tabla13[[#This Row],[SISMED]],TblDisponibilidad[],9,FALSE), 0)</f>
        <v>0</v>
      </c>
      <c r="F712">
        <f>IFERROR(VLOOKUP(Tabla13[[#This Row],[SISMED]],TblDisponibilidad[],10,FALSE), 0)</f>
        <v>0</v>
      </c>
      <c r="G712">
        <f>IFERROR(VLOOKUP(Tabla13[[#This Row],[SISMED]],TblDisponibilidad[],11,FALSE), 0)</f>
        <v>0</v>
      </c>
      <c r="H712">
        <f>IFERROR(VLOOKUP(Tabla13[[#This Row],[SISMED]],TblDisponibilidad[],12,FALSE), 0)</f>
        <v>0</v>
      </c>
      <c r="I712">
        <f>IFERROR(VLOOKUP(Tabla13[[#This Row],[SISMED]],TblDisponibilidad[],13,FALSE), 0)</f>
        <v>0</v>
      </c>
      <c r="J712">
        <f>IFERROR(VLOOKUP(Tabla13[[#This Row],[SISMED]],TblDisponibilidad[],14,FALSE), 0)</f>
        <v>0</v>
      </c>
      <c r="K712">
        <f>IFERROR(VLOOKUP(Tabla13[[#This Row],[SISMED]],TblDisponibilidad[],15,FALSE), 0)</f>
        <v>0</v>
      </c>
      <c r="L712">
        <f>IFERROR(VLOOKUP(Tabla13[[#This Row],[SISMED]],TblDisponibilidad[],16,FALSE), 0)</f>
        <v>0</v>
      </c>
      <c r="M712">
        <f>IFERROR(VLOOKUP(Tabla13[[#This Row],[SISMED]],TblDisponibilidad[],17,FALSE), 0)</f>
        <v>0</v>
      </c>
      <c r="N712">
        <f>IFERROR(VLOOKUP(Tabla13[[#This Row],[SISMED]],TblDisponibilidad[],18,FALSE), 0)</f>
        <v>0</v>
      </c>
      <c r="O712">
        <f>IFERROR(VLOOKUP(Tabla13[[#This Row],[SISMED]],TblDisponibilidad[],19,FALSE), 0)</f>
        <v>0</v>
      </c>
      <c r="P712">
        <f>IFERROR(VLOOKUP(Tabla13[[#This Row],[SISMED]],TblDisponibilidad[],20,FALSE), 0)</f>
        <v>0</v>
      </c>
      <c r="Q712">
        <f>IFERROR(VLOOKUP(Tabla13[[#This Row],[SISMED]],TblDisponibilidad[],21,FALSE), 0)</f>
        <v>0</v>
      </c>
      <c r="R712">
        <f>IFERROR(VLOOKUP(Tabla13[[#This Row],[SISMED]],TblDisponibilidad[],22,FALSE), 0)</f>
        <v>0</v>
      </c>
      <c r="S712" s="15">
        <f>IFERROR(VLOOKUP(Tabla13[[#This Row],[SISMED]],TblDisponibilidad[],23,FALSE), 0)</f>
        <v>0</v>
      </c>
    </row>
    <row r="713" spans="1:19" x14ac:dyDescent="0.3">
      <c r="A713" s="15" t="s">
        <v>743</v>
      </c>
      <c r="B713" t="str">
        <f>IFERROR(VLOOKUP(Tabla13[[#This Row],[SISMED]],TblDisponibilidad[],2,FALSE), "")</f>
        <v/>
      </c>
      <c r="C713">
        <f>IFERROR(VLOOKUP(Tabla13[[#This Row],[SISMED]],TblDisponibilidad[],7,FALSE), 0)</f>
        <v>0</v>
      </c>
      <c r="D713">
        <f>IFERROR(VLOOKUP(Tabla13[[#This Row],[SISMED]],TblDisponibilidad[],8,FALSE), 0)</f>
        <v>0</v>
      </c>
      <c r="E713">
        <f>IFERROR(VLOOKUP(Tabla13[[#This Row],[SISMED]],TblDisponibilidad[],9,FALSE), 0)</f>
        <v>0</v>
      </c>
      <c r="F713">
        <f>IFERROR(VLOOKUP(Tabla13[[#This Row],[SISMED]],TblDisponibilidad[],10,FALSE), 0)</f>
        <v>0</v>
      </c>
      <c r="G713">
        <f>IFERROR(VLOOKUP(Tabla13[[#This Row],[SISMED]],TblDisponibilidad[],11,FALSE), 0)</f>
        <v>0</v>
      </c>
      <c r="H713">
        <f>IFERROR(VLOOKUP(Tabla13[[#This Row],[SISMED]],TblDisponibilidad[],12,FALSE), 0)</f>
        <v>0</v>
      </c>
      <c r="I713">
        <f>IFERROR(VLOOKUP(Tabla13[[#This Row],[SISMED]],TblDisponibilidad[],13,FALSE), 0)</f>
        <v>0</v>
      </c>
      <c r="J713">
        <f>IFERROR(VLOOKUP(Tabla13[[#This Row],[SISMED]],TblDisponibilidad[],14,FALSE), 0)</f>
        <v>0</v>
      </c>
      <c r="K713">
        <f>IFERROR(VLOOKUP(Tabla13[[#This Row],[SISMED]],TblDisponibilidad[],15,FALSE), 0)</f>
        <v>0</v>
      </c>
      <c r="L713">
        <f>IFERROR(VLOOKUP(Tabla13[[#This Row],[SISMED]],TblDisponibilidad[],16,FALSE), 0)</f>
        <v>0</v>
      </c>
      <c r="M713">
        <f>IFERROR(VLOOKUP(Tabla13[[#This Row],[SISMED]],TblDisponibilidad[],17,FALSE), 0)</f>
        <v>0</v>
      </c>
      <c r="N713">
        <f>IFERROR(VLOOKUP(Tabla13[[#This Row],[SISMED]],TblDisponibilidad[],18,FALSE), 0)</f>
        <v>0</v>
      </c>
      <c r="O713">
        <f>IFERROR(VLOOKUP(Tabla13[[#This Row],[SISMED]],TblDisponibilidad[],19,FALSE), 0)</f>
        <v>0</v>
      </c>
      <c r="P713">
        <f>IFERROR(VLOOKUP(Tabla13[[#This Row],[SISMED]],TblDisponibilidad[],20,FALSE), 0)</f>
        <v>0</v>
      </c>
      <c r="Q713">
        <f>IFERROR(VLOOKUP(Tabla13[[#This Row],[SISMED]],TblDisponibilidad[],21,FALSE), 0)</f>
        <v>0</v>
      </c>
      <c r="R713">
        <f>IFERROR(VLOOKUP(Tabla13[[#This Row],[SISMED]],TblDisponibilidad[],22,FALSE), 0)</f>
        <v>0</v>
      </c>
      <c r="S713" s="15">
        <f>IFERROR(VLOOKUP(Tabla13[[#This Row],[SISMED]],TblDisponibilidad[],23,FALSE), 0)</f>
        <v>0</v>
      </c>
    </row>
    <row r="714" spans="1:19" x14ac:dyDescent="0.3">
      <c r="A714" s="15" t="s">
        <v>744</v>
      </c>
      <c r="B714" t="str">
        <f>IFERROR(VLOOKUP(Tabla13[[#This Row],[SISMED]],TblDisponibilidad[],2,FALSE), "")</f>
        <v/>
      </c>
      <c r="C714">
        <f>IFERROR(VLOOKUP(Tabla13[[#This Row],[SISMED]],TblDisponibilidad[],7,FALSE), 0)</f>
        <v>0</v>
      </c>
      <c r="D714">
        <f>IFERROR(VLOOKUP(Tabla13[[#This Row],[SISMED]],TblDisponibilidad[],8,FALSE), 0)</f>
        <v>0</v>
      </c>
      <c r="E714">
        <f>IFERROR(VLOOKUP(Tabla13[[#This Row],[SISMED]],TblDisponibilidad[],9,FALSE), 0)</f>
        <v>0</v>
      </c>
      <c r="F714">
        <f>IFERROR(VLOOKUP(Tabla13[[#This Row],[SISMED]],TblDisponibilidad[],10,FALSE), 0)</f>
        <v>0</v>
      </c>
      <c r="G714">
        <f>IFERROR(VLOOKUP(Tabla13[[#This Row],[SISMED]],TblDisponibilidad[],11,FALSE), 0)</f>
        <v>0</v>
      </c>
      <c r="H714">
        <f>IFERROR(VLOOKUP(Tabla13[[#This Row],[SISMED]],TblDisponibilidad[],12,FALSE), 0)</f>
        <v>0</v>
      </c>
      <c r="I714">
        <f>IFERROR(VLOOKUP(Tabla13[[#This Row],[SISMED]],TblDisponibilidad[],13,FALSE), 0)</f>
        <v>0</v>
      </c>
      <c r="J714">
        <f>IFERROR(VLOOKUP(Tabla13[[#This Row],[SISMED]],TblDisponibilidad[],14,FALSE), 0)</f>
        <v>0</v>
      </c>
      <c r="K714">
        <f>IFERROR(VLOOKUP(Tabla13[[#This Row],[SISMED]],TblDisponibilidad[],15,FALSE), 0)</f>
        <v>0</v>
      </c>
      <c r="L714">
        <f>IFERROR(VLOOKUP(Tabla13[[#This Row],[SISMED]],TblDisponibilidad[],16,FALSE), 0)</f>
        <v>0</v>
      </c>
      <c r="M714">
        <f>IFERROR(VLOOKUP(Tabla13[[#This Row],[SISMED]],TblDisponibilidad[],17,FALSE), 0)</f>
        <v>0</v>
      </c>
      <c r="N714">
        <f>IFERROR(VLOOKUP(Tabla13[[#This Row],[SISMED]],TblDisponibilidad[],18,FALSE), 0)</f>
        <v>0</v>
      </c>
      <c r="O714">
        <f>IFERROR(VLOOKUP(Tabla13[[#This Row],[SISMED]],TblDisponibilidad[],19,FALSE), 0)</f>
        <v>0</v>
      </c>
      <c r="P714">
        <f>IFERROR(VLOOKUP(Tabla13[[#This Row],[SISMED]],TblDisponibilidad[],20,FALSE), 0)</f>
        <v>0</v>
      </c>
      <c r="Q714">
        <f>IFERROR(VLOOKUP(Tabla13[[#This Row],[SISMED]],TblDisponibilidad[],21,FALSE), 0)</f>
        <v>0</v>
      </c>
      <c r="R714">
        <f>IFERROR(VLOOKUP(Tabla13[[#This Row],[SISMED]],TblDisponibilidad[],22,FALSE), 0)</f>
        <v>0</v>
      </c>
      <c r="S714" s="15">
        <f>IFERROR(VLOOKUP(Tabla13[[#This Row],[SISMED]],TblDisponibilidad[],23,FALSE), 0)</f>
        <v>0</v>
      </c>
    </row>
    <row r="715" spans="1:19" x14ac:dyDescent="0.3">
      <c r="A715" s="15" t="s">
        <v>745</v>
      </c>
      <c r="B715" t="str">
        <f>IFERROR(VLOOKUP(Tabla13[[#This Row],[SISMED]],TblDisponibilidad[],2,FALSE), "")</f>
        <v/>
      </c>
      <c r="C715">
        <f>IFERROR(VLOOKUP(Tabla13[[#This Row],[SISMED]],TblDisponibilidad[],7,FALSE), 0)</f>
        <v>0</v>
      </c>
      <c r="D715">
        <f>IFERROR(VLOOKUP(Tabla13[[#This Row],[SISMED]],TblDisponibilidad[],8,FALSE), 0)</f>
        <v>0</v>
      </c>
      <c r="E715">
        <f>IFERROR(VLOOKUP(Tabla13[[#This Row],[SISMED]],TblDisponibilidad[],9,FALSE), 0)</f>
        <v>0</v>
      </c>
      <c r="F715">
        <f>IFERROR(VLOOKUP(Tabla13[[#This Row],[SISMED]],TblDisponibilidad[],10,FALSE), 0)</f>
        <v>0</v>
      </c>
      <c r="G715">
        <f>IFERROR(VLOOKUP(Tabla13[[#This Row],[SISMED]],TblDisponibilidad[],11,FALSE), 0)</f>
        <v>0</v>
      </c>
      <c r="H715">
        <f>IFERROR(VLOOKUP(Tabla13[[#This Row],[SISMED]],TblDisponibilidad[],12,FALSE), 0)</f>
        <v>0</v>
      </c>
      <c r="I715">
        <f>IFERROR(VLOOKUP(Tabla13[[#This Row],[SISMED]],TblDisponibilidad[],13,FALSE), 0)</f>
        <v>0</v>
      </c>
      <c r="J715">
        <f>IFERROR(VLOOKUP(Tabla13[[#This Row],[SISMED]],TblDisponibilidad[],14,FALSE), 0)</f>
        <v>0</v>
      </c>
      <c r="K715">
        <f>IFERROR(VLOOKUP(Tabla13[[#This Row],[SISMED]],TblDisponibilidad[],15,FALSE), 0)</f>
        <v>0</v>
      </c>
      <c r="L715">
        <f>IFERROR(VLOOKUP(Tabla13[[#This Row],[SISMED]],TblDisponibilidad[],16,FALSE), 0)</f>
        <v>0</v>
      </c>
      <c r="M715">
        <f>IFERROR(VLOOKUP(Tabla13[[#This Row],[SISMED]],TblDisponibilidad[],17,FALSE), 0)</f>
        <v>0</v>
      </c>
      <c r="N715">
        <f>IFERROR(VLOOKUP(Tabla13[[#This Row],[SISMED]],TblDisponibilidad[],18,FALSE), 0)</f>
        <v>0</v>
      </c>
      <c r="O715">
        <f>IFERROR(VLOOKUP(Tabla13[[#This Row],[SISMED]],TblDisponibilidad[],19,FALSE), 0)</f>
        <v>0</v>
      </c>
      <c r="P715">
        <f>IFERROR(VLOOKUP(Tabla13[[#This Row],[SISMED]],TblDisponibilidad[],20,FALSE), 0)</f>
        <v>0</v>
      </c>
      <c r="Q715">
        <f>IFERROR(VLOOKUP(Tabla13[[#This Row],[SISMED]],TblDisponibilidad[],21,FALSE), 0)</f>
        <v>0</v>
      </c>
      <c r="R715">
        <f>IFERROR(VLOOKUP(Tabla13[[#This Row],[SISMED]],TblDisponibilidad[],22,FALSE), 0)</f>
        <v>0</v>
      </c>
      <c r="S715" s="15">
        <f>IFERROR(VLOOKUP(Tabla13[[#This Row],[SISMED]],TblDisponibilidad[],23,FALSE), 0)</f>
        <v>0</v>
      </c>
    </row>
    <row r="716" spans="1:19" x14ac:dyDescent="0.3">
      <c r="A716" s="15" t="s">
        <v>746</v>
      </c>
      <c r="B716" t="str">
        <f>IFERROR(VLOOKUP(Tabla13[[#This Row],[SISMED]],TblDisponibilidad[],2,FALSE), "")</f>
        <v/>
      </c>
      <c r="C716">
        <f>IFERROR(VLOOKUP(Tabla13[[#This Row],[SISMED]],TblDisponibilidad[],7,FALSE), 0)</f>
        <v>0</v>
      </c>
      <c r="D716">
        <f>IFERROR(VLOOKUP(Tabla13[[#This Row],[SISMED]],TblDisponibilidad[],8,FALSE), 0)</f>
        <v>0</v>
      </c>
      <c r="E716">
        <f>IFERROR(VLOOKUP(Tabla13[[#This Row],[SISMED]],TblDisponibilidad[],9,FALSE), 0)</f>
        <v>0</v>
      </c>
      <c r="F716">
        <f>IFERROR(VLOOKUP(Tabla13[[#This Row],[SISMED]],TblDisponibilidad[],10,FALSE), 0)</f>
        <v>0</v>
      </c>
      <c r="G716">
        <f>IFERROR(VLOOKUP(Tabla13[[#This Row],[SISMED]],TblDisponibilidad[],11,FALSE), 0)</f>
        <v>0</v>
      </c>
      <c r="H716">
        <f>IFERROR(VLOOKUP(Tabla13[[#This Row],[SISMED]],TblDisponibilidad[],12,FALSE), 0)</f>
        <v>0</v>
      </c>
      <c r="I716">
        <f>IFERROR(VLOOKUP(Tabla13[[#This Row],[SISMED]],TblDisponibilidad[],13,FALSE), 0)</f>
        <v>0</v>
      </c>
      <c r="J716">
        <f>IFERROR(VLOOKUP(Tabla13[[#This Row],[SISMED]],TblDisponibilidad[],14,FALSE), 0)</f>
        <v>0</v>
      </c>
      <c r="K716">
        <f>IFERROR(VLOOKUP(Tabla13[[#This Row],[SISMED]],TblDisponibilidad[],15,FALSE), 0)</f>
        <v>0</v>
      </c>
      <c r="L716">
        <f>IFERROR(VLOOKUP(Tabla13[[#This Row],[SISMED]],TblDisponibilidad[],16,FALSE), 0)</f>
        <v>0</v>
      </c>
      <c r="M716">
        <f>IFERROR(VLOOKUP(Tabla13[[#This Row],[SISMED]],TblDisponibilidad[],17,FALSE), 0)</f>
        <v>0</v>
      </c>
      <c r="N716">
        <f>IFERROR(VLOOKUP(Tabla13[[#This Row],[SISMED]],TblDisponibilidad[],18,FALSE), 0)</f>
        <v>0</v>
      </c>
      <c r="O716">
        <f>IFERROR(VLOOKUP(Tabla13[[#This Row],[SISMED]],TblDisponibilidad[],19,FALSE), 0)</f>
        <v>0</v>
      </c>
      <c r="P716">
        <f>IFERROR(VLOOKUP(Tabla13[[#This Row],[SISMED]],TblDisponibilidad[],20,FALSE), 0)</f>
        <v>0</v>
      </c>
      <c r="Q716">
        <f>IFERROR(VLOOKUP(Tabla13[[#This Row],[SISMED]],TblDisponibilidad[],21,FALSE), 0)</f>
        <v>0</v>
      </c>
      <c r="R716">
        <f>IFERROR(VLOOKUP(Tabla13[[#This Row],[SISMED]],TblDisponibilidad[],22,FALSE), 0)</f>
        <v>0</v>
      </c>
      <c r="S716" s="15">
        <f>IFERROR(VLOOKUP(Tabla13[[#This Row],[SISMED]],TblDisponibilidad[],23,FALSE), 0)</f>
        <v>0</v>
      </c>
    </row>
    <row r="717" spans="1:19" x14ac:dyDescent="0.3">
      <c r="A717" s="15" t="s">
        <v>747</v>
      </c>
      <c r="B717" t="str">
        <f>IFERROR(VLOOKUP(Tabla13[[#This Row],[SISMED]],TblDisponibilidad[],2,FALSE), "")</f>
        <v/>
      </c>
      <c r="C717">
        <f>IFERROR(VLOOKUP(Tabla13[[#This Row],[SISMED]],TblDisponibilidad[],7,FALSE), 0)</f>
        <v>0</v>
      </c>
      <c r="D717">
        <f>IFERROR(VLOOKUP(Tabla13[[#This Row],[SISMED]],TblDisponibilidad[],8,FALSE), 0)</f>
        <v>0</v>
      </c>
      <c r="E717">
        <f>IFERROR(VLOOKUP(Tabla13[[#This Row],[SISMED]],TblDisponibilidad[],9,FALSE), 0)</f>
        <v>0</v>
      </c>
      <c r="F717">
        <f>IFERROR(VLOOKUP(Tabla13[[#This Row],[SISMED]],TblDisponibilidad[],10,FALSE), 0)</f>
        <v>0</v>
      </c>
      <c r="G717">
        <f>IFERROR(VLOOKUP(Tabla13[[#This Row],[SISMED]],TblDisponibilidad[],11,FALSE), 0)</f>
        <v>0</v>
      </c>
      <c r="H717">
        <f>IFERROR(VLOOKUP(Tabla13[[#This Row],[SISMED]],TblDisponibilidad[],12,FALSE), 0)</f>
        <v>0</v>
      </c>
      <c r="I717">
        <f>IFERROR(VLOOKUP(Tabla13[[#This Row],[SISMED]],TblDisponibilidad[],13,FALSE), 0)</f>
        <v>0</v>
      </c>
      <c r="J717">
        <f>IFERROR(VLOOKUP(Tabla13[[#This Row],[SISMED]],TblDisponibilidad[],14,FALSE), 0)</f>
        <v>0</v>
      </c>
      <c r="K717">
        <f>IFERROR(VLOOKUP(Tabla13[[#This Row],[SISMED]],TblDisponibilidad[],15,FALSE), 0)</f>
        <v>0</v>
      </c>
      <c r="L717">
        <f>IFERROR(VLOOKUP(Tabla13[[#This Row],[SISMED]],TblDisponibilidad[],16,FALSE), 0)</f>
        <v>0</v>
      </c>
      <c r="M717">
        <f>IFERROR(VLOOKUP(Tabla13[[#This Row],[SISMED]],TblDisponibilidad[],17,FALSE), 0)</f>
        <v>0</v>
      </c>
      <c r="N717">
        <f>IFERROR(VLOOKUP(Tabla13[[#This Row],[SISMED]],TblDisponibilidad[],18,FALSE), 0)</f>
        <v>0</v>
      </c>
      <c r="O717">
        <f>IFERROR(VLOOKUP(Tabla13[[#This Row],[SISMED]],TblDisponibilidad[],19,FALSE), 0)</f>
        <v>0</v>
      </c>
      <c r="P717">
        <f>IFERROR(VLOOKUP(Tabla13[[#This Row],[SISMED]],TblDisponibilidad[],20,FALSE), 0)</f>
        <v>0</v>
      </c>
      <c r="Q717">
        <f>IFERROR(VLOOKUP(Tabla13[[#This Row],[SISMED]],TblDisponibilidad[],21,FALSE), 0)</f>
        <v>0</v>
      </c>
      <c r="R717">
        <f>IFERROR(VLOOKUP(Tabla13[[#This Row],[SISMED]],TblDisponibilidad[],22,FALSE), 0)</f>
        <v>0</v>
      </c>
      <c r="S717" s="15">
        <f>IFERROR(VLOOKUP(Tabla13[[#This Row],[SISMED]],TblDisponibilidad[],23,FALSE), 0)</f>
        <v>0</v>
      </c>
    </row>
    <row r="718" spans="1:19" x14ac:dyDescent="0.3">
      <c r="A718" s="15" t="s">
        <v>748</v>
      </c>
      <c r="B718" t="str">
        <f>IFERROR(VLOOKUP(Tabla13[[#This Row],[SISMED]],TblDisponibilidad[],2,FALSE), "")</f>
        <v/>
      </c>
      <c r="C718">
        <f>IFERROR(VLOOKUP(Tabla13[[#This Row],[SISMED]],TblDisponibilidad[],7,FALSE), 0)</f>
        <v>0</v>
      </c>
      <c r="D718">
        <f>IFERROR(VLOOKUP(Tabla13[[#This Row],[SISMED]],TblDisponibilidad[],8,FALSE), 0)</f>
        <v>0</v>
      </c>
      <c r="E718">
        <f>IFERROR(VLOOKUP(Tabla13[[#This Row],[SISMED]],TblDisponibilidad[],9,FALSE), 0)</f>
        <v>0</v>
      </c>
      <c r="F718">
        <f>IFERROR(VLOOKUP(Tabla13[[#This Row],[SISMED]],TblDisponibilidad[],10,FALSE), 0)</f>
        <v>0</v>
      </c>
      <c r="G718">
        <f>IFERROR(VLOOKUP(Tabla13[[#This Row],[SISMED]],TblDisponibilidad[],11,FALSE), 0)</f>
        <v>0</v>
      </c>
      <c r="H718">
        <f>IFERROR(VLOOKUP(Tabla13[[#This Row],[SISMED]],TblDisponibilidad[],12,FALSE), 0)</f>
        <v>0</v>
      </c>
      <c r="I718">
        <f>IFERROR(VLOOKUP(Tabla13[[#This Row],[SISMED]],TblDisponibilidad[],13,FALSE), 0)</f>
        <v>0</v>
      </c>
      <c r="J718">
        <f>IFERROR(VLOOKUP(Tabla13[[#This Row],[SISMED]],TblDisponibilidad[],14,FALSE), 0)</f>
        <v>0</v>
      </c>
      <c r="K718">
        <f>IFERROR(VLOOKUP(Tabla13[[#This Row],[SISMED]],TblDisponibilidad[],15,FALSE), 0)</f>
        <v>0</v>
      </c>
      <c r="L718">
        <f>IFERROR(VLOOKUP(Tabla13[[#This Row],[SISMED]],TblDisponibilidad[],16,FALSE), 0)</f>
        <v>0</v>
      </c>
      <c r="M718">
        <f>IFERROR(VLOOKUP(Tabla13[[#This Row],[SISMED]],TblDisponibilidad[],17,FALSE), 0)</f>
        <v>0</v>
      </c>
      <c r="N718">
        <f>IFERROR(VLOOKUP(Tabla13[[#This Row],[SISMED]],TblDisponibilidad[],18,FALSE), 0)</f>
        <v>0</v>
      </c>
      <c r="O718">
        <f>IFERROR(VLOOKUP(Tabla13[[#This Row],[SISMED]],TblDisponibilidad[],19,FALSE), 0)</f>
        <v>0</v>
      </c>
      <c r="P718">
        <f>IFERROR(VLOOKUP(Tabla13[[#This Row],[SISMED]],TblDisponibilidad[],20,FALSE), 0)</f>
        <v>0</v>
      </c>
      <c r="Q718">
        <f>IFERROR(VLOOKUP(Tabla13[[#This Row],[SISMED]],TblDisponibilidad[],21,FALSE), 0)</f>
        <v>0</v>
      </c>
      <c r="R718">
        <f>IFERROR(VLOOKUP(Tabla13[[#This Row],[SISMED]],TblDisponibilidad[],22,FALSE), 0)</f>
        <v>0</v>
      </c>
      <c r="S718" s="15">
        <f>IFERROR(VLOOKUP(Tabla13[[#This Row],[SISMED]],TblDisponibilidad[],23,FALSE), 0)</f>
        <v>0</v>
      </c>
    </row>
    <row r="719" spans="1:19" x14ac:dyDescent="0.3">
      <c r="A719" s="15" t="s">
        <v>749</v>
      </c>
      <c r="B719" t="str">
        <f>IFERROR(VLOOKUP(Tabla13[[#This Row],[SISMED]],TblDisponibilidad[],2,FALSE), "")</f>
        <v/>
      </c>
      <c r="C719">
        <f>IFERROR(VLOOKUP(Tabla13[[#This Row],[SISMED]],TblDisponibilidad[],7,FALSE), 0)</f>
        <v>0</v>
      </c>
      <c r="D719">
        <f>IFERROR(VLOOKUP(Tabla13[[#This Row],[SISMED]],TblDisponibilidad[],8,FALSE), 0)</f>
        <v>0</v>
      </c>
      <c r="E719">
        <f>IFERROR(VLOOKUP(Tabla13[[#This Row],[SISMED]],TblDisponibilidad[],9,FALSE), 0)</f>
        <v>0</v>
      </c>
      <c r="F719">
        <f>IFERROR(VLOOKUP(Tabla13[[#This Row],[SISMED]],TblDisponibilidad[],10,FALSE), 0)</f>
        <v>0</v>
      </c>
      <c r="G719">
        <f>IFERROR(VLOOKUP(Tabla13[[#This Row],[SISMED]],TblDisponibilidad[],11,FALSE), 0)</f>
        <v>0</v>
      </c>
      <c r="H719">
        <f>IFERROR(VLOOKUP(Tabla13[[#This Row],[SISMED]],TblDisponibilidad[],12,FALSE), 0)</f>
        <v>0</v>
      </c>
      <c r="I719">
        <f>IFERROR(VLOOKUP(Tabla13[[#This Row],[SISMED]],TblDisponibilidad[],13,FALSE), 0)</f>
        <v>0</v>
      </c>
      <c r="J719">
        <f>IFERROR(VLOOKUP(Tabla13[[#This Row],[SISMED]],TblDisponibilidad[],14,FALSE), 0)</f>
        <v>0</v>
      </c>
      <c r="K719">
        <f>IFERROR(VLOOKUP(Tabla13[[#This Row],[SISMED]],TblDisponibilidad[],15,FALSE), 0)</f>
        <v>0</v>
      </c>
      <c r="L719">
        <f>IFERROR(VLOOKUP(Tabla13[[#This Row],[SISMED]],TblDisponibilidad[],16,FALSE), 0)</f>
        <v>0</v>
      </c>
      <c r="M719">
        <f>IFERROR(VLOOKUP(Tabla13[[#This Row],[SISMED]],TblDisponibilidad[],17,FALSE), 0)</f>
        <v>0</v>
      </c>
      <c r="N719">
        <f>IFERROR(VLOOKUP(Tabla13[[#This Row],[SISMED]],TblDisponibilidad[],18,FALSE), 0)</f>
        <v>0</v>
      </c>
      <c r="O719">
        <f>IFERROR(VLOOKUP(Tabla13[[#This Row],[SISMED]],TblDisponibilidad[],19,FALSE), 0)</f>
        <v>0</v>
      </c>
      <c r="P719">
        <f>IFERROR(VLOOKUP(Tabla13[[#This Row],[SISMED]],TblDisponibilidad[],20,FALSE), 0)</f>
        <v>0</v>
      </c>
      <c r="Q719">
        <f>IFERROR(VLOOKUP(Tabla13[[#This Row],[SISMED]],TblDisponibilidad[],21,FALSE), 0)</f>
        <v>0</v>
      </c>
      <c r="R719">
        <f>IFERROR(VLOOKUP(Tabla13[[#This Row],[SISMED]],TblDisponibilidad[],22,FALSE), 0)</f>
        <v>0</v>
      </c>
      <c r="S719" s="15">
        <f>IFERROR(VLOOKUP(Tabla13[[#This Row],[SISMED]],TblDisponibilidad[],23,FALSE), 0)</f>
        <v>0</v>
      </c>
    </row>
    <row r="720" spans="1:19" x14ac:dyDescent="0.3">
      <c r="A720" s="15" t="s">
        <v>750</v>
      </c>
      <c r="B720" t="str">
        <f>IFERROR(VLOOKUP(Tabla13[[#This Row],[SISMED]],TblDisponibilidad[],2,FALSE), "")</f>
        <v/>
      </c>
      <c r="C720">
        <f>IFERROR(VLOOKUP(Tabla13[[#This Row],[SISMED]],TblDisponibilidad[],7,FALSE), 0)</f>
        <v>0</v>
      </c>
      <c r="D720">
        <f>IFERROR(VLOOKUP(Tabla13[[#This Row],[SISMED]],TblDisponibilidad[],8,FALSE), 0)</f>
        <v>0</v>
      </c>
      <c r="E720">
        <f>IFERROR(VLOOKUP(Tabla13[[#This Row],[SISMED]],TblDisponibilidad[],9,FALSE), 0)</f>
        <v>0</v>
      </c>
      <c r="F720">
        <f>IFERROR(VLOOKUP(Tabla13[[#This Row],[SISMED]],TblDisponibilidad[],10,FALSE), 0)</f>
        <v>0</v>
      </c>
      <c r="G720">
        <f>IFERROR(VLOOKUP(Tabla13[[#This Row],[SISMED]],TblDisponibilidad[],11,FALSE), 0)</f>
        <v>0</v>
      </c>
      <c r="H720">
        <f>IFERROR(VLOOKUP(Tabla13[[#This Row],[SISMED]],TblDisponibilidad[],12,FALSE), 0)</f>
        <v>0</v>
      </c>
      <c r="I720">
        <f>IFERROR(VLOOKUP(Tabla13[[#This Row],[SISMED]],TblDisponibilidad[],13,FALSE), 0)</f>
        <v>0</v>
      </c>
      <c r="J720">
        <f>IFERROR(VLOOKUP(Tabla13[[#This Row],[SISMED]],TblDisponibilidad[],14,FALSE), 0)</f>
        <v>0</v>
      </c>
      <c r="K720">
        <f>IFERROR(VLOOKUP(Tabla13[[#This Row],[SISMED]],TblDisponibilidad[],15,FALSE), 0)</f>
        <v>0</v>
      </c>
      <c r="L720">
        <f>IFERROR(VLOOKUP(Tabla13[[#This Row],[SISMED]],TblDisponibilidad[],16,FALSE), 0)</f>
        <v>0</v>
      </c>
      <c r="M720">
        <f>IFERROR(VLOOKUP(Tabla13[[#This Row],[SISMED]],TblDisponibilidad[],17,FALSE), 0)</f>
        <v>0</v>
      </c>
      <c r="N720">
        <f>IFERROR(VLOOKUP(Tabla13[[#This Row],[SISMED]],TblDisponibilidad[],18,FALSE), 0)</f>
        <v>0</v>
      </c>
      <c r="O720">
        <f>IFERROR(VLOOKUP(Tabla13[[#This Row],[SISMED]],TblDisponibilidad[],19,FALSE), 0)</f>
        <v>0</v>
      </c>
      <c r="P720">
        <f>IFERROR(VLOOKUP(Tabla13[[#This Row],[SISMED]],TblDisponibilidad[],20,FALSE), 0)</f>
        <v>0</v>
      </c>
      <c r="Q720">
        <f>IFERROR(VLOOKUP(Tabla13[[#This Row],[SISMED]],TblDisponibilidad[],21,FALSE), 0)</f>
        <v>0</v>
      </c>
      <c r="R720">
        <f>IFERROR(VLOOKUP(Tabla13[[#This Row],[SISMED]],TblDisponibilidad[],22,FALSE), 0)</f>
        <v>0</v>
      </c>
      <c r="S720" s="15">
        <f>IFERROR(VLOOKUP(Tabla13[[#This Row],[SISMED]],TblDisponibilidad[],23,FALSE), 0)</f>
        <v>0</v>
      </c>
    </row>
    <row r="721" spans="1:19" x14ac:dyDescent="0.3">
      <c r="A721" s="15" t="s">
        <v>751</v>
      </c>
      <c r="B721" t="str">
        <f>IFERROR(VLOOKUP(Tabla13[[#This Row],[SISMED]],TblDisponibilidad[],2,FALSE), "")</f>
        <v/>
      </c>
      <c r="C721">
        <f>IFERROR(VLOOKUP(Tabla13[[#This Row],[SISMED]],TblDisponibilidad[],7,FALSE), 0)</f>
        <v>0</v>
      </c>
      <c r="D721">
        <f>IFERROR(VLOOKUP(Tabla13[[#This Row],[SISMED]],TblDisponibilidad[],8,FALSE), 0)</f>
        <v>0</v>
      </c>
      <c r="E721">
        <f>IFERROR(VLOOKUP(Tabla13[[#This Row],[SISMED]],TblDisponibilidad[],9,FALSE), 0)</f>
        <v>0</v>
      </c>
      <c r="F721">
        <f>IFERROR(VLOOKUP(Tabla13[[#This Row],[SISMED]],TblDisponibilidad[],10,FALSE), 0)</f>
        <v>0</v>
      </c>
      <c r="G721">
        <f>IFERROR(VLOOKUP(Tabla13[[#This Row],[SISMED]],TblDisponibilidad[],11,FALSE), 0)</f>
        <v>0</v>
      </c>
      <c r="H721">
        <f>IFERROR(VLOOKUP(Tabla13[[#This Row],[SISMED]],TblDisponibilidad[],12,FALSE), 0)</f>
        <v>0</v>
      </c>
      <c r="I721">
        <f>IFERROR(VLOOKUP(Tabla13[[#This Row],[SISMED]],TblDisponibilidad[],13,FALSE), 0)</f>
        <v>0</v>
      </c>
      <c r="J721">
        <f>IFERROR(VLOOKUP(Tabla13[[#This Row],[SISMED]],TblDisponibilidad[],14,FALSE), 0)</f>
        <v>0</v>
      </c>
      <c r="K721">
        <f>IFERROR(VLOOKUP(Tabla13[[#This Row],[SISMED]],TblDisponibilidad[],15,FALSE), 0)</f>
        <v>0</v>
      </c>
      <c r="L721">
        <f>IFERROR(VLOOKUP(Tabla13[[#This Row],[SISMED]],TblDisponibilidad[],16,FALSE), 0)</f>
        <v>0</v>
      </c>
      <c r="M721">
        <f>IFERROR(VLOOKUP(Tabla13[[#This Row],[SISMED]],TblDisponibilidad[],17,FALSE), 0)</f>
        <v>0</v>
      </c>
      <c r="N721">
        <f>IFERROR(VLOOKUP(Tabla13[[#This Row],[SISMED]],TblDisponibilidad[],18,FALSE), 0)</f>
        <v>0</v>
      </c>
      <c r="O721">
        <f>IFERROR(VLOOKUP(Tabla13[[#This Row],[SISMED]],TblDisponibilidad[],19,FALSE), 0)</f>
        <v>0</v>
      </c>
      <c r="P721">
        <f>IFERROR(VLOOKUP(Tabla13[[#This Row],[SISMED]],TblDisponibilidad[],20,FALSE), 0)</f>
        <v>0</v>
      </c>
      <c r="Q721">
        <f>IFERROR(VLOOKUP(Tabla13[[#This Row],[SISMED]],TblDisponibilidad[],21,FALSE), 0)</f>
        <v>0</v>
      </c>
      <c r="R721">
        <f>IFERROR(VLOOKUP(Tabla13[[#This Row],[SISMED]],TblDisponibilidad[],22,FALSE), 0)</f>
        <v>0</v>
      </c>
      <c r="S721" s="15">
        <f>IFERROR(VLOOKUP(Tabla13[[#This Row],[SISMED]],TblDisponibilidad[],23,FALSE), 0)</f>
        <v>0</v>
      </c>
    </row>
    <row r="722" spans="1:19" x14ac:dyDescent="0.3">
      <c r="A722" s="15" t="s">
        <v>752</v>
      </c>
      <c r="B722" t="str">
        <f>IFERROR(VLOOKUP(Tabla13[[#This Row],[SISMED]],TblDisponibilidad[],2,FALSE), "")</f>
        <v/>
      </c>
      <c r="C722">
        <f>IFERROR(VLOOKUP(Tabla13[[#This Row],[SISMED]],TblDisponibilidad[],7,FALSE), 0)</f>
        <v>0</v>
      </c>
      <c r="D722">
        <f>IFERROR(VLOOKUP(Tabla13[[#This Row],[SISMED]],TblDisponibilidad[],8,FALSE), 0)</f>
        <v>0</v>
      </c>
      <c r="E722">
        <f>IFERROR(VLOOKUP(Tabla13[[#This Row],[SISMED]],TblDisponibilidad[],9,FALSE), 0)</f>
        <v>0</v>
      </c>
      <c r="F722">
        <f>IFERROR(VLOOKUP(Tabla13[[#This Row],[SISMED]],TblDisponibilidad[],10,FALSE), 0)</f>
        <v>0</v>
      </c>
      <c r="G722">
        <f>IFERROR(VLOOKUP(Tabla13[[#This Row],[SISMED]],TblDisponibilidad[],11,FALSE), 0)</f>
        <v>0</v>
      </c>
      <c r="H722">
        <f>IFERROR(VLOOKUP(Tabla13[[#This Row],[SISMED]],TblDisponibilidad[],12,FALSE), 0)</f>
        <v>0</v>
      </c>
      <c r="I722">
        <f>IFERROR(VLOOKUP(Tabla13[[#This Row],[SISMED]],TblDisponibilidad[],13,FALSE), 0)</f>
        <v>0</v>
      </c>
      <c r="J722">
        <f>IFERROR(VLOOKUP(Tabla13[[#This Row],[SISMED]],TblDisponibilidad[],14,FALSE), 0)</f>
        <v>0</v>
      </c>
      <c r="K722">
        <f>IFERROR(VLOOKUP(Tabla13[[#This Row],[SISMED]],TblDisponibilidad[],15,FALSE), 0)</f>
        <v>0</v>
      </c>
      <c r="L722">
        <f>IFERROR(VLOOKUP(Tabla13[[#This Row],[SISMED]],TblDisponibilidad[],16,FALSE), 0)</f>
        <v>0</v>
      </c>
      <c r="M722">
        <f>IFERROR(VLOOKUP(Tabla13[[#This Row],[SISMED]],TblDisponibilidad[],17,FALSE), 0)</f>
        <v>0</v>
      </c>
      <c r="N722">
        <f>IFERROR(VLOOKUP(Tabla13[[#This Row],[SISMED]],TblDisponibilidad[],18,FALSE), 0)</f>
        <v>0</v>
      </c>
      <c r="O722">
        <f>IFERROR(VLOOKUP(Tabla13[[#This Row],[SISMED]],TblDisponibilidad[],19,FALSE), 0)</f>
        <v>0</v>
      </c>
      <c r="P722">
        <f>IFERROR(VLOOKUP(Tabla13[[#This Row],[SISMED]],TblDisponibilidad[],20,FALSE), 0)</f>
        <v>0</v>
      </c>
      <c r="Q722">
        <f>IFERROR(VLOOKUP(Tabla13[[#This Row],[SISMED]],TblDisponibilidad[],21,FALSE), 0)</f>
        <v>0</v>
      </c>
      <c r="R722">
        <f>IFERROR(VLOOKUP(Tabla13[[#This Row],[SISMED]],TblDisponibilidad[],22,FALSE), 0)</f>
        <v>0</v>
      </c>
      <c r="S722" s="15">
        <f>IFERROR(VLOOKUP(Tabla13[[#This Row],[SISMED]],TblDisponibilidad[],23,FALSE), 0)</f>
        <v>0</v>
      </c>
    </row>
    <row r="723" spans="1:19" x14ac:dyDescent="0.3">
      <c r="A723" s="15" t="s">
        <v>753</v>
      </c>
      <c r="B723" t="str">
        <f>IFERROR(VLOOKUP(Tabla13[[#This Row],[SISMED]],TblDisponibilidad[],2,FALSE), "")</f>
        <v/>
      </c>
      <c r="C723">
        <f>IFERROR(VLOOKUP(Tabla13[[#This Row],[SISMED]],TblDisponibilidad[],7,FALSE), 0)</f>
        <v>0</v>
      </c>
      <c r="D723">
        <f>IFERROR(VLOOKUP(Tabla13[[#This Row],[SISMED]],TblDisponibilidad[],8,FALSE), 0)</f>
        <v>0</v>
      </c>
      <c r="E723">
        <f>IFERROR(VLOOKUP(Tabla13[[#This Row],[SISMED]],TblDisponibilidad[],9,FALSE), 0)</f>
        <v>0</v>
      </c>
      <c r="F723">
        <f>IFERROR(VLOOKUP(Tabla13[[#This Row],[SISMED]],TblDisponibilidad[],10,FALSE), 0)</f>
        <v>0</v>
      </c>
      <c r="G723">
        <f>IFERROR(VLOOKUP(Tabla13[[#This Row],[SISMED]],TblDisponibilidad[],11,FALSE), 0)</f>
        <v>0</v>
      </c>
      <c r="H723">
        <f>IFERROR(VLOOKUP(Tabla13[[#This Row],[SISMED]],TblDisponibilidad[],12,FALSE), 0)</f>
        <v>0</v>
      </c>
      <c r="I723">
        <f>IFERROR(VLOOKUP(Tabla13[[#This Row],[SISMED]],TblDisponibilidad[],13,FALSE), 0)</f>
        <v>0</v>
      </c>
      <c r="J723">
        <f>IFERROR(VLOOKUP(Tabla13[[#This Row],[SISMED]],TblDisponibilidad[],14,FALSE), 0)</f>
        <v>0</v>
      </c>
      <c r="K723">
        <f>IFERROR(VLOOKUP(Tabla13[[#This Row],[SISMED]],TblDisponibilidad[],15,FALSE), 0)</f>
        <v>0</v>
      </c>
      <c r="L723">
        <f>IFERROR(VLOOKUP(Tabla13[[#This Row],[SISMED]],TblDisponibilidad[],16,FALSE), 0)</f>
        <v>0</v>
      </c>
      <c r="M723">
        <f>IFERROR(VLOOKUP(Tabla13[[#This Row],[SISMED]],TblDisponibilidad[],17,FALSE), 0)</f>
        <v>0</v>
      </c>
      <c r="N723">
        <f>IFERROR(VLOOKUP(Tabla13[[#This Row],[SISMED]],TblDisponibilidad[],18,FALSE), 0)</f>
        <v>0</v>
      </c>
      <c r="O723">
        <f>IFERROR(VLOOKUP(Tabla13[[#This Row],[SISMED]],TblDisponibilidad[],19,FALSE), 0)</f>
        <v>0</v>
      </c>
      <c r="P723">
        <f>IFERROR(VLOOKUP(Tabla13[[#This Row],[SISMED]],TblDisponibilidad[],20,FALSE), 0)</f>
        <v>0</v>
      </c>
      <c r="Q723">
        <f>IFERROR(VLOOKUP(Tabla13[[#This Row],[SISMED]],TblDisponibilidad[],21,FALSE), 0)</f>
        <v>0</v>
      </c>
      <c r="R723">
        <f>IFERROR(VLOOKUP(Tabla13[[#This Row],[SISMED]],TblDisponibilidad[],22,FALSE), 0)</f>
        <v>0</v>
      </c>
      <c r="S723" s="15">
        <f>IFERROR(VLOOKUP(Tabla13[[#This Row],[SISMED]],TblDisponibilidad[],23,FALSE), 0)</f>
        <v>0</v>
      </c>
    </row>
    <row r="724" spans="1:19" x14ac:dyDescent="0.3">
      <c r="A724" s="15" t="s">
        <v>754</v>
      </c>
      <c r="B724" t="str">
        <f>IFERROR(VLOOKUP(Tabla13[[#This Row],[SISMED]],TblDisponibilidad[],2,FALSE), "")</f>
        <v/>
      </c>
      <c r="C724">
        <f>IFERROR(VLOOKUP(Tabla13[[#This Row],[SISMED]],TblDisponibilidad[],7,FALSE), 0)</f>
        <v>0</v>
      </c>
      <c r="D724">
        <f>IFERROR(VLOOKUP(Tabla13[[#This Row],[SISMED]],TblDisponibilidad[],8,FALSE), 0)</f>
        <v>0</v>
      </c>
      <c r="E724">
        <f>IFERROR(VLOOKUP(Tabla13[[#This Row],[SISMED]],TblDisponibilidad[],9,FALSE), 0)</f>
        <v>0</v>
      </c>
      <c r="F724">
        <f>IFERROR(VLOOKUP(Tabla13[[#This Row],[SISMED]],TblDisponibilidad[],10,FALSE), 0)</f>
        <v>0</v>
      </c>
      <c r="G724">
        <f>IFERROR(VLOOKUP(Tabla13[[#This Row],[SISMED]],TblDisponibilidad[],11,FALSE), 0)</f>
        <v>0</v>
      </c>
      <c r="H724">
        <f>IFERROR(VLOOKUP(Tabla13[[#This Row],[SISMED]],TblDisponibilidad[],12,FALSE), 0)</f>
        <v>0</v>
      </c>
      <c r="I724">
        <f>IFERROR(VLOOKUP(Tabla13[[#This Row],[SISMED]],TblDisponibilidad[],13,FALSE), 0)</f>
        <v>0</v>
      </c>
      <c r="J724">
        <f>IFERROR(VLOOKUP(Tabla13[[#This Row],[SISMED]],TblDisponibilidad[],14,FALSE), 0)</f>
        <v>0</v>
      </c>
      <c r="K724">
        <f>IFERROR(VLOOKUP(Tabla13[[#This Row],[SISMED]],TblDisponibilidad[],15,FALSE), 0)</f>
        <v>0</v>
      </c>
      <c r="L724">
        <f>IFERROR(VLOOKUP(Tabla13[[#This Row],[SISMED]],TblDisponibilidad[],16,FALSE), 0)</f>
        <v>0</v>
      </c>
      <c r="M724">
        <f>IFERROR(VLOOKUP(Tabla13[[#This Row],[SISMED]],TblDisponibilidad[],17,FALSE), 0)</f>
        <v>0</v>
      </c>
      <c r="N724">
        <f>IFERROR(VLOOKUP(Tabla13[[#This Row],[SISMED]],TblDisponibilidad[],18,FALSE), 0)</f>
        <v>0</v>
      </c>
      <c r="O724">
        <f>IFERROR(VLOOKUP(Tabla13[[#This Row],[SISMED]],TblDisponibilidad[],19,FALSE), 0)</f>
        <v>0</v>
      </c>
      <c r="P724">
        <f>IFERROR(VLOOKUP(Tabla13[[#This Row],[SISMED]],TblDisponibilidad[],20,FALSE), 0)</f>
        <v>0</v>
      </c>
      <c r="Q724">
        <f>IFERROR(VLOOKUP(Tabla13[[#This Row],[SISMED]],TblDisponibilidad[],21,FALSE), 0)</f>
        <v>0</v>
      </c>
      <c r="R724">
        <f>IFERROR(VLOOKUP(Tabla13[[#This Row],[SISMED]],TblDisponibilidad[],22,FALSE), 0)</f>
        <v>0</v>
      </c>
      <c r="S724" s="15">
        <f>IFERROR(VLOOKUP(Tabla13[[#This Row],[SISMED]],TblDisponibilidad[],23,FALSE), 0)</f>
        <v>0</v>
      </c>
    </row>
    <row r="725" spans="1:19" x14ac:dyDescent="0.3">
      <c r="A725" s="15" t="s">
        <v>755</v>
      </c>
      <c r="B725" t="str">
        <f>IFERROR(VLOOKUP(Tabla13[[#This Row],[SISMED]],TblDisponibilidad[],2,FALSE), "")</f>
        <v/>
      </c>
      <c r="C725">
        <f>IFERROR(VLOOKUP(Tabla13[[#This Row],[SISMED]],TblDisponibilidad[],7,FALSE), 0)</f>
        <v>0</v>
      </c>
      <c r="D725">
        <f>IFERROR(VLOOKUP(Tabla13[[#This Row],[SISMED]],TblDisponibilidad[],8,FALSE), 0)</f>
        <v>0</v>
      </c>
      <c r="E725">
        <f>IFERROR(VLOOKUP(Tabla13[[#This Row],[SISMED]],TblDisponibilidad[],9,FALSE), 0)</f>
        <v>0</v>
      </c>
      <c r="F725">
        <f>IFERROR(VLOOKUP(Tabla13[[#This Row],[SISMED]],TblDisponibilidad[],10,FALSE), 0)</f>
        <v>0</v>
      </c>
      <c r="G725">
        <f>IFERROR(VLOOKUP(Tabla13[[#This Row],[SISMED]],TblDisponibilidad[],11,FALSE), 0)</f>
        <v>0</v>
      </c>
      <c r="H725">
        <f>IFERROR(VLOOKUP(Tabla13[[#This Row],[SISMED]],TblDisponibilidad[],12,FALSE), 0)</f>
        <v>0</v>
      </c>
      <c r="I725">
        <f>IFERROR(VLOOKUP(Tabla13[[#This Row],[SISMED]],TblDisponibilidad[],13,FALSE), 0)</f>
        <v>0</v>
      </c>
      <c r="J725">
        <f>IFERROR(VLOOKUP(Tabla13[[#This Row],[SISMED]],TblDisponibilidad[],14,FALSE), 0)</f>
        <v>0</v>
      </c>
      <c r="K725">
        <f>IFERROR(VLOOKUP(Tabla13[[#This Row],[SISMED]],TblDisponibilidad[],15,FALSE), 0)</f>
        <v>0</v>
      </c>
      <c r="L725">
        <f>IFERROR(VLOOKUP(Tabla13[[#This Row],[SISMED]],TblDisponibilidad[],16,FALSE), 0)</f>
        <v>0</v>
      </c>
      <c r="M725">
        <f>IFERROR(VLOOKUP(Tabla13[[#This Row],[SISMED]],TblDisponibilidad[],17,FALSE), 0)</f>
        <v>0</v>
      </c>
      <c r="N725">
        <f>IFERROR(VLOOKUP(Tabla13[[#This Row],[SISMED]],TblDisponibilidad[],18,FALSE), 0)</f>
        <v>0</v>
      </c>
      <c r="O725">
        <f>IFERROR(VLOOKUP(Tabla13[[#This Row],[SISMED]],TblDisponibilidad[],19,FALSE), 0)</f>
        <v>0</v>
      </c>
      <c r="P725">
        <f>IFERROR(VLOOKUP(Tabla13[[#This Row],[SISMED]],TblDisponibilidad[],20,FALSE), 0)</f>
        <v>0</v>
      </c>
      <c r="Q725">
        <f>IFERROR(VLOOKUP(Tabla13[[#This Row],[SISMED]],TblDisponibilidad[],21,FALSE), 0)</f>
        <v>0</v>
      </c>
      <c r="R725">
        <f>IFERROR(VLOOKUP(Tabla13[[#This Row],[SISMED]],TblDisponibilidad[],22,FALSE), 0)</f>
        <v>0</v>
      </c>
      <c r="S725" s="15">
        <f>IFERROR(VLOOKUP(Tabla13[[#This Row],[SISMED]],TblDisponibilidad[],23,FALSE), 0)</f>
        <v>0</v>
      </c>
    </row>
    <row r="726" spans="1:19" x14ac:dyDescent="0.3">
      <c r="A726" s="15" t="s">
        <v>756</v>
      </c>
      <c r="B726" t="str">
        <f>IFERROR(VLOOKUP(Tabla13[[#This Row],[SISMED]],TblDisponibilidad[],2,FALSE), "")</f>
        <v/>
      </c>
      <c r="C726">
        <f>IFERROR(VLOOKUP(Tabla13[[#This Row],[SISMED]],TblDisponibilidad[],7,FALSE), 0)</f>
        <v>0</v>
      </c>
      <c r="D726">
        <f>IFERROR(VLOOKUP(Tabla13[[#This Row],[SISMED]],TblDisponibilidad[],8,FALSE), 0)</f>
        <v>0</v>
      </c>
      <c r="E726">
        <f>IFERROR(VLOOKUP(Tabla13[[#This Row],[SISMED]],TblDisponibilidad[],9,FALSE), 0)</f>
        <v>0</v>
      </c>
      <c r="F726">
        <f>IFERROR(VLOOKUP(Tabla13[[#This Row],[SISMED]],TblDisponibilidad[],10,FALSE), 0)</f>
        <v>0</v>
      </c>
      <c r="G726">
        <f>IFERROR(VLOOKUP(Tabla13[[#This Row],[SISMED]],TblDisponibilidad[],11,FALSE), 0)</f>
        <v>0</v>
      </c>
      <c r="H726">
        <f>IFERROR(VLOOKUP(Tabla13[[#This Row],[SISMED]],TblDisponibilidad[],12,FALSE), 0)</f>
        <v>0</v>
      </c>
      <c r="I726">
        <f>IFERROR(VLOOKUP(Tabla13[[#This Row],[SISMED]],TblDisponibilidad[],13,FALSE), 0)</f>
        <v>0</v>
      </c>
      <c r="J726">
        <f>IFERROR(VLOOKUP(Tabla13[[#This Row],[SISMED]],TblDisponibilidad[],14,FALSE), 0)</f>
        <v>0</v>
      </c>
      <c r="K726">
        <f>IFERROR(VLOOKUP(Tabla13[[#This Row],[SISMED]],TblDisponibilidad[],15,FALSE), 0)</f>
        <v>0</v>
      </c>
      <c r="L726">
        <f>IFERROR(VLOOKUP(Tabla13[[#This Row],[SISMED]],TblDisponibilidad[],16,FALSE), 0)</f>
        <v>0</v>
      </c>
      <c r="M726">
        <f>IFERROR(VLOOKUP(Tabla13[[#This Row],[SISMED]],TblDisponibilidad[],17,FALSE), 0)</f>
        <v>0</v>
      </c>
      <c r="N726">
        <f>IFERROR(VLOOKUP(Tabla13[[#This Row],[SISMED]],TblDisponibilidad[],18,FALSE), 0)</f>
        <v>0</v>
      </c>
      <c r="O726">
        <f>IFERROR(VLOOKUP(Tabla13[[#This Row],[SISMED]],TblDisponibilidad[],19,FALSE), 0)</f>
        <v>0</v>
      </c>
      <c r="P726">
        <f>IFERROR(VLOOKUP(Tabla13[[#This Row],[SISMED]],TblDisponibilidad[],20,FALSE), 0)</f>
        <v>0</v>
      </c>
      <c r="Q726">
        <f>IFERROR(VLOOKUP(Tabla13[[#This Row],[SISMED]],TblDisponibilidad[],21,FALSE), 0)</f>
        <v>0</v>
      </c>
      <c r="R726">
        <f>IFERROR(VLOOKUP(Tabla13[[#This Row],[SISMED]],TblDisponibilidad[],22,FALSE), 0)</f>
        <v>0</v>
      </c>
      <c r="S726" s="15">
        <f>IFERROR(VLOOKUP(Tabla13[[#This Row],[SISMED]],TblDisponibilidad[],23,FALSE), 0)</f>
        <v>0</v>
      </c>
    </row>
    <row r="727" spans="1:19" x14ac:dyDescent="0.3">
      <c r="A727" s="15" t="s">
        <v>757</v>
      </c>
      <c r="B727" t="str">
        <f>IFERROR(VLOOKUP(Tabla13[[#This Row],[SISMED]],TblDisponibilidad[],2,FALSE), "")</f>
        <v/>
      </c>
      <c r="C727">
        <f>IFERROR(VLOOKUP(Tabla13[[#This Row],[SISMED]],TblDisponibilidad[],7,FALSE), 0)</f>
        <v>0</v>
      </c>
      <c r="D727">
        <f>IFERROR(VLOOKUP(Tabla13[[#This Row],[SISMED]],TblDisponibilidad[],8,FALSE), 0)</f>
        <v>0</v>
      </c>
      <c r="E727">
        <f>IFERROR(VLOOKUP(Tabla13[[#This Row],[SISMED]],TblDisponibilidad[],9,FALSE), 0)</f>
        <v>0</v>
      </c>
      <c r="F727">
        <f>IFERROR(VLOOKUP(Tabla13[[#This Row],[SISMED]],TblDisponibilidad[],10,FALSE), 0)</f>
        <v>0</v>
      </c>
      <c r="G727">
        <f>IFERROR(VLOOKUP(Tabla13[[#This Row],[SISMED]],TblDisponibilidad[],11,FALSE), 0)</f>
        <v>0</v>
      </c>
      <c r="H727">
        <f>IFERROR(VLOOKUP(Tabla13[[#This Row],[SISMED]],TblDisponibilidad[],12,FALSE), 0)</f>
        <v>0</v>
      </c>
      <c r="I727">
        <f>IFERROR(VLOOKUP(Tabla13[[#This Row],[SISMED]],TblDisponibilidad[],13,FALSE), 0)</f>
        <v>0</v>
      </c>
      <c r="J727">
        <f>IFERROR(VLOOKUP(Tabla13[[#This Row],[SISMED]],TblDisponibilidad[],14,FALSE), 0)</f>
        <v>0</v>
      </c>
      <c r="K727">
        <f>IFERROR(VLOOKUP(Tabla13[[#This Row],[SISMED]],TblDisponibilidad[],15,FALSE), 0)</f>
        <v>0</v>
      </c>
      <c r="L727">
        <f>IFERROR(VLOOKUP(Tabla13[[#This Row],[SISMED]],TblDisponibilidad[],16,FALSE), 0)</f>
        <v>0</v>
      </c>
      <c r="M727">
        <f>IFERROR(VLOOKUP(Tabla13[[#This Row],[SISMED]],TblDisponibilidad[],17,FALSE), 0)</f>
        <v>0</v>
      </c>
      <c r="N727">
        <f>IFERROR(VLOOKUP(Tabla13[[#This Row],[SISMED]],TblDisponibilidad[],18,FALSE), 0)</f>
        <v>0</v>
      </c>
      <c r="O727">
        <f>IFERROR(VLOOKUP(Tabla13[[#This Row],[SISMED]],TblDisponibilidad[],19,FALSE), 0)</f>
        <v>0</v>
      </c>
      <c r="P727">
        <f>IFERROR(VLOOKUP(Tabla13[[#This Row],[SISMED]],TblDisponibilidad[],20,FALSE), 0)</f>
        <v>0</v>
      </c>
      <c r="Q727">
        <f>IFERROR(VLOOKUP(Tabla13[[#This Row],[SISMED]],TblDisponibilidad[],21,FALSE), 0)</f>
        <v>0</v>
      </c>
      <c r="R727">
        <f>IFERROR(VLOOKUP(Tabla13[[#This Row],[SISMED]],TblDisponibilidad[],22,FALSE), 0)</f>
        <v>0</v>
      </c>
      <c r="S727" s="15">
        <f>IFERROR(VLOOKUP(Tabla13[[#This Row],[SISMED]],TblDisponibilidad[],23,FALSE), 0)</f>
        <v>0</v>
      </c>
    </row>
    <row r="728" spans="1:19" x14ac:dyDescent="0.3">
      <c r="A728" s="15" t="s">
        <v>758</v>
      </c>
      <c r="B728" t="str">
        <f>IFERROR(VLOOKUP(Tabla13[[#This Row],[SISMED]],TblDisponibilidad[],2,FALSE), "")</f>
        <v/>
      </c>
      <c r="C728">
        <f>IFERROR(VLOOKUP(Tabla13[[#This Row],[SISMED]],TblDisponibilidad[],7,FALSE), 0)</f>
        <v>0</v>
      </c>
      <c r="D728">
        <f>IFERROR(VLOOKUP(Tabla13[[#This Row],[SISMED]],TblDisponibilidad[],8,FALSE), 0)</f>
        <v>0</v>
      </c>
      <c r="E728">
        <f>IFERROR(VLOOKUP(Tabla13[[#This Row],[SISMED]],TblDisponibilidad[],9,FALSE), 0)</f>
        <v>0</v>
      </c>
      <c r="F728">
        <f>IFERROR(VLOOKUP(Tabla13[[#This Row],[SISMED]],TblDisponibilidad[],10,FALSE), 0)</f>
        <v>0</v>
      </c>
      <c r="G728">
        <f>IFERROR(VLOOKUP(Tabla13[[#This Row],[SISMED]],TblDisponibilidad[],11,FALSE), 0)</f>
        <v>0</v>
      </c>
      <c r="H728">
        <f>IFERROR(VLOOKUP(Tabla13[[#This Row],[SISMED]],TblDisponibilidad[],12,FALSE), 0)</f>
        <v>0</v>
      </c>
      <c r="I728">
        <f>IFERROR(VLOOKUP(Tabla13[[#This Row],[SISMED]],TblDisponibilidad[],13,FALSE), 0)</f>
        <v>0</v>
      </c>
      <c r="J728">
        <f>IFERROR(VLOOKUP(Tabla13[[#This Row],[SISMED]],TblDisponibilidad[],14,FALSE), 0)</f>
        <v>0</v>
      </c>
      <c r="K728">
        <f>IFERROR(VLOOKUP(Tabla13[[#This Row],[SISMED]],TblDisponibilidad[],15,FALSE), 0)</f>
        <v>0</v>
      </c>
      <c r="L728">
        <f>IFERROR(VLOOKUP(Tabla13[[#This Row],[SISMED]],TblDisponibilidad[],16,FALSE), 0)</f>
        <v>0</v>
      </c>
      <c r="M728">
        <f>IFERROR(VLOOKUP(Tabla13[[#This Row],[SISMED]],TblDisponibilidad[],17,FALSE), 0)</f>
        <v>0</v>
      </c>
      <c r="N728">
        <f>IFERROR(VLOOKUP(Tabla13[[#This Row],[SISMED]],TblDisponibilidad[],18,FALSE), 0)</f>
        <v>0</v>
      </c>
      <c r="O728">
        <f>IFERROR(VLOOKUP(Tabla13[[#This Row],[SISMED]],TblDisponibilidad[],19,FALSE), 0)</f>
        <v>0</v>
      </c>
      <c r="P728">
        <f>IFERROR(VLOOKUP(Tabla13[[#This Row],[SISMED]],TblDisponibilidad[],20,FALSE), 0)</f>
        <v>0</v>
      </c>
      <c r="Q728">
        <f>IFERROR(VLOOKUP(Tabla13[[#This Row],[SISMED]],TblDisponibilidad[],21,FALSE), 0)</f>
        <v>0</v>
      </c>
      <c r="R728">
        <f>IFERROR(VLOOKUP(Tabla13[[#This Row],[SISMED]],TblDisponibilidad[],22,FALSE), 0)</f>
        <v>0</v>
      </c>
      <c r="S728" s="15">
        <f>IFERROR(VLOOKUP(Tabla13[[#This Row],[SISMED]],TblDisponibilidad[],23,FALSE), 0)</f>
        <v>0</v>
      </c>
    </row>
    <row r="729" spans="1:19" x14ac:dyDescent="0.3">
      <c r="A729" s="15" t="s">
        <v>759</v>
      </c>
      <c r="B729" t="str">
        <f>IFERROR(VLOOKUP(Tabla13[[#This Row],[SISMED]],TblDisponibilidad[],2,FALSE), "")</f>
        <v/>
      </c>
      <c r="C729">
        <f>IFERROR(VLOOKUP(Tabla13[[#This Row],[SISMED]],TblDisponibilidad[],7,FALSE), 0)</f>
        <v>0</v>
      </c>
      <c r="D729">
        <f>IFERROR(VLOOKUP(Tabla13[[#This Row],[SISMED]],TblDisponibilidad[],8,FALSE), 0)</f>
        <v>0</v>
      </c>
      <c r="E729">
        <f>IFERROR(VLOOKUP(Tabla13[[#This Row],[SISMED]],TblDisponibilidad[],9,FALSE), 0)</f>
        <v>0</v>
      </c>
      <c r="F729">
        <f>IFERROR(VLOOKUP(Tabla13[[#This Row],[SISMED]],TblDisponibilidad[],10,FALSE), 0)</f>
        <v>0</v>
      </c>
      <c r="G729">
        <f>IFERROR(VLOOKUP(Tabla13[[#This Row],[SISMED]],TblDisponibilidad[],11,FALSE), 0)</f>
        <v>0</v>
      </c>
      <c r="H729">
        <f>IFERROR(VLOOKUP(Tabla13[[#This Row],[SISMED]],TblDisponibilidad[],12,FALSE), 0)</f>
        <v>0</v>
      </c>
      <c r="I729">
        <f>IFERROR(VLOOKUP(Tabla13[[#This Row],[SISMED]],TblDisponibilidad[],13,FALSE), 0)</f>
        <v>0</v>
      </c>
      <c r="J729">
        <f>IFERROR(VLOOKUP(Tabla13[[#This Row],[SISMED]],TblDisponibilidad[],14,FALSE), 0)</f>
        <v>0</v>
      </c>
      <c r="K729">
        <f>IFERROR(VLOOKUP(Tabla13[[#This Row],[SISMED]],TblDisponibilidad[],15,FALSE), 0)</f>
        <v>0</v>
      </c>
      <c r="L729">
        <f>IFERROR(VLOOKUP(Tabla13[[#This Row],[SISMED]],TblDisponibilidad[],16,FALSE), 0)</f>
        <v>0</v>
      </c>
      <c r="M729">
        <f>IFERROR(VLOOKUP(Tabla13[[#This Row],[SISMED]],TblDisponibilidad[],17,FALSE), 0)</f>
        <v>0</v>
      </c>
      <c r="N729">
        <f>IFERROR(VLOOKUP(Tabla13[[#This Row],[SISMED]],TblDisponibilidad[],18,FALSE), 0)</f>
        <v>0</v>
      </c>
      <c r="O729">
        <f>IFERROR(VLOOKUP(Tabla13[[#This Row],[SISMED]],TblDisponibilidad[],19,FALSE), 0)</f>
        <v>0</v>
      </c>
      <c r="P729">
        <f>IFERROR(VLOOKUP(Tabla13[[#This Row],[SISMED]],TblDisponibilidad[],20,FALSE), 0)</f>
        <v>0</v>
      </c>
      <c r="Q729">
        <f>IFERROR(VLOOKUP(Tabla13[[#This Row],[SISMED]],TblDisponibilidad[],21,FALSE), 0)</f>
        <v>0</v>
      </c>
      <c r="R729">
        <f>IFERROR(VLOOKUP(Tabla13[[#This Row],[SISMED]],TblDisponibilidad[],22,FALSE), 0)</f>
        <v>0</v>
      </c>
      <c r="S729" s="15">
        <f>IFERROR(VLOOKUP(Tabla13[[#This Row],[SISMED]],TblDisponibilidad[],23,FALSE), 0)</f>
        <v>0</v>
      </c>
    </row>
    <row r="730" spans="1:19" x14ac:dyDescent="0.3">
      <c r="A730" s="15" t="s">
        <v>760</v>
      </c>
      <c r="B730" t="str">
        <f>IFERROR(VLOOKUP(Tabla13[[#This Row],[SISMED]],TblDisponibilidad[],2,FALSE), "")</f>
        <v/>
      </c>
      <c r="C730">
        <f>IFERROR(VLOOKUP(Tabla13[[#This Row],[SISMED]],TblDisponibilidad[],7,FALSE), 0)</f>
        <v>0</v>
      </c>
      <c r="D730">
        <f>IFERROR(VLOOKUP(Tabla13[[#This Row],[SISMED]],TblDisponibilidad[],8,FALSE), 0)</f>
        <v>0</v>
      </c>
      <c r="E730">
        <f>IFERROR(VLOOKUP(Tabla13[[#This Row],[SISMED]],TblDisponibilidad[],9,FALSE), 0)</f>
        <v>0</v>
      </c>
      <c r="F730">
        <f>IFERROR(VLOOKUP(Tabla13[[#This Row],[SISMED]],TblDisponibilidad[],10,FALSE), 0)</f>
        <v>0</v>
      </c>
      <c r="G730">
        <f>IFERROR(VLOOKUP(Tabla13[[#This Row],[SISMED]],TblDisponibilidad[],11,FALSE), 0)</f>
        <v>0</v>
      </c>
      <c r="H730">
        <f>IFERROR(VLOOKUP(Tabla13[[#This Row],[SISMED]],TblDisponibilidad[],12,FALSE), 0)</f>
        <v>0</v>
      </c>
      <c r="I730">
        <f>IFERROR(VLOOKUP(Tabla13[[#This Row],[SISMED]],TblDisponibilidad[],13,FALSE), 0)</f>
        <v>0</v>
      </c>
      <c r="J730">
        <f>IFERROR(VLOOKUP(Tabla13[[#This Row],[SISMED]],TblDisponibilidad[],14,FALSE), 0)</f>
        <v>0</v>
      </c>
      <c r="K730">
        <f>IFERROR(VLOOKUP(Tabla13[[#This Row],[SISMED]],TblDisponibilidad[],15,FALSE), 0)</f>
        <v>0</v>
      </c>
      <c r="L730">
        <f>IFERROR(VLOOKUP(Tabla13[[#This Row],[SISMED]],TblDisponibilidad[],16,FALSE), 0)</f>
        <v>0</v>
      </c>
      <c r="M730">
        <f>IFERROR(VLOOKUP(Tabla13[[#This Row],[SISMED]],TblDisponibilidad[],17,FALSE), 0)</f>
        <v>0</v>
      </c>
      <c r="N730">
        <f>IFERROR(VLOOKUP(Tabla13[[#This Row],[SISMED]],TblDisponibilidad[],18,FALSE), 0)</f>
        <v>0</v>
      </c>
      <c r="O730">
        <f>IFERROR(VLOOKUP(Tabla13[[#This Row],[SISMED]],TblDisponibilidad[],19,FALSE), 0)</f>
        <v>0</v>
      </c>
      <c r="P730">
        <f>IFERROR(VLOOKUP(Tabla13[[#This Row],[SISMED]],TblDisponibilidad[],20,FALSE), 0)</f>
        <v>0</v>
      </c>
      <c r="Q730">
        <f>IFERROR(VLOOKUP(Tabla13[[#This Row],[SISMED]],TblDisponibilidad[],21,FALSE), 0)</f>
        <v>0</v>
      </c>
      <c r="R730">
        <f>IFERROR(VLOOKUP(Tabla13[[#This Row],[SISMED]],TblDisponibilidad[],22,FALSE), 0)</f>
        <v>0</v>
      </c>
      <c r="S730" s="15">
        <f>IFERROR(VLOOKUP(Tabla13[[#This Row],[SISMED]],TblDisponibilidad[],23,FALSE), 0)</f>
        <v>0</v>
      </c>
    </row>
    <row r="731" spans="1:19" x14ac:dyDescent="0.3">
      <c r="A731" s="15" t="s">
        <v>761</v>
      </c>
      <c r="B731" t="str">
        <f>IFERROR(VLOOKUP(Tabla13[[#This Row],[SISMED]],TblDisponibilidad[],2,FALSE), "")</f>
        <v/>
      </c>
      <c r="C731">
        <f>IFERROR(VLOOKUP(Tabla13[[#This Row],[SISMED]],TblDisponibilidad[],7,FALSE), 0)</f>
        <v>0</v>
      </c>
      <c r="D731">
        <f>IFERROR(VLOOKUP(Tabla13[[#This Row],[SISMED]],TblDisponibilidad[],8,FALSE), 0)</f>
        <v>0</v>
      </c>
      <c r="E731">
        <f>IFERROR(VLOOKUP(Tabla13[[#This Row],[SISMED]],TblDisponibilidad[],9,FALSE), 0)</f>
        <v>0</v>
      </c>
      <c r="F731">
        <f>IFERROR(VLOOKUP(Tabla13[[#This Row],[SISMED]],TblDisponibilidad[],10,FALSE), 0)</f>
        <v>0</v>
      </c>
      <c r="G731">
        <f>IFERROR(VLOOKUP(Tabla13[[#This Row],[SISMED]],TblDisponibilidad[],11,FALSE), 0)</f>
        <v>0</v>
      </c>
      <c r="H731">
        <f>IFERROR(VLOOKUP(Tabla13[[#This Row],[SISMED]],TblDisponibilidad[],12,FALSE), 0)</f>
        <v>0</v>
      </c>
      <c r="I731">
        <f>IFERROR(VLOOKUP(Tabla13[[#This Row],[SISMED]],TblDisponibilidad[],13,FALSE), 0)</f>
        <v>0</v>
      </c>
      <c r="J731">
        <f>IFERROR(VLOOKUP(Tabla13[[#This Row],[SISMED]],TblDisponibilidad[],14,FALSE), 0)</f>
        <v>0</v>
      </c>
      <c r="K731">
        <f>IFERROR(VLOOKUP(Tabla13[[#This Row],[SISMED]],TblDisponibilidad[],15,FALSE), 0)</f>
        <v>0</v>
      </c>
      <c r="L731">
        <f>IFERROR(VLOOKUP(Tabla13[[#This Row],[SISMED]],TblDisponibilidad[],16,FALSE), 0)</f>
        <v>0</v>
      </c>
      <c r="M731">
        <f>IFERROR(VLOOKUP(Tabla13[[#This Row],[SISMED]],TblDisponibilidad[],17,FALSE), 0)</f>
        <v>0</v>
      </c>
      <c r="N731">
        <f>IFERROR(VLOOKUP(Tabla13[[#This Row],[SISMED]],TblDisponibilidad[],18,FALSE), 0)</f>
        <v>0</v>
      </c>
      <c r="O731">
        <f>IFERROR(VLOOKUP(Tabla13[[#This Row],[SISMED]],TblDisponibilidad[],19,FALSE), 0)</f>
        <v>0</v>
      </c>
      <c r="P731">
        <f>IFERROR(VLOOKUP(Tabla13[[#This Row],[SISMED]],TblDisponibilidad[],20,FALSE), 0)</f>
        <v>0</v>
      </c>
      <c r="Q731">
        <f>IFERROR(VLOOKUP(Tabla13[[#This Row],[SISMED]],TblDisponibilidad[],21,FALSE), 0)</f>
        <v>0</v>
      </c>
      <c r="R731">
        <f>IFERROR(VLOOKUP(Tabla13[[#This Row],[SISMED]],TblDisponibilidad[],22,FALSE), 0)</f>
        <v>0</v>
      </c>
      <c r="S731" s="15">
        <f>IFERROR(VLOOKUP(Tabla13[[#This Row],[SISMED]],TblDisponibilidad[],23,FALSE), 0)</f>
        <v>0</v>
      </c>
    </row>
    <row r="732" spans="1:19" x14ac:dyDescent="0.3">
      <c r="A732" s="15" t="s">
        <v>762</v>
      </c>
      <c r="B732" t="str">
        <f>IFERROR(VLOOKUP(Tabla13[[#This Row],[SISMED]],TblDisponibilidad[],2,FALSE), "")</f>
        <v/>
      </c>
      <c r="C732">
        <f>IFERROR(VLOOKUP(Tabla13[[#This Row],[SISMED]],TblDisponibilidad[],7,FALSE), 0)</f>
        <v>0</v>
      </c>
      <c r="D732">
        <f>IFERROR(VLOOKUP(Tabla13[[#This Row],[SISMED]],TblDisponibilidad[],8,FALSE), 0)</f>
        <v>0</v>
      </c>
      <c r="E732">
        <f>IFERROR(VLOOKUP(Tabla13[[#This Row],[SISMED]],TblDisponibilidad[],9,FALSE), 0)</f>
        <v>0</v>
      </c>
      <c r="F732">
        <f>IFERROR(VLOOKUP(Tabla13[[#This Row],[SISMED]],TblDisponibilidad[],10,FALSE), 0)</f>
        <v>0</v>
      </c>
      <c r="G732">
        <f>IFERROR(VLOOKUP(Tabla13[[#This Row],[SISMED]],TblDisponibilidad[],11,FALSE), 0)</f>
        <v>0</v>
      </c>
      <c r="H732">
        <f>IFERROR(VLOOKUP(Tabla13[[#This Row],[SISMED]],TblDisponibilidad[],12,FALSE), 0)</f>
        <v>0</v>
      </c>
      <c r="I732">
        <f>IFERROR(VLOOKUP(Tabla13[[#This Row],[SISMED]],TblDisponibilidad[],13,FALSE), 0)</f>
        <v>0</v>
      </c>
      <c r="J732">
        <f>IFERROR(VLOOKUP(Tabla13[[#This Row],[SISMED]],TblDisponibilidad[],14,FALSE), 0)</f>
        <v>0</v>
      </c>
      <c r="K732">
        <f>IFERROR(VLOOKUP(Tabla13[[#This Row],[SISMED]],TblDisponibilidad[],15,FALSE), 0)</f>
        <v>0</v>
      </c>
      <c r="L732">
        <f>IFERROR(VLOOKUP(Tabla13[[#This Row],[SISMED]],TblDisponibilidad[],16,FALSE), 0)</f>
        <v>0</v>
      </c>
      <c r="M732">
        <f>IFERROR(VLOOKUP(Tabla13[[#This Row],[SISMED]],TblDisponibilidad[],17,FALSE), 0)</f>
        <v>0</v>
      </c>
      <c r="N732">
        <f>IFERROR(VLOOKUP(Tabla13[[#This Row],[SISMED]],TblDisponibilidad[],18,FALSE), 0)</f>
        <v>0</v>
      </c>
      <c r="O732">
        <f>IFERROR(VLOOKUP(Tabla13[[#This Row],[SISMED]],TblDisponibilidad[],19,FALSE), 0)</f>
        <v>0</v>
      </c>
      <c r="P732">
        <f>IFERROR(VLOOKUP(Tabla13[[#This Row],[SISMED]],TblDisponibilidad[],20,FALSE), 0)</f>
        <v>0</v>
      </c>
      <c r="Q732">
        <f>IFERROR(VLOOKUP(Tabla13[[#This Row],[SISMED]],TblDisponibilidad[],21,FALSE), 0)</f>
        <v>0</v>
      </c>
      <c r="R732">
        <f>IFERROR(VLOOKUP(Tabla13[[#This Row],[SISMED]],TblDisponibilidad[],22,FALSE), 0)</f>
        <v>0</v>
      </c>
      <c r="S732" s="15">
        <f>IFERROR(VLOOKUP(Tabla13[[#This Row],[SISMED]],TblDisponibilidad[],23,FALSE), 0)</f>
        <v>0</v>
      </c>
    </row>
    <row r="733" spans="1:19" x14ac:dyDescent="0.3">
      <c r="A733" s="15" t="s">
        <v>763</v>
      </c>
      <c r="B733" t="str">
        <f>IFERROR(VLOOKUP(Tabla13[[#This Row],[SISMED]],TblDisponibilidad[],2,FALSE), "")</f>
        <v/>
      </c>
      <c r="C733">
        <f>IFERROR(VLOOKUP(Tabla13[[#This Row],[SISMED]],TblDisponibilidad[],7,FALSE), 0)</f>
        <v>0</v>
      </c>
      <c r="D733">
        <f>IFERROR(VLOOKUP(Tabla13[[#This Row],[SISMED]],TblDisponibilidad[],8,FALSE), 0)</f>
        <v>0</v>
      </c>
      <c r="E733">
        <f>IFERROR(VLOOKUP(Tabla13[[#This Row],[SISMED]],TblDisponibilidad[],9,FALSE), 0)</f>
        <v>0</v>
      </c>
      <c r="F733">
        <f>IFERROR(VLOOKUP(Tabla13[[#This Row],[SISMED]],TblDisponibilidad[],10,FALSE), 0)</f>
        <v>0</v>
      </c>
      <c r="G733">
        <f>IFERROR(VLOOKUP(Tabla13[[#This Row],[SISMED]],TblDisponibilidad[],11,FALSE), 0)</f>
        <v>0</v>
      </c>
      <c r="H733">
        <f>IFERROR(VLOOKUP(Tabla13[[#This Row],[SISMED]],TblDisponibilidad[],12,FALSE), 0)</f>
        <v>0</v>
      </c>
      <c r="I733">
        <f>IFERROR(VLOOKUP(Tabla13[[#This Row],[SISMED]],TblDisponibilidad[],13,FALSE), 0)</f>
        <v>0</v>
      </c>
      <c r="J733">
        <f>IFERROR(VLOOKUP(Tabla13[[#This Row],[SISMED]],TblDisponibilidad[],14,FALSE), 0)</f>
        <v>0</v>
      </c>
      <c r="K733">
        <f>IFERROR(VLOOKUP(Tabla13[[#This Row],[SISMED]],TblDisponibilidad[],15,FALSE), 0)</f>
        <v>0</v>
      </c>
      <c r="L733">
        <f>IFERROR(VLOOKUP(Tabla13[[#This Row],[SISMED]],TblDisponibilidad[],16,FALSE), 0)</f>
        <v>0</v>
      </c>
      <c r="M733">
        <f>IFERROR(VLOOKUP(Tabla13[[#This Row],[SISMED]],TblDisponibilidad[],17,FALSE), 0)</f>
        <v>0</v>
      </c>
      <c r="N733">
        <f>IFERROR(VLOOKUP(Tabla13[[#This Row],[SISMED]],TblDisponibilidad[],18,FALSE), 0)</f>
        <v>0</v>
      </c>
      <c r="O733">
        <f>IFERROR(VLOOKUP(Tabla13[[#This Row],[SISMED]],TblDisponibilidad[],19,FALSE), 0)</f>
        <v>0</v>
      </c>
      <c r="P733">
        <f>IFERROR(VLOOKUP(Tabla13[[#This Row],[SISMED]],TblDisponibilidad[],20,FALSE), 0)</f>
        <v>0</v>
      </c>
      <c r="Q733">
        <f>IFERROR(VLOOKUP(Tabla13[[#This Row],[SISMED]],TblDisponibilidad[],21,FALSE), 0)</f>
        <v>0</v>
      </c>
      <c r="R733">
        <f>IFERROR(VLOOKUP(Tabla13[[#This Row],[SISMED]],TblDisponibilidad[],22,FALSE), 0)</f>
        <v>0</v>
      </c>
      <c r="S733" s="15">
        <f>IFERROR(VLOOKUP(Tabla13[[#This Row],[SISMED]],TblDisponibilidad[],23,FALSE), 0)</f>
        <v>0</v>
      </c>
    </row>
    <row r="734" spans="1:19" x14ac:dyDescent="0.3">
      <c r="A734" s="15" t="s">
        <v>764</v>
      </c>
      <c r="B734" t="str">
        <f>IFERROR(VLOOKUP(Tabla13[[#This Row],[SISMED]],TblDisponibilidad[],2,FALSE), "")</f>
        <v/>
      </c>
      <c r="C734">
        <f>IFERROR(VLOOKUP(Tabla13[[#This Row],[SISMED]],TblDisponibilidad[],7,FALSE), 0)</f>
        <v>0</v>
      </c>
      <c r="D734">
        <f>IFERROR(VLOOKUP(Tabla13[[#This Row],[SISMED]],TblDisponibilidad[],8,FALSE), 0)</f>
        <v>0</v>
      </c>
      <c r="E734">
        <f>IFERROR(VLOOKUP(Tabla13[[#This Row],[SISMED]],TblDisponibilidad[],9,FALSE), 0)</f>
        <v>0</v>
      </c>
      <c r="F734">
        <f>IFERROR(VLOOKUP(Tabla13[[#This Row],[SISMED]],TblDisponibilidad[],10,FALSE), 0)</f>
        <v>0</v>
      </c>
      <c r="G734">
        <f>IFERROR(VLOOKUP(Tabla13[[#This Row],[SISMED]],TblDisponibilidad[],11,FALSE), 0)</f>
        <v>0</v>
      </c>
      <c r="H734">
        <f>IFERROR(VLOOKUP(Tabla13[[#This Row],[SISMED]],TblDisponibilidad[],12,FALSE), 0)</f>
        <v>0</v>
      </c>
      <c r="I734">
        <f>IFERROR(VLOOKUP(Tabla13[[#This Row],[SISMED]],TblDisponibilidad[],13,FALSE), 0)</f>
        <v>0</v>
      </c>
      <c r="J734">
        <f>IFERROR(VLOOKUP(Tabla13[[#This Row],[SISMED]],TblDisponibilidad[],14,FALSE), 0)</f>
        <v>0</v>
      </c>
      <c r="K734">
        <f>IFERROR(VLOOKUP(Tabla13[[#This Row],[SISMED]],TblDisponibilidad[],15,FALSE), 0)</f>
        <v>0</v>
      </c>
      <c r="L734">
        <f>IFERROR(VLOOKUP(Tabla13[[#This Row],[SISMED]],TblDisponibilidad[],16,FALSE), 0)</f>
        <v>0</v>
      </c>
      <c r="M734">
        <f>IFERROR(VLOOKUP(Tabla13[[#This Row],[SISMED]],TblDisponibilidad[],17,FALSE), 0)</f>
        <v>0</v>
      </c>
      <c r="N734">
        <f>IFERROR(VLOOKUP(Tabla13[[#This Row],[SISMED]],TblDisponibilidad[],18,FALSE), 0)</f>
        <v>0</v>
      </c>
      <c r="O734">
        <f>IFERROR(VLOOKUP(Tabla13[[#This Row],[SISMED]],TblDisponibilidad[],19,FALSE), 0)</f>
        <v>0</v>
      </c>
      <c r="P734">
        <f>IFERROR(VLOOKUP(Tabla13[[#This Row],[SISMED]],TblDisponibilidad[],20,FALSE), 0)</f>
        <v>0</v>
      </c>
      <c r="Q734">
        <f>IFERROR(VLOOKUP(Tabla13[[#This Row],[SISMED]],TblDisponibilidad[],21,FALSE), 0)</f>
        <v>0</v>
      </c>
      <c r="R734">
        <f>IFERROR(VLOOKUP(Tabla13[[#This Row],[SISMED]],TblDisponibilidad[],22,FALSE), 0)</f>
        <v>0</v>
      </c>
      <c r="S734" s="15">
        <f>IFERROR(VLOOKUP(Tabla13[[#This Row],[SISMED]],TblDisponibilidad[],23,FALSE), 0)</f>
        <v>0</v>
      </c>
    </row>
    <row r="735" spans="1:19" x14ac:dyDescent="0.3">
      <c r="A735" s="15" t="s">
        <v>765</v>
      </c>
      <c r="B735" t="str">
        <f>IFERROR(VLOOKUP(Tabla13[[#This Row],[SISMED]],TblDisponibilidad[],2,FALSE), "")</f>
        <v/>
      </c>
      <c r="C735">
        <f>IFERROR(VLOOKUP(Tabla13[[#This Row],[SISMED]],TblDisponibilidad[],7,FALSE), 0)</f>
        <v>0</v>
      </c>
      <c r="D735">
        <f>IFERROR(VLOOKUP(Tabla13[[#This Row],[SISMED]],TblDisponibilidad[],8,FALSE), 0)</f>
        <v>0</v>
      </c>
      <c r="E735">
        <f>IFERROR(VLOOKUP(Tabla13[[#This Row],[SISMED]],TblDisponibilidad[],9,FALSE), 0)</f>
        <v>0</v>
      </c>
      <c r="F735">
        <f>IFERROR(VLOOKUP(Tabla13[[#This Row],[SISMED]],TblDisponibilidad[],10,FALSE), 0)</f>
        <v>0</v>
      </c>
      <c r="G735">
        <f>IFERROR(VLOOKUP(Tabla13[[#This Row],[SISMED]],TblDisponibilidad[],11,FALSE), 0)</f>
        <v>0</v>
      </c>
      <c r="H735">
        <f>IFERROR(VLOOKUP(Tabla13[[#This Row],[SISMED]],TblDisponibilidad[],12,FALSE), 0)</f>
        <v>0</v>
      </c>
      <c r="I735">
        <f>IFERROR(VLOOKUP(Tabla13[[#This Row],[SISMED]],TblDisponibilidad[],13,FALSE), 0)</f>
        <v>0</v>
      </c>
      <c r="J735">
        <f>IFERROR(VLOOKUP(Tabla13[[#This Row],[SISMED]],TblDisponibilidad[],14,FALSE), 0)</f>
        <v>0</v>
      </c>
      <c r="K735">
        <f>IFERROR(VLOOKUP(Tabla13[[#This Row],[SISMED]],TblDisponibilidad[],15,FALSE), 0)</f>
        <v>0</v>
      </c>
      <c r="L735">
        <f>IFERROR(VLOOKUP(Tabla13[[#This Row],[SISMED]],TblDisponibilidad[],16,FALSE), 0)</f>
        <v>0</v>
      </c>
      <c r="M735">
        <f>IFERROR(VLOOKUP(Tabla13[[#This Row],[SISMED]],TblDisponibilidad[],17,FALSE), 0)</f>
        <v>0</v>
      </c>
      <c r="N735">
        <f>IFERROR(VLOOKUP(Tabla13[[#This Row],[SISMED]],TblDisponibilidad[],18,FALSE), 0)</f>
        <v>0</v>
      </c>
      <c r="O735">
        <f>IFERROR(VLOOKUP(Tabla13[[#This Row],[SISMED]],TblDisponibilidad[],19,FALSE), 0)</f>
        <v>0</v>
      </c>
      <c r="P735">
        <f>IFERROR(VLOOKUP(Tabla13[[#This Row],[SISMED]],TblDisponibilidad[],20,FALSE), 0)</f>
        <v>0</v>
      </c>
      <c r="Q735">
        <f>IFERROR(VLOOKUP(Tabla13[[#This Row],[SISMED]],TblDisponibilidad[],21,FALSE), 0)</f>
        <v>0</v>
      </c>
      <c r="R735">
        <f>IFERROR(VLOOKUP(Tabla13[[#This Row],[SISMED]],TblDisponibilidad[],22,FALSE), 0)</f>
        <v>0</v>
      </c>
      <c r="S735" s="15">
        <f>IFERROR(VLOOKUP(Tabla13[[#This Row],[SISMED]],TblDisponibilidad[],23,FALSE), 0)</f>
        <v>0</v>
      </c>
    </row>
    <row r="736" spans="1:19" x14ac:dyDescent="0.3">
      <c r="A736" s="15" t="s">
        <v>766</v>
      </c>
      <c r="B736" t="str">
        <f>IFERROR(VLOOKUP(Tabla13[[#This Row],[SISMED]],TblDisponibilidad[],2,FALSE), "")</f>
        <v/>
      </c>
      <c r="C736">
        <f>IFERROR(VLOOKUP(Tabla13[[#This Row],[SISMED]],TblDisponibilidad[],7,FALSE), 0)</f>
        <v>0</v>
      </c>
      <c r="D736">
        <f>IFERROR(VLOOKUP(Tabla13[[#This Row],[SISMED]],TblDisponibilidad[],8,FALSE), 0)</f>
        <v>0</v>
      </c>
      <c r="E736">
        <f>IFERROR(VLOOKUP(Tabla13[[#This Row],[SISMED]],TblDisponibilidad[],9,FALSE), 0)</f>
        <v>0</v>
      </c>
      <c r="F736">
        <f>IFERROR(VLOOKUP(Tabla13[[#This Row],[SISMED]],TblDisponibilidad[],10,FALSE), 0)</f>
        <v>0</v>
      </c>
      <c r="G736">
        <f>IFERROR(VLOOKUP(Tabla13[[#This Row],[SISMED]],TblDisponibilidad[],11,FALSE), 0)</f>
        <v>0</v>
      </c>
      <c r="H736">
        <f>IFERROR(VLOOKUP(Tabla13[[#This Row],[SISMED]],TblDisponibilidad[],12,FALSE), 0)</f>
        <v>0</v>
      </c>
      <c r="I736">
        <f>IFERROR(VLOOKUP(Tabla13[[#This Row],[SISMED]],TblDisponibilidad[],13,FALSE), 0)</f>
        <v>0</v>
      </c>
      <c r="J736">
        <f>IFERROR(VLOOKUP(Tabla13[[#This Row],[SISMED]],TblDisponibilidad[],14,FALSE), 0)</f>
        <v>0</v>
      </c>
      <c r="K736">
        <f>IFERROR(VLOOKUP(Tabla13[[#This Row],[SISMED]],TblDisponibilidad[],15,FALSE), 0)</f>
        <v>0</v>
      </c>
      <c r="L736">
        <f>IFERROR(VLOOKUP(Tabla13[[#This Row],[SISMED]],TblDisponibilidad[],16,FALSE), 0)</f>
        <v>0</v>
      </c>
      <c r="M736">
        <f>IFERROR(VLOOKUP(Tabla13[[#This Row],[SISMED]],TblDisponibilidad[],17,FALSE), 0)</f>
        <v>0</v>
      </c>
      <c r="N736">
        <f>IFERROR(VLOOKUP(Tabla13[[#This Row],[SISMED]],TblDisponibilidad[],18,FALSE), 0)</f>
        <v>0</v>
      </c>
      <c r="O736">
        <f>IFERROR(VLOOKUP(Tabla13[[#This Row],[SISMED]],TblDisponibilidad[],19,FALSE), 0)</f>
        <v>0</v>
      </c>
      <c r="P736">
        <f>IFERROR(VLOOKUP(Tabla13[[#This Row],[SISMED]],TblDisponibilidad[],20,FALSE), 0)</f>
        <v>0</v>
      </c>
      <c r="Q736">
        <f>IFERROR(VLOOKUP(Tabla13[[#This Row],[SISMED]],TblDisponibilidad[],21,FALSE), 0)</f>
        <v>0</v>
      </c>
      <c r="R736">
        <f>IFERROR(VLOOKUP(Tabla13[[#This Row],[SISMED]],TblDisponibilidad[],22,FALSE), 0)</f>
        <v>0</v>
      </c>
      <c r="S736" s="15">
        <f>IFERROR(VLOOKUP(Tabla13[[#This Row],[SISMED]],TblDisponibilidad[],23,FALSE), 0)</f>
        <v>0</v>
      </c>
    </row>
    <row r="737" spans="1:19" x14ac:dyDescent="0.3">
      <c r="A737" s="15" t="s">
        <v>767</v>
      </c>
      <c r="B737" t="str">
        <f>IFERROR(VLOOKUP(Tabla13[[#This Row],[SISMED]],TblDisponibilidad[],2,FALSE), "")</f>
        <v/>
      </c>
      <c r="C737">
        <f>IFERROR(VLOOKUP(Tabla13[[#This Row],[SISMED]],TblDisponibilidad[],7,FALSE), 0)</f>
        <v>0</v>
      </c>
      <c r="D737">
        <f>IFERROR(VLOOKUP(Tabla13[[#This Row],[SISMED]],TblDisponibilidad[],8,FALSE), 0)</f>
        <v>0</v>
      </c>
      <c r="E737">
        <f>IFERROR(VLOOKUP(Tabla13[[#This Row],[SISMED]],TblDisponibilidad[],9,FALSE), 0)</f>
        <v>0</v>
      </c>
      <c r="F737">
        <f>IFERROR(VLOOKUP(Tabla13[[#This Row],[SISMED]],TblDisponibilidad[],10,FALSE), 0)</f>
        <v>0</v>
      </c>
      <c r="G737">
        <f>IFERROR(VLOOKUP(Tabla13[[#This Row],[SISMED]],TblDisponibilidad[],11,FALSE), 0)</f>
        <v>0</v>
      </c>
      <c r="H737">
        <f>IFERROR(VLOOKUP(Tabla13[[#This Row],[SISMED]],TblDisponibilidad[],12,FALSE), 0)</f>
        <v>0</v>
      </c>
      <c r="I737">
        <f>IFERROR(VLOOKUP(Tabla13[[#This Row],[SISMED]],TblDisponibilidad[],13,FALSE), 0)</f>
        <v>0</v>
      </c>
      <c r="J737">
        <f>IFERROR(VLOOKUP(Tabla13[[#This Row],[SISMED]],TblDisponibilidad[],14,FALSE), 0)</f>
        <v>0</v>
      </c>
      <c r="K737">
        <f>IFERROR(VLOOKUP(Tabla13[[#This Row],[SISMED]],TblDisponibilidad[],15,FALSE), 0)</f>
        <v>0</v>
      </c>
      <c r="L737">
        <f>IFERROR(VLOOKUP(Tabla13[[#This Row],[SISMED]],TblDisponibilidad[],16,FALSE), 0)</f>
        <v>0</v>
      </c>
      <c r="M737">
        <f>IFERROR(VLOOKUP(Tabla13[[#This Row],[SISMED]],TblDisponibilidad[],17,FALSE), 0)</f>
        <v>0</v>
      </c>
      <c r="N737">
        <f>IFERROR(VLOOKUP(Tabla13[[#This Row],[SISMED]],TblDisponibilidad[],18,FALSE), 0)</f>
        <v>0</v>
      </c>
      <c r="O737">
        <f>IFERROR(VLOOKUP(Tabla13[[#This Row],[SISMED]],TblDisponibilidad[],19,FALSE), 0)</f>
        <v>0</v>
      </c>
      <c r="P737">
        <f>IFERROR(VLOOKUP(Tabla13[[#This Row],[SISMED]],TblDisponibilidad[],20,FALSE), 0)</f>
        <v>0</v>
      </c>
      <c r="Q737">
        <f>IFERROR(VLOOKUP(Tabla13[[#This Row],[SISMED]],TblDisponibilidad[],21,FALSE), 0)</f>
        <v>0</v>
      </c>
      <c r="R737">
        <f>IFERROR(VLOOKUP(Tabla13[[#This Row],[SISMED]],TblDisponibilidad[],22,FALSE), 0)</f>
        <v>0</v>
      </c>
      <c r="S737" s="15">
        <f>IFERROR(VLOOKUP(Tabla13[[#This Row],[SISMED]],TblDisponibilidad[],23,FALSE), 0)</f>
        <v>0</v>
      </c>
    </row>
    <row r="738" spans="1:19" x14ac:dyDescent="0.3">
      <c r="A738" s="15" t="s">
        <v>768</v>
      </c>
      <c r="B738" t="str">
        <f>IFERROR(VLOOKUP(Tabla13[[#This Row],[SISMED]],TblDisponibilidad[],2,FALSE), "")</f>
        <v/>
      </c>
      <c r="C738">
        <f>IFERROR(VLOOKUP(Tabla13[[#This Row],[SISMED]],TblDisponibilidad[],7,FALSE), 0)</f>
        <v>0</v>
      </c>
      <c r="D738">
        <f>IFERROR(VLOOKUP(Tabla13[[#This Row],[SISMED]],TblDisponibilidad[],8,FALSE), 0)</f>
        <v>0</v>
      </c>
      <c r="E738">
        <f>IFERROR(VLOOKUP(Tabla13[[#This Row],[SISMED]],TblDisponibilidad[],9,FALSE), 0)</f>
        <v>0</v>
      </c>
      <c r="F738">
        <f>IFERROR(VLOOKUP(Tabla13[[#This Row],[SISMED]],TblDisponibilidad[],10,FALSE), 0)</f>
        <v>0</v>
      </c>
      <c r="G738">
        <f>IFERROR(VLOOKUP(Tabla13[[#This Row],[SISMED]],TblDisponibilidad[],11,FALSE), 0)</f>
        <v>0</v>
      </c>
      <c r="H738">
        <f>IFERROR(VLOOKUP(Tabla13[[#This Row],[SISMED]],TblDisponibilidad[],12,FALSE), 0)</f>
        <v>0</v>
      </c>
      <c r="I738">
        <f>IFERROR(VLOOKUP(Tabla13[[#This Row],[SISMED]],TblDisponibilidad[],13,FALSE), 0)</f>
        <v>0</v>
      </c>
      <c r="J738">
        <f>IFERROR(VLOOKUP(Tabla13[[#This Row],[SISMED]],TblDisponibilidad[],14,FALSE), 0)</f>
        <v>0</v>
      </c>
      <c r="K738">
        <f>IFERROR(VLOOKUP(Tabla13[[#This Row],[SISMED]],TblDisponibilidad[],15,FALSE), 0)</f>
        <v>0</v>
      </c>
      <c r="L738">
        <f>IFERROR(VLOOKUP(Tabla13[[#This Row],[SISMED]],TblDisponibilidad[],16,FALSE), 0)</f>
        <v>0</v>
      </c>
      <c r="M738">
        <f>IFERROR(VLOOKUP(Tabla13[[#This Row],[SISMED]],TblDisponibilidad[],17,FALSE), 0)</f>
        <v>0</v>
      </c>
      <c r="N738">
        <f>IFERROR(VLOOKUP(Tabla13[[#This Row],[SISMED]],TblDisponibilidad[],18,FALSE), 0)</f>
        <v>0</v>
      </c>
      <c r="O738">
        <f>IFERROR(VLOOKUP(Tabla13[[#This Row],[SISMED]],TblDisponibilidad[],19,FALSE), 0)</f>
        <v>0</v>
      </c>
      <c r="P738">
        <f>IFERROR(VLOOKUP(Tabla13[[#This Row],[SISMED]],TblDisponibilidad[],20,FALSE), 0)</f>
        <v>0</v>
      </c>
      <c r="Q738">
        <f>IFERROR(VLOOKUP(Tabla13[[#This Row],[SISMED]],TblDisponibilidad[],21,FALSE), 0)</f>
        <v>0</v>
      </c>
      <c r="R738">
        <f>IFERROR(VLOOKUP(Tabla13[[#This Row],[SISMED]],TblDisponibilidad[],22,FALSE), 0)</f>
        <v>0</v>
      </c>
      <c r="S738" s="15">
        <f>IFERROR(VLOOKUP(Tabla13[[#This Row],[SISMED]],TblDisponibilidad[],23,FALSE), 0)</f>
        <v>0</v>
      </c>
    </row>
    <row r="739" spans="1:19" x14ac:dyDescent="0.3">
      <c r="A739" s="15" t="s">
        <v>769</v>
      </c>
      <c r="B739" t="str">
        <f>IFERROR(VLOOKUP(Tabla13[[#This Row],[SISMED]],TblDisponibilidad[],2,FALSE), "")</f>
        <v/>
      </c>
      <c r="C739">
        <f>IFERROR(VLOOKUP(Tabla13[[#This Row],[SISMED]],TblDisponibilidad[],7,FALSE), 0)</f>
        <v>0</v>
      </c>
      <c r="D739">
        <f>IFERROR(VLOOKUP(Tabla13[[#This Row],[SISMED]],TblDisponibilidad[],8,FALSE), 0)</f>
        <v>0</v>
      </c>
      <c r="E739">
        <f>IFERROR(VLOOKUP(Tabla13[[#This Row],[SISMED]],TblDisponibilidad[],9,FALSE), 0)</f>
        <v>0</v>
      </c>
      <c r="F739">
        <f>IFERROR(VLOOKUP(Tabla13[[#This Row],[SISMED]],TblDisponibilidad[],10,FALSE), 0)</f>
        <v>0</v>
      </c>
      <c r="G739">
        <f>IFERROR(VLOOKUP(Tabla13[[#This Row],[SISMED]],TblDisponibilidad[],11,FALSE), 0)</f>
        <v>0</v>
      </c>
      <c r="H739">
        <f>IFERROR(VLOOKUP(Tabla13[[#This Row],[SISMED]],TblDisponibilidad[],12,FALSE), 0)</f>
        <v>0</v>
      </c>
      <c r="I739">
        <f>IFERROR(VLOOKUP(Tabla13[[#This Row],[SISMED]],TblDisponibilidad[],13,FALSE), 0)</f>
        <v>0</v>
      </c>
      <c r="J739">
        <f>IFERROR(VLOOKUP(Tabla13[[#This Row],[SISMED]],TblDisponibilidad[],14,FALSE), 0)</f>
        <v>0</v>
      </c>
      <c r="K739">
        <f>IFERROR(VLOOKUP(Tabla13[[#This Row],[SISMED]],TblDisponibilidad[],15,FALSE), 0)</f>
        <v>0</v>
      </c>
      <c r="L739">
        <f>IFERROR(VLOOKUP(Tabla13[[#This Row],[SISMED]],TblDisponibilidad[],16,FALSE), 0)</f>
        <v>0</v>
      </c>
      <c r="M739">
        <f>IFERROR(VLOOKUP(Tabla13[[#This Row],[SISMED]],TblDisponibilidad[],17,FALSE), 0)</f>
        <v>0</v>
      </c>
      <c r="N739">
        <f>IFERROR(VLOOKUP(Tabla13[[#This Row],[SISMED]],TblDisponibilidad[],18,FALSE), 0)</f>
        <v>0</v>
      </c>
      <c r="O739">
        <f>IFERROR(VLOOKUP(Tabla13[[#This Row],[SISMED]],TblDisponibilidad[],19,FALSE), 0)</f>
        <v>0</v>
      </c>
      <c r="P739">
        <f>IFERROR(VLOOKUP(Tabla13[[#This Row],[SISMED]],TblDisponibilidad[],20,FALSE), 0)</f>
        <v>0</v>
      </c>
      <c r="Q739">
        <f>IFERROR(VLOOKUP(Tabla13[[#This Row],[SISMED]],TblDisponibilidad[],21,FALSE), 0)</f>
        <v>0</v>
      </c>
      <c r="R739">
        <f>IFERROR(VLOOKUP(Tabla13[[#This Row],[SISMED]],TblDisponibilidad[],22,FALSE), 0)</f>
        <v>0</v>
      </c>
      <c r="S739" s="15">
        <f>IFERROR(VLOOKUP(Tabla13[[#This Row],[SISMED]],TblDisponibilidad[],23,FALSE), 0)</f>
        <v>0</v>
      </c>
    </row>
    <row r="740" spans="1:19" x14ac:dyDescent="0.3">
      <c r="A740" s="15" t="s">
        <v>770</v>
      </c>
      <c r="B740" t="str">
        <f>IFERROR(VLOOKUP(Tabla13[[#This Row],[SISMED]],TblDisponibilidad[],2,FALSE), "")</f>
        <v/>
      </c>
      <c r="C740">
        <f>IFERROR(VLOOKUP(Tabla13[[#This Row],[SISMED]],TblDisponibilidad[],7,FALSE), 0)</f>
        <v>0</v>
      </c>
      <c r="D740">
        <f>IFERROR(VLOOKUP(Tabla13[[#This Row],[SISMED]],TblDisponibilidad[],8,FALSE), 0)</f>
        <v>0</v>
      </c>
      <c r="E740">
        <f>IFERROR(VLOOKUP(Tabla13[[#This Row],[SISMED]],TblDisponibilidad[],9,FALSE), 0)</f>
        <v>0</v>
      </c>
      <c r="F740">
        <f>IFERROR(VLOOKUP(Tabla13[[#This Row],[SISMED]],TblDisponibilidad[],10,FALSE), 0)</f>
        <v>0</v>
      </c>
      <c r="G740">
        <f>IFERROR(VLOOKUP(Tabla13[[#This Row],[SISMED]],TblDisponibilidad[],11,FALSE), 0)</f>
        <v>0</v>
      </c>
      <c r="H740">
        <f>IFERROR(VLOOKUP(Tabla13[[#This Row],[SISMED]],TblDisponibilidad[],12,FALSE), 0)</f>
        <v>0</v>
      </c>
      <c r="I740">
        <f>IFERROR(VLOOKUP(Tabla13[[#This Row],[SISMED]],TblDisponibilidad[],13,FALSE), 0)</f>
        <v>0</v>
      </c>
      <c r="J740">
        <f>IFERROR(VLOOKUP(Tabla13[[#This Row],[SISMED]],TblDisponibilidad[],14,FALSE), 0)</f>
        <v>0</v>
      </c>
      <c r="K740">
        <f>IFERROR(VLOOKUP(Tabla13[[#This Row],[SISMED]],TblDisponibilidad[],15,FALSE), 0)</f>
        <v>0</v>
      </c>
      <c r="L740">
        <f>IFERROR(VLOOKUP(Tabla13[[#This Row],[SISMED]],TblDisponibilidad[],16,FALSE), 0)</f>
        <v>0</v>
      </c>
      <c r="M740">
        <f>IFERROR(VLOOKUP(Tabla13[[#This Row],[SISMED]],TblDisponibilidad[],17,FALSE), 0)</f>
        <v>0</v>
      </c>
      <c r="N740">
        <f>IFERROR(VLOOKUP(Tabla13[[#This Row],[SISMED]],TblDisponibilidad[],18,FALSE), 0)</f>
        <v>0</v>
      </c>
      <c r="O740">
        <f>IFERROR(VLOOKUP(Tabla13[[#This Row],[SISMED]],TblDisponibilidad[],19,FALSE), 0)</f>
        <v>0</v>
      </c>
      <c r="P740">
        <f>IFERROR(VLOOKUP(Tabla13[[#This Row],[SISMED]],TblDisponibilidad[],20,FALSE), 0)</f>
        <v>0</v>
      </c>
      <c r="Q740">
        <f>IFERROR(VLOOKUP(Tabla13[[#This Row],[SISMED]],TblDisponibilidad[],21,FALSE), 0)</f>
        <v>0</v>
      </c>
      <c r="R740">
        <f>IFERROR(VLOOKUP(Tabla13[[#This Row],[SISMED]],TblDisponibilidad[],22,FALSE), 0)</f>
        <v>0</v>
      </c>
      <c r="S740" s="15">
        <f>IFERROR(VLOOKUP(Tabla13[[#This Row],[SISMED]],TblDisponibilidad[],23,FALSE), 0)</f>
        <v>0</v>
      </c>
    </row>
    <row r="741" spans="1:19" x14ac:dyDescent="0.3">
      <c r="A741" s="15" t="s">
        <v>771</v>
      </c>
      <c r="B741" t="str">
        <f>IFERROR(VLOOKUP(Tabla13[[#This Row],[SISMED]],TblDisponibilidad[],2,FALSE), "")</f>
        <v/>
      </c>
      <c r="C741">
        <f>IFERROR(VLOOKUP(Tabla13[[#This Row],[SISMED]],TblDisponibilidad[],7,FALSE), 0)</f>
        <v>0</v>
      </c>
      <c r="D741">
        <f>IFERROR(VLOOKUP(Tabla13[[#This Row],[SISMED]],TblDisponibilidad[],8,FALSE), 0)</f>
        <v>0</v>
      </c>
      <c r="E741">
        <f>IFERROR(VLOOKUP(Tabla13[[#This Row],[SISMED]],TblDisponibilidad[],9,FALSE), 0)</f>
        <v>0</v>
      </c>
      <c r="F741">
        <f>IFERROR(VLOOKUP(Tabla13[[#This Row],[SISMED]],TblDisponibilidad[],10,FALSE), 0)</f>
        <v>0</v>
      </c>
      <c r="G741">
        <f>IFERROR(VLOOKUP(Tabla13[[#This Row],[SISMED]],TblDisponibilidad[],11,FALSE), 0)</f>
        <v>0</v>
      </c>
      <c r="H741">
        <f>IFERROR(VLOOKUP(Tabla13[[#This Row],[SISMED]],TblDisponibilidad[],12,FALSE), 0)</f>
        <v>0</v>
      </c>
      <c r="I741">
        <f>IFERROR(VLOOKUP(Tabla13[[#This Row],[SISMED]],TblDisponibilidad[],13,FALSE), 0)</f>
        <v>0</v>
      </c>
      <c r="J741">
        <f>IFERROR(VLOOKUP(Tabla13[[#This Row],[SISMED]],TblDisponibilidad[],14,FALSE), 0)</f>
        <v>0</v>
      </c>
      <c r="K741">
        <f>IFERROR(VLOOKUP(Tabla13[[#This Row],[SISMED]],TblDisponibilidad[],15,FALSE), 0)</f>
        <v>0</v>
      </c>
      <c r="L741">
        <f>IFERROR(VLOOKUP(Tabla13[[#This Row],[SISMED]],TblDisponibilidad[],16,FALSE), 0)</f>
        <v>0</v>
      </c>
      <c r="M741">
        <f>IFERROR(VLOOKUP(Tabla13[[#This Row],[SISMED]],TblDisponibilidad[],17,FALSE), 0)</f>
        <v>0</v>
      </c>
      <c r="N741">
        <f>IFERROR(VLOOKUP(Tabla13[[#This Row],[SISMED]],TblDisponibilidad[],18,FALSE), 0)</f>
        <v>0</v>
      </c>
      <c r="O741">
        <f>IFERROR(VLOOKUP(Tabla13[[#This Row],[SISMED]],TblDisponibilidad[],19,FALSE), 0)</f>
        <v>0</v>
      </c>
      <c r="P741">
        <f>IFERROR(VLOOKUP(Tabla13[[#This Row],[SISMED]],TblDisponibilidad[],20,FALSE), 0)</f>
        <v>0</v>
      </c>
      <c r="Q741">
        <f>IFERROR(VLOOKUP(Tabla13[[#This Row],[SISMED]],TblDisponibilidad[],21,FALSE), 0)</f>
        <v>0</v>
      </c>
      <c r="R741">
        <f>IFERROR(VLOOKUP(Tabla13[[#This Row],[SISMED]],TblDisponibilidad[],22,FALSE), 0)</f>
        <v>0</v>
      </c>
      <c r="S741" s="15">
        <f>IFERROR(VLOOKUP(Tabla13[[#This Row],[SISMED]],TblDisponibilidad[],23,FALSE), 0)</f>
        <v>0</v>
      </c>
    </row>
    <row r="742" spans="1:19" x14ac:dyDescent="0.3">
      <c r="A742" s="15" t="s">
        <v>772</v>
      </c>
      <c r="B742" t="str">
        <f>IFERROR(VLOOKUP(Tabla13[[#This Row],[SISMED]],TblDisponibilidad[],2,FALSE), "")</f>
        <v/>
      </c>
      <c r="C742">
        <f>IFERROR(VLOOKUP(Tabla13[[#This Row],[SISMED]],TblDisponibilidad[],7,FALSE), 0)</f>
        <v>0</v>
      </c>
      <c r="D742">
        <f>IFERROR(VLOOKUP(Tabla13[[#This Row],[SISMED]],TblDisponibilidad[],8,FALSE), 0)</f>
        <v>0</v>
      </c>
      <c r="E742">
        <f>IFERROR(VLOOKUP(Tabla13[[#This Row],[SISMED]],TblDisponibilidad[],9,FALSE), 0)</f>
        <v>0</v>
      </c>
      <c r="F742">
        <f>IFERROR(VLOOKUP(Tabla13[[#This Row],[SISMED]],TblDisponibilidad[],10,FALSE), 0)</f>
        <v>0</v>
      </c>
      <c r="G742">
        <f>IFERROR(VLOOKUP(Tabla13[[#This Row],[SISMED]],TblDisponibilidad[],11,FALSE), 0)</f>
        <v>0</v>
      </c>
      <c r="H742">
        <f>IFERROR(VLOOKUP(Tabla13[[#This Row],[SISMED]],TblDisponibilidad[],12,FALSE), 0)</f>
        <v>0</v>
      </c>
      <c r="I742">
        <f>IFERROR(VLOOKUP(Tabla13[[#This Row],[SISMED]],TblDisponibilidad[],13,FALSE), 0)</f>
        <v>0</v>
      </c>
      <c r="J742">
        <f>IFERROR(VLOOKUP(Tabla13[[#This Row],[SISMED]],TblDisponibilidad[],14,FALSE), 0)</f>
        <v>0</v>
      </c>
      <c r="K742">
        <f>IFERROR(VLOOKUP(Tabla13[[#This Row],[SISMED]],TblDisponibilidad[],15,FALSE), 0)</f>
        <v>0</v>
      </c>
      <c r="L742">
        <f>IFERROR(VLOOKUP(Tabla13[[#This Row],[SISMED]],TblDisponibilidad[],16,FALSE), 0)</f>
        <v>0</v>
      </c>
      <c r="M742">
        <f>IFERROR(VLOOKUP(Tabla13[[#This Row],[SISMED]],TblDisponibilidad[],17,FALSE), 0)</f>
        <v>0</v>
      </c>
      <c r="N742">
        <f>IFERROR(VLOOKUP(Tabla13[[#This Row],[SISMED]],TblDisponibilidad[],18,FALSE), 0)</f>
        <v>0</v>
      </c>
      <c r="O742">
        <f>IFERROR(VLOOKUP(Tabla13[[#This Row],[SISMED]],TblDisponibilidad[],19,FALSE), 0)</f>
        <v>0</v>
      </c>
      <c r="P742">
        <f>IFERROR(VLOOKUP(Tabla13[[#This Row],[SISMED]],TblDisponibilidad[],20,FALSE), 0)</f>
        <v>0</v>
      </c>
      <c r="Q742">
        <f>IFERROR(VLOOKUP(Tabla13[[#This Row],[SISMED]],TblDisponibilidad[],21,FALSE), 0)</f>
        <v>0</v>
      </c>
      <c r="R742">
        <f>IFERROR(VLOOKUP(Tabla13[[#This Row],[SISMED]],TblDisponibilidad[],22,FALSE), 0)</f>
        <v>0</v>
      </c>
      <c r="S742" s="15">
        <f>IFERROR(VLOOKUP(Tabla13[[#This Row],[SISMED]],TblDisponibilidad[],23,FALSE), 0)</f>
        <v>0</v>
      </c>
    </row>
    <row r="743" spans="1:19" x14ac:dyDescent="0.3">
      <c r="A743" s="15" t="s">
        <v>773</v>
      </c>
      <c r="B743" t="str">
        <f>IFERROR(VLOOKUP(Tabla13[[#This Row],[SISMED]],TblDisponibilidad[],2,FALSE), "")</f>
        <v/>
      </c>
      <c r="C743">
        <f>IFERROR(VLOOKUP(Tabla13[[#This Row],[SISMED]],TblDisponibilidad[],7,FALSE), 0)</f>
        <v>0</v>
      </c>
      <c r="D743">
        <f>IFERROR(VLOOKUP(Tabla13[[#This Row],[SISMED]],TblDisponibilidad[],8,FALSE), 0)</f>
        <v>0</v>
      </c>
      <c r="E743">
        <f>IFERROR(VLOOKUP(Tabla13[[#This Row],[SISMED]],TblDisponibilidad[],9,FALSE), 0)</f>
        <v>0</v>
      </c>
      <c r="F743">
        <f>IFERROR(VLOOKUP(Tabla13[[#This Row],[SISMED]],TblDisponibilidad[],10,FALSE), 0)</f>
        <v>0</v>
      </c>
      <c r="G743">
        <f>IFERROR(VLOOKUP(Tabla13[[#This Row],[SISMED]],TblDisponibilidad[],11,FALSE), 0)</f>
        <v>0</v>
      </c>
      <c r="H743">
        <f>IFERROR(VLOOKUP(Tabla13[[#This Row],[SISMED]],TblDisponibilidad[],12,FALSE), 0)</f>
        <v>0</v>
      </c>
      <c r="I743">
        <f>IFERROR(VLOOKUP(Tabla13[[#This Row],[SISMED]],TblDisponibilidad[],13,FALSE), 0)</f>
        <v>0</v>
      </c>
      <c r="J743">
        <f>IFERROR(VLOOKUP(Tabla13[[#This Row],[SISMED]],TblDisponibilidad[],14,FALSE), 0)</f>
        <v>0</v>
      </c>
      <c r="K743">
        <f>IFERROR(VLOOKUP(Tabla13[[#This Row],[SISMED]],TblDisponibilidad[],15,FALSE), 0)</f>
        <v>0</v>
      </c>
      <c r="L743">
        <f>IFERROR(VLOOKUP(Tabla13[[#This Row],[SISMED]],TblDisponibilidad[],16,FALSE), 0)</f>
        <v>0</v>
      </c>
      <c r="M743">
        <f>IFERROR(VLOOKUP(Tabla13[[#This Row],[SISMED]],TblDisponibilidad[],17,FALSE), 0)</f>
        <v>0</v>
      </c>
      <c r="N743">
        <f>IFERROR(VLOOKUP(Tabla13[[#This Row],[SISMED]],TblDisponibilidad[],18,FALSE), 0)</f>
        <v>0</v>
      </c>
      <c r="O743">
        <f>IFERROR(VLOOKUP(Tabla13[[#This Row],[SISMED]],TblDisponibilidad[],19,FALSE), 0)</f>
        <v>0</v>
      </c>
      <c r="P743">
        <f>IFERROR(VLOOKUP(Tabla13[[#This Row],[SISMED]],TblDisponibilidad[],20,FALSE), 0)</f>
        <v>0</v>
      </c>
      <c r="Q743">
        <f>IFERROR(VLOOKUP(Tabla13[[#This Row],[SISMED]],TblDisponibilidad[],21,FALSE), 0)</f>
        <v>0</v>
      </c>
      <c r="R743">
        <f>IFERROR(VLOOKUP(Tabla13[[#This Row],[SISMED]],TblDisponibilidad[],22,FALSE), 0)</f>
        <v>0</v>
      </c>
      <c r="S743" s="15">
        <f>IFERROR(VLOOKUP(Tabla13[[#This Row],[SISMED]],TblDisponibilidad[],23,FALSE), 0)</f>
        <v>0</v>
      </c>
    </row>
    <row r="744" spans="1:19" x14ac:dyDescent="0.3">
      <c r="A744" s="15" t="s">
        <v>774</v>
      </c>
      <c r="B744" t="str">
        <f>IFERROR(VLOOKUP(Tabla13[[#This Row],[SISMED]],TblDisponibilidad[],2,FALSE), "")</f>
        <v/>
      </c>
      <c r="C744">
        <f>IFERROR(VLOOKUP(Tabla13[[#This Row],[SISMED]],TblDisponibilidad[],7,FALSE), 0)</f>
        <v>0</v>
      </c>
      <c r="D744">
        <f>IFERROR(VLOOKUP(Tabla13[[#This Row],[SISMED]],TblDisponibilidad[],8,FALSE), 0)</f>
        <v>0</v>
      </c>
      <c r="E744">
        <f>IFERROR(VLOOKUP(Tabla13[[#This Row],[SISMED]],TblDisponibilidad[],9,FALSE), 0)</f>
        <v>0</v>
      </c>
      <c r="F744">
        <f>IFERROR(VLOOKUP(Tabla13[[#This Row],[SISMED]],TblDisponibilidad[],10,FALSE), 0)</f>
        <v>0</v>
      </c>
      <c r="G744">
        <f>IFERROR(VLOOKUP(Tabla13[[#This Row],[SISMED]],TblDisponibilidad[],11,FALSE), 0)</f>
        <v>0</v>
      </c>
      <c r="H744">
        <f>IFERROR(VLOOKUP(Tabla13[[#This Row],[SISMED]],TblDisponibilidad[],12,FALSE), 0)</f>
        <v>0</v>
      </c>
      <c r="I744">
        <f>IFERROR(VLOOKUP(Tabla13[[#This Row],[SISMED]],TblDisponibilidad[],13,FALSE), 0)</f>
        <v>0</v>
      </c>
      <c r="J744">
        <f>IFERROR(VLOOKUP(Tabla13[[#This Row],[SISMED]],TblDisponibilidad[],14,FALSE), 0)</f>
        <v>0</v>
      </c>
      <c r="K744">
        <f>IFERROR(VLOOKUP(Tabla13[[#This Row],[SISMED]],TblDisponibilidad[],15,FALSE), 0)</f>
        <v>0</v>
      </c>
      <c r="L744">
        <f>IFERROR(VLOOKUP(Tabla13[[#This Row],[SISMED]],TblDisponibilidad[],16,FALSE), 0)</f>
        <v>0</v>
      </c>
      <c r="M744">
        <f>IFERROR(VLOOKUP(Tabla13[[#This Row],[SISMED]],TblDisponibilidad[],17,FALSE), 0)</f>
        <v>0</v>
      </c>
      <c r="N744">
        <f>IFERROR(VLOOKUP(Tabla13[[#This Row],[SISMED]],TblDisponibilidad[],18,FALSE), 0)</f>
        <v>0</v>
      </c>
      <c r="O744">
        <f>IFERROR(VLOOKUP(Tabla13[[#This Row],[SISMED]],TblDisponibilidad[],19,FALSE), 0)</f>
        <v>0</v>
      </c>
      <c r="P744">
        <f>IFERROR(VLOOKUP(Tabla13[[#This Row],[SISMED]],TblDisponibilidad[],20,FALSE), 0)</f>
        <v>0</v>
      </c>
      <c r="Q744">
        <f>IFERROR(VLOOKUP(Tabla13[[#This Row],[SISMED]],TblDisponibilidad[],21,FALSE), 0)</f>
        <v>0</v>
      </c>
      <c r="R744">
        <f>IFERROR(VLOOKUP(Tabla13[[#This Row],[SISMED]],TblDisponibilidad[],22,FALSE), 0)</f>
        <v>0</v>
      </c>
      <c r="S744" s="15">
        <f>IFERROR(VLOOKUP(Tabla13[[#This Row],[SISMED]],TblDisponibilidad[],23,FALSE), 0)</f>
        <v>0</v>
      </c>
    </row>
    <row r="745" spans="1:19" x14ac:dyDescent="0.3">
      <c r="A745" s="15" t="s">
        <v>775</v>
      </c>
      <c r="B745" t="str">
        <f>IFERROR(VLOOKUP(Tabla13[[#This Row],[SISMED]],TblDisponibilidad[],2,FALSE), "")</f>
        <v/>
      </c>
      <c r="C745">
        <f>IFERROR(VLOOKUP(Tabla13[[#This Row],[SISMED]],TblDisponibilidad[],7,FALSE), 0)</f>
        <v>0</v>
      </c>
      <c r="D745">
        <f>IFERROR(VLOOKUP(Tabla13[[#This Row],[SISMED]],TblDisponibilidad[],8,FALSE), 0)</f>
        <v>0</v>
      </c>
      <c r="E745">
        <f>IFERROR(VLOOKUP(Tabla13[[#This Row],[SISMED]],TblDisponibilidad[],9,FALSE), 0)</f>
        <v>0</v>
      </c>
      <c r="F745">
        <f>IFERROR(VLOOKUP(Tabla13[[#This Row],[SISMED]],TblDisponibilidad[],10,FALSE), 0)</f>
        <v>0</v>
      </c>
      <c r="G745">
        <f>IFERROR(VLOOKUP(Tabla13[[#This Row],[SISMED]],TblDisponibilidad[],11,FALSE), 0)</f>
        <v>0</v>
      </c>
      <c r="H745">
        <f>IFERROR(VLOOKUP(Tabla13[[#This Row],[SISMED]],TblDisponibilidad[],12,FALSE), 0)</f>
        <v>0</v>
      </c>
      <c r="I745">
        <f>IFERROR(VLOOKUP(Tabla13[[#This Row],[SISMED]],TblDisponibilidad[],13,FALSE), 0)</f>
        <v>0</v>
      </c>
      <c r="J745">
        <f>IFERROR(VLOOKUP(Tabla13[[#This Row],[SISMED]],TblDisponibilidad[],14,FALSE), 0)</f>
        <v>0</v>
      </c>
      <c r="K745">
        <f>IFERROR(VLOOKUP(Tabla13[[#This Row],[SISMED]],TblDisponibilidad[],15,FALSE), 0)</f>
        <v>0</v>
      </c>
      <c r="L745">
        <f>IFERROR(VLOOKUP(Tabla13[[#This Row],[SISMED]],TblDisponibilidad[],16,FALSE), 0)</f>
        <v>0</v>
      </c>
      <c r="M745">
        <f>IFERROR(VLOOKUP(Tabla13[[#This Row],[SISMED]],TblDisponibilidad[],17,FALSE), 0)</f>
        <v>0</v>
      </c>
      <c r="N745">
        <f>IFERROR(VLOOKUP(Tabla13[[#This Row],[SISMED]],TblDisponibilidad[],18,FALSE), 0)</f>
        <v>0</v>
      </c>
      <c r="O745">
        <f>IFERROR(VLOOKUP(Tabla13[[#This Row],[SISMED]],TblDisponibilidad[],19,FALSE), 0)</f>
        <v>0</v>
      </c>
      <c r="P745">
        <f>IFERROR(VLOOKUP(Tabla13[[#This Row],[SISMED]],TblDisponibilidad[],20,FALSE), 0)</f>
        <v>0</v>
      </c>
      <c r="Q745">
        <f>IFERROR(VLOOKUP(Tabla13[[#This Row],[SISMED]],TblDisponibilidad[],21,FALSE), 0)</f>
        <v>0</v>
      </c>
      <c r="R745">
        <f>IFERROR(VLOOKUP(Tabla13[[#This Row],[SISMED]],TblDisponibilidad[],22,FALSE), 0)</f>
        <v>0</v>
      </c>
      <c r="S745" s="15">
        <f>IFERROR(VLOOKUP(Tabla13[[#This Row],[SISMED]],TblDisponibilidad[],23,FALSE), 0)</f>
        <v>0</v>
      </c>
    </row>
    <row r="746" spans="1:19" x14ac:dyDescent="0.3">
      <c r="A746" s="15" t="s">
        <v>776</v>
      </c>
      <c r="B746" t="str">
        <f>IFERROR(VLOOKUP(Tabla13[[#This Row],[SISMED]],TblDisponibilidad[],2,FALSE), "")</f>
        <v/>
      </c>
      <c r="C746">
        <f>IFERROR(VLOOKUP(Tabla13[[#This Row],[SISMED]],TblDisponibilidad[],7,FALSE), 0)</f>
        <v>0</v>
      </c>
      <c r="D746">
        <f>IFERROR(VLOOKUP(Tabla13[[#This Row],[SISMED]],TblDisponibilidad[],8,FALSE), 0)</f>
        <v>0</v>
      </c>
      <c r="E746">
        <f>IFERROR(VLOOKUP(Tabla13[[#This Row],[SISMED]],TblDisponibilidad[],9,FALSE), 0)</f>
        <v>0</v>
      </c>
      <c r="F746">
        <f>IFERROR(VLOOKUP(Tabla13[[#This Row],[SISMED]],TblDisponibilidad[],10,FALSE), 0)</f>
        <v>0</v>
      </c>
      <c r="G746">
        <f>IFERROR(VLOOKUP(Tabla13[[#This Row],[SISMED]],TblDisponibilidad[],11,FALSE), 0)</f>
        <v>0</v>
      </c>
      <c r="H746">
        <f>IFERROR(VLOOKUP(Tabla13[[#This Row],[SISMED]],TblDisponibilidad[],12,FALSE), 0)</f>
        <v>0</v>
      </c>
      <c r="I746">
        <f>IFERROR(VLOOKUP(Tabla13[[#This Row],[SISMED]],TblDisponibilidad[],13,FALSE), 0)</f>
        <v>0</v>
      </c>
      <c r="J746">
        <f>IFERROR(VLOOKUP(Tabla13[[#This Row],[SISMED]],TblDisponibilidad[],14,FALSE), 0)</f>
        <v>0</v>
      </c>
      <c r="K746">
        <f>IFERROR(VLOOKUP(Tabla13[[#This Row],[SISMED]],TblDisponibilidad[],15,FALSE), 0)</f>
        <v>0</v>
      </c>
      <c r="L746">
        <f>IFERROR(VLOOKUP(Tabla13[[#This Row],[SISMED]],TblDisponibilidad[],16,FALSE), 0)</f>
        <v>0</v>
      </c>
      <c r="M746">
        <f>IFERROR(VLOOKUP(Tabla13[[#This Row],[SISMED]],TblDisponibilidad[],17,FALSE), 0)</f>
        <v>0</v>
      </c>
      <c r="N746">
        <f>IFERROR(VLOOKUP(Tabla13[[#This Row],[SISMED]],TblDisponibilidad[],18,FALSE), 0)</f>
        <v>0</v>
      </c>
      <c r="O746">
        <f>IFERROR(VLOOKUP(Tabla13[[#This Row],[SISMED]],TblDisponibilidad[],19,FALSE), 0)</f>
        <v>0</v>
      </c>
      <c r="P746">
        <f>IFERROR(VLOOKUP(Tabla13[[#This Row],[SISMED]],TblDisponibilidad[],20,FALSE), 0)</f>
        <v>0</v>
      </c>
      <c r="Q746">
        <f>IFERROR(VLOOKUP(Tabla13[[#This Row],[SISMED]],TblDisponibilidad[],21,FALSE), 0)</f>
        <v>0</v>
      </c>
      <c r="R746">
        <f>IFERROR(VLOOKUP(Tabla13[[#This Row],[SISMED]],TblDisponibilidad[],22,FALSE), 0)</f>
        <v>0</v>
      </c>
      <c r="S746" s="15">
        <f>IFERROR(VLOOKUP(Tabla13[[#This Row],[SISMED]],TblDisponibilidad[],23,FALSE), 0)</f>
        <v>0</v>
      </c>
    </row>
    <row r="747" spans="1:19" x14ac:dyDescent="0.3">
      <c r="A747" s="15" t="s">
        <v>777</v>
      </c>
      <c r="B747" t="str">
        <f>IFERROR(VLOOKUP(Tabla13[[#This Row],[SISMED]],TblDisponibilidad[],2,FALSE), "")</f>
        <v/>
      </c>
      <c r="C747">
        <f>IFERROR(VLOOKUP(Tabla13[[#This Row],[SISMED]],TblDisponibilidad[],7,FALSE), 0)</f>
        <v>0</v>
      </c>
      <c r="D747">
        <f>IFERROR(VLOOKUP(Tabla13[[#This Row],[SISMED]],TblDisponibilidad[],8,FALSE), 0)</f>
        <v>0</v>
      </c>
      <c r="E747">
        <f>IFERROR(VLOOKUP(Tabla13[[#This Row],[SISMED]],TblDisponibilidad[],9,FALSE), 0)</f>
        <v>0</v>
      </c>
      <c r="F747">
        <f>IFERROR(VLOOKUP(Tabla13[[#This Row],[SISMED]],TblDisponibilidad[],10,FALSE), 0)</f>
        <v>0</v>
      </c>
      <c r="G747">
        <f>IFERROR(VLOOKUP(Tabla13[[#This Row],[SISMED]],TblDisponibilidad[],11,FALSE), 0)</f>
        <v>0</v>
      </c>
      <c r="H747">
        <f>IFERROR(VLOOKUP(Tabla13[[#This Row],[SISMED]],TblDisponibilidad[],12,FALSE), 0)</f>
        <v>0</v>
      </c>
      <c r="I747">
        <f>IFERROR(VLOOKUP(Tabla13[[#This Row],[SISMED]],TblDisponibilidad[],13,FALSE), 0)</f>
        <v>0</v>
      </c>
      <c r="J747">
        <f>IFERROR(VLOOKUP(Tabla13[[#This Row],[SISMED]],TblDisponibilidad[],14,FALSE), 0)</f>
        <v>0</v>
      </c>
      <c r="K747">
        <f>IFERROR(VLOOKUP(Tabla13[[#This Row],[SISMED]],TblDisponibilidad[],15,FALSE), 0)</f>
        <v>0</v>
      </c>
      <c r="L747">
        <f>IFERROR(VLOOKUP(Tabla13[[#This Row],[SISMED]],TblDisponibilidad[],16,FALSE), 0)</f>
        <v>0</v>
      </c>
      <c r="M747">
        <f>IFERROR(VLOOKUP(Tabla13[[#This Row],[SISMED]],TblDisponibilidad[],17,FALSE), 0)</f>
        <v>0</v>
      </c>
      <c r="N747">
        <f>IFERROR(VLOOKUP(Tabla13[[#This Row],[SISMED]],TblDisponibilidad[],18,FALSE), 0)</f>
        <v>0</v>
      </c>
      <c r="O747">
        <f>IFERROR(VLOOKUP(Tabla13[[#This Row],[SISMED]],TblDisponibilidad[],19,FALSE), 0)</f>
        <v>0</v>
      </c>
      <c r="P747">
        <f>IFERROR(VLOOKUP(Tabla13[[#This Row],[SISMED]],TblDisponibilidad[],20,FALSE), 0)</f>
        <v>0</v>
      </c>
      <c r="Q747">
        <f>IFERROR(VLOOKUP(Tabla13[[#This Row],[SISMED]],TblDisponibilidad[],21,FALSE), 0)</f>
        <v>0</v>
      </c>
      <c r="R747">
        <f>IFERROR(VLOOKUP(Tabla13[[#This Row],[SISMED]],TblDisponibilidad[],22,FALSE), 0)</f>
        <v>0</v>
      </c>
      <c r="S747" s="15">
        <f>IFERROR(VLOOKUP(Tabla13[[#This Row],[SISMED]],TblDisponibilidad[],23,FALSE), 0)</f>
        <v>0</v>
      </c>
    </row>
    <row r="748" spans="1:19" x14ac:dyDescent="0.3">
      <c r="A748" s="15" t="s">
        <v>778</v>
      </c>
      <c r="B748" t="str">
        <f>IFERROR(VLOOKUP(Tabla13[[#This Row],[SISMED]],TblDisponibilidad[],2,FALSE), "")</f>
        <v/>
      </c>
      <c r="C748">
        <f>IFERROR(VLOOKUP(Tabla13[[#This Row],[SISMED]],TblDisponibilidad[],7,FALSE), 0)</f>
        <v>0</v>
      </c>
      <c r="D748">
        <f>IFERROR(VLOOKUP(Tabla13[[#This Row],[SISMED]],TblDisponibilidad[],8,FALSE), 0)</f>
        <v>0</v>
      </c>
      <c r="E748">
        <f>IFERROR(VLOOKUP(Tabla13[[#This Row],[SISMED]],TblDisponibilidad[],9,FALSE), 0)</f>
        <v>0</v>
      </c>
      <c r="F748">
        <f>IFERROR(VLOOKUP(Tabla13[[#This Row],[SISMED]],TblDisponibilidad[],10,FALSE), 0)</f>
        <v>0</v>
      </c>
      <c r="G748">
        <f>IFERROR(VLOOKUP(Tabla13[[#This Row],[SISMED]],TblDisponibilidad[],11,FALSE), 0)</f>
        <v>0</v>
      </c>
      <c r="H748">
        <f>IFERROR(VLOOKUP(Tabla13[[#This Row],[SISMED]],TblDisponibilidad[],12,FALSE), 0)</f>
        <v>0</v>
      </c>
      <c r="I748">
        <f>IFERROR(VLOOKUP(Tabla13[[#This Row],[SISMED]],TblDisponibilidad[],13,FALSE), 0)</f>
        <v>0</v>
      </c>
      <c r="J748">
        <f>IFERROR(VLOOKUP(Tabla13[[#This Row],[SISMED]],TblDisponibilidad[],14,FALSE), 0)</f>
        <v>0</v>
      </c>
      <c r="K748">
        <f>IFERROR(VLOOKUP(Tabla13[[#This Row],[SISMED]],TblDisponibilidad[],15,FALSE), 0)</f>
        <v>0</v>
      </c>
      <c r="L748">
        <f>IFERROR(VLOOKUP(Tabla13[[#This Row],[SISMED]],TblDisponibilidad[],16,FALSE), 0)</f>
        <v>0</v>
      </c>
      <c r="M748">
        <f>IFERROR(VLOOKUP(Tabla13[[#This Row],[SISMED]],TblDisponibilidad[],17,FALSE), 0)</f>
        <v>0</v>
      </c>
      <c r="N748">
        <f>IFERROR(VLOOKUP(Tabla13[[#This Row],[SISMED]],TblDisponibilidad[],18,FALSE), 0)</f>
        <v>0</v>
      </c>
      <c r="O748">
        <f>IFERROR(VLOOKUP(Tabla13[[#This Row],[SISMED]],TblDisponibilidad[],19,FALSE), 0)</f>
        <v>0</v>
      </c>
      <c r="P748">
        <f>IFERROR(VLOOKUP(Tabla13[[#This Row],[SISMED]],TblDisponibilidad[],20,FALSE), 0)</f>
        <v>0</v>
      </c>
      <c r="Q748">
        <f>IFERROR(VLOOKUP(Tabla13[[#This Row],[SISMED]],TblDisponibilidad[],21,FALSE), 0)</f>
        <v>0</v>
      </c>
      <c r="R748">
        <f>IFERROR(VLOOKUP(Tabla13[[#This Row],[SISMED]],TblDisponibilidad[],22,FALSE), 0)</f>
        <v>0</v>
      </c>
      <c r="S748" s="15">
        <f>IFERROR(VLOOKUP(Tabla13[[#This Row],[SISMED]],TblDisponibilidad[],23,FALSE), 0)</f>
        <v>0</v>
      </c>
    </row>
    <row r="749" spans="1:19" x14ac:dyDescent="0.3">
      <c r="A749" s="15" t="s">
        <v>779</v>
      </c>
      <c r="B749" t="str">
        <f>IFERROR(VLOOKUP(Tabla13[[#This Row],[SISMED]],TblDisponibilidad[],2,FALSE), "")</f>
        <v/>
      </c>
      <c r="C749">
        <f>IFERROR(VLOOKUP(Tabla13[[#This Row],[SISMED]],TblDisponibilidad[],7,FALSE), 0)</f>
        <v>0</v>
      </c>
      <c r="D749">
        <f>IFERROR(VLOOKUP(Tabla13[[#This Row],[SISMED]],TblDisponibilidad[],8,FALSE), 0)</f>
        <v>0</v>
      </c>
      <c r="E749">
        <f>IFERROR(VLOOKUP(Tabla13[[#This Row],[SISMED]],TblDisponibilidad[],9,FALSE), 0)</f>
        <v>0</v>
      </c>
      <c r="F749">
        <f>IFERROR(VLOOKUP(Tabla13[[#This Row],[SISMED]],TblDisponibilidad[],10,FALSE), 0)</f>
        <v>0</v>
      </c>
      <c r="G749">
        <f>IFERROR(VLOOKUP(Tabla13[[#This Row],[SISMED]],TblDisponibilidad[],11,FALSE), 0)</f>
        <v>0</v>
      </c>
      <c r="H749">
        <f>IFERROR(VLOOKUP(Tabla13[[#This Row],[SISMED]],TblDisponibilidad[],12,FALSE), 0)</f>
        <v>0</v>
      </c>
      <c r="I749">
        <f>IFERROR(VLOOKUP(Tabla13[[#This Row],[SISMED]],TblDisponibilidad[],13,FALSE), 0)</f>
        <v>0</v>
      </c>
      <c r="J749">
        <f>IFERROR(VLOOKUP(Tabla13[[#This Row],[SISMED]],TblDisponibilidad[],14,FALSE), 0)</f>
        <v>0</v>
      </c>
      <c r="K749">
        <f>IFERROR(VLOOKUP(Tabla13[[#This Row],[SISMED]],TblDisponibilidad[],15,FALSE), 0)</f>
        <v>0</v>
      </c>
      <c r="L749">
        <f>IFERROR(VLOOKUP(Tabla13[[#This Row],[SISMED]],TblDisponibilidad[],16,FALSE), 0)</f>
        <v>0</v>
      </c>
      <c r="M749">
        <f>IFERROR(VLOOKUP(Tabla13[[#This Row],[SISMED]],TblDisponibilidad[],17,FALSE), 0)</f>
        <v>0</v>
      </c>
      <c r="N749">
        <f>IFERROR(VLOOKUP(Tabla13[[#This Row],[SISMED]],TblDisponibilidad[],18,FALSE), 0)</f>
        <v>0</v>
      </c>
      <c r="O749">
        <f>IFERROR(VLOOKUP(Tabla13[[#This Row],[SISMED]],TblDisponibilidad[],19,FALSE), 0)</f>
        <v>0</v>
      </c>
      <c r="P749">
        <f>IFERROR(VLOOKUP(Tabla13[[#This Row],[SISMED]],TblDisponibilidad[],20,FALSE), 0)</f>
        <v>0</v>
      </c>
      <c r="Q749">
        <f>IFERROR(VLOOKUP(Tabla13[[#This Row],[SISMED]],TblDisponibilidad[],21,FALSE), 0)</f>
        <v>0</v>
      </c>
      <c r="R749">
        <f>IFERROR(VLOOKUP(Tabla13[[#This Row],[SISMED]],TblDisponibilidad[],22,FALSE), 0)</f>
        <v>0</v>
      </c>
      <c r="S749" s="15">
        <f>IFERROR(VLOOKUP(Tabla13[[#This Row],[SISMED]],TblDisponibilidad[],23,FALSE), 0)</f>
        <v>0</v>
      </c>
    </row>
    <row r="750" spans="1:19" x14ac:dyDescent="0.3">
      <c r="A750" s="15" t="s">
        <v>780</v>
      </c>
      <c r="B750" t="str">
        <f>IFERROR(VLOOKUP(Tabla13[[#This Row],[SISMED]],TblDisponibilidad[],2,FALSE), "")</f>
        <v/>
      </c>
      <c r="C750">
        <f>IFERROR(VLOOKUP(Tabla13[[#This Row],[SISMED]],TblDisponibilidad[],7,FALSE), 0)</f>
        <v>0</v>
      </c>
      <c r="D750">
        <f>IFERROR(VLOOKUP(Tabla13[[#This Row],[SISMED]],TblDisponibilidad[],8,FALSE), 0)</f>
        <v>0</v>
      </c>
      <c r="E750">
        <f>IFERROR(VLOOKUP(Tabla13[[#This Row],[SISMED]],TblDisponibilidad[],9,FALSE), 0)</f>
        <v>0</v>
      </c>
      <c r="F750">
        <f>IFERROR(VLOOKUP(Tabla13[[#This Row],[SISMED]],TblDisponibilidad[],10,FALSE), 0)</f>
        <v>0</v>
      </c>
      <c r="G750">
        <f>IFERROR(VLOOKUP(Tabla13[[#This Row],[SISMED]],TblDisponibilidad[],11,FALSE), 0)</f>
        <v>0</v>
      </c>
      <c r="H750">
        <f>IFERROR(VLOOKUP(Tabla13[[#This Row],[SISMED]],TblDisponibilidad[],12,FALSE), 0)</f>
        <v>0</v>
      </c>
      <c r="I750">
        <f>IFERROR(VLOOKUP(Tabla13[[#This Row],[SISMED]],TblDisponibilidad[],13,FALSE), 0)</f>
        <v>0</v>
      </c>
      <c r="J750">
        <f>IFERROR(VLOOKUP(Tabla13[[#This Row],[SISMED]],TblDisponibilidad[],14,FALSE), 0)</f>
        <v>0</v>
      </c>
      <c r="K750">
        <f>IFERROR(VLOOKUP(Tabla13[[#This Row],[SISMED]],TblDisponibilidad[],15,FALSE), 0)</f>
        <v>0</v>
      </c>
      <c r="L750">
        <f>IFERROR(VLOOKUP(Tabla13[[#This Row],[SISMED]],TblDisponibilidad[],16,FALSE), 0)</f>
        <v>0</v>
      </c>
      <c r="M750">
        <f>IFERROR(VLOOKUP(Tabla13[[#This Row],[SISMED]],TblDisponibilidad[],17,FALSE), 0)</f>
        <v>0</v>
      </c>
      <c r="N750">
        <f>IFERROR(VLOOKUP(Tabla13[[#This Row],[SISMED]],TblDisponibilidad[],18,FALSE), 0)</f>
        <v>0</v>
      </c>
      <c r="O750">
        <f>IFERROR(VLOOKUP(Tabla13[[#This Row],[SISMED]],TblDisponibilidad[],19,FALSE), 0)</f>
        <v>0</v>
      </c>
      <c r="P750">
        <f>IFERROR(VLOOKUP(Tabla13[[#This Row],[SISMED]],TblDisponibilidad[],20,FALSE), 0)</f>
        <v>0</v>
      </c>
      <c r="Q750">
        <f>IFERROR(VLOOKUP(Tabla13[[#This Row],[SISMED]],TblDisponibilidad[],21,FALSE), 0)</f>
        <v>0</v>
      </c>
      <c r="R750">
        <f>IFERROR(VLOOKUP(Tabla13[[#This Row],[SISMED]],TblDisponibilidad[],22,FALSE), 0)</f>
        <v>0</v>
      </c>
      <c r="S750" s="15">
        <f>IFERROR(VLOOKUP(Tabla13[[#This Row],[SISMED]],TblDisponibilidad[],23,FALSE), 0)</f>
        <v>0</v>
      </c>
    </row>
    <row r="751" spans="1:19" x14ac:dyDescent="0.3">
      <c r="A751" s="15" t="s">
        <v>781</v>
      </c>
      <c r="B751" t="str">
        <f>IFERROR(VLOOKUP(Tabla13[[#This Row],[SISMED]],TblDisponibilidad[],2,FALSE), "")</f>
        <v/>
      </c>
      <c r="C751">
        <f>IFERROR(VLOOKUP(Tabla13[[#This Row],[SISMED]],TblDisponibilidad[],7,FALSE), 0)</f>
        <v>0</v>
      </c>
      <c r="D751">
        <f>IFERROR(VLOOKUP(Tabla13[[#This Row],[SISMED]],TblDisponibilidad[],8,FALSE), 0)</f>
        <v>0</v>
      </c>
      <c r="E751">
        <f>IFERROR(VLOOKUP(Tabla13[[#This Row],[SISMED]],TblDisponibilidad[],9,FALSE), 0)</f>
        <v>0</v>
      </c>
      <c r="F751">
        <f>IFERROR(VLOOKUP(Tabla13[[#This Row],[SISMED]],TblDisponibilidad[],10,FALSE), 0)</f>
        <v>0</v>
      </c>
      <c r="G751">
        <f>IFERROR(VLOOKUP(Tabla13[[#This Row],[SISMED]],TblDisponibilidad[],11,FALSE), 0)</f>
        <v>0</v>
      </c>
      <c r="H751">
        <f>IFERROR(VLOOKUP(Tabla13[[#This Row],[SISMED]],TblDisponibilidad[],12,FALSE), 0)</f>
        <v>0</v>
      </c>
      <c r="I751">
        <f>IFERROR(VLOOKUP(Tabla13[[#This Row],[SISMED]],TblDisponibilidad[],13,FALSE), 0)</f>
        <v>0</v>
      </c>
      <c r="J751">
        <f>IFERROR(VLOOKUP(Tabla13[[#This Row],[SISMED]],TblDisponibilidad[],14,FALSE), 0)</f>
        <v>0</v>
      </c>
      <c r="K751">
        <f>IFERROR(VLOOKUP(Tabla13[[#This Row],[SISMED]],TblDisponibilidad[],15,FALSE), 0)</f>
        <v>0</v>
      </c>
      <c r="L751">
        <f>IFERROR(VLOOKUP(Tabla13[[#This Row],[SISMED]],TblDisponibilidad[],16,FALSE), 0)</f>
        <v>0</v>
      </c>
      <c r="M751">
        <f>IFERROR(VLOOKUP(Tabla13[[#This Row],[SISMED]],TblDisponibilidad[],17,FALSE), 0)</f>
        <v>0</v>
      </c>
      <c r="N751">
        <f>IFERROR(VLOOKUP(Tabla13[[#This Row],[SISMED]],TblDisponibilidad[],18,FALSE), 0)</f>
        <v>0</v>
      </c>
      <c r="O751">
        <f>IFERROR(VLOOKUP(Tabla13[[#This Row],[SISMED]],TblDisponibilidad[],19,FALSE), 0)</f>
        <v>0</v>
      </c>
      <c r="P751">
        <f>IFERROR(VLOOKUP(Tabla13[[#This Row],[SISMED]],TblDisponibilidad[],20,FALSE), 0)</f>
        <v>0</v>
      </c>
      <c r="Q751">
        <f>IFERROR(VLOOKUP(Tabla13[[#This Row],[SISMED]],TblDisponibilidad[],21,FALSE), 0)</f>
        <v>0</v>
      </c>
      <c r="R751">
        <f>IFERROR(VLOOKUP(Tabla13[[#This Row],[SISMED]],TblDisponibilidad[],22,FALSE), 0)</f>
        <v>0</v>
      </c>
      <c r="S751" s="15">
        <f>IFERROR(VLOOKUP(Tabla13[[#This Row],[SISMED]],TblDisponibilidad[],23,FALSE), 0)</f>
        <v>0</v>
      </c>
    </row>
    <row r="752" spans="1:19" x14ac:dyDescent="0.3">
      <c r="A752" s="15" t="s">
        <v>782</v>
      </c>
      <c r="B752" t="str">
        <f>IFERROR(VLOOKUP(Tabla13[[#This Row],[SISMED]],TblDisponibilidad[],2,FALSE), "")</f>
        <v/>
      </c>
      <c r="C752">
        <f>IFERROR(VLOOKUP(Tabla13[[#This Row],[SISMED]],TblDisponibilidad[],7,FALSE), 0)</f>
        <v>0</v>
      </c>
      <c r="D752">
        <f>IFERROR(VLOOKUP(Tabla13[[#This Row],[SISMED]],TblDisponibilidad[],8,FALSE), 0)</f>
        <v>0</v>
      </c>
      <c r="E752">
        <f>IFERROR(VLOOKUP(Tabla13[[#This Row],[SISMED]],TblDisponibilidad[],9,FALSE), 0)</f>
        <v>0</v>
      </c>
      <c r="F752">
        <f>IFERROR(VLOOKUP(Tabla13[[#This Row],[SISMED]],TblDisponibilidad[],10,FALSE), 0)</f>
        <v>0</v>
      </c>
      <c r="G752">
        <f>IFERROR(VLOOKUP(Tabla13[[#This Row],[SISMED]],TblDisponibilidad[],11,FALSE), 0)</f>
        <v>0</v>
      </c>
      <c r="H752">
        <f>IFERROR(VLOOKUP(Tabla13[[#This Row],[SISMED]],TblDisponibilidad[],12,FALSE), 0)</f>
        <v>0</v>
      </c>
      <c r="I752">
        <f>IFERROR(VLOOKUP(Tabla13[[#This Row],[SISMED]],TblDisponibilidad[],13,FALSE), 0)</f>
        <v>0</v>
      </c>
      <c r="J752">
        <f>IFERROR(VLOOKUP(Tabla13[[#This Row],[SISMED]],TblDisponibilidad[],14,FALSE), 0)</f>
        <v>0</v>
      </c>
      <c r="K752">
        <f>IFERROR(VLOOKUP(Tabla13[[#This Row],[SISMED]],TblDisponibilidad[],15,FALSE), 0)</f>
        <v>0</v>
      </c>
      <c r="L752">
        <f>IFERROR(VLOOKUP(Tabla13[[#This Row],[SISMED]],TblDisponibilidad[],16,FALSE), 0)</f>
        <v>0</v>
      </c>
      <c r="M752">
        <f>IFERROR(VLOOKUP(Tabla13[[#This Row],[SISMED]],TblDisponibilidad[],17,FALSE), 0)</f>
        <v>0</v>
      </c>
      <c r="N752">
        <f>IFERROR(VLOOKUP(Tabla13[[#This Row],[SISMED]],TblDisponibilidad[],18,FALSE), 0)</f>
        <v>0</v>
      </c>
      <c r="O752">
        <f>IFERROR(VLOOKUP(Tabla13[[#This Row],[SISMED]],TblDisponibilidad[],19,FALSE), 0)</f>
        <v>0</v>
      </c>
      <c r="P752">
        <f>IFERROR(VLOOKUP(Tabla13[[#This Row],[SISMED]],TblDisponibilidad[],20,FALSE), 0)</f>
        <v>0</v>
      </c>
      <c r="Q752">
        <f>IFERROR(VLOOKUP(Tabla13[[#This Row],[SISMED]],TblDisponibilidad[],21,FALSE), 0)</f>
        <v>0</v>
      </c>
      <c r="R752">
        <f>IFERROR(VLOOKUP(Tabla13[[#This Row],[SISMED]],TblDisponibilidad[],22,FALSE), 0)</f>
        <v>0</v>
      </c>
      <c r="S752" s="15">
        <f>IFERROR(VLOOKUP(Tabla13[[#This Row],[SISMED]],TblDisponibilidad[],23,FALSE), 0)</f>
        <v>0</v>
      </c>
    </row>
    <row r="753" spans="1:19" x14ac:dyDescent="0.3">
      <c r="A753" s="15" t="s">
        <v>783</v>
      </c>
      <c r="B753" t="str">
        <f>IFERROR(VLOOKUP(Tabla13[[#This Row],[SISMED]],TblDisponibilidad[],2,FALSE), "")</f>
        <v/>
      </c>
      <c r="C753">
        <f>IFERROR(VLOOKUP(Tabla13[[#This Row],[SISMED]],TblDisponibilidad[],7,FALSE), 0)</f>
        <v>0</v>
      </c>
      <c r="D753">
        <f>IFERROR(VLOOKUP(Tabla13[[#This Row],[SISMED]],TblDisponibilidad[],8,FALSE), 0)</f>
        <v>0</v>
      </c>
      <c r="E753">
        <f>IFERROR(VLOOKUP(Tabla13[[#This Row],[SISMED]],TblDisponibilidad[],9,FALSE), 0)</f>
        <v>0</v>
      </c>
      <c r="F753">
        <f>IFERROR(VLOOKUP(Tabla13[[#This Row],[SISMED]],TblDisponibilidad[],10,FALSE), 0)</f>
        <v>0</v>
      </c>
      <c r="G753">
        <f>IFERROR(VLOOKUP(Tabla13[[#This Row],[SISMED]],TblDisponibilidad[],11,FALSE), 0)</f>
        <v>0</v>
      </c>
      <c r="H753">
        <f>IFERROR(VLOOKUP(Tabla13[[#This Row],[SISMED]],TblDisponibilidad[],12,FALSE), 0)</f>
        <v>0</v>
      </c>
      <c r="I753">
        <f>IFERROR(VLOOKUP(Tabla13[[#This Row],[SISMED]],TblDisponibilidad[],13,FALSE), 0)</f>
        <v>0</v>
      </c>
      <c r="J753">
        <f>IFERROR(VLOOKUP(Tabla13[[#This Row],[SISMED]],TblDisponibilidad[],14,FALSE), 0)</f>
        <v>0</v>
      </c>
      <c r="K753">
        <f>IFERROR(VLOOKUP(Tabla13[[#This Row],[SISMED]],TblDisponibilidad[],15,FALSE), 0)</f>
        <v>0</v>
      </c>
      <c r="L753">
        <f>IFERROR(VLOOKUP(Tabla13[[#This Row],[SISMED]],TblDisponibilidad[],16,FALSE), 0)</f>
        <v>0</v>
      </c>
      <c r="M753">
        <f>IFERROR(VLOOKUP(Tabla13[[#This Row],[SISMED]],TblDisponibilidad[],17,FALSE), 0)</f>
        <v>0</v>
      </c>
      <c r="N753">
        <f>IFERROR(VLOOKUP(Tabla13[[#This Row],[SISMED]],TblDisponibilidad[],18,FALSE), 0)</f>
        <v>0</v>
      </c>
      <c r="O753">
        <f>IFERROR(VLOOKUP(Tabla13[[#This Row],[SISMED]],TblDisponibilidad[],19,FALSE), 0)</f>
        <v>0</v>
      </c>
      <c r="P753">
        <f>IFERROR(VLOOKUP(Tabla13[[#This Row],[SISMED]],TblDisponibilidad[],20,FALSE), 0)</f>
        <v>0</v>
      </c>
      <c r="Q753">
        <f>IFERROR(VLOOKUP(Tabla13[[#This Row],[SISMED]],TblDisponibilidad[],21,FALSE), 0)</f>
        <v>0</v>
      </c>
      <c r="R753">
        <f>IFERROR(VLOOKUP(Tabla13[[#This Row],[SISMED]],TblDisponibilidad[],22,FALSE), 0)</f>
        <v>0</v>
      </c>
      <c r="S753" s="15">
        <f>IFERROR(VLOOKUP(Tabla13[[#This Row],[SISMED]],TblDisponibilidad[],23,FALSE), 0)</f>
        <v>0</v>
      </c>
    </row>
    <row r="754" spans="1:19" x14ac:dyDescent="0.3">
      <c r="A754" s="15" t="s">
        <v>784</v>
      </c>
      <c r="B754" t="str">
        <f>IFERROR(VLOOKUP(Tabla13[[#This Row],[SISMED]],TblDisponibilidad[],2,FALSE), "")</f>
        <v/>
      </c>
      <c r="C754">
        <f>IFERROR(VLOOKUP(Tabla13[[#This Row],[SISMED]],TblDisponibilidad[],7,FALSE), 0)</f>
        <v>0</v>
      </c>
      <c r="D754">
        <f>IFERROR(VLOOKUP(Tabla13[[#This Row],[SISMED]],TblDisponibilidad[],8,FALSE), 0)</f>
        <v>0</v>
      </c>
      <c r="E754">
        <f>IFERROR(VLOOKUP(Tabla13[[#This Row],[SISMED]],TblDisponibilidad[],9,FALSE), 0)</f>
        <v>0</v>
      </c>
      <c r="F754">
        <f>IFERROR(VLOOKUP(Tabla13[[#This Row],[SISMED]],TblDisponibilidad[],10,FALSE), 0)</f>
        <v>0</v>
      </c>
      <c r="G754">
        <f>IFERROR(VLOOKUP(Tabla13[[#This Row],[SISMED]],TblDisponibilidad[],11,FALSE), 0)</f>
        <v>0</v>
      </c>
      <c r="H754">
        <f>IFERROR(VLOOKUP(Tabla13[[#This Row],[SISMED]],TblDisponibilidad[],12,FALSE), 0)</f>
        <v>0</v>
      </c>
      <c r="I754">
        <f>IFERROR(VLOOKUP(Tabla13[[#This Row],[SISMED]],TblDisponibilidad[],13,FALSE), 0)</f>
        <v>0</v>
      </c>
      <c r="J754">
        <f>IFERROR(VLOOKUP(Tabla13[[#This Row],[SISMED]],TblDisponibilidad[],14,FALSE), 0)</f>
        <v>0</v>
      </c>
      <c r="K754">
        <f>IFERROR(VLOOKUP(Tabla13[[#This Row],[SISMED]],TblDisponibilidad[],15,FALSE), 0)</f>
        <v>0</v>
      </c>
      <c r="L754">
        <f>IFERROR(VLOOKUP(Tabla13[[#This Row],[SISMED]],TblDisponibilidad[],16,FALSE), 0)</f>
        <v>0</v>
      </c>
      <c r="M754">
        <f>IFERROR(VLOOKUP(Tabla13[[#This Row],[SISMED]],TblDisponibilidad[],17,FALSE), 0)</f>
        <v>0</v>
      </c>
      <c r="N754">
        <f>IFERROR(VLOOKUP(Tabla13[[#This Row],[SISMED]],TblDisponibilidad[],18,FALSE), 0)</f>
        <v>0</v>
      </c>
      <c r="O754">
        <f>IFERROR(VLOOKUP(Tabla13[[#This Row],[SISMED]],TblDisponibilidad[],19,FALSE), 0)</f>
        <v>0</v>
      </c>
      <c r="P754">
        <f>IFERROR(VLOOKUP(Tabla13[[#This Row],[SISMED]],TblDisponibilidad[],20,FALSE), 0)</f>
        <v>0</v>
      </c>
      <c r="Q754">
        <f>IFERROR(VLOOKUP(Tabla13[[#This Row],[SISMED]],TblDisponibilidad[],21,FALSE), 0)</f>
        <v>0</v>
      </c>
      <c r="R754">
        <f>IFERROR(VLOOKUP(Tabla13[[#This Row],[SISMED]],TblDisponibilidad[],22,FALSE), 0)</f>
        <v>0</v>
      </c>
      <c r="S754" s="15">
        <f>IFERROR(VLOOKUP(Tabla13[[#This Row],[SISMED]],TblDisponibilidad[],23,FALSE), 0)</f>
        <v>0</v>
      </c>
    </row>
    <row r="755" spans="1:19" x14ac:dyDescent="0.3">
      <c r="A755" s="15" t="s">
        <v>785</v>
      </c>
      <c r="B755" t="str">
        <f>IFERROR(VLOOKUP(Tabla13[[#This Row],[SISMED]],TblDisponibilidad[],2,FALSE), "")</f>
        <v/>
      </c>
      <c r="C755">
        <f>IFERROR(VLOOKUP(Tabla13[[#This Row],[SISMED]],TblDisponibilidad[],7,FALSE), 0)</f>
        <v>0</v>
      </c>
      <c r="D755">
        <f>IFERROR(VLOOKUP(Tabla13[[#This Row],[SISMED]],TblDisponibilidad[],8,FALSE), 0)</f>
        <v>0</v>
      </c>
      <c r="E755">
        <f>IFERROR(VLOOKUP(Tabla13[[#This Row],[SISMED]],TblDisponibilidad[],9,FALSE), 0)</f>
        <v>0</v>
      </c>
      <c r="F755">
        <f>IFERROR(VLOOKUP(Tabla13[[#This Row],[SISMED]],TblDisponibilidad[],10,FALSE), 0)</f>
        <v>0</v>
      </c>
      <c r="G755">
        <f>IFERROR(VLOOKUP(Tabla13[[#This Row],[SISMED]],TblDisponibilidad[],11,FALSE), 0)</f>
        <v>0</v>
      </c>
      <c r="H755">
        <f>IFERROR(VLOOKUP(Tabla13[[#This Row],[SISMED]],TblDisponibilidad[],12,FALSE), 0)</f>
        <v>0</v>
      </c>
      <c r="I755">
        <f>IFERROR(VLOOKUP(Tabla13[[#This Row],[SISMED]],TblDisponibilidad[],13,FALSE), 0)</f>
        <v>0</v>
      </c>
      <c r="J755">
        <f>IFERROR(VLOOKUP(Tabla13[[#This Row],[SISMED]],TblDisponibilidad[],14,FALSE), 0)</f>
        <v>0</v>
      </c>
      <c r="K755">
        <f>IFERROR(VLOOKUP(Tabla13[[#This Row],[SISMED]],TblDisponibilidad[],15,FALSE), 0)</f>
        <v>0</v>
      </c>
      <c r="L755">
        <f>IFERROR(VLOOKUP(Tabla13[[#This Row],[SISMED]],TblDisponibilidad[],16,FALSE), 0)</f>
        <v>0</v>
      </c>
      <c r="M755">
        <f>IFERROR(VLOOKUP(Tabla13[[#This Row],[SISMED]],TblDisponibilidad[],17,FALSE), 0)</f>
        <v>0</v>
      </c>
      <c r="N755">
        <f>IFERROR(VLOOKUP(Tabla13[[#This Row],[SISMED]],TblDisponibilidad[],18,FALSE), 0)</f>
        <v>0</v>
      </c>
      <c r="O755">
        <f>IFERROR(VLOOKUP(Tabla13[[#This Row],[SISMED]],TblDisponibilidad[],19,FALSE), 0)</f>
        <v>0</v>
      </c>
      <c r="P755">
        <f>IFERROR(VLOOKUP(Tabla13[[#This Row],[SISMED]],TblDisponibilidad[],20,FALSE), 0)</f>
        <v>0</v>
      </c>
      <c r="Q755">
        <f>IFERROR(VLOOKUP(Tabla13[[#This Row],[SISMED]],TblDisponibilidad[],21,FALSE), 0)</f>
        <v>0</v>
      </c>
      <c r="R755">
        <f>IFERROR(VLOOKUP(Tabla13[[#This Row],[SISMED]],TblDisponibilidad[],22,FALSE), 0)</f>
        <v>0</v>
      </c>
      <c r="S755" s="15">
        <f>IFERROR(VLOOKUP(Tabla13[[#This Row],[SISMED]],TblDisponibilidad[],23,FALSE), 0)</f>
        <v>0</v>
      </c>
    </row>
    <row r="756" spans="1:19" x14ac:dyDescent="0.3">
      <c r="A756" s="15" t="s">
        <v>786</v>
      </c>
      <c r="B756" t="str">
        <f>IFERROR(VLOOKUP(Tabla13[[#This Row],[SISMED]],TblDisponibilidad[],2,FALSE), "")</f>
        <v/>
      </c>
      <c r="C756">
        <f>IFERROR(VLOOKUP(Tabla13[[#This Row],[SISMED]],TblDisponibilidad[],7,FALSE), 0)</f>
        <v>0</v>
      </c>
      <c r="D756">
        <f>IFERROR(VLOOKUP(Tabla13[[#This Row],[SISMED]],TblDisponibilidad[],8,FALSE), 0)</f>
        <v>0</v>
      </c>
      <c r="E756">
        <f>IFERROR(VLOOKUP(Tabla13[[#This Row],[SISMED]],TblDisponibilidad[],9,FALSE), 0)</f>
        <v>0</v>
      </c>
      <c r="F756">
        <f>IFERROR(VLOOKUP(Tabla13[[#This Row],[SISMED]],TblDisponibilidad[],10,FALSE), 0)</f>
        <v>0</v>
      </c>
      <c r="G756">
        <f>IFERROR(VLOOKUP(Tabla13[[#This Row],[SISMED]],TblDisponibilidad[],11,FALSE), 0)</f>
        <v>0</v>
      </c>
      <c r="H756">
        <f>IFERROR(VLOOKUP(Tabla13[[#This Row],[SISMED]],TblDisponibilidad[],12,FALSE), 0)</f>
        <v>0</v>
      </c>
      <c r="I756">
        <f>IFERROR(VLOOKUP(Tabla13[[#This Row],[SISMED]],TblDisponibilidad[],13,FALSE), 0)</f>
        <v>0</v>
      </c>
      <c r="J756">
        <f>IFERROR(VLOOKUP(Tabla13[[#This Row],[SISMED]],TblDisponibilidad[],14,FALSE), 0)</f>
        <v>0</v>
      </c>
      <c r="K756">
        <f>IFERROR(VLOOKUP(Tabla13[[#This Row],[SISMED]],TblDisponibilidad[],15,FALSE), 0)</f>
        <v>0</v>
      </c>
      <c r="L756">
        <f>IFERROR(VLOOKUP(Tabla13[[#This Row],[SISMED]],TblDisponibilidad[],16,FALSE), 0)</f>
        <v>0</v>
      </c>
      <c r="M756">
        <f>IFERROR(VLOOKUP(Tabla13[[#This Row],[SISMED]],TblDisponibilidad[],17,FALSE), 0)</f>
        <v>0</v>
      </c>
      <c r="N756">
        <f>IFERROR(VLOOKUP(Tabla13[[#This Row],[SISMED]],TblDisponibilidad[],18,FALSE), 0)</f>
        <v>0</v>
      </c>
      <c r="O756">
        <f>IFERROR(VLOOKUP(Tabla13[[#This Row],[SISMED]],TblDisponibilidad[],19,FALSE), 0)</f>
        <v>0</v>
      </c>
      <c r="P756">
        <f>IFERROR(VLOOKUP(Tabla13[[#This Row],[SISMED]],TblDisponibilidad[],20,FALSE), 0)</f>
        <v>0</v>
      </c>
      <c r="Q756">
        <f>IFERROR(VLOOKUP(Tabla13[[#This Row],[SISMED]],TblDisponibilidad[],21,FALSE), 0)</f>
        <v>0</v>
      </c>
      <c r="R756">
        <f>IFERROR(VLOOKUP(Tabla13[[#This Row],[SISMED]],TblDisponibilidad[],22,FALSE), 0)</f>
        <v>0</v>
      </c>
      <c r="S756" s="15">
        <f>IFERROR(VLOOKUP(Tabla13[[#This Row],[SISMED]],TblDisponibilidad[],23,FALSE), 0)</f>
        <v>0</v>
      </c>
    </row>
    <row r="757" spans="1:19" x14ac:dyDescent="0.3">
      <c r="A757" s="15" t="s">
        <v>787</v>
      </c>
      <c r="B757" t="str">
        <f>IFERROR(VLOOKUP(Tabla13[[#This Row],[SISMED]],TblDisponibilidad[],2,FALSE), "")</f>
        <v/>
      </c>
      <c r="C757">
        <f>IFERROR(VLOOKUP(Tabla13[[#This Row],[SISMED]],TblDisponibilidad[],7,FALSE), 0)</f>
        <v>0</v>
      </c>
      <c r="D757">
        <f>IFERROR(VLOOKUP(Tabla13[[#This Row],[SISMED]],TblDisponibilidad[],8,FALSE), 0)</f>
        <v>0</v>
      </c>
      <c r="E757">
        <f>IFERROR(VLOOKUP(Tabla13[[#This Row],[SISMED]],TblDisponibilidad[],9,FALSE), 0)</f>
        <v>0</v>
      </c>
      <c r="F757">
        <f>IFERROR(VLOOKUP(Tabla13[[#This Row],[SISMED]],TblDisponibilidad[],10,FALSE), 0)</f>
        <v>0</v>
      </c>
      <c r="G757">
        <f>IFERROR(VLOOKUP(Tabla13[[#This Row],[SISMED]],TblDisponibilidad[],11,FALSE), 0)</f>
        <v>0</v>
      </c>
      <c r="H757">
        <f>IFERROR(VLOOKUP(Tabla13[[#This Row],[SISMED]],TblDisponibilidad[],12,FALSE), 0)</f>
        <v>0</v>
      </c>
      <c r="I757">
        <f>IFERROR(VLOOKUP(Tabla13[[#This Row],[SISMED]],TblDisponibilidad[],13,FALSE), 0)</f>
        <v>0</v>
      </c>
      <c r="J757">
        <f>IFERROR(VLOOKUP(Tabla13[[#This Row],[SISMED]],TblDisponibilidad[],14,FALSE), 0)</f>
        <v>0</v>
      </c>
      <c r="K757">
        <f>IFERROR(VLOOKUP(Tabla13[[#This Row],[SISMED]],TblDisponibilidad[],15,FALSE), 0)</f>
        <v>0</v>
      </c>
      <c r="L757">
        <f>IFERROR(VLOOKUP(Tabla13[[#This Row],[SISMED]],TblDisponibilidad[],16,FALSE), 0)</f>
        <v>0</v>
      </c>
      <c r="M757">
        <f>IFERROR(VLOOKUP(Tabla13[[#This Row],[SISMED]],TblDisponibilidad[],17,FALSE), 0)</f>
        <v>0</v>
      </c>
      <c r="N757">
        <f>IFERROR(VLOOKUP(Tabla13[[#This Row],[SISMED]],TblDisponibilidad[],18,FALSE), 0)</f>
        <v>0</v>
      </c>
      <c r="O757">
        <f>IFERROR(VLOOKUP(Tabla13[[#This Row],[SISMED]],TblDisponibilidad[],19,FALSE), 0)</f>
        <v>0</v>
      </c>
      <c r="P757">
        <f>IFERROR(VLOOKUP(Tabla13[[#This Row],[SISMED]],TblDisponibilidad[],20,FALSE), 0)</f>
        <v>0</v>
      </c>
      <c r="Q757">
        <f>IFERROR(VLOOKUP(Tabla13[[#This Row],[SISMED]],TblDisponibilidad[],21,FALSE), 0)</f>
        <v>0</v>
      </c>
      <c r="R757">
        <f>IFERROR(VLOOKUP(Tabla13[[#This Row],[SISMED]],TblDisponibilidad[],22,FALSE), 0)</f>
        <v>0</v>
      </c>
      <c r="S757" s="15">
        <f>IFERROR(VLOOKUP(Tabla13[[#This Row],[SISMED]],TblDisponibilidad[],23,FALSE), 0)</f>
        <v>0</v>
      </c>
    </row>
    <row r="758" spans="1:19" x14ac:dyDescent="0.3">
      <c r="A758" s="15" t="s">
        <v>788</v>
      </c>
      <c r="B758" t="str">
        <f>IFERROR(VLOOKUP(Tabla13[[#This Row],[SISMED]],TblDisponibilidad[],2,FALSE), "")</f>
        <v/>
      </c>
      <c r="C758">
        <f>IFERROR(VLOOKUP(Tabla13[[#This Row],[SISMED]],TblDisponibilidad[],7,FALSE), 0)</f>
        <v>0</v>
      </c>
      <c r="D758">
        <f>IFERROR(VLOOKUP(Tabla13[[#This Row],[SISMED]],TblDisponibilidad[],8,FALSE), 0)</f>
        <v>0</v>
      </c>
      <c r="E758">
        <f>IFERROR(VLOOKUP(Tabla13[[#This Row],[SISMED]],TblDisponibilidad[],9,FALSE), 0)</f>
        <v>0</v>
      </c>
      <c r="F758">
        <f>IFERROR(VLOOKUP(Tabla13[[#This Row],[SISMED]],TblDisponibilidad[],10,FALSE), 0)</f>
        <v>0</v>
      </c>
      <c r="G758">
        <f>IFERROR(VLOOKUP(Tabla13[[#This Row],[SISMED]],TblDisponibilidad[],11,FALSE), 0)</f>
        <v>0</v>
      </c>
      <c r="H758">
        <f>IFERROR(VLOOKUP(Tabla13[[#This Row],[SISMED]],TblDisponibilidad[],12,FALSE), 0)</f>
        <v>0</v>
      </c>
      <c r="I758">
        <f>IFERROR(VLOOKUP(Tabla13[[#This Row],[SISMED]],TblDisponibilidad[],13,FALSE), 0)</f>
        <v>0</v>
      </c>
      <c r="J758">
        <f>IFERROR(VLOOKUP(Tabla13[[#This Row],[SISMED]],TblDisponibilidad[],14,FALSE), 0)</f>
        <v>0</v>
      </c>
      <c r="K758">
        <f>IFERROR(VLOOKUP(Tabla13[[#This Row],[SISMED]],TblDisponibilidad[],15,FALSE), 0)</f>
        <v>0</v>
      </c>
      <c r="L758">
        <f>IFERROR(VLOOKUP(Tabla13[[#This Row],[SISMED]],TblDisponibilidad[],16,FALSE), 0)</f>
        <v>0</v>
      </c>
      <c r="M758">
        <f>IFERROR(VLOOKUP(Tabla13[[#This Row],[SISMED]],TblDisponibilidad[],17,FALSE), 0)</f>
        <v>0</v>
      </c>
      <c r="N758">
        <f>IFERROR(VLOOKUP(Tabla13[[#This Row],[SISMED]],TblDisponibilidad[],18,FALSE), 0)</f>
        <v>0</v>
      </c>
      <c r="O758">
        <f>IFERROR(VLOOKUP(Tabla13[[#This Row],[SISMED]],TblDisponibilidad[],19,FALSE), 0)</f>
        <v>0</v>
      </c>
      <c r="P758">
        <f>IFERROR(VLOOKUP(Tabla13[[#This Row],[SISMED]],TblDisponibilidad[],20,FALSE), 0)</f>
        <v>0</v>
      </c>
      <c r="Q758">
        <f>IFERROR(VLOOKUP(Tabla13[[#This Row],[SISMED]],TblDisponibilidad[],21,FALSE), 0)</f>
        <v>0</v>
      </c>
      <c r="R758">
        <f>IFERROR(VLOOKUP(Tabla13[[#This Row],[SISMED]],TblDisponibilidad[],22,FALSE), 0)</f>
        <v>0</v>
      </c>
      <c r="S758" s="15">
        <f>IFERROR(VLOOKUP(Tabla13[[#This Row],[SISMED]],TblDisponibilidad[],23,FALSE), 0)</f>
        <v>0</v>
      </c>
    </row>
    <row r="759" spans="1:19" x14ac:dyDescent="0.3">
      <c r="A759" s="15" t="s">
        <v>789</v>
      </c>
      <c r="B759" t="str">
        <f>IFERROR(VLOOKUP(Tabla13[[#This Row],[SISMED]],TblDisponibilidad[],2,FALSE), "")</f>
        <v/>
      </c>
      <c r="C759">
        <f>IFERROR(VLOOKUP(Tabla13[[#This Row],[SISMED]],TblDisponibilidad[],7,FALSE), 0)</f>
        <v>0</v>
      </c>
      <c r="D759">
        <f>IFERROR(VLOOKUP(Tabla13[[#This Row],[SISMED]],TblDisponibilidad[],8,FALSE), 0)</f>
        <v>0</v>
      </c>
      <c r="E759">
        <f>IFERROR(VLOOKUP(Tabla13[[#This Row],[SISMED]],TblDisponibilidad[],9,FALSE), 0)</f>
        <v>0</v>
      </c>
      <c r="F759">
        <f>IFERROR(VLOOKUP(Tabla13[[#This Row],[SISMED]],TblDisponibilidad[],10,FALSE), 0)</f>
        <v>0</v>
      </c>
      <c r="G759">
        <f>IFERROR(VLOOKUP(Tabla13[[#This Row],[SISMED]],TblDisponibilidad[],11,FALSE), 0)</f>
        <v>0</v>
      </c>
      <c r="H759">
        <f>IFERROR(VLOOKUP(Tabla13[[#This Row],[SISMED]],TblDisponibilidad[],12,FALSE), 0)</f>
        <v>0</v>
      </c>
      <c r="I759">
        <f>IFERROR(VLOOKUP(Tabla13[[#This Row],[SISMED]],TblDisponibilidad[],13,FALSE), 0)</f>
        <v>0</v>
      </c>
      <c r="J759">
        <f>IFERROR(VLOOKUP(Tabla13[[#This Row],[SISMED]],TblDisponibilidad[],14,FALSE), 0)</f>
        <v>0</v>
      </c>
      <c r="K759">
        <f>IFERROR(VLOOKUP(Tabla13[[#This Row],[SISMED]],TblDisponibilidad[],15,FALSE), 0)</f>
        <v>0</v>
      </c>
      <c r="L759">
        <f>IFERROR(VLOOKUP(Tabla13[[#This Row],[SISMED]],TblDisponibilidad[],16,FALSE), 0)</f>
        <v>0</v>
      </c>
      <c r="M759">
        <f>IFERROR(VLOOKUP(Tabla13[[#This Row],[SISMED]],TblDisponibilidad[],17,FALSE), 0)</f>
        <v>0</v>
      </c>
      <c r="N759">
        <f>IFERROR(VLOOKUP(Tabla13[[#This Row],[SISMED]],TblDisponibilidad[],18,FALSE), 0)</f>
        <v>0</v>
      </c>
      <c r="O759">
        <f>IFERROR(VLOOKUP(Tabla13[[#This Row],[SISMED]],TblDisponibilidad[],19,FALSE), 0)</f>
        <v>0</v>
      </c>
      <c r="P759">
        <f>IFERROR(VLOOKUP(Tabla13[[#This Row],[SISMED]],TblDisponibilidad[],20,FALSE), 0)</f>
        <v>0</v>
      </c>
      <c r="Q759">
        <f>IFERROR(VLOOKUP(Tabla13[[#This Row],[SISMED]],TblDisponibilidad[],21,FALSE), 0)</f>
        <v>0</v>
      </c>
      <c r="R759">
        <f>IFERROR(VLOOKUP(Tabla13[[#This Row],[SISMED]],TblDisponibilidad[],22,FALSE), 0)</f>
        <v>0</v>
      </c>
      <c r="S759" s="15">
        <f>IFERROR(VLOOKUP(Tabla13[[#This Row],[SISMED]],TblDisponibilidad[],23,FALSE), 0)</f>
        <v>0</v>
      </c>
    </row>
    <row r="760" spans="1:19" x14ac:dyDescent="0.3">
      <c r="A760" s="15" t="s">
        <v>790</v>
      </c>
      <c r="B760" t="str">
        <f>IFERROR(VLOOKUP(Tabla13[[#This Row],[SISMED]],TblDisponibilidad[],2,FALSE), "")</f>
        <v/>
      </c>
      <c r="C760">
        <f>IFERROR(VLOOKUP(Tabla13[[#This Row],[SISMED]],TblDisponibilidad[],7,FALSE), 0)</f>
        <v>0</v>
      </c>
      <c r="D760">
        <f>IFERROR(VLOOKUP(Tabla13[[#This Row],[SISMED]],TblDisponibilidad[],8,FALSE), 0)</f>
        <v>0</v>
      </c>
      <c r="E760">
        <f>IFERROR(VLOOKUP(Tabla13[[#This Row],[SISMED]],TblDisponibilidad[],9,FALSE), 0)</f>
        <v>0</v>
      </c>
      <c r="F760">
        <f>IFERROR(VLOOKUP(Tabla13[[#This Row],[SISMED]],TblDisponibilidad[],10,FALSE), 0)</f>
        <v>0</v>
      </c>
      <c r="G760">
        <f>IFERROR(VLOOKUP(Tabla13[[#This Row],[SISMED]],TblDisponibilidad[],11,FALSE), 0)</f>
        <v>0</v>
      </c>
      <c r="H760">
        <f>IFERROR(VLOOKUP(Tabla13[[#This Row],[SISMED]],TblDisponibilidad[],12,FALSE), 0)</f>
        <v>0</v>
      </c>
      <c r="I760">
        <f>IFERROR(VLOOKUP(Tabla13[[#This Row],[SISMED]],TblDisponibilidad[],13,FALSE), 0)</f>
        <v>0</v>
      </c>
      <c r="J760">
        <f>IFERROR(VLOOKUP(Tabla13[[#This Row],[SISMED]],TblDisponibilidad[],14,FALSE), 0)</f>
        <v>0</v>
      </c>
      <c r="K760">
        <f>IFERROR(VLOOKUP(Tabla13[[#This Row],[SISMED]],TblDisponibilidad[],15,FALSE), 0)</f>
        <v>0</v>
      </c>
      <c r="L760">
        <f>IFERROR(VLOOKUP(Tabla13[[#This Row],[SISMED]],TblDisponibilidad[],16,FALSE), 0)</f>
        <v>0</v>
      </c>
      <c r="M760">
        <f>IFERROR(VLOOKUP(Tabla13[[#This Row],[SISMED]],TblDisponibilidad[],17,FALSE), 0)</f>
        <v>0</v>
      </c>
      <c r="N760">
        <f>IFERROR(VLOOKUP(Tabla13[[#This Row],[SISMED]],TblDisponibilidad[],18,FALSE), 0)</f>
        <v>0</v>
      </c>
      <c r="O760">
        <f>IFERROR(VLOOKUP(Tabla13[[#This Row],[SISMED]],TblDisponibilidad[],19,FALSE), 0)</f>
        <v>0</v>
      </c>
      <c r="P760">
        <f>IFERROR(VLOOKUP(Tabla13[[#This Row],[SISMED]],TblDisponibilidad[],20,FALSE), 0)</f>
        <v>0</v>
      </c>
      <c r="Q760">
        <f>IFERROR(VLOOKUP(Tabla13[[#This Row],[SISMED]],TblDisponibilidad[],21,FALSE), 0)</f>
        <v>0</v>
      </c>
      <c r="R760">
        <f>IFERROR(VLOOKUP(Tabla13[[#This Row],[SISMED]],TblDisponibilidad[],22,FALSE), 0)</f>
        <v>0</v>
      </c>
      <c r="S760" s="15">
        <f>IFERROR(VLOOKUP(Tabla13[[#This Row],[SISMED]],TblDisponibilidad[],23,FALSE), 0)</f>
        <v>0</v>
      </c>
    </row>
    <row r="761" spans="1:19" x14ac:dyDescent="0.3">
      <c r="A761" s="15" t="s">
        <v>791</v>
      </c>
      <c r="B761" t="str">
        <f>IFERROR(VLOOKUP(Tabla13[[#This Row],[SISMED]],TblDisponibilidad[],2,FALSE), "")</f>
        <v/>
      </c>
      <c r="C761">
        <f>IFERROR(VLOOKUP(Tabla13[[#This Row],[SISMED]],TblDisponibilidad[],7,FALSE), 0)</f>
        <v>0</v>
      </c>
      <c r="D761">
        <f>IFERROR(VLOOKUP(Tabla13[[#This Row],[SISMED]],TblDisponibilidad[],8,FALSE), 0)</f>
        <v>0</v>
      </c>
      <c r="E761">
        <f>IFERROR(VLOOKUP(Tabla13[[#This Row],[SISMED]],TblDisponibilidad[],9,FALSE), 0)</f>
        <v>0</v>
      </c>
      <c r="F761">
        <f>IFERROR(VLOOKUP(Tabla13[[#This Row],[SISMED]],TblDisponibilidad[],10,FALSE), 0)</f>
        <v>0</v>
      </c>
      <c r="G761">
        <f>IFERROR(VLOOKUP(Tabla13[[#This Row],[SISMED]],TblDisponibilidad[],11,FALSE), 0)</f>
        <v>0</v>
      </c>
      <c r="H761">
        <f>IFERROR(VLOOKUP(Tabla13[[#This Row],[SISMED]],TblDisponibilidad[],12,FALSE), 0)</f>
        <v>0</v>
      </c>
      <c r="I761">
        <f>IFERROR(VLOOKUP(Tabla13[[#This Row],[SISMED]],TblDisponibilidad[],13,FALSE), 0)</f>
        <v>0</v>
      </c>
      <c r="J761">
        <f>IFERROR(VLOOKUP(Tabla13[[#This Row],[SISMED]],TblDisponibilidad[],14,FALSE), 0)</f>
        <v>0</v>
      </c>
      <c r="K761">
        <f>IFERROR(VLOOKUP(Tabla13[[#This Row],[SISMED]],TblDisponibilidad[],15,FALSE), 0)</f>
        <v>0</v>
      </c>
      <c r="L761">
        <f>IFERROR(VLOOKUP(Tabla13[[#This Row],[SISMED]],TblDisponibilidad[],16,FALSE), 0)</f>
        <v>0</v>
      </c>
      <c r="M761">
        <f>IFERROR(VLOOKUP(Tabla13[[#This Row],[SISMED]],TblDisponibilidad[],17,FALSE), 0)</f>
        <v>0</v>
      </c>
      <c r="N761">
        <f>IFERROR(VLOOKUP(Tabla13[[#This Row],[SISMED]],TblDisponibilidad[],18,FALSE), 0)</f>
        <v>0</v>
      </c>
      <c r="O761">
        <f>IFERROR(VLOOKUP(Tabla13[[#This Row],[SISMED]],TblDisponibilidad[],19,FALSE), 0)</f>
        <v>0</v>
      </c>
      <c r="P761">
        <f>IFERROR(VLOOKUP(Tabla13[[#This Row],[SISMED]],TblDisponibilidad[],20,FALSE), 0)</f>
        <v>0</v>
      </c>
      <c r="Q761">
        <f>IFERROR(VLOOKUP(Tabla13[[#This Row],[SISMED]],TblDisponibilidad[],21,FALSE), 0)</f>
        <v>0</v>
      </c>
      <c r="R761">
        <f>IFERROR(VLOOKUP(Tabla13[[#This Row],[SISMED]],TblDisponibilidad[],22,FALSE), 0)</f>
        <v>0</v>
      </c>
      <c r="S761" s="15">
        <f>IFERROR(VLOOKUP(Tabla13[[#This Row],[SISMED]],TblDisponibilidad[],23,FALSE), 0)</f>
        <v>0</v>
      </c>
    </row>
    <row r="762" spans="1:19" x14ac:dyDescent="0.3">
      <c r="A762" s="15" t="s">
        <v>792</v>
      </c>
      <c r="B762" t="str">
        <f>IFERROR(VLOOKUP(Tabla13[[#This Row],[SISMED]],TblDisponibilidad[],2,FALSE), "")</f>
        <v/>
      </c>
      <c r="C762">
        <f>IFERROR(VLOOKUP(Tabla13[[#This Row],[SISMED]],TblDisponibilidad[],7,FALSE), 0)</f>
        <v>0</v>
      </c>
      <c r="D762">
        <f>IFERROR(VLOOKUP(Tabla13[[#This Row],[SISMED]],TblDisponibilidad[],8,FALSE), 0)</f>
        <v>0</v>
      </c>
      <c r="E762">
        <f>IFERROR(VLOOKUP(Tabla13[[#This Row],[SISMED]],TblDisponibilidad[],9,FALSE), 0)</f>
        <v>0</v>
      </c>
      <c r="F762">
        <f>IFERROR(VLOOKUP(Tabla13[[#This Row],[SISMED]],TblDisponibilidad[],10,FALSE), 0)</f>
        <v>0</v>
      </c>
      <c r="G762">
        <f>IFERROR(VLOOKUP(Tabla13[[#This Row],[SISMED]],TblDisponibilidad[],11,FALSE), 0)</f>
        <v>0</v>
      </c>
      <c r="H762">
        <f>IFERROR(VLOOKUP(Tabla13[[#This Row],[SISMED]],TblDisponibilidad[],12,FALSE), 0)</f>
        <v>0</v>
      </c>
      <c r="I762">
        <f>IFERROR(VLOOKUP(Tabla13[[#This Row],[SISMED]],TblDisponibilidad[],13,FALSE), 0)</f>
        <v>0</v>
      </c>
      <c r="J762">
        <f>IFERROR(VLOOKUP(Tabla13[[#This Row],[SISMED]],TblDisponibilidad[],14,FALSE), 0)</f>
        <v>0</v>
      </c>
      <c r="K762">
        <f>IFERROR(VLOOKUP(Tabla13[[#This Row],[SISMED]],TblDisponibilidad[],15,FALSE), 0)</f>
        <v>0</v>
      </c>
      <c r="L762">
        <f>IFERROR(VLOOKUP(Tabla13[[#This Row],[SISMED]],TblDisponibilidad[],16,FALSE), 0)</f>
        <v>0</v>
      </c>
      <c r="M762">
        <f>IFERROR(VLOOKUP(Tabla13[[#This Row],[SISMED]],TblDisponibilidad[],17,FALSE), 0)</f>
        <v>0</v>
      </c>
      <c r="N762">
        <f>IFERROR(VLOOKUP(Tabla13[[#This Row],[SISMED]],TblDisponibilidad[],18,FALSE), 0)</f>
        <v>0</v>
      </c>
      <c r="O762">
        <f>IFERROR(VLOOKUP(Tabla13[[#This Row],[SISMED]],TblDisponibilidad[],19,FALSE), 0)</f>
        <v>0</v>
      </c>
      <c r="P762">
        <f>IFERROR(VLOOKUP(Tabla13[[#This Row],[SISMED]],TblDisponibilidad[],20,FALSE), 0)</f>
        <v>0</v>
      </c>
      <c r="Q762">
        <f>IFERROR(VLOOKUP(Tabla13[[#This Row],[SISMED]],TblDisponibilidad[],21,FALSE), 0)</f>
        <v>0</v>
      </c>
      <c r="R762">
        <f>IFERROR(VLOOKUP(Tabla13[[#This Row],[SISMED]],TblDisponibilidad[],22,FALSE), 0)</f>
        <v>0</v>
      </c>
      <c r="S762" s="15">
        <f>IFERROR(VLOOKUP(Tabla13[[#This Row],[SISMED]],TblDisponibilidad[],23,FALSE), 0)</f>
        <v>0</v>
      </c>
    </row>
    <row r="763" spans="1:19" x14ac:dyDescent="0.3">
      <c r="A763" s="15" t="s">
        <v>793</v>
      </c>
      <c r="B763" t="str">
        <f>IFERROR(VLOOKUP(Tabla13[[#This Row],[SISMED]],TblDisponibilidad[],2,FALSE), "")</f>
        <v/>
      </c>
      <c r="C763">
        <f>IFERROR(VLOOKUP(Tabla13[[#This Row],[SISMED]],TblDisponibilidad[],7,FALSE), 0)</f>
        <v>0</v>
      </c>
      <c r="D763">
        <f>IFERROR(VLOOKUP(Tabla13[[#This Row],[SISMED]],TblDisponibilidad[],8,FALSE), 0)</f>
        <v>0</v>
      </c>
      <c r="E763">
        <f>IFERROR(VLOOKUP(Tabla13[[#This Row],[SISMED]],TblDisponibilidad[],9,FALSE), 0)</f>
        <v>0</v>
      </c>
      <c r="F763">
        <f>IFERROR(VLOOKUP(Tabla13[[#This Row],[SISMED]],TblDisponibilidad[],10,FALSE), 0)</f>
        <v>0</v>
      </c>
      <c r="G763">
        <f>IFERROR(VLOOKUP(Tabla13[[#This Row],[SISMED]],TblDisponibilidad[],11,FALSE), 0)</f>
        <v>0</v>
      </c>
      <c r="H763">
        <f>IFERROR(VLOOKUP(Tabla13[[#This Row],[SISMED]],TblDisponibilidad[],12,FALSE), 0)</f>
        <v>0</v>
      </c>
      <c r="I763">
        <f>IFERROR(VLOOKUP(Tabla13[[#This Row],[SISMED]],TblDisponibilidad[],13,FALSE), 0)</f>
        <v>0</v>
      </c>
      <c r="J763">
        <f>IFERROR(VLOOKUP(Tabla13[[#This Row],[SISMED]],TblDisponibilidad[],14,FALSE), 0)</f>
        <v>0</v>
      </c>
      <c r="K763">
        <f>IFERROR(VLOOKUP(Tabla13[[#This Row],[SISMED]],TblDisponibilidad[],15,FALSE), 0)</f>
        <v>0</v>
      </c>
      <c r="L763">
        <f>IFERROR(VLOOKUP(Tabla13[[#This Row],[SISMED]],TblDisponibilidad[],16,FALSE), 0)</f>
        <v>0</v>
      </c>
      <c r="M763">
        <f>IFERROR(VLOOKUP(Tabla13[[#This Row],[SISMED]],TblDisponibilidad[],17,FALSE), 0)</f>
        <v>0</v>
      </c>
      <c r="N763">
        <f>IFERROR(VLOOKUP(Tabla13[[#This Row],[SISMED]],TblDisponibilidad[],18,FALSE), 0)</f>
        <v>0</v>
      </c>
      <c r="O763">
        <f>IFERROR(VLOOKUP(Tabla13[[#This Row],[SISMED]],TblDisponibilidad[],19,FALSE), 0)</f>
        <v>0</v>
      </c>
      <c r="P763">
        <f>IFERROR(VLOOKUP(Tabla13[[#This Row],[SISMED]],TblDisponibilidad[],20,FALSE), 0)</f>
        <v>0</v>
      </c>
      <c r="Q763">
        <f>IFERROR(VLOOKUP(Tabla13[[#This Row],[SISMED]],TblDisponibilidad[],21,FALSE), 0)</f>
        <v>0</v>
      </c>
      <c r="R763">
        <f>IFERROR(VLOOKUP(Tabla13[[#This Row],[SISMED]],TblDisponibilidad[],22,FALSE), 0)</f>
        <v>0</v>
      </c>
      <c r="S763" s="15">
        <f>IFERROR(VLOOKUP(Tabla13[[#This Row],[SISMED]],TblDisponibilidad[],23,FALSE), 0)</f>
        <v>0</v>
      </c>
    </row>
    <row r="764" spans="1:19" x14ac:dyDescent="0.3">
      <c r="A764" s="15" t="s">
        <v>794</v>
      </c>
      <c r="B764" t="str">
        <f>IFERROR(VLOOKUP(Tabla13[[#This Row],[SISMED]],TblDisponibilidad[],2,FALSE), "")</f>
        <v/>
      </c>
      <c r="C764">
        <f>IFERROR(VLOOKUP(Tabla13[[#This Row],[SISMED]],TblDisponibilidad[],7,FALSE), 0)</f>
        <v>0</v>
      </c>
      <c r="D764">
        <f>IFERROR(VLOOKUP(Tabla13[[#This Row],[SISMED]],TblDisponibilidad[],8,FALSE), 0)</f>
        <v>0</v>
      </c>
      <c r="E764">
        <f>IFERROR(VLOOKUP(Tabla13[[#This Row],[SISMED]],TblDisponibilidad[],9,FALSE), 0)</f>
        <v>0</v>
      </c>
      <c r="F764">
        <f>IFERROR(VLOOKUP(Tabla13[[#This Row],[SISMED]],TblDisponibilidad[],10,FALSE), 0)</f>
        <v>0</v>
      </c>
      <c r="G764">
        <f>IFERROR(VLOOKUP(Tabla13[[#This Row],[SISMED]],TblDisponibilidad[],11,FALSE), 0)</f>
        <v>0</v>
      </c>
      <c r="H764">
        <f>IFERROR(VLOOKUP(Tabla13[[#This Row],[SISMED]],TblDisponibilidad[],12,FALSE), 0)</f>
        <v>0</v>
      </c>
      <c r="I764">
        <f>IFERROR(VLOOKUP(Tabla13[[#This Row],[SISMED]],TblDisponibilidad[],13,FALSE), 0)</f>
        <v>0</v>
      </c>
      <c r="J764">
        <f>IFERROR(VLOOKUP(Tabla13[[#This Row],[SISMED]],TblDisponibilidad[],14,FALSE), 0)</f>
        <v>0</v>
      </c>
      <c r="K764">
        <f>IFERROR(VLOOKUP(Tabla13[[#This Row],[SISMED]],TblDisponibilidad[],15,FALSE), 0)</f>
        <v>0</v>
      </c>
      <c r="L764">
        <f>IFERROR(VLOOKUP(Tabla13[[#This Row],[SISMED]],TblDisponibilidad[],16,FALSE), 0)</f>
        <v>0</v>
      </c>
      <c r="M764">
        <f>IFERROR(VLOOKUP(Tabla13[[#This Row],[SISMED]],TblDisponibilidad[],17,FALSE), 0)</f>
        <v>0</v>
      </c>
      <c r="N764">
        <f>IFERROR(VLOOKUP(Tabla13[[#This Row],[SISMED]],TblDisponibilidad[],18,FALSE), 0)</f>
        <v>0</v>
      </c>
      <c r="O764">
        <f>IFERROR(VLOOKUP(Tabla13[[#This Row],[SISMED]],TblDisponibilidad[],19,FALSE), 0)</f>
        <v>0</v>
      </c>
      <c r="P764">
        <f>IFERROR(VLOOKUP(Tabla13[[#This Row],[SISMED]],TblDisponibilidad[],20,FALSE), 0)</f>
        <v>0</v>
      </c>
      <c r="Q764">
        <f>IFERROR(VLOOKUP(Tabla13[[#This Row],[SISMED]],TblDisponibilidad[],21,FALSE), 0)</f>
        <v>0</v>
      </c>
      <c r="R764">
        <f>IFERROR(VLOOKUP(Tabla13[[#This Row],[SISMED]],TblDisponibilidad[],22,FALSE), 0)</f>
        <v>0</v>
      </c>
      <c r="S764" s="15">
        <f>IFERROR(VLOOKUP(Tabla13[[#This Row],[SISMED]],TblDisponibilidad[],23,FALSE), 0)</f>
        <v>0</v>
      </c>
    </row>
    <row r="765" spans="1:19" x14ac:dyDescent="0.3">
      <c r="A765" s="15" t="s">
        <v>795</v>
      </c>
      <c r="B765" t="str">
        <f>IFERROR(VLOOKUP(Tabla13[[#This Row],[SISMED]],TblDisponibilidad[],2,FALSE), "")</f>
        <v/>
      </c>
      <c r="C765">
        <f>IFERROR(VLOOKUP(Tabla13[[#This Row],[SISMED]],TblDisponibilidad[],7,FALSE), 0)</f>
        <v>0</v>
      </c>
      <c r="D765">
        <f>IFERROR(VLOOKUP(Tabla13[[#This Row],[SISMED]],TblDisponibilidad[],8,FALSE), 0)</f>
        <v>0</v>
      </c>
      <c r="E765">
        <f>IFERROR(VLOOKUP(Tabla13[[#This Row],[SISMED]],TblDisponibilidad[],9,FALSE), 0)</f>
        <v>0</v>
      </c>
      <c r="F765">
        <f>IFERROR(VLOOKUP(Tabla13[[#This Row],[SISMED]],TblDisponibilidad[],10,FALSE), 0)</f>
        <v>0</v>
      </c>
      <c r="G765">
        <f>IFERROR(VLOOKUP(Tabla13[[#This Row],[SISMED]],TblDisponibilidad[],11,FALSE), 0)</f>
        <v>0</v>
      </c>
      <c r="H765">
        <f>IFERROR(VLOOKUP(Tabla13[[#This Row],[SISMED]],TblDisponibilidad[],12,FALSE), 0)</f>
        <v>0</v>
      </c>
      <c r="I765">
        <f>IFERROR(VLOOKUP(Tabla13[[#This Row],[SISMED]],TblDisponibilidad[],13,FALSE), 0)</f>
        <v>0</v>
      </c>
      <c r="J765">
        <f>IFERROR(VLOOKUP(Tabla13[[#This Row],[SISMED]],TblDisponibilidad[],14,FALSE), 0)</f>
        <v>0</v>
      </c>
      <c r="K765">
        <f>IFERROR(VLOOKUP(Tabla13[[#This Row],[SISMED]],TblDisponibilidad[],15,FALSE), 0)</f>
        <v>0</v>
      </c>
      <c r="L765">
        <f>IFERROR(VLOOKUP(Tabla13[[#This Row],[SISMED]],TblDisponibilidad[],16,FALSE), 0)</f>
        <v>0</v>
      </c>
      <c r="M765">
        <f>IFERROR(VLOOKUP(Tabla13[[#This Row],[SISMED]],TblDisponibilidad[],17,FALSE), 0)</f>
        <v>0</v>
      </c>
      <c r="N765">
        <f>IFERROR(VLOOKUP(Tabla13[[#This Row],[SISMED]],TblDisponibilidad[],18,FALSE), 0)</f>
        <v>0</v>
      </c>
      <c r="O765">
        <f>IFERROR(VLOOKUP(Tabla13[[#This Row],[SISMED]],TblDisponibilidad[],19,FALSE), 0)</f>
        <v>0</v>
      </c>
      <c r="P765">
        <f>IFERROR(VLOOKUP(Tabla13[[#This Row],[SISMED]],TblDisponibilidad[],20,FALSE), 0)</f>
        <v>0</v>
      </c>
      <c r="Q765">
        <f>IFERROR(VLOOKUP(Tabla13[[#This Row],[SISMED]],TblDisponibilidad[],21,FALSE), 0)</f>
        <v>0</v>
      </c>
      <c r="R765">
        <f>IFERROR(VLOOKUP(Tabla13[[#This Row],[SISMED]],TblDisponibilidad[],22,FALSE), 0)</f>
        <v>0</v>
      </c>
      <c r="S765" s="15">
        <f>IFERROR(VLOOKUP(Tabla13[[#This Row],[SISMED]],TblDisponibilidad[],23,FALSE), 0)</f>
        <v>0</v>
      </c>
    </row>
    <row r="766" spans="1:19" x14ac:dyDescent="0.3">
      <c r="A766" s="15" t="s">
        <v>796</v>
      </c>
      <c r="B766" t="str">
        <f>IFERROR(VLOOKUP(Tabla13[[#This Row],[SISMED]],TblDisponibilidad[],2,FALSE), "")</f>
        <v/>
      </c>
      <c r="C766">
        <f>IFERROR(VLOOKUP(Tabla13[[#This Row],[SISMED]],TblDisponibilidad[],7,FALSE), 0)</f>
        <v>0</v>
      </c>
      <c r="D766">
        <f>IFERROR(VLOOKUP(Tabla13[[#This Row],[SISMED]],TblDisponibilidad[],8,FALSE), 0)</f>
        <v>0</v>
      </c>
      <c r="E766">
        <f>IFERROR(VLOOKUP(Tabla13[[#This Row],[SISMED]],TblDisponibilidad[],9,FALSE), 0)</f>
        <v>0</v>
      </c>
      <c r="F766">
        <f>IFERROR(VLOOKUP(Tabla13[[#This Row],[SISMED]],TblDisponibilidad[],10,FALSE), 0)</f>
        <v>0</v>
      </c>
      <c r="G766">
        <f>IFERROR(VLOOKUP(Tabla13[[#This Row],[SISMED]],TblDisponibilidad[],11,FALSE), 0)</f>
        <v>0</v>
      </c>
      <c r="H766">
        <f>IFERROR(VLOOKUP(Tabla13[[#This Row],[SISMED]],TblDisponibilidad[],12,FALSE), 0)</f>
        <v>0</v>
      </c>
      <c r="I766">
        <f>IFERROR(VLOOKUP(Tabla13[[#This Row],[SISMED]],TblDisponibilidad[],13,FALSE), 0)</f>
        <v>0</v>
      </c>
      <c r="J766">
        <f>IFERROR(VLOOKUP(Tabla13[[#This Row],[SISMED]],TblDisponibilidad[],14,FALSE), 0)</f>
        <v>0</v>
      </c>
      <c r="K766">
        <f>IFERROR(VLOOKUP(Tabla13[[#This Row],[SISMED]],TblDisponibilidad[],15,FALSE), 0)</f>
        <v>0</v>
      </c>
      <c r="L766">
        <f>IFERROR(VLOOKUP(Tabla13[[#This Row],[SISMED]],TblDisponibilidad[],16,FALSE), 0)</f>
        <v>0</v>
      </c>
      <c r="M766">
        <f>IFERROR(VLOOKUP(Tabla13[[#This Row],[SISMED]],TblDisponibilidad[],17,FALSE), 0)</f>
        <v>0</v>
      </c>
      <c r="N766">
        <f>IFERROR(VLOOKUP(Tabla13[[#This Row],[SISMED]],TblDisponibilidad[],18,FALSE), 0)</f>
        <v>0</v>
      </c>
      <c r="O766">
        <f>IFERROR(VLOOKUP(Tabla13[[#This Row],[SISMED]],TblDisponibilidad[],19,FALSE), 0)</f>
        <v>0</v>
      </c>
      <c r="P766">
        <f>IFERROR(VLOOKUP(Tabla13[[#This Row],[SISMED]],TblDisponibilidad[],20,FALSE), 0)</f>
        <v>0</v>
      </c>
      <c r="Q766">
        <f>IFERROR(VLOOKUP(Tabla13[[#This Row],[SISMED]],TblDisponibilidad[],21,FALSE), 0)</f>
        <v>0</v>
      </c>
      <c r="R766">
        <f>IFERROR(VLOOKUP(Tabla13[[#This Row],[SISMED]],TblDisponibilidad[],22,FALSE), 0)</f>
        <v>0</v>
      </c>
      <c r="S766" s="15">
        <f>IFERROR(VLOOKUP(Tabla13[[#This Row],[SISMED]],TblDisponibilidad[],23,FALSE), 0)</f>
        <v>0</v>
      </c>
    </row>
    <row r="767" spans="1:19" x14ac:dyDescent="0.3">
      <c r="A767" s="15" t="s">
        <v>797</v>
      </c>
      <c r="B767" t="str">
        <f>IFERROR(VLOOKUP(Tabla13[[#This Row],[SISMED]],TblDisponibilidad[],2,FALSE), "")</f>
        <v/>
      </c>
      <c r="C767">
        <f>IFERROR(VLOOKUP(Tabla13[[#This Row],[SISMED]],TblDisponibilidad[],7,FALSE), 0)</f>
        <v>0</v>
      </c>
      <c r="D767">
        <f>IFERROR(VLOOKUP(Tabla13[[#This Row],[SISMED]],TblDisponibilidad[],8,FALSE), 0)</f>
        <v>0</v>
      </c>
      <c r="E767">
        <f>IFERROR(VLOOKUP(Tabla13[[#This Row],[SISMED]],TblDisponibilidad[],9,FALSE), 0)</f>
        <v>0</v>
      </c>
      <c r="F767">
        <f>IFERROR(VLOOKUP(Tabla13[[#This Row],[SISMED]],TblDisponibilidad[],10,FALSE), 0)</f>
        <v>0</v>
      </c>
      <c r="G767">
        <f>IFERROR(VLOOKUP(Tabla13[[#This Row],[SISMED]],TblDisponibilidad[],11,FALSE), 0)</f>
        <v>0</v>
      </c>
      <c r="H767">
        <f>IFERROR(VLOOKUP(Tabla13[[#This Row],[SISMED]],TblDisponibilidad[],12,FALSE), 0)</f>
        <v>0</v>
      </c>
      <c r="I767">
        <f>IFERROR(VLOOKUP(Tabla13[[#This Row],[SISMED]],TblDisponibilidad[],13,FALSE), 0)</f>
        <v>0</v>
      </c>
      <c r="J767">
        <f>IFERROR(VLOOKUP(Tabla13[[#This Row],[SISMED]],TblDisponibilidad[],14,FALSE), 0)</f>
        <v>0</v>
      </c>
      <c r="K767">
        <f>IFERROR(VLOOKUP(Tabla13[[#This Row],[SISMED]],TblDisponibilidad[],15,FALSE), 0)</f>
        <v>0</v>
      </c>
      <c r="L767">
        <f>IFERROR(VLOOKUP(Tabla13[[#This Row],[SISMED]],TblDisponibilidad[],16,FALSE), 0)</f>
        <v>0</v>
      </c>
      <c r="M767">
        <f>IFERROR(VLOOKUP(Tabla13[[#This Row],[SISMED]],TblDisponibilidad[],17,FALSE), 0)</f>
        <v>0</v>
      </c>
      <c r="N767">
        <f>IFERROR(VLOOKUP(Tabla13[[#This Row],[SISMED]],TblDisponibilidad[],18,FALSE), 0)</f>
        <v>0</v>
      </c>
      <c r="O767">
        <f>IFERROR(VLOOKUP(Tabla13[[#This Row],[SISMED]],TblDisponibilidad[],19,FALSE), 0)</f>
        <v>0</v>
      </c>
      <c r="P767">
        <f>IFERROR(VLOOKUP(Tabla13[[#This Row],[SISMED]],TblDisponibilidad[],20,FALSE), 0)</f>
        <v>0</v>
      </c>
      <c r="Q767">
        <f>IFERROR(VLOOKUP(Tabla13[[#This Row],[SISMED]],TblDisponibilidad[],21,FALSE), 0)</f>
        <v>0</v>
      </c>
      <c r="R767">
        <f>IFERROR(VLOOKUP(Tabla13[[#This Row],[SISMED]],TblDisponibilidad[],22,FALSE), 0)</f>
        <v>0</v>
      </c>
      <c r="S767" s="15">
        <f>IFERROR(VLOOKUP(Tabla13[[#This Row],[SISMED]],TblDisponibilidad[],23,FALSE), 0)</f>
        <v>0</v>
      </c>
    </row>
    <row r="768" spans="1:19" x14ac:dyDescent="0.3">
      <c r="A768" s="15" t="s">
        <v>798</v>
      </c>
      <c r="B768" t="str">
        <f>IFERROR(VLOOKUP(Tabla13[[#This Row],[SISMED]],TblDisponibilidad[],2,FALSE), "")</f>
        <v/>
      </c>
      <c r="C768">
        <f>IFERROR(VLOOKUP(Tabla13[[#This Row],[SISMED]],TblDisponibilidad[],7,FALSE), 0)</f>
        <v>0</v>
      </c>
      <c r="D768">
        <f>IFERROR(VLOOKUP(Tabla13[[#This Row],[SISMED]],TblDisponibilidad[],8,FALSE), 0)</f>
        <v>0</v>
      </c>
      <c r="E768">
        <f>IFERROR(VLOOKUP(Tabla13[[#This Row],[SISMED]],TblDisponibilidad[],9,FALSE), 0)</f>
        <v>0</v>
      </c>
      <c r="F768">
        <f>IFERROR(VLOOKUP(Tabla13[[#This Row],[SISMED]],TblDisponibilidad[],10,FALSE), 0)</f>
        <v>0</v>
      </c>
      <c r="G768">
        <f>IFERROR(VLOOKUP(Tabla13[[#This Row],[SISMED]],TblDisponibilidad[],11,FALSE), 0)</f>
        <v>0</v>
      </c>
      <c r="H768">
        <f>IFERROR(VLOOKUP(Tabla13[[#This Row],[SISMED]],TblDisponibilidad[],12,FALSE), 0)</f>
        <v>0</v>
      </c>
      <c r="I768">
        <f>IFERROR(VLOOKUP(Tabla13[[#This Row],[SISMED]],TblDisponibilidad[],13,FALSE), 0)</f>
        <v>0</v>
      </c>
      <c r="J768">
        <f>IFERROR(VLOOKUP(Tabla13[[#This Row],[SISMED]],TblDisponibilidad[],14,FALSE), 0)</f>
        <v>0</v>
      </c>
      <c r="K768">
        <f>IFERROR(VLOOKUP(Tabla13[[#This Row],[SISMED]],TblDisponibilidad[],15,FALSE), 0)</f>
        <v>0</v>
      </c>
      <c r="L768">
        <f>IFERROR(VLOOKUP(Tabla13[[#This Row],[SISMED]],TblDisponibilidad[],16,FALSE), 0)</f>
        <v>0</v>
      </c>
      <c r="M768">
        <f>IFERROR(VLOOKUP(Tabla13[[#This Row],[SISMED]],TblDisponibilidad[],17,FALSE), 0)</f>
        <v>0</v>
      </c>
      <c r="N768">
        <f>IFERROR(VLOOKUP(Tabla13[[#This Row],[SISMED]],TblDisponibilidad[],18,FALSE), 0)</f>
        <v>0</v>
      </c>
      <c r="O768">
        <f>IFERROR(VLOOKUP(Tabla13[[#This Row],[SISMED]],TblDisponibilidad[],19,FALSE), 0)</f>
        <v>0</v>
      </c>
      <c r="P768">
        <f>IFERROR(VLOOKUP(Tabla13[[#This Row],[SISMED]],TblDisponibilidad[],20,FALSE), 0)</f>
        <v>0</v>
      </c>
      <c r="Q768">
        <f>IFERROR(VLOOKUP(Tabla13[[#This Row],[SISMED]],TblDisponibilidad[],21,FALSE), 0)</f>
        <v>0</v>
      </c>
      <c r="R768">
        <f>IFERROR(VLOOKUP(Tabla13[[#This Row],[SISMED]],TblDisponibilidad[],22,FALSE), 0)</f>
        <v>0</v>
      </c>
      <c r="S768" s="15">
        <f>IFERROR(VLOOKUP(Tabla13[[#This Row],[SISMED]],TblDisponibilidad[],23,FALSE), 0)</f>
        <v>0</v>
      </c>
    </row>
    <row r="769" spans="1:19" x14ac:dyDescent="0.3">
      <c r="A769" s="15" t="s">
        <v>799</v>
      </c>
      <c r="B769" t="str">
        <f>IFERROR(VLOOKUP(Tabla13[[#This Row],[SISMED]],TblDisponibilidad[],2,FALSE), "")</f>
        <v/>
      </c>
      <c r="C769">
        <f>IFERROR(VLOOKUP(Tabla13[[#This Row],[SISMED]],TblDisponibilidad[],7,FALSE), 0)</f>
        <v>0</v>
      </c>
      <c r="D769">
        <f>IFERROR(VLOOKUP(Tabla13[[#This Row],[SISMED]],TblDisponibilidad[],8,FALSE), 0)</f>
        <v>0</v>
      </c>
      <c r="E769">
        <f>IFERROR(VLOOKUP(Tabla13[[#This Row],[SISMED]],TblDisponibilidad[],9,FALSE), 0)</f>
        <v>0</v>
      </c>
      <c r="F769">
        <f>IFERROR(VLOOKUP(Tabla13[[#This Row],[SISMED]],TblDisponibilidad[],10,FALSE), 0)</f>
        <v>0</v>
      </c>
      <c r="G769">
        <f>IFERROR(VLOOKUP(Tabla13[[#This Row],[SISMED]],TblDisponibilidad[],11,FALSE), 0)</f>
        <v>0</v>
      </c>
      <c r="H769">
        <f>IFERROR(VLOOKUP(Tabla13[[#This Row],[SISMED]],TblDisponibilidad[],12,FALSE), 0)</f>
        <v>0</v>
      </c>
      <c r="I769">
        <f>IFERROR(VLOOKUP(Tabla13[[#This Row],[SISMED]],TblDisponibilidad[],13,FALSE), 0)</f>
        <v>0</v>
      </c>
      <c r="J769">
        <f>IFERROR(VLOOKUP(Tabla13[[#This Row],[SISMED]],TblDisponibilidad[],14,FALSE), 0)</f>
        <v>0</v>
      </c>
      <c r="K769">
        <f>IFERROR(VLOOKUP(Tabla13[[#This Row],[SISMED]],TblDisponibilidad[],15,FALSE), 0)</f>
        <v>0</v>
      </c>
      <c r="L769">
        <f>IFERROR(VLOOKUP(Tabla13[[#This Row],[SISMED]],TblDisponibilidad[],16,FALSE), 0)</f>
        <v>0</v>
      </c>
      <c r="M769">
        <f>IFERROR(VLOOKUP(Tabla13[[#This Row],[SISMED]],TblDisponibilidad[],17,FALSE), 0)</f>
        <v>0</v>
      </c>
      <c r="N769">
        <f>IFERROR(VLOOKUP(Tabla13[[#This Row],[SISMED]],TblDisponibilidad[],18,FALSE), 0)</f>
        <v>0</v>
      </c>
      <c r="O769">
        <f>IFERROR(VLOOKUP(Tabla13[[#This Row],[SISMED]],TblDisponibilidad[],19,FALSE), 0)</f>
        <v>0</v>
      </c>
      <c r="P769">
        <f>IFERROR(VLOOKUP(Tabla13[[#This Row],[SISMED]],TblDisponibilidad[],20,FALSE), 0)</f>
        <v>0</v>
      </c>
      <c r="Q769">
        <f>IFERROR(VLOOKUP(Tabla13[[#This Row],[SISMED]],TblDisponibilidad[],21,FALSE), 0)</f>
        <v>0</v>
      </c>
      <c r="R769">
        <f>IFERROR(VLOOKUP(Tabla13[[#This Row],[SISMED]],TblDisponibilidad[],22,FALSE), 0)</f>
        <v>0</v>
      </c>
      <c r="S769" s="15">
        <f>IFERROR(VLOOKUP(Tabla13[[#This Row],[SISMED]],TblDisponibilidad[],23,FALSE), 0)</f>
        <v>0</v>
      </c>
    </row>
    <row r="770" spans="1:19" x14ac:dyDescent="0.3">
      <c r="A770" s="15" t="s">
        <v>800</v>
      </c>
      <c r="B770" t="str">
        <f>IFERROR(VLOOKUP(Tabla13[[#This Row],[SISMED]],TblDisponibilidad[],2,FALSE), "")</f>
        <v/>
      </c>
      <c r="C770">
        <f>IFERROR(VLOOKUP(Tabla13[[#This Row],[SISMED]],TblDisponibilidad[],7,FALSE), 0)</f>
        <v>0</v>
      </c>
      <c r="D770">
        <f>IFERROR(VLOOKUP(Tabla13[[#This Row],[SISMED]],TblDisponibilidad[],8,FALSE), 0)</f>
        <v>0</v>
      </c>
      <c r="E770">
        <f>IFERROR(VLOOKUP(Tabla13[[#This Row],[SISMED]],TblDisponibilidad[],9,FALSE), 0)</f>
        <v>0</v>
      </c>
      <c r="F770">
        <f>IFERROR(VLOOKUP(Tabla13[[#This Row],[SISMED]],TblDisponibilidad[],10,FALSE), 0)</f>
        <v>0</v>
      </c>
      <c r="G770">
        <f>IFERROR(VLOOKUP(Tabla13[[#This Row],[SISMED]],TblDisponibilidad[],11,FALSE), 0)</f>
        <v>0</v>
      </c>
      <c r="H770">
        <f>IFERROR(VLOOKUP(Tabla13[[#This Row],[SISMED]],TblDisponibilidad[],12,FALSE), 0)</f>
        <v>0</v>
      </c>
      <c r="I770">
        <f>IFERROR(VLOOKUP(Tabla13[[#This Row],[SISMED]],TblDisponibilidad[],13,FALSE), 0)</f>
        <v>0</v>
      </c>
      <c r="J770">
        <f>IFERROR(VLOOKUP(Tabla13[[#This Row],[SISMED]],TblDisponibilidad[],14,FALSE), 0)</f>
        <v>0</v>
      </c>
      <c r="K770">
        <f>IFERROR(VLOOKUP(Tabla13[[#This Row],[SISMED]],TblDisponibilidad[],15,FALSE), 0)</f>
        <v>0</v>
      </c>
      <c r="L770">
        <f>IFERROR(VLOOKUP(Tabla13[[#This Row],[SISMED]],TblDisponibilidad[],16,FALSE), 0)</f>
        <v>0</v>
      </c>
      <c r="M770">
        <f>IFERROR(VLOOKUP(Tabla13[[#This Row],[SISMED]],TblDisponibilidad[],17,FALSE), 0)</f>
        <v>0</v>
      </c>
      <c r="N770">
        <f>IFERROR(VLOOKUP(Tabla13[[#This Row],[SISMED]],TblDisponibilidad[],18,FALSE), 0)</f>
        <v>0</v>
      </c>
      <c r="O770">
        <f>IFERROR(VLOOKUP(Tabla13[[#This Row],[SISMED]],TblDisponibilidad[],19,FALSE), 0)</f>
        <v>0</v>
      </c>
      <c r="P770">
        <f>IFERROR(VLOOKUP(Tabla13[[#This Row],[SISMED]],TblDisponibilidad[],20,FALSE), 0)</f>
        <v>0</v>
      </c>
      <c r="Q770">
        <f>IFERROR(VLOOKUP(Tabla13[[#This Row],[SISMED]],TblDisponibilidad[],21,FALSE), 0)</f>
        <v>0</v>
      </c>
      <c r="R770">
        <f>IFERROR(VLOOKUP(Tabla13[[#This Row],[SISMED]],TblDisponibilidad[],22,FALSE), 0)</f>
        <v>0</v>
      </c>
      <c r="S770" s="15">
        <f>IFERROR(VLOOKUP(Tabla13[[#This Row],[SISMED]],TblDisponibilidad[],23,FALSE), 0)</f>
        <v>0</v>
      </c>
    </row>
    <row r="771" spans="1:19" x14ac:dyDescent="0.3">
      <c r="A771" s="15" t="s">
        <v>801</v>
      </c>
      <c r="B771" t="str">
        <f>IFERROR(VLOOKUP(Tabla13[[#This Row],[SISMED]],TblDisponibilidad[],2,FALSE), "")</f>
        <v/>
      </c>
      <c r="C771">
        <f>IFERROR(VLOOKUP(Tabla13[[#This Row],[SISMED]],TblDisponibilidad[],7,FALSE), 0)</f>
        <v>0</v>
      </c>
      <c r="D771">
        <f>IFERROR(VLOOKUP(Tabla13[[#This Row],[SISMED]],TblDisponibilidad[],8,FALSE), 0)</f>
        <v>0</v>
      </c>
      <c r="E771">
        <f>IFERROR(VLOOKUP(Tabla13[[#This Row],[SISMED]],TblDisponibilidad[],9,FALSE), 0)</f>
        <v>0</v>
      </c>
      <c r="F771">
        <f>IFERROR(VLOOKUP(Tabla13[[#This Row],[SISMED]],TblDisponibilidad[],10,FALSE), 0)</f>
        <v>0</v>
      </c>
      <c r="G771">
        <f>IFERROR(VLOOKUP(Tabla13[[#This Row],[SISMED]],TblDisponibilidad[],11,FALSE), 0)</f>
        <v>0</v>
      </c>
      <c r="H771">
        <f>IFERROR(VLOOKUP(Tabla13[[#This Row],[SISMED]],TblDisponibilidad[],12,FALSE), 0)</f>
        <v>0</v>
      </c>
      <c r="I771">
        <f>IFERROR(VLOOKUP(Tabla13[[#This Row],[SISMED]],TblDisponibilidad[],13,FALSE), 0)</f>
        <v>0</v>
      </c>
      <c r="J771">
        <f>IFERROR(VLOOKUP(Tabla13[[#This Row],[SISMED]],TblDisponibilidad[],14,FALSE), 0)</f>
        <v>0</v>
      </c>
      <c r="K771">
        <f>IFERROR(VLOOKUP(Tabla13[[#This Row],[SISMED]],TblDisponibilidad[],15,FALSE), 0)</f>
        <v>0</v>
      </c>
      <c r="L771">
        <f>IFERROR(VLOOKUP(Tabla13[[#This Row],[SISMED]],TblDisponibilidad[],16,FALSE), 0)</f>
        <v>0</v>
      </c>
      <c r="M771">
        <f>IFERROR(VLOOKUP(Tabla13[[#This Row],[SISMED]],TblDisponibilidad[],17,FALSE), 0)</f>
        <v>0</v>
      </c>
      <c r="N771">
        <f>IFERROR(VLOOKUP(Tabla13[[#This Row],[SISMED]],TblDisponibilidad[],18,FALSE), 0)</f>
        <v>0</v>
      </c>
      <c r="O771">
        <f>IFERROR(VLOOKUP(Tabla13[[#This Row],[SISMED]],TblDisponibilidad[],19,FALSE), 0)</f>
        <v>0</v>
      </c>
      <c r="P771">
        <f>IFERROR(VLOOKUP(Tabla13[[#This Row],[SISMED]],TblDisponibilidad[],20,FALSE), 0)</f>
        <v>0</v>
      </c>
      <c r="Q771">
        <f>IFERROR(VLOOKUP(Tabla13[[#This Row],[SISMED]],TblDisponibilidad[],21,FALSE), 0)</f>
        <v>0</v>
      </c>
      <c r="R771">
        <f>IFERROR(VLOOKUP(Tabla13[[#This Row],[SISMED]],TblDisponibilidad[],22,FALSE), 0)</f>
        <v>0</v>
      </c>
      <c r="S771" s="15">
        <f>IFERROR(VLOOKUP(Tabla13[[#This Row],[SISMED]],TblDisponibilidad[],23,FALSE), 0)</f>
        <v>0</v>
      </c>
    </row>
    <row r="772" spans="1:19" x14ac:dyDescent="0.3">
      <c r="A772" s="15" t="s">
        <v>802</v>
      </c>
      <c r="B772" t="str">
        <f>IFERROR(VLOOKUP(Tabla13[[#This Row],[SISMED]],TblDisponibilidad[],2,FALSE), "")</f>
        <v/>
      </c>
      <c r="C772">
        <f>IFERROR(VLOOKUP(Tabla13[[#This Row],[SISMED]],TblDisponibilidad[],7,FALSE), 0)</f>
        <v>0</v>
      </c>
      <c r="D772">
        <f>IFERROR(VLOOKUP(Tabla13[[#This Row],[SISMED]],TblDisponibilidad[],8,FALSE), 0)</f>
        <v>0</v>
      </c>
      <c r="E772">
        <f>IFERROR(VLOOKUP(Tabla13[[#This Row],[SISMED]],TblDisponibilidad[],9,FALSE), 0)</f>
        <v>0</v>
      </c>
      <c r="F772">
        <f>IFERROR(VLOOKUP(Tabla13[[#This Row],[SISMED]],TblDisponibilidad[],10,FALSE), 0)</f>
        <v>0</v>
      </c>
      <c r="G772">
        <f>IFERROR(VLOOKUP(Tabla13[[#This Row],[SISMED]],TblDisponibilidad[],11,FALSE), 0)</f>
        <v>0</v>
      </c>
      <c r="H772">
        <f>IFERROR(VLOOKUP(Tabla13[[#This Row],[SISMED]],TblDisponibilidad[],12,FALSE), 0)</f>
        <v>0</v>
      </c>
      <c r="I772">
        <f>IFERROR(VLOOKUP(Tabla13[[#This Row],[SISMED]],TblDisponibilidad[],13,FALSE), 0)</f>
        <v>0</v>
      </c>
      <c r="J772">
        <f>IFERROR(VLOOKUP(Tabla13[[#This Row],[SISMED]],TblDisponibilidad[],14,FALSE), 0)</f>
        <v>0</v>
      </c>
      <c r="K772">
        <f>IFERROR(VLOOKUP(Tabla13[[#This Row],[SISMED]],TblDisponibilidad[],15,FALSE), 0)</f>
        <v>0</v>
      </c>
      <c r="L772">
        <f>IFERROR(VLOOKUP(Tabla13[[#This Row],[SISMED]],TblDisponibilidad[],16,FALSE), 0)</f>
        <v>0</v>
      </c>
      <c r="M772">
        <f>IFERROR(VLOOKUP(Tabla13[[#This Row],[SISMED]],TblDisponibilidad[],17,FALSE), 0)</f>
        <v>0</v>
      </c>
      <c r="N772">
        <f>IFERROR(VLOOKUP(Tabla13[[#This Row],[SISMED]],TblDisponibilidad[],18,FALSE), 0)</f>
        <v>0</v>
      </c>
      <c r="O772">
        <f>IFERROR(VLOOKUP(Tabla13[[#This Row],[SISMED]],TblDisponibilidad[],19,FALSE), 0)</f>
        <v>0</v>
      </c>
      <c r="P772">
        <f>IFERROR(VLOOKUP(Tabla13[[#This Row],[SISMED]],TblDisponibilidad[],20,FALSE), 0)</f>
        <v>0</v>
      </c>
      <c r="Q772">
        <f>IFERROR(VLOOKUP(Tabla13[[#This Row],[SISMED]],TblDisponibilidad[],21,FALSE), 0)</f>
        <v>0</v>
      </c>
      <c r="R772">
        <f>IFERROR(VLOOKUP(Tabla13[[#This Row],[SISMED]],TblDisponibilidad[],22,FALSE), 0)</f>
        <v>0</v>
      </c>
      <c r="S772" s="15">
        <f>IFERROR(VLOOKUP(Tabla13[[#This Row],[SISMED]],TblDisponibilidad[],23,FALSE), 0)</f>
        <v>0</v>
      </c>
    </row>
    <row r="773" spans="1:19" x14ac:dyDescent="0.3">
      <c r="A773" s="15" t="s">
        <v>803</v>
      </c>
      <c r="B773" t="str">
        <f>IFERROR(VLOOKUP(Tabla13[[#This Row],[SISMED]],TblDisponibilidad[],2,FALSE), "")</f>
        <v/>
      </c>
      <c r="C773">
        <f>IFERROR(VLOOKUP(Tabla13[[#This Row],[SISMED]],TblDisponibilidad[],7,FALSE), 0)</f>
        <v>0</v>
      </c>
      <c r="D773">
        <f>IFERROR(VLOOKUP(Tabla13[[#This Row],[SISMED]],TblDisponibilidad[],8,FALSE), 0)</f>
        <v>0</v>
      </c>
      <c r="E773">
        <f>IFERROR(VLOOKUP(Tabla13[[#This Row],[SISMED]],TblDisponibilidad[],9,FALSE), 0)</f>
        <v>0</v>
      </c>
      <c r="F773">
        <f>IFERROR(VLOOKUP(Tabla13[[#This Row],[SISMED]],TblDisponibilidad[],10,FALSE), 0)</f>
        <v>0</v>
      </c>
      <c r="G773">
        <f>IFERROR(VLOOKUP(Tabla13[[#This Row],[SISMED]],TblDisponibilidad[],11,FALSE), 0)</f>
        <v>0</v>
      </c>
      <c r="H773">
        <f>IFERROR(VLOOKUP(Tabla13[[#This Row],[SISMED]],TblDisponibilidad[],12,FALSE), 0)</f>
        <v>0</v>
      </c>
      <c r="I773">
        <f>IFERROR(VLOOKUP(Tabla13[[#This Row],[SISMED]],TblDisponibilidad[],13,FALSE), 0)</f>
        <v>0</v>
      </c>
      <c r="J773">
        <f>IFERROR(VLOOKUP(Tabla13[[#This Row],[SISMED]],TblDisponibilidad[],14,FALSE), 0)</f>
        <v>0</v>
      </c>
      <c r="K773">
        <f>IFERROR(VLOOKUP(Tabla13[[#This Row],[SISMED]],TblDisponibilidad[],15,FALSE), 0)</f>
        <v>0</v>
      </c>
      <c r="L773">
        <f>IFERROR(VLOOKUP(Tabla13[[#This Row],[SISMED]],TblDisponibilidad[],16,FALSE), 0)</f>
        <v>0</v>
      </c>
      <c r="M773">
        <f>IFERROR(VLOOKUP(Tabla13[[#This Row],[SISMED]],TblDisponibilidad[],17,FALSE), 0)</f>
        <v>0</v>
      </c>
      <c r="N773">
        <f>IFERROR(VLOOKUP(Tabla13[[#This Row],[SISMED]],TblDisponibilidad[],18,FALSE), 0)</f>
        <v>0</v>
      </c>
      <c r="O773">
        <f>IFERROR(VLOOKUP(Tabla13[[#This Row],[SISMED]],TblDisponibilidad[],19,FALSE), 0)</f>
        <v>0</v>
      </c>
      <c r="P773">
        <f>IFERROR(VLOOKUP(Tabla13[[#This Row],[SISMED]],TblDisponibilidad[],20,FALSE), 0)</f>
        <v>0</v>
      </c>
      <c r="Q773">
        <f>IFERROR(VLOOKUP(Tabla13[[#This Row],[SISMED]],TblDisponibilidad[],21,FALSE), 0)</f>
        <v>0</v>
      </c>
      <c r="R773">
        <f>IFERROR(VLOOKUP(Tabla13[[#This Row],[SISMED]],TblDisponibilidad[],22,FALSE), 0)</f>
        <v>0</v>
      </c>
      <c r="S773" s="15">
        <f>IFERROR(VLOOKUP(Tabla13[[#This Row],[SISMED]],TblDisponibilidad[],23,FALSE), 0)</f>
        <v>0</v>
      </c>
    </row>
    <row r="774" spans="1:19" x14ac:dyDescent="0.3">
      <c r="A774" s="15" t="s">
        <v>804</v>
      </c>
      <c r="B774" t="str">
        <f>IFERROR(VLOOKUP(Tabla13[[#This Row],[SISMED]],TblDisponibilidad[],2,FALSE), "")</f>
        <v/>
      </c>
      <c r="C774">
        <f>IFERROR(VLOOKUP(Tabla13[[#This Row],[SISMED]],TblDisponibilidad[],7,FALSE), 0)</f>
        <v>0</v>
      </c>
      <c r="D774">
        <f>IFERROR(VLOOKUP(Tabla13[[#This Row],[SISMED]],TblDisponibilidad[],8,FALSE), 0)</f>
        <v>0</v>
      </c>
      <c r="E774">
        <f>IFERROR(VLOOKUP(Tabla13[[#This Row],[SISMED]],TblDisponibilidad[],9,FALSE), 0)</f>
        <v>0</v>
      </c>
      <c r="F774">
        <f>IFERROR(VLOOKUP(Tabla13[[#This Row],[SISMED]],TblDisponibilidad[],10,FALSE), 0)</f>
        <v>0</v>
      </c>
      <c r="G774">
        <f>IFERROR(VLOOKUP(Tabla13[[#This Row],[SISMED]],TblDisponibilidad[],11,FALSE), 0)</f>
        <v>0</v>
      </c>
      <c r="H774">
        <f>IFERROR(VLOOKUP(Tabla13[[#This Row],[SISMED]],TblDisponibilidad[],12,FALSE), 0)</f>
        <v>0</v>
      </c>
      <c r="I774">
        <f>IFERROR(VLOOKUP(Tabla13[[#This Row],[SISMED]],TblDisponibilidad[],13,FALSE), 0)</f>
        <v>0</v>
      </c>
      <c r="J774">
        <f>IFERROR(VLOOKUP(Tabla13[[#This Row],[SISMED]],TblDisponibilidad[],14,FALSE), 0)</f>
        <v>0</v>
      </c>
      <c r="K774">
        <f>IFERROR(VLOOKUP(Tabla13[[#This Row],[SISMED]],TblDisponibilidad[],15,FALSE), 0)</f>
        <v>0</v>
      </c>
      <c r="L774">
        <f>IFERROR(VLOOKUP(Tabla13[[#This Row],[SISMED]],TblDisponibilidad[],16,FALSE), 0)</f>
        <v>0</v>
      </c>
      <c r="M774">
        <f>IFERROR(VLOOKUP(Tabla13[[#This Row],[SISMED]],TblDisponibilidad[],17,FALSE), 0)</f>
        <v>0</v>
      </c>
      <c r="N774">
        <f>IFERROR(VLOOKUP(Tabla13[[#This Row],[SISMED]],TblDisponibilidad[],18,FALSE), 0)</f>
        <v>0</v>
      </c>
      <c r="O774">
        <f>IFERROR(VLOOKUP(Tabla13[[#This Row],[SISMED]],TblDisponibilidad[],19,FALSE), 0)</f>
        <v>0</v>
      </c>
      <c r="P774">
        <f>IFERROR(VLOOKUP(Tabla13[[#This Row],[SISMED]],TblDisponibilidad[],20,FALSE), 0)</f>
        <v>0</v>
      </c>
      <c r="Q774">
        <f>IFERROR(VLOOKUP(Tabla13[[#This Row],[SISMED]],TblDisponibilidad[],21,FALSE), 0)</f>
        <v>0</v>
      </c>
      <c r="R774">
        <f>IFERROR(VLOOKUP(Tabla13[[#This Row],[SISMED]],TblDisponibilidad[],22,FALSE), 0)</f>
        <v>0</v>
      </c>
      <c r="S774" s="15">
        <f>IFERROR(VLOOKUP(Tabla13[[#This Row],[SISMED]],TblDisponibilidad[],23,FALSE), 0)</f>
        <v>0</v>
      </c>
    </row>
    <row r="775" spans="1:19" x14ac:dyDescent="0.3">
      <c r="A775" s="15" t="s">
        <v>805</v>
      </c>
      <c r="B775" t="str">
        <f>IFERROR(VLOOKUP(Tabla13[[#This Row],[SISMED]],TblDisponibilidad[],2,FALSE), "")</f>
        <v/>
      </c>
      <c r="C775">
        <f>IFERROR(VLOOKUP(Tabla13[[#This Row],[SISMED]],TblDisponibilidad[],7,FALSE), 0)</f>
        <v>0</v>
      </c>
      <c r="D775">
        <f>IFERROR(VLOOKUP(Tabla13[[#This Row],[SISMED]],TblDisponibilidad[],8,FALSE), 0)</f>
        <v>0</v>
      </c>
      <c r="E775">
        <f>IFERROR(VLOOKUP(Tabla13[[#This Row],[SISMED]],TblDisponibilidad[],9,FALSE), 0)</f>
        <v>0</v>
      </c>
      <c r="F775">
        <f>IFERROR(VLOOKUP(Tabla13[[#This Row],[SISMED]],TblDisponibilidad[],10,FALSE), 0)</f>
        <v>0</v>
      </c>
      <c r="G775">
        <f>IFERROR(VLOOKUP(Tabla13[[#This Row],[SISMED]],TblDisponibilidad[],11,FALSE), 0)</f>
        <v>0</v>
      </c>
      <c r="H775">
        <f>IFERROR(VLOOKUP(Tabla13[[#This Row],[SISMED]],TblDisponibilidad[],12,FALSE), 0)</f>
        <v>0</v>
      </c>
      <c r="I775">
        <f>IFERROR(VLOOKUP(Tabla13[[#This Row],[SISMED]],TblDisponibilidad[],13,FALSE), 0)</f>
        <v>0</v>
      </c>
      <c r="J775">
        <f>IFERROR(VLOOKUP(Tabla13[[#This Row],[SISMED]],TblDisponibilidad[],14,FALSE), 0)</f>
        <v>0</v>
      </c>
      <c r="K775">
        <f>IFERROR(VLOOKUP(Tabla13[[#This Row],[SISMED]],TblDisponibilidad[],15,FALSE), 0)</f>
        <v>0</v>
      </c>
      <c r="L775">
        <f>IFERROR(VLOOKUP(Tabla13[[#This Row],[SISMED]],TblDisponibilidad[],16,FALSE), 0)</f>
        <v>0</v>
      </c>
      <c r="M775">
        <f>IFERROR(VLOOKUP(Tabla13[[#This Row],[SISMED]],TblDisponibilidad[],17,FALSE), 0)</f>
        <v>0</v>
      </c>
      <c r="N775">
        <f>IFERROR(VLOOKUP(Tabla13[[#This Row],[SISMED]],TblDisponibilidad[],18,FALSE), 0)</f>
        <v>0</v>
      </c>
      <c r="O775">
        <f>IFERROR(VLOOKUP(Tabla13[[#This Row],[SISMED]],TblDisponibilidad[],19,FALSE), 0)</f>
        <v>0</v>
      </c>
      <c r="P775">
        <f>IFERROR(VLOOKUP(Tabla13[[#This Row],[SISMED]],TblDisponibilidad[],20,FALSE), 0)</f>
        <v>0</v>
      </c>
      <c r="Q775">
        <f>IFERROR(VLOOKUP(Tabla13[[#This Row],[SISMED]],TblDisponibilidad[],21,FALSE), 0)</f>
        <v>0</v>
      </c>
      <c r="R775">
        <f>IFERROR(VLOOKUP(Tabla13[[#This Row],[SISMED]],TblDisponibilidad[],22,FALSE), 0)</f>
        <v>0</v>
      </c>
      <c r="S775" s="15">
        <f>IFERROR(VLOOKUP(Tabla13[[#This Row],[SISMED]],TblDisponibilidad[],23,FALSE), 0)</f>
        <v>0</v>
      </c>
    </row>
    <row r="776" spans="1:19" x14ac:dyDescent="0.3">
      <c r="A776" s="15" t="s">
        <v>806</v>
      </c>
      <c r="B776" t="str">
        <f>IFERROR(VLOOKUP(Tabla13[[#This Row],[SISMED]],TblDisponibilidad[],2,FALSE), "")</f>
        <v/>
      </c>
      <c r="C776">
        <f>IFERROR(VLOOKUP(Tabla13[[#This Row],[SISMED]],TblDisponibilidad[],7,FALSE), 0)</f>
        <v>0</v>
      </c>
      <c r="D776">
        <f>IFERROR(VLOOKUP(Tabla13[[#This Row],[SISMED]],TblDisponibilidad[],8,FALSE), 0)</f>
        <v>0</v>
      </c>
      <c r="E776">
        <f>IFERROR(VLOOKUP(Tabla13[[#This Row],[SISMED]],TblDisponibilidad[],9,FALSE), 0)</f>
        <v>0</v>
      </c>
      <c r="F776">
        <f>IFERROR(VLOOKUP(Tabla13[[#This Row],[SISMED]],TblDisponibilidad[],10,FALSE), 0)</f>
        <v>0</v>
      </c>
      <c r="G776">
        <f>IFERROR(VLOOKUP(Tabla13[[#This Row],[SISMED]],TblDisponibilidad[],11,FALSE), 0)</f>
        <v>0</v>
      </c>
      <c r="H776">
        <f>IFERROR(VLOOKUP(Tabla13[[#This Row],[SISMED]],TblDisponibilidad[],12,FALSE), 0)</f>
        <v>0</v>
      </c>
      <c r="I776">
        <f>IFERROR(VLOOKUP(Tabla13[[#This Row],[SISMED]],TblDisponibilidad[],13,FALSE), 0)</f>
        <v>0</v>
      </c>
      <c r="J776">
        <f>IFERROR(VLOOKUP(Tabla13[[#This Row],[SISMED]],TblDisponibilidad[],14,FALSE), 0)</f>
        <v>0</v>
      </c>
      <c r="K776">
        <f>IFERROR(VLOOKUP(Tabla13[[#This Row],[SISMED]],TblDisponibilidad[],15,FALSE), 0)</f>
        <v>0</v>
      </c>
      <c r="L776">
        <f>IFERROR(VLOOKUP(Tabla13[[#This Row],[SISMED]],TblDisponibilidad[],16,FALSE), 0)</f>
        <v>0</v>
      </c>
      <c r="M776">
        <f>IFERROR(VLOOKUP(Tabla13[[#This Row],[SISMED]],TblDisponibilidad[],17,FALSE), 0)</f>
        <v>0</v>
      </c>
      <c r="N776">
        <f>IFERROR(VLOOKUP(Tabla13[[#This Row],[SISMED]],TblDisponibilidad[],18,FALSE), 0)</f>
        <v>0</v>
      </c>
      <c r="O776">
        <f>IFERROR(VLOOKUP(Tabla13[[#This Row],[SISMED]],TblDisponibilidad[],19,FALSE), 0)</f>
        <v>0</v>
      </c>
      <c r="P776">
        <f>IFERROR(VLOOKUP(Tabla13[[#This Row],[SISMED]],TblDisponibilidad[],20,FALSE), 0)</f>
        <v>0</v>
      </c>
      <c r="Q776">
        <f>IFERROR(VLOOKUP(Tabla13[[#This Row],[SISMED]],TblDisponibilidad[],21,FALSE), 0)</f>
        <v>0</v>
      </c>
      <c r="R776">
        <f>IFERROR(VLOOKUP(Tabla13[[#This Row],[SISMED]],TblDisponibilidad[],22,FALSE), 0)</f>
        <v>0</v>
      </c>
      <c r="S776" s="15">
        <f>IFERROR(VLOOKUP(Tabla13[[#This Row],[SISMED]],TblDisponibilidad[],23,FALSE), 0)</f>
        <v>0</v>
      </c>
    </row>
    <row r="777" spans="1:19" x14ac:dyDescent="0.3">
      <c r="A777" s="15" t="s">
        <v>807</v>
      </c>
      <c r="B777" t="str">
        <f>IFERROR(VLOOKUP(Tabla13[[#This Row],[SISMED]],TblDisponibilidad[],2,FALSE), "")</f>
        <v/>
      </c>
      <c r="C777">
        <f>IFERROR(VLOOKUP(Tabla13[[#This Row],[SISMED]],TblDisponibilidad[],7,FALSE), 0)</f>
        <v>0</v>
      </c>
      <c r="D777">
        <f>IFERROR(VLOOKUP(Tabla13[[#This Row],[SISMED]],TblDisponibilidad[],8,FALSE), 0)</f>
        <v>0</v>
      </c>
      <c r="E777">
        <f>IFERROR(VLOOKUP(Tabla13[[#This Row],[SISMED]],TblDisponibilidad[],9,FALSE), 0)</f>
        <v>0</v>
      </c>
      <c r="F777">
        <f>IFERROR(VLOOKUP(Tabla13[[#This Row],[SISMED]],TblDisponibilidad[],10,FALSE), 0)</f>
        <v>0</v>
      </c>
      <c r="G777">
        <f>IFERROR(VLOOKUP(Tabla13[[#This Row],[SISMED]],TblDisponibilidad[],11,FALSE), 0)</f>
        <v>0</v>
      </c>
      <c r="H777">
        <f>IFERROR(VLOOKUP(Tabla13[[#This Row],[SISMED]],TblDisponibilidad[],12,FALSE), 0)</f>
        <v>0</v>
      </c>
      <c r="I777">
        <f>IFERROR(VLOOKUP(Tabla13[[#This Row],[SISMED]],TblDisponibilidad[],13,FALSE), 0)</f>
        <v>0</v>
      </c>
      <c r="J777">
        <f>IFERROR(VLOOKUP(Tabla13[[#This Row],[SISMED]],TblDisponibilidad[],14,FALSE), 0)</f>
        <v>0</v>
      </c>
      <c r="K777">
        <f>IFERROR(VLOOKUP(Tabla13[[#This Row],[SISMED]],TblDisponibilidad[],15,FALSE), 0)</f>
        <v>0</v>
      </c>
      <c r="L777">
        <f>IFERROR(VLOOKUP(Tabla13[[#This Row],[SISMED]],TblDisponibilidad[],16,FALSE), 0)</f>
        <v>0</v>
      </c>
      <c r="M777">
        <f>IFERROR(VLOOKUP(Tabla13[[#This Row],[SISMED]],TblDisponibilidad[],17,FALSE), 0)</f>
        <v>0</v>
      </c>
      <c r="N777">
        <f>IFERROR(VLOOKUP(Tabla13[[#This Row],[SISMED]],TblDisponibilidad[],18,FALSE), 0)</f>
        <v>0</v>
      </c>
      <c r="O777">
        <f>IFERROR(VLOOKUP(Tabla13[[#This Row],[SISMED]],TblDisponibilidad[],19,FALSE), 0)</f>
        <v>0</v>
      </c>
      <c r="P777">
        <f>IFERROR(VLOOKUP(Tabla13[[#This Row],[SISMED]],TblDisponibilidad[],20,FALSE), 0)</f>
        <v>0</v>
      </c>
      <c r="Q777">
        <f>IFERROR(VLOOKUP(Tabla13[[#This Row],[SISMED]],TblDisponibilidad[],21,FALSE), 0)</f>
        <v>0</v>
      </c>
      <c r="R777">
        <f>IFERROR(VLOOKUP(Tabla13[[#This Row],[SISMED]],TblDisponibilidad[],22,FALSE), 0)</f>
        <v>0</v>
      </c>
      <c r="S777" s="15">
        <f>IFERROR(VLOOKUP(Tabla13[[#This Row],[SISMED]],TblDisponibilidad[],23,FALSE), 0)</f>
        <v>0</v>
      </c>
    </row>
    <row r="778" spans="1:19" x14ac:dyDescent="0.3">
      <c r="A778" s="15" t="s">
        <v>808</v>
      </c>
      <c r="B778" t="str">
        <f>IFERROR(VLOOKUP(Tabla13[[#This Row],[SISMED]],TblDisponibilidad[],2,FALSE), "")</f>
        <v/>
      </c>
      <c r="C778">
        <f>IFERROR(VLOOKUP(Tabla13[[#This Row],[SISMED]],TblDisponibilidad[],7,FALSE), 0)</f>
        <v>0</v>
      </c>
      <c r="D778">
        <f>IFERROR(VLOOKUP(Tabla13[[#This Row],[SISMED]],TblDisponibilidad[],8,FALSE), 0)</f>
        <v>0</v>
      </c>
      <c r="E778">
        <f>IFERROR(VLOOKUP(Tabla13[[#This Row],[SISMED]],TblDisponibilidad[],9,FALSE), 0)</f>
        <v>0</v>
      </c>
      <c r="F778">
        <f>IFERROR(VLOOKUP(Tabla13[[#This Row],[SISMED]],TblDisponibilidad[],10,FALSE), 0)</f>
        <v>0</v>
      </c>
      <c r="G778">
        <f>IFERROR(VLOOKUP(Tabla13[[#This Row],[SISMED]],TblDisponibilidad[],11,FALSE), 0)</f>
        <v>0</v>
      </c>
      <c r="H778">
        <f>IFERROR(VLOOKUP(Tabla13[[#This Row],[SISMED]],TblDisponibilidad[],12,FALSE), 0)</f>
        <v>0</v>
      </c>
      <c r="I778">
        <f>IFERROR(VLOOKUP(Tabla13[[#This Row],[SISMED]],TblDisponibilidad[],13,FALSE), 0)</f>
        <v>0</v>
      </c>
      <c r="J778">
        <f>IFERROR(VLOOKUP(Tabla13[[#This Row],[SISMED]],TblDisponibilidad[],14,FALSE), 0)</f>
        <v>0</v>
      </c>
      <c r="K778">
        <f>IFERROR(VLOOKUP(Tabla13[[#This Row],[SISMED]],TblDisponibilidad[],15,FALSE), 0)</f>
        <v>0</v>
      </c>
      <c r="L778">
        <f>IFERROR(VLOOKUP(Tabla13[[#This Row],[SISMED]],TblDisponibilidad[],16,FALSE), 0)</f>
        <v>0</v>
      </c>
      <c r="M778">
        <f>IFERROR(VLOOKUP(Tabla13[[#This Row],[SISMED]],TblDisponibilidad[],17,FALSE), 0)</f>
        <v>0</v>
      </c>
      <c r="N778">
        <f>IFERROR(VLOOKUP(Tabla13[[#This Row],[SISMED]],TblDisponibilidad[],18,FALSE), 0)</f>
        <v>0</v>
      </c>
      <c r="O778">
        <f>IFERROR(VLOOKUP(Tabla13[[#This Row],[SISMED]],TblDisponibilidad[],19,FALSE), 0)</f>
        <v>0</v>
      </c>
      <c r="P778">
        <f>IFERROR(VLOOKUP(Tabla13[[#This Row],[SISMED]],TblDisponibilidad[],20,FALSE), 0)</f>
        <v>0</v>
      </c>
      <c r="Q778">
        <f>IFERROR(VLOOKUP(Tabla13[[#This Row],[SISMED]],TblDisponibilidad[],21,FALSE), 0)</f>
        <v>0</v>
      </c>
      <c r="R778">
        <f>IFERROR(VLOOKUP(Tabla13[[#This Row],[SISMED]],TblDisponibilidad[],22,FALSE), 0)</f>
        <v>0</v>
      </c>
      <c r="S778" s="15">
        <f>IFERROR(VLOOKUP(Tabla13[[#This Row],[SISMED]],TblDisponibilidad[],23,FALSE), 0)</f>
        <v>0</v>
      </c>
    </row>
    <row r="779" spans="1:19" x14ac:dyDescent="0.3">
      <c r="A779" s="15" t="s">
        <v>809</v>
      </c>
      <c r="B779" t="str">
        <f>IFERROR(VLOOKUP(Tabla13[[#This Row],[SISMED]],TblDisponibilidad[],2,FALSE), "")</f>
        <v/>
      </c>
      <c r="C779">
        <f>IFERROR(VLOOKUP(Tabla13[[#This Row],[SISMED]],TblDisponibilidad[],7,FALSE), 0)</f>
        <v>0</v>
      </c>
      <c r="D779">
        <f>IFERROR(VLOOKUP(Tabla13[[#This Row],[SISMED]],TblDisponibilidad[],8,FALSE), 0)</f>
        <v>0</v>
      </c>
      <c r="E779">
        <f>IFERROR(VLOOKUP(Tabla13[[#This Row],[SISMED]],TblDisponibilidad[],9,FALSE), 0)</f>
        <v>0</v>
      </c>
      <c r="F779">
        <f>IFERROR(VLOOKUP(Tabla13[[#This Row],[SISMED]],TblDisponibilidad[],10,FALSE), 0)</f>
        <v>0</v>
      </c>
      <c r="G779">
        <f>IFERROR(VLOOKUP(Tabla13[[#This Row],[SISMED]],TblDisponibilidad[],11,FALSE), 0)</f>
        <v>0</v>
      </c>
      <c r="H779">
        <f>IFERROR(VLOOKUP(Tabla13[[#This Row],[SISMED]],TblDisponibilidad[],12,FALSE), 0)</f>
        <v>0</v>
      </c>
      <c r="I779">
        <f>IFERROR(VLOOKUP(Tabla13[[#This Row],[SISMED]],TblDisponibilidad[],13,FALSE), 0)</f>
        <v>0</v>
      </c>
      <c r="J779">
        <f>IFERROR(VLOOKUP(Tabla13[[#This Row],[SISMED]],TblDisponibilidad[],14,FALSE), 0)</f>
        <v>0</v>
      </c>
      <c r="K779">
        <f>IFERROR(VLOOKUP(Tabla13[[#This Row],[SISMED]],TblDisponibilidad[],15,FALSE), 0)</f>
        <v>0</v>
      </c>
      <c r="L779">
        <f>IFERROR(VLOOKUP(Tabla13[[#This Row],[SISMED]],TblDisponibilidad[],16,FALSE), 0)</f>
        <v>0</v>
      </c>
      <c r="M779">
        <f>IFERROR(VLOOKUP(Tabla13[[#This Row],[SISMED]],TblDisponibilidad[],17,FALSE), 0)</f>
        <v>0</v>
      </c>
      <c r="N779">
        <f>IFERROR(VLOOKUP(Tabla13[[#This Row],[SISMED]],TblDisponibilidad[],18,FALSE), 0)</f>
        <v>0</v>
      </c>
      <c r="O779">
        <f>IFERROR(VLOOKUP(Tabla13[[#This Row],[SISMED]],TblDisponibilidad[],19,FALSE), 0)</f>
        <v>0</v>
      </c>
      <c r="P779">
        <f>IFERROR(VLOOKUP(Tabla13[[#This Row],[SISMED]],TblDisponibilidad[],20,FALSE), 0)</f>
        <v>0</v>
      </c>
      <c r="Q779">
        <f>IFERROR(VLOOKUP(Tabla13[[#This Row],[SISMED]],TblDisponibilidad[],21,FALSE), 0)</f>
        <v>0</v>
      </c>
      <c r="R779">
        <f>IFERROR(VLOOKUP(Tabla13[[#This Row],[SISMED]],TblDisponibilidad[],22,FALSE), 0)</f>
        <v>0</v>
      </c>
      <c r="S779" s="15">
        <f>IFERROR(VLOOKUP(Tabla13[[#This Row],[SISMED]],TblDisponibilidad[],23,FALSE), 0)</f>
        <v>0</v>
      </c>
    </row>
    <row r="780" spans="1:19" x14ac:dyDescent="0.3">
      <c r="A780" s="15" t="s">
        <v>810</v>
      </c>
      <c r="B780" t="str">
        <f>IFERROR(VLOOKUP(Tabla13[[#This Row],[SISMED]],TblDisponibilidad[],2,FALSE), "")</f>
        <v/>
      </c>
      <c r="C780">
        <f>IFERROR(VLOOKUP(Tabla13[[#This Row],[SISMED]],TblDisponibilidad[],7,FALSE), 0)</f>
        <v>0</v>
      </c>
      <c r="D780">
        <f>IFERROR(VLOOKUP(Tabla13[[#This Row],[SISMED]],TblDisponibilidad[],8,FALSE), 0)</f>
        <v>0</v>
      </c>
      <c r="E780">
        <f>IFERROR(VLOOKUP(Tabla13[[#This Row],[SISMED]],TblDisponibilidad[],9,FALSE), 0)</f>
        <v>0</v>
      </c>
      <c r="F780">
        <f>IFERROR(VLOOKUP(Tabla13[[#This Row],[SISMED]],TblDisponibilidad[],10,FALSE), 0)</f>
        <v>0</v>
      </c>
      <c r="G780">
        <f>IFERROR(VLOOKUP(Tabla13[[#This Row],[SISMED]],TblDisponibilidad[],11,FALSE), 0)</f>
        <v>0</v>
      </c>
      <c r="H780">
        <f>IFERROR(VLOOKUP(Tabla13[[#This Row],[SISMED]],TblDisponibilidad[],12,FALSE), 0)</f>
        <v>0</v>
      </c>
      <c r="I780">
        <f>IFERROR(VLOOKUP(Tabla13[[#This Row],[SISMED]],TblDisponibilidad[],13,FALSE), 0)</f>
        <v>0</v>
      </c>
      <c r="J780">
        <f>IFERROR(VLOOKUP(Tabla13[[#This Row],[SISMED]],TblDisponibilidad[],14,FALSE), 0)</f>
        <v>0</v>
      </c>
      <c r="K780">
        <f>IFERROR(VLOOKUP(Tabla13[[#This Row],[SISMED]],TblDisponibilidad[],15,FALSE), 0)</f>
        <v>0</v>
      </c>
      <c r="L780">
        <f>IFERROR(VLOOKUP(Tabla13[[#This Row],[SISMED]],TblDisponibilidad[],16,FALSE), 0)</f>
        <v>0</v>
      </c>
      <c r="M780">
        <f>IFERROR(VLOOKUP(Tabla13[[#This Row],[SISMED]],TblDisponibilidad[],17,FALSE), 0)</f>
        <v>0</v>
      </c>
      <c r="N780">
        <f>IFERROR(VLOOKUP(Tabla13[[#This Row],[SISMED]],TblDisponibilidad[],18,FALSE), 0)</f>
        <v>0</v>
      </c>
      <c r="O780">
        <f>IFERROR(VLOOKUP(Tabla13[[#This Row],[SISMED]],TblDisponibilidad[],19,FALSE), 0)</f>
        <v>0</v>
      </c>
      <c r="P780">
        <f>IFERROR(VLOOKUP(Tabla13[[#This Row],[SISMED]],TblDisponibilidad[],20,FALSE), 0)</f>
        <v>0</v>
      </c>
      <c r="Q780">
        <f>IFERROR(VLOOKUP(Tabla13[[#This Row],[SISMED]],TblDisponibilidad[],21,FALSE), 0)</f>
        <v>0</v>
      </c>
      <c r="R780">
        <f>IFERROR(VLOOKUP(Tabla13[[#This Row],[SISMED]],TblDisponibilidad[],22,FALSE), 0)</f>
        <v>0</v>
      </c>
      <c r="S780" s="15">
        <f>IFERROR(VLOOKUP(Tabla13[[#This Row],[SISMED]],TblDisponibilidad[],23,FALSE), 0)</f>
        <v>0</v>
      </c>
    </row>
    <row r="781" spans="1:19" x14ac:dyDescent="0.3">
      <c r="A781" s="15" t="s">
        <v>811</v>
      </c>
      <c r="B781" t="str">
        <f>IFERROR(VLOOKUP(Tabla13[[#This Row],[SISMED]],TblDisponibilidad[],2,FALSE), "")</f>
        <v/>
      </c>
      <c r="C781">
        <f>IFERROR(VLOOKUP(Tabla13[[#This Row],[SISMED]],TblDisponibilidad[],7,FALSE), 0)</f>
        <v>0</v>
      </c>
      <c r="D781">
        <f>IFERROR(VLOOKUP(Tabla13[[#This Row],[SISMED]],TblDisponibilidad[],8,FALSE), 0)</f>
        <v>0</v>
      </c>
      <c r="E781">
        <f>IFERROR(VLOOKUP(Tabla13[[#This Row],[SISMED]],TblDisponibilidad[],9,FALSE), 0)</f>
        <v>0</v>
      </c>
      <c r="F781">
        <f>IFERROR(VLOOKUP(Tabla13[[#This Row],[SISMED]],TblDisponibilidad[],10,FALSE), 0)</f>
        <v>0</v>
      </c>
      <c r="G781">
        <f>IFERROR(VLOOKUP(Tabla13[[#This Row],[SISMED]],TblDisponibilidad[],11,FALSE), 0)</f>
        <v>0</v>
      </c>
      <c r="H781">
        <f>IFERROR(VLOOKUP(Tabla13[[#This Row],[SISMED]],TblDisponibilidad[],12,FALSE), 0)</f>
        <v>0</v>
      </c>
      <c r="I781">
        <f>IFERROR(VLOOKUP(Tabla13[[#This Row],[SISMED]],TblDisponibilidad[],13,FALSE), 0)</f>
        <v>0</v>
      </c>
      <c r="J781">
        <f>IFERROR(VLOOKUP(Tabla13[[#This Row],[SISMED]],TblDisponibilidad[],14,FALSE), 0)</f>
        <v>0</v>
      </c>
      <c r="K781">
        <f>IFERROR(VLOOKUP(Tabla13[[#This Row],[SISMED]],TblDisponibilidad[],15,FALSE), 0)</f>
        <v>0</v>
      </c>
      <c r="L781">
        <f>IFERROR(VLOOKUP(Tabla13[[#This Row],[SISMED]],TblDisponibilidad[],16,FALSE), 0)</f>
        <v>0</v>
      </c>
      <c r="M781">
        <f>IFERROR(VLOOKUP(Tabla13[[#This Row],[SISMED]],TblDisponibilidad[],17,FALSE), 0)</f>
        <v>0</v>
      </c>
      <c r="N781">
        <f>IFERROR(VLOOKUP(Tabla13[[#This Row],[SISMED]],TblDisponibilidad[],18,FALSE), 0)</f>
        <v>0</v>
      </c>
      <c r="O781">
        <f>IFERROR(VLOOKUP(Tabla13[[#This Row],[SISMED]],TblDisponibilidad[],19,FALSE), 0)</f>
        <v>0</v>
      </c>
      <c r="P781">
        <f>IFERROR(VLOOKUP(Tabla13[[#This Row],[SISMED]],TblDisponibilidad[],20,FALSE), 0)</f>
        <v>0</v>
      </c>
      <c r="Q781">
        <f>IFERROR(VLOOKUP(Tabla13[[#This Row],[SISMED]],TblDisponibilidad[],21,FALSE), 0)</f>
        <v>0</v>
      </c>
      <c r="R781">
        <f>IFERROR(VLOOKUP(Tabla13[[#This Row],[SISMED]],TblDisponibilidad[],22,FALSE), 0)</f>
        <v>0</v>
      </c>
      <c r="S781" s="15">
        <f>IFERROR(VLOOKUP(Tabla13[[#This Row],[SISMED]],TblDisponibilidad[],23,FALSE), 0)</f>
        <v>0</v>
      </c>
    </row>
    <row r="782" spans="1:19" x14ac:dyDescent="0.3">
      <c r="A782" s="15" t="s">
        <v>812</v>
      </c>
      <c r="B782" t="str">
        <f>IFERROR(VLOOKUP(Tabla13[[#This Row],[SISMED]],TblDisponibilidad[],2,FALSE), "")</f>
        <v/>
      </c>
      <c r="C782">
        <f>IFERROR(VLOOKUP(Tabla13[[#This Row],[SISMED]],TblDisponibilidad[],7,FALSE), 0)</f>
        <v>0</v>
      </c>
      <c r="D782">
        <f>IFERROR(VLOOKUP(Tabla13[[#This Row],[SISMED]],TblDisponibilidad[],8,FALSE), 0)</f>
        <v>0</v>
      </c>
      <c r="E782">
        <f>IFERROR(VLOOKUP(Tabla13[[#This Row],[SISMED]],TblDisponibilidad[],9,FALSE), 0)</f>
        <v>0</v>
      </c>
      <c r="F782">
        <f>IFERROR(VLOOKUP(Tabla13[[#This Row],[SISMED]],TblDisponibilidad[],10,FALSE), 0)</f>
        <v>0</v>
      </c>
      <c r="G782">
        <f>IFERROR(VLOOKUP(Tabla13[[#This Row],[SISMED]],TblDisponibilidad[],11,FALSE), 0)</f>
        <v>0</v>
      </c>
      <c r="H782">
        <f>IFERROR(VLOOKUP(Tabla13[[#This Row],[SISMED]],TblDisponibilidad[],12,FALSE), 0)</f>
        <v>0</v>
      </c>
      <c r="I782">
        <f>IFERROR(VLOOKUP(Tabla13[[#This Row],[SISMED]],TblDisponibilidad[],13,FALSE), 0)</f>
        <v>0</v>
      </c>
      <c r="J782">
        <f>IFERROR(VLOOKUP(Tabla13[[#This Row],[SISMED]],TblDisponibilidad[],14,FALSE), 0)</f>
        <v>0</v>
      </c>
      <c r="K782">
        <f>IFERROR(VLOOKUP(Tabla13[[#This Row],[SISMED]],TblDisponibilidad[],15,FALSE), 0)</f>
        <v>0</v>
      </c>
      <c r="L782">
        <f>IFERROR(VLOOKUP(Tabla13[[#This Row],[SISMED]],TblDisponibilidad[],16,FALSE), 0)</f>
        <v>0</v>
      </c>
      <c r="M782">
        <f>IFERROR(VLOOKUP(Tabla13[[#This Row],[SISMED]],TblDisponibilidad[],17,FALSE), 0)</f>
        <v>0</v>
      </c>
      <c r="N782">
        <f>IFERROR(VLOOKUP(Tabla13[[#This Row],[SISMED]],TblDisponibilidad[],18,FALSE), 0)</f>
        <v>0</v>
      </c>
      <c r="O782">
        <f>IFERROR(VLOOKUP(Tabla13[[#This Row],[SISMED]],TblDisponibilidad[],19,FALSE), 0)</f>
        <v>0</v>
      </c>
      <c r="P782">
        <f>IFERROR(VLOOKUP(Tabla13[[#This Row],[SISMED]],TblDisponibilidad[],20,FALSE), 0)</f>
        <v>0</v>
      </c>
      <c r="Q782">
        <f>IFERROR(VLOOKUP(Tabla13[[#This Row],[SISMED]],TblDisponibilidad[],21,FALSE), 0)</f>
        <v>0</v>
      </c>
      <c r="R782">
        <f>IFERROR(VLOOKUP(Tabla13[[#This Row],[SISMED]],TblDisponibilidad[],22,FALSE), 0)</f>
        <v>0</v>
      </c>
      <c r="S782" s="15">
        <f>IFERROR(VLOOKUP(Tabla13[[#This Row],[SISMED]],TblDisponibilidad[],23,FALSE), 0)</f>
        <v>0</v>
      </c>
    </row>
    <row r="783" spans="1:19" x14ac:dyDescent="0.3">
      <c r="A783" s="15" t="s">
        <v>813</v>
      </c>
      <c r="B783" t="str">
        <f>IFERROR(VLOOKUP(Tabla13[[#This Row],[SISMED]],TblDisponibilidad[],2,FALSE), "")</f>
        <v/>
      </c>
      <c r="C783">
        <f>IFERROR(VLOOKUP(Tabla13[[#This Row],[SISMED]],TblDisponibilidad[],7,FALSE), 0)</f>
        <v>0</v>
      </c>
      <c r="D783">
        <f>IFERROR(VLOOKUP(Tabla13[[#This Row],[SISMED]],TblDisponibilidad[],8,FALSE), 0)</f>
        <v>0</v>
      </c>
      <c r="E783">
        <f>IFERROR(VLOOKUP(Tabla13[[#This Row],[SISMED]],TblDisponibilidad[],9,FALSE), 0)</f>
        <v>0</v>
      </c>
      <c r="F783">
        <f>IFERROR(VLOOKUP(Tabla13[[#This Row],[SISMED]],TblDisponibilidad[],10,FALSE), 0)</f>
        <v>0</v>
      </c>
      <c r="G783">
        <f>IFERROR(VLOOKUP(Tabla13[[#This Row],[SISMED]],TblDisponibilidad[],11,FALSE), 0)</f>
        <v>0</v>
      </c>
      <c r="H783">
        <f>IFERROR(VLOOKUP(Tabla13[[#This Row],[SISMED]],TblDisponibilidad[],12,FALSE), 0)</f>
        <v>0</v>
      </c>
      <c r="I783">
        <f>IFERROR(VLOOKUP(Tabla13[[#This Row],[SISMED]],TblDisponibilidad[],13,FALSE), 0)</f>
        <v>0</v>
      </c>
      <c r="J783">
        <f>IFERROR(VLOOKUP(Tabla13[[#This Row],[SISMED]],TblDisponibilidad[],14,FALSE), 0)</f>
        <v>0</v>
      </c>
      <c r="K783">
        <f>IFERROR(VLOOKUP(Tabla13[[#This Row],[SISMED]],TblDisponibilidad[],15,FALSE), 0)</f>
        <v>0</v>
      </c>
      <c r="L783">
        <f>IFERROR(VLOOKUP(Tabla13[[#This Row],[SISMED]],TblDisponibilidad[],16,FALSE), 0)</f>
        <v>0</v>
      </c>
      <c r="M783">
        <f>IFERROR(VLOOKUP(Tabla13[[#This Row],[SISMED]],TblDisponibilidad[],17,FALSE), 0)</f>
        <v>0</v>
      </c>
      <c r="N783">
        <f>IFERROR(VLOOKUP(Tabla13[[#This Row],[SISMED]],TblDisponibilidad[],18,FALSE), 0)</f>
        <v>0</v>
      </c>
      <c r="O783">
        <f>IFERROR(VLOOKUP(Tabla13[[#This Row],[SISMED]],TblDisponibilidad[],19,FALSE), 0)</f>
        <v>0</v>
      </c>
      <c r="P783">
        <f>IFERROR(VLOOKUP(Tabla13[[#This Row],[SISMED]],TblDisponibilidad[],20,FALSE), 0)</f>
        <v>0</v>
      </c>
      <c r="Q783">
        <f>IFERROR(VLOOKUP(Tabla13[[#This Row],[SISMED]],TblDisponibilidad[],21,FALSE), 0)</f>
        <v>0</v>
      </c>
      <c r="R783">
        <f>IFERROR(VLOOKUP(Tabla13[[#This Row],[SISMED]],TblDisponibilidad[],22,FALSE), 0)</f>
        <v>0</v>
      </c>
      <c r="S783" s="15">
        <f>IFERROR(VLOOKUP(Tabla13[[#This Row],[SISMED]],TblDisponibilidad[],23,FALSE), 0)</f>
        <v>0</v>
      </c>
    </row>
    <row r="784" spans="1:19" x14ac:dyDescent="0.3">
      <c r="A784" s="15" t="s">
        <v>814</v>
      </c>
      <c r="B784" t="str">
        <f>IFERROR(VLOOKUP(Tabla13[[#This Row],[SISMED]],TblDisponibilidad[],2,FALSE), "")</f>
        <v/>
      </c>
      <c r="C784">
        <f>IFERROR(VLOOKUP(Tabla13[[#This Row],[SISMED]],TblDisponibilidad[],7,FALSE), 0)</f>
        <v>0</v>
      </c>
      <c r="D784">
        <f>IFERROR(VLOOKUP(Tabla13[[#This Row],[SISMED]],TblDisponibilidad[],8,FALSE), 0)</f>
        <v>0</v>
      </c>
      <c r="E784">
        <f>IFERROR(VLOOKUP(Tabla13[[#This Row],[SISMED]],TblDisponibilidad[],9,FALSE), 0)</f>
        <v>0</v>
      </c>
      <c r="F784">
        <f>IFERROR(VLOOKUP(Tabla13[[#This Row],[SISMED]],TblDisponibilidad[],10,FALSE), 0)</f>
        <v>0</v>
      </c>
      <c r="G784">
        <f>IFERROR(VLOOKUP(Tabla13[[#This Row],[SISMED]],TblDisponibilidad[],11,FALSE), 0)</f>
        <v>0</v>
      </c>
      <c r="H784">
        <f>IFERROR(VLOOKUP(Tabla13[[#This Row],[SISMED]],TblDisponibilidad[],12,FALSE), 0)</f>
        <v>0</v>
      </c>
      <c r="I784">
        <f>IFERROR(VLOOKUP(Tabla13[[#This Row],[SISMED]],TblDisponibilidad[],13,FALSE), 0)</f>
        <v>0</v>
      </c>
      <c r="J784">
        <f>IFERROR(VLOOKUP(Tabla13[[#This Row],[SISMED]],TblDisponibilidad[],14,FALSE), 0)</f>
        <v>0</v>
      </c>
      <c r="K784">
        <f>IFERROR(VLOOKUP(Tabla13[[#This Row],[SISMED]],TblDisponibilidad[],15,FALSE), 0)</f>
        <v>0</v>
      </c>
      <c r="L784">
        <f>IFERROR(VLOOKUP(Tabla13[[#This Row],[SISMED]],TblDisponibilidad[],16,FALSE), 0)</f>
        <v>0</v>
      </c>
      <c r="M784">
        <f>IFERROR(VLOOKUP(Tabla13[[#This Row],[SISMED]],TblDisponibilidad[],17,FALSE), 0)</f>
        <v>0</v>
      </c>
      <c r="N784">
        <f>IFERROR(VLOOKUP(Tabla13[[#This Row],[SISMED]],TblDisponibilidad[],18,FALSE), 0)</f>
        <v>0</v>
      </c>
      <c r="O784">
        <f>IFERROR(VLOOKUP(Tabla13[[#This Row],[SISMED]],TblDisponibilidad[],19,FALSE), 0)</f>
        <v>0</v>
      </c>
      <c r="P784">
        <f>IFERROR(VLOOKUP(Tabla13[[#This Row],[SISMED]],TblDisponibilidad[],20,FALSE), 0)</f>
        <v>0</v>
      </c>
      <c r="Q784">
        <f>IFERROR(VLOOKUP(Tabla13[[#This Row],[SISMED]],TblDisponibilidad[],21,FALSE), 0)</f>
        <v>0</v>
      </c>
      <c r="R784">
        <f>IFERROR(VLOOKUP(Tabla13[[#This Row],[SISMED]],TblDisponibilidad[],22,FALSE), 0)</f>
        <v>0</v>
      </c>
      <c r="S784" s="15">
        <f>IFERROR(VLOOKUP(Tabla13[[#This Row],[SISMED]],TblDisponibilidad[],23,FALSE), 0)</f>
        <v>0</v>
      </c>
    </row>
    <row r="785" spans="1:19" x14ac:dyDescent="0.3">
      <c r="A785" s="15" t="s">
        <v>815</v>
      </c>
      <c r="B785" t="str">
        <f>IFERROR(VLOOKUP(Tabla13[[#This Row],[SISMED]],TblDisponibilidad[],2,FALSE), "")</f>
        <v/>
      </c>
      <c r="C785">
        <f>IFERROR(VLOOKUP(Tabla13[[#This Row],[SISMED]],TblDisponibilidad[],7,FALSE), 0)</f>
        <v>0</v>
      </c>
      <c r="D785">
        <f>IFERROR(VLOOKUP(Tabla13[[#This Row],[SISMED]],TblDisponibilidad[],8,FALSE), 0)</f>
        <v>0</v>
      </c>
      <c r="E785">
        <f>IFERROR(VLOOKUP(Tabla13[[#This Row],[SISMED]],TblDisponibilidad[],9,FALSE), 0)</f>
        <v>0</v>
      </c>
      <c r="F785">
        <f>IFERROR(VLOOKUP(Tabla13[[#This Row],[SISMED]],TblDisponibilidad[],10,FALSE), 0)</f>
        <v>0</v>
      </c>
      <c r="G785">
        <f>IFERROR(VLOOKUP(Tabla13[[#This Row],[SISMED]],TblDisponibilidad[],11,FALSE), 0)</f>
        <v>0</v>
      </c>
      <c r="H785">
        <f>IFERROR(VLOOKUP(Tabla13[[#This Row],[SISMED]],TblDisponibilidad[],12,FALSE), 0)</f>
        <v>0</v>
      </c>
      <c r="I785">
        <f>IFERROR(VLOOKUP(Tabla13[[#This Row],[SISMED]],TblDisponibilidad[],13,FALSE), 0)</f>
        <v>0</v>
      </c>
      <c r="J785">
        <f>IFERROR(VLOOKUP(Tabla13[[#This Row],[SISMED]],TblDisponibilidad[],14,FALSE), 0)</f>
        <v>0</v>
      </c>
      <c r="K785">
        <f>IFERROR(VLOOKUP(Tabla13[[#This Row],[SISMED]],TblDisponibilidad[],15,FALSE), 0)</f>
        <v>0</v>
      </c>
      <c r="L785">
        <f>IFERROR(VLOOKUP(Tabla13[[#This Row],[SISMED]],TblDisponibilidad[],16,FALSE), 0)</f>
        <v>0</v>
      </c>
      <c r="M785">
        <f>IFERROR(VLOOKUP(Tabla13[[#This Row],[SISMED]],TblDisponibilidad[],17,FALSE), 0)</f>
        <v>0</v>
      </c>
      <c r="N785">
        <f>IFERROR(VLOOKUP(Tabla13[[#This Row],[SISMED]],TblDisponibilidad[],18,FALSE), 0)</f>
        <v>0</v>
      </c>
      <c r="O785">
        <f>IFERROR(VLOOKUP(Tabla13[[#This Row],[SISMED]],TblDisponibilidad[],19,FALSE), 0)</f>
        <v>0</v>
      </c>
      <c r="P785">
        <f>IFERROR(VLOOKUP(Tabla13[[#This Row],[SISMED]],TblDisponibilidad[],20,FALSE), 0)</f>
        <v>0</v>
      </c>
      <c r="Q785">
        <f>IFERROR(VLOOKUP(Tabla13[[#This Row],[SISMED]],TblDisponibilidad[],21,FALSE), 0)</f>
        <v>0</v>
      </c>
      <c r="R785">
        <f>IFERROR(VLOOKUP(Tabla13[[#This Row],[SISMED]],TblDisponibilidad[],22,FALSE), 0)</f>
        <v>0</v>
      </c>
      <c r="S785" s="15">
        <f>IFERROR(VLOOKUP(Tabla13[[#This Row],[SISMED]],TblDisponibilidad[],23,FALSE), 0)</f>
        <v>0</v>
      </c>
    </row>
    <row r="786" spans="1:19" x14ac:dyDescent="0.3">
      <c r="A786" s="15" t="s">
        <v>816</v>
      </c>
      <c r="B786" t="str">
        <f>IFERROR(VLOOKUP(Tabla13[[#This Row],[SISMED]],TblDisponibilidad[],2,FALSE), "")</f>
        <v/>
      </c>
      <c r="C786">
        <f>IFERROR(VLOOKUP(Tabla13[[#This Row],[SISMED]],TblDisponibilidad[],7,FALSE), 0)</f>
        <v>0</v>
      </c>
      <c r="D786">
        <f>IFERROR(VLOOKUP(Tabla13[[#This Row],[SISMED]],TblDisponibilidad[],8,FALSE), 0)</f>
        <v>0</v>
      </c>
      <c r="E786">
        <f>IFERROR(VLOOKUP(Tabla13[[#This Row],[SISMED]],TblDisponibilidad[],9,FALSE), 0)</f>
        <v>0</v>
      </c>
      <c r="F786">
        <f>IFERROR(VLOOKUP(Tabla13[[#This Row],[SISMED]],TblDisponibilidad[],10,FALSE), 0)</f>
        <v>0</v>
      </c>
      <c r="G786">
        <f>IFERROR(VLOOKUP(Tabla13[[#This Row],[SISMED]],TblDisponibilidad[],11,FALSE), 0)</f>
        <v>0</v>
      </c>
      <c r="H786">
        <f>IFERROR(VLOOKUP(Tabla13[[#This Row],[SISMED]],TblDisponibilidad[],12,FALSE), 0)</f>
        <v>0</v>
      </c>
      <c r="I786">
        <f>IFERROR(VLOOKUP(Tabla13[[#This Row],[SISMED]],TblDisponibilidad[],13,FALSE), 0)</f>
        <v>0</v>
      </c>
      <c r="J786">
        <f>IFERROR(VLOOKUP(Tabla13[[#This Row],[SISMED]],TblDisponibilidad[],14,FALSE), 0)</f>
        <v>0</v>
      </c>
      <c r="K786">
        <f>IFERROR(VLOOKUP(Tabla13[[#This Row],[SISMED]],TblDisponibilidad[],15,FALSE), 0)</f>
        <v>0</v>
      </c>
      <c r="L786">
        <f>IFERROR(VLOOKUP(Tabla13[[#This Row],[SISMED]],TblDisponibilidad[],16,FALSE), 0)</f>
        <v>0</v>
      </c>
      <c r="M786">
        <f>IFERROR(VLOOKUP(Tabla13[[#This Row],[SISMED]],TblDisponibilidad[],17,FALSE), 0)</f>
        <v>0</v>
      </c>
      <c r="N786">
        <f>IFERROR(VLOOKUP(Tabla13[[#This Row],[SISMED]],TblDisponibilidad[],18,FALSE), 0)</f>
        <v>0</v>
      </c>
      <c r="O786">
        <f>IFERROR(VLOOKUP(Tabla13[[#This Row],[SISMED]],TblDisponibilidad[],19,FALSE), 0)</f>
        <v>0</v>
      </c>
      <c r="P786">
        <f>IFERROR(VLOOKUP(Tabla13[[#This Row],[SISMED]],TblDisponibilidad[],20,FALSE), 0)</f>
        <v>0</v>
      </c>
      <c r="Q786">
        <f>IFERROR(VLOOKUP(Tabla13[[#This Row],[SISMED]],TblDisponibilidad[],21,FALSE), 0)</f>
        <v>0</v>
      </c>
      <c r="R786">
        <f>IFERROR(VLOOKUP(Tabla13[[#This Row],[SISMED]],TblDisponibilidad[],22,FALSE), 0)</f>
        <v>0</v>
      </c>
      <c r="S786" s="15">
        <f>IFERROR(VLOOKUP(Tabla13[[#This Row],[SISMED]],TblDisponibilidad[],23,FALSE), 0)</f>
        <v>0</v>
      </c>
    </row>
    <row r="787" spans="1:19" x14ac:dyDescent="0.3">
      <c r="A787" s="15" t="s">
        <v>817</v>
      </c>
      <c r="B787" t="str">
        <f>IFERROR(VLOOKUP(Tabla13[[#This Row],[SISMED]],TblDisponibilidad[],2,FALSE), "")</f>
        <v/>
      </c>
      <c r="C787">
        <f>IFERROR(VLOOKUP(Tabla13[[#This Row],[SISMED]],TblDisponibilidad[],7,FALSE), 0)</f>
        <v>0</v>
      </c>
      <c r="D787">
        <f>IFERROR(VLOOKUP(Tabla13[[#This Row],[SISMED]],TblDisponibilidad[],8,FALSE), 0)</f>
        <v>0</v>
      </c>
      <c r="E787">
        <f>IFERROR(VLOOKUP(Tabla13[[#This Row],[SISMED]],TblDisponibilidad[],9,FALSE), 0)</f>
        <v>0</v>
      </c>
      <c r="F787">
        <f>IFERROR(VLOOKUP(Tabla13[[#This Row],[SISMED]],TblDisponibilidad[],10,FALSE), 0)</f>
        <v>0</v>
      </c>
      <c r="G787">
        <f>IFERROR(VLOOKUP(Tabla13[[#This Row],[SISMED]],TblDisponibilidad[],11,FALSE), 0)</f>
        <v>0</v>
      </c>
      <c r="H787">
        <f>IFERROR(VLOOKUP(Tabla13[[#This Row],[SISMED]],TblDisponibilidad[],12,FALSE), 0)</f>
        <v>0</v>
      </c>
      <c r="I787">
        <f>IFERROR(VLOOKUP(Tabla13[[#This Row],[SISMED]],TblDisponibilidad[],13,FALSE), 0)</f>
        <v>0</v>
      </c>
      <c r="J787">
        <f>IFERROR(VLOOKUP(Tabla13[[#This Row],[SISMED]],TblDisponibilidad[],14,FALSE), 0)</f>
        <v>0</v>
      </c>
      <c r="K787">
        <f>IFERROR(VLOOKUP(Tabla13[[#This Row],[SISMED]],TblDisponibilidad[],15,FALSE), 0)</f>
        <v>0</v>
      </c>
      <c r="L787">
        <f>IFERROR(VLOOKUP(Tabla13[[#This Row],[SISMED]],TblDisponibilidad[],16,FALSE), 0)</f>
        <v>0</v>
      </c>
      <c r="M787">
        <f>IFERROR(VLOOKUP(Tabla13[[#This Row],[SISMED]],TblDisponibilidad[],17,FALSE), 0)</f>
        <v>0</v>
      </c>
      <c r="N787">
        <f>IFERROR(VLOOKUP(Tabla13[[#This Row],[SISMED]],TblDisponibilidad[],18,FALSE), 0)</f>
        <v>0</v>
      </c>
      <c r="O787">
        <f>IFERROR(VLOOKUP(Tabla13[[#This Row],[SISMED]],TblDisponibilidad[],19,FALSE), 0)</f>
        <v>0</v>
      </c>
      <c r="P787">
        <f>IFERROR(VLOOKUP(Tabla13[[#This Row],[SISMED]],TblDisponibilidad[],20,FALSE), 0)</f>
        <v>0</v>
      </c>
      <c r="Q787">
        <f>IFERROR(VLOOKUP(Tabla13[[#This Row],[SISMED]],TblDisponibilidad[],21,FALSE), 0)</f>
        <v>0</v>
      </c>
      <c r="R787">
        <f>IFERROR(VLOOKUP(Tabla13[[#This Row],[SISMED]],TblDisponibilidad[],22,FALSE), 0)</f>
        <v>0</v>
      </c>
      <c r="S787" s="15">
        <f>IFERROR(VLOOKUP(Tabla13[[#This Row],[SISMED]],TblDisponibilidad[],23,FALSE), 0)</f>
        <v>0</v>
      </c>
    </row>
    <row r="788" spans="1:19" x14ac:dyDescent="0.3">
      <c r="A788" s="15" t="s">
        <v>818</v>
      </c>
      <c r="B788" t="str">
        <f>IFERROR(VLOOKUP(Tabla13[[#This Row],[SISMED]],TblDisponibilidad[],2,FALSE), "")</f>
        <v/>
      </c>
      <c r="C788">
        <f>IFERROR(VLOOKUP(Tabla13[[#This Row],[SISMED]],TblDisponibilidad[],7,FALSE), 0)</f>
        <v>0</v>
      </c>
      <c r="D788">
        <f>IFERROR(VLOOKUP(Tabla13[[#This Row],[SISMED]],TblDisponibilidad[],8,FALSE), 0)</f>
        <v>0</v>
      </c>
      <c r="E788">
        <f>IFERROR(VLOOKUP(Tabla13[[#This Row],[SISMED]],TblDisponibilidad[],9,FALSE), 0)</f>
        <v>0</v>
      </c>
      <c r="F788">
        <f>IFERROR(VLOOKUP(Tabla13[[#This Row],[SISMED]],TblDisponibilidad[],10,FALSE), 0)</f>
        <v>0</v>
      </c>
      <c r="G788">
        <f>IFERROR(VLOOKUP(Tabla13[[#This Row],[SISMED]],TblDisponibilidad[],11,FALSE), 0)</f>
        <v>0</v>
      </c>
      <c r="H788">
        <f>IFERROR(VLOOKUP(Tabla13[[#This Row],[SISMED]],TblDisponibilidad[],12,FALSE), 0)</f>
        <v>0</v>
      </c>
      <c r="I788">
        <f>IFERROR(VLOOKUP(Tabla13[[#This Row],[SISMED]],TblDisponibilidad[],13,FALSE), 0)</f>
        <v>0</v>
      </c>
      <c r="J788">
        <f>IFERROR(VLOOKUP(Tabla13[[#This Row],[SISMED]],TblDisponibilidad[],14,FALSE), 0)</f>
        <v>0</v>
      </c>
      <c r="K788">
        <f>IFERROR(VLOOKUP(Tabla13[[#This Row],[SISMED]],TblDisponibilidad[],15,FALSE), 0)</f>
        <v>0</v>
      </c>
      <c r="L788">
        <f>IFERROR(VLOOKUP(Tabla13[[#This Row],[SISMED]],TblDisponibilidad[],16,FALSE), 0)</f>
        <v>0</v>
      </c>
      <c r="M788">
        <f>IFERROR(VLOOKUP(Tabla13[[#This Row],[SISMED]],TblDisponibilidad[],17,FALSE), 0)</f>
        <v>0</v>
      </c>
      <c r="N788">
        <f>IFERROR(VLOOKUP(Tabla13[[#This Row],[SISMED]],TblDisponibilidad[],18,FALSE), 0)</f>
        <v>0</v>
      </c>
      <c r="O788">
        <f>IFERROR(VLOOKUP(Tabla13[[#This Row],[SISMED]],TblDisponibilidad[],19,FALSE), 0)</f>
        <v>0</v>
      </c>
      <c r="P788">
        <f>IFERROR(VLOOKUP(Tabla13[[#This Row],[SISMED]],TblDisponibilidad[],20,FALSE), 0)</f>
        <v>0</v>
      </c>
      <c r="Q788">
        <f>IFERROR(VLOOKUP(Tabla13[[#This Row],[SISMED]],TblDisponibilidad[],21,FALSE), 0)</f>
        <v>0</v>
      </c>
      <c r="R788">
        <f>IFERROR(VLOOKUP(Tabla13[[#This Row],[SISMED]],TblDisponibilidad[],22,FALSE), 0)</f>
        <v>0</v>
      </c>
      <c r="S788" s="15">
        <f>IFERROR(VLOOKUP(Tabla13[[#This Row],[SISMED]],TblDisponibilidad[],23,FALSE), 0)</f>
        <v>0</v>
      </c>
    </row>
    <row r="789" spans="1:19" x14ac:dyDescent="0.3">
      <c r="A789" s="15" t="s">
        <v>819</v>
      </c>
      <c r="B789" t="str">
        <f>IFERROR(VLOOKUP(Tabla13[[#This Row],[SISMED]],TblDisponibilidad[],2,FALSE), "")</f>
        <v/>
      </c>
      <c r="C789">
        <f>IFERROR(VLOOKUP(Tabla13[[#This Row],[SISMED]],TblDisponibilidad[],7,FALSE), 0)</f>
        <v>0</v>
      </c>
      <c r="D789">
        <f>IFERROR(VLOOKUP(Tabla13[[#This Row],[SISMED]],TblDisponibilidad[],8,FALSE), 0)</f>
        <v>0</v>
      </c>
      <c r="E789">
        <f>IFERROR(VLOOKUP(Tabla13[[#This Row],[SISMED]],TblDisponibilidad[],9,FALSE), 0)</f>
        <v>0</v>
      </c>
      <c r="F789">
        <f>IFERROR(VLOOKUP(Tabla13[[#This Row],[SISMED]],TblDisponibilidad[],10,FALSE), 0)</f>
        <v>0</v>
      </c>
      <c r="G789">
        <f>IFERROR(VLOOKUP(Tabla13[[#This Row],[SISMED]],TblDisponibilidad[],11,FALSE), 0)</f>
        <v>0</v>
      </c>
      <c r="H789">
        <f>IFERROR(VLOOKUP(Tabla13[[#This Row],[SISMED]],TblDisponibilidad[],12,FALSE), 0)</f>
        <v>0</v>
      </c>
      <c r="I789">
        <f>IFERROR(VLOOKUP(Tabla13[[#This Row],[SISMED]],TblDisponibilidad[],13,FALSE), 0)</f>
        <v>0</v>
      </c>
      <c r="J789">
        <f>IFERROR(VLOOKUP(Tabla13[[#This Row],[SISMED]],TblDisponibilidad[],14,FALSE), 0)</f>
        <v>0</v>
      </c>
      <c r="K789">
        <f>IFERROR(VLOOKUP(Tabla13[[#This Row],[SISMED]],TblDisponibilidad[],15,FALSE), 0)</f>
        <v>0</v>
      </c>
      <c r="L789">
        <f>IFERROR(VLOOKUP(Tabla13[[#This Row],[SISMED]],TblDisponibilidad[],16,FALSE), 0)</f>
        <v>0</v>
      </c>
      <c r="M789">
        <f>IFERROR(VLOOKUP(Tabla13[[#This Row],[SISMED]],TblDisponibilidad[],17,FALSE), 0)</f>
        <v>0</v>
      </c>
      <c r="N789">
        <f>IFERROR(VLOOKUP(Tabla13[[#This Row],[SISMED]],TblDisponibilidad[],18,FALSE), 0)</f>
        <v>0</v>
      </c>
      <c r="O789">
        <f>IFERROR(VLOOKUP(Tabla13[[#This Row],[SISMED]],TblDisponibilidad[],19,FALSE), 0)</f>
        <v>0</v>
      </c>
      <c r="P789">
        <f>IFERROR(VLOOKUP(Tabla13[[#This Row],[SISMED]],TblDisponibilidad[],20,FALSE), 0)</f>
        <v>0</v>
      </c>
      <c r="Q789">
        <f>IFERROR(VLOOKUP(Tabla13[[#This Row],[SISMED]],TblDisponibilidad[],21,FALSE), 0)</f>
        <v>0</v>
      </c>
      <c r="R789">
        <f>IFERROR(VLOOKUP(Tabla13[[#This Row],[SISMED]],TblDisponibilidad[],22,FALSE), 0)</f>
        <v>0</v>
      </c>
      <c r="S789" s="15">
        <f>IFERROR(VLOOKUP(Tabla13[[#This Row],[SISMED]],TblDisponibilidad[],23,FALSE), 0)</f>
        <v>0</v>
      </c>
    </row>
    <row r="790" spans="1:19" x14ac:dyDescent="0.3">
      <c r="A790" s="15" t="s">
        <v>820</v>
      </c>
      <c r="B790" t="str">
        <f>IFERROR(VLOOKUP(Tabla13[[#This Row],[SISMED]],TblDisponibilidad[],2,FALSE), "")</f>
        <v/>
      </c>
      <c r="C790">
        <f>IFERROR(VLOOKUP(Tabla13[[#This Row],[SISMED]],TblDisponibilidad[],7,FALSE), 0)</f>
        <v>0</v>
      </c>
      <c r="D790">
        <f>IFERROR(VLOOKUP(Tabla13[[#This Row],[SISMED]],TblDisponibilidad[],8,FALSE), 0)</f>
        <v>0</v>
      </c>
      <c r="E790">
        <f>IFERROR(VLOOKUP(Tabla13[[#This Row],[SISMED]],TblDisponibilidad[],9,FALSE), 0)</f>
        <v>0</v>
      </c>
      <c r="F790">
        <f>IFERROR(VLOOKUP(Tabla13[[#This Row],[SISMED]],TblDisponibilidad[],10,FALSE), 0)</f>
        <v>0</v>
      </c>
      <c r="G790">
        <f>IFERROR(VLOOKUP(Tabla13[[#This Row],[SISMED]],TblDisponibilidad[],11,FALSE), 0)</f>
        <v>0</v>
      </c>
      <c r="H790">
        <f>IFERROR(VLOOKUP(Tabla13[[#This Row],[SISMED]],TblDisponibilidad[],12,FALSE), 0)</f>
        <v>0</v>
      </c>
      <c r="I790">
        <f>IFERROR(VLOOKUP(Tabla13[[#This Row],[SISMED]],TblDisponibilidad[],13,FALSE), 0)</f>
        <v>0</v>
      </c>
      <c r="J790">
        <f>IFERROR(VLOOKUP(Tabla13[[#This Row],[SISMED]],TblDisponibilidad[],14,FALSE), 0)</f>
        <v>0</v>
      </c>
      <c r="K790">
        <f>IFERROR(VLOOKUP(Tabla13[[#This Row],[SISMED]],TblDisponibilidad[],15,FALSE), 0)</f>
        <v>0</v>
      </c>
      <c r="L790">
        <f>IFERROR(VLOOKUP(Tabla13[[#This Row],[SISMED]],TblDisponibilidad[],16,FALSE), 0)</f>
        <v>0</v>
      </c>
      <c r="M790">
        <f>IFERROR(VLOOKUP(Tabla13[[#This Row],[SISMED]],TblDisponibilidad[],17,FALSE), 0)</f>
        <v>0</v>
      </c>
      <c r="N790">
        <f>IFERROR(VLOOKUP(Tabla13[[#This Row],[SISMED]],TblDisponibilidad[],18,FALSE), 0)</f>
        <v>0</v>
      </c>
      <c r="O790">
        <f>IFERROR(VLOOKUP(Tabla13[[#This Row],[SISMED]],TblDisponibilidad[],19,FALSE), 0)</f>
        <v>0</v>
      </c>
      <c r="P790">
        <f>IFERROR(VLOOKUP(Tabla13[[#This Row],[SISMED]],TblDisponibilidad[],20,FALSE), 0)</f>
        <v>0</v>
      </c>
      <c r="Q790">
        <f>IFERROR(VLOOKUP(Tabla13[[#This Row],[SISMED]],TblDisponibilidad[],21,FALSE), 0)</f>
        <v>0</v>
      </c>
      <c r="R790">
        <f>IFERROR(VLOOKUP(Tabla13[[#This Row],[SISMED]],TblDisponibilidad[],22,FALSE), 0)</f>
        <v>0</v>
      </c>
      <c r="S790" s="15">
        <f>IFERROR(VLOOKUP(Tabla13[[#This Row],[SISMED]],TblDisponibilidad[],23,FALSE), 0)</f>
        <v>0</v>
      </c>
    </row>
    <row r="791" spans="1:19" x14ac:dyDescent="0.3">
      <c r="A791" s="15" t="s">
        <v>821</v>
      </c>
      <c r="B791" t="str">
        <f>IFERROR(VLOOKUP(Tabla13[[#This Row],[SISMED]],TblDisponibilidad[],2,FALSE), "")</f>
        <v/>
      </c>
      <c r="C791">
        <f>IFERROR(VLOOKUP(Tabla13[[#This Row],[SISMED]],TblDisponibilidad[],7,FALSE), 0)</f>
        <v>0</v>
      </c>
      <c r="D791">
        <f>IFERROR(VLOOKUP(Tabla13[[#This Row],[SISMED]],TblDisponibilidad[],8,FALSE), 0)</f>
        <v>0</v>
      </c>
      <c r="E791">
        <f>IFERROR(VLOOKUP(Tabla13[[#This Row],[SISMED]],TblDisponibilidad[],9,FALSE), 0)</f>
        <v>0</v>
      </c>
      <c r="F791">
        <f>IFERROR(VLOOKUP(Tabla13[[#This Row],[SISMED]],TblDisponibilidad[],10,FALSE), 0)</f>
        <v>0</v>
      </c>
      <c r="G791">
        <f>IFERROR(VLOOKUP(Tabla13[[#This Row],[SISMED]],TblDisponibilidad[],11,FALSE), 0)</f>
        <v>0</v>
      </c>
      <c r="H791">
        <f>IFERROR(VLOOKUP(Tabla13[[#This Row],[SISMED]],TblDisponibilidad[],12,FALSE), 0)</f>
        <v>0</v>
      </c>
      <c r="I791">
        <f>IFERROR(VLOOKUP(Tabla13[[#This Row],[SISMED]],TblDisponibilidad[],13,FALSE), 0)</f>
        <v>0</v>
      </c>
      <c r="J791">
        <f>IFERROR(VLOOKUP(Tabla13[[#This Row],[SISMED]],TblDisponibilidad[],14,FALSE), 0)</f>
        <v>0</v>
      </c>
      <c r="K791">
        <f>IFERROR(VLOOKUP(Tabla13[[#This Row],[SISMED]],TblDisponibilidad[],15,FALSE), 0)</f>
        <v>0</v>
      </c>
      <c r="L791">
        <f>IFERROR(VLOOKUP(Tabla13[[#This Row],[SISMED]],TblDisponibilidad[],16,FALSE), 0)</f>
        <v>0</v>
      </c>
      <c r="M791">
        <f>IFERROR(VLOOKUP(Tabla13[[#This Row],[SISMED]],TblDisponibilidad[],17,FALSE), 0)</f>
        <v>0</v>
      </c>
      <c r="N791">
        <f>IFERROR(VLOOKUP(Tabla13[[#This Row],[SISMED]],TblDisponibilidad[],18,FALSE), 0)</f>
        <v>0</v>
      </c>
      <c r="O791">
        <f>IFERROR(VLOOKUP(Tabla13[[#This Row],[SISMED]],TblDisponibilidad[],19,FALSE), 0)</f>
        <v>0</v>
      </c>
      <c r="P791">
        <f>IFERROR(VLOOKUP(Tabla13[[#This Row],[SISMED]],TblDisponibilidad[],20,FALSE), 0)</f>
        <v>0</v>
      </c>
      <c r="Q791">
        <f>IFERROR(VLOOKUP(Tabla13[[#This Row],[SISMED]],TblDisponibilidad[],21,FALSE), 0)</f>
        <v>0</v>
      </c>
      <c r="R791">
        <f>IFERROR(VLOOKUP(Tabla13[[#This Row],[SISMED]],TblDisponibilidad[],22,FALSE), 0)</f>
        <v>0</v>
      </c>
      <c r="S791" s="15">
        <f>IFERROR(VLOOKUP(Tabla13[[#This Row],[SISMED]],TblDisponibilidad[],23,FALSE), 0)</f>
        <v>0</v>
      </c>
    </row>
    <row r="792" spans="1:19" x14ac:dyDescent="0.3">
      <c r="A792" s="15" t="s">
        <v>822</v>
      </c>
      <c r="B792" t="str">
        <f>IFERROR(VLOOKUP(Tabla13[[#This Row],[SISMED]],TblDisponibilidad[],2,FALSE), "")</f>
        <v/>
      </c>
      <c r="C792">
        <f>IFERROR(VLOOKUP(Tabla13[[#This Row],[SISMED]],TblDisponibilidad[],7,FALSE), 0)</f>
        <v>0</v>
      </c>
      <c r="D792">
        <f>IFERROR(VLOOKUP(Tabla13[[#This Row],[SISMED]],TblDisponibilidad[],8,FALSE), 0)</f>
        <v>0</v>
      </c>
      <c r="E792">
        <f>IFERROR(VLOOKUP(Tabla13[[#This Row],[SISMED]],TblDisponibilidad[],9,FALSE), 0)</f>
        <v>0</v>
      </c>
      <c r="F792">
        <f>IFERROR(VLOOKUP(Tabla13[[#This Row],[SISMED]],TblDisponibilidad[],10,FALSE), 0)</f>
        <v>0</v>
      </c>
      <c r="G792">
        <f>IFERROR(VLOOKUP(Tabla13[[#This Row],[SISMED]],TblDisponibilidad[],11,FALSE), 0)</f>
        <v>0</v>
      </c>
      <c r="H792">
        <f>IFERROR(VLOOKUP(Tabla13[[#This Row],[SISMED]],TblDisponibilidad[],12,FALSE), 0)</f>
        <v>0</v>
      </c>
      <c r="I792">
        <f>IFERROR(VLOOKUP(Tabla13[[#This Row],[SISMED]],TblDisponibilidad[],13,FALSE), 0)</f>
        <v>0</v>
      </c>
      <c r="J792">
        <f>IFERROR(VLOOKUP(Tabla13[[#This Row],[SISMED]],TblDisponibilidad[],14,FALSE), 0)</f>
        <v>0</v>
      </c>
      <c r="K792">
        <f>IFERROR(VLOOKUP(Tabla13[[#This Row],[SISMED]],TblDisponibilidad[],15,FALSE), 0)</f>
        <v>0</v>
      </c>
      <c r="L792">
        <f>IFERROR(VLOOKUP(Tabla13[[#This Row],[SISMED]],TblDisponibilidad[],16,FALSE), 0)</f>
        <v>0</v>
      </c>
      <c r="M792">
        <f>IFERROR(VLOOKUP(Tabla13[[#This Row],[SISMED]],TblDisponibilidad[],17,FALSE), 0)</f>
        <v>0</v>
      </c>
      <c r="N792">
        <f>IFERROR(VLOOKUP(Tabla13[[#This Row],[SISMED]],TblDisponibilidad[],18,FALSE), 0)</f>
        <v>0</v>
      </c>
      <c r="O792">
        <f>IFERROR(VLOOKUP(Tabla13[[#This Row],[SISMED]],TblDisponibilidad[],19,FALSE), 0)</f>
        <v>0</v>
      </c>
      <c r="P792">
        <f>IFERROR(VLOOKUP(Tabla13[[#This Row],[SISMED]],TblDisponibilidad[],20,FALSE), 0)</f>
        <v>0</v>
      </c>
      <c r="Q792">
        <f>IFERROR(VLOOKUP(Tabla13[[#This Row],[SISMED]],TblDisponibilidad[],21,FALSE), 0)</f>
        <v>0</v>
      </c>
      <c r="R792">
        <f>IFERROR(VLOOKUP(Tabla13[[#This Row],[SISMED]],TblDisponibilidad[],22,FALSE), 0)</f>
        <v>0</v>
      </c>
      <c r="S792" s="15">
        <f>IFERROR(VLOOKUP(Tabla13[[#This Row],[SISMED]],TblDisponibilidad[],23,FALSE), 0)</f>
        <v>0</v>
      </c>
    </row>
    <row r="793" spans="1:19" x14ac:dyDescent="0.3">
      <c r="A793" s="15" t="s">
        <v>823</v>
      </c>
      <c r="B793" t="str">
        <f>IFERROR(VLOOKUP(Tabla13[[#This Row],[SISMED]],TblDisponibilidad[],2,FALSE), "")</f>
        <v/>
      </c>
      <c r="C793">
        <f>IFERROR(VLOOKUP(Tabla13[[#This Row],[SISMED]],TblDisponibilidad[],7,FALSE), 0)</f>
        <v>0</v>
      </c>
      <c r="D793">
        <f>IFERROR(VLOOKUP(Tabla13[[#This Row],[SISMED]],TblDisponibilidad[],8,FALSE), 0)</f>
        <v>0</v>
      </c>
      <c r="E793">
        <f>IFERROR(VLOOKUP(Tabla13[[#This Row],[SISMED]],TblDisponibilidad[],9,FALSE), 0)</f>
        <v>0</v>
      </c>
      <c r="F793">
        <f>IFERROR(VLOOKUP(Tabla13[[#This Row],[SISMED]],TblDisponibilidad[],10,FALSE), 0)</f>
        <v>0</v>
      </c>
      <c r="G793">
        <f>IFERROR(VLOOKUP(Tabla13[[#This Row],[SISMED]],TblDisponibilidad[],11,FALSE), 0)</f>
        <v>0</v>
      </c>
      <c r="H793">
        <f>IFERROR(VLOOKUP(Tabla13[[#This Row],[SISMED]],TblDisponibilidad[],12,FALSE), 0)</f>
        <v>0</v>
      </c>
      <c r="I793">
        <f>IFERROR(VLOOKUP(Tabla13[[#This Row],[SISMED]],TblDisponibilidad[],13,FALSE), 0)</f>
        <v>0</v>
      </c>
      <c r="J793">
        <f>IFERROR(VLOOKUP(Tabla13[[#This Row],[SISMED]],TblDisponibilidad[],14,FALSE), 0)</f>
        <v>0</v>
      </c>
      <c r="K793">
        <f>IFERROR(VLOOKUP(Tabla13[[#This Row],[SISMED]],TblDisponibilidad[],15,FALSE), 0)</f>
        <v>0</v>
      </c>
      <c r="L793">
        <f>IFERROR(VLOOKUP(Tabla13[[#This Row],[SISMED]],TblDisponibilidad[],16,FALSE), 0)</f>
        <v>0</v>
      </c>
      <c r="M793">
        <f>IFERROR(VLOOKUP(Tabla13[[#This Row],[SISMED]],TblDisponibilidad[],17,FALSE), 0)</f>
        <v>0</v>
      </c>
      <c r="N793">
        <f>IFERROR(VLOOKUP(Tabla13[[#This Row],[SISMED]],TblDisponibilidad[],18,FALSE), 0)</f>
        <v>0</v>
      </c>
      <c r="O793">
        <f>IFERROR(VLOOKUP(Tabla13[[#This Row],[SISMED]],TblDisponibilidad[],19,FALSE), 0)</f>
        <v>0</v>
      </c>
      <c r="P793">
        <f>IFERROR(VLOOKUP(Tabla13[[#This Row],[SISMED]],TblDisponibilidad[],20,FALSE), 0)</f>
        <v>0</v>
      </c>
      <c r="Q793">
        <f>IFERROR(VLOOKUP(Tabla13[[#This Row],[SISMED]],TblDisponibilidad[],21,FALSE), 0)</f>
        <v>0</v>
      </c>
      <c r="R793">
        <f>IFERROR(VLOOKUP(Tabla13[[#This Row],[SISMED]],TblDisponibilidad[],22,FALSE), 0)</f>
        <v>0</v>
      </c>
      <c r="S793" s="15">
        <f>IFERROR(VLOOKUP(Tabla13[[#This Row],[SISMED]],TblDisponibilidad[],23,FALSE), 0)</f>
        <v>0</v>
      </c>
    </row>
    <row r="794" spans="1:19" x14ac:dyDescent="0.3">
      <c r="A794" s="15" t="s">
        <v>824</v>
      </c>
      <c r="B794" t="str">
        <f>IFERROR(VLOOKUP(Tabla13[[#This Row],[SISMED]],TblDisponibilidad[],2,FALSE), "")</f>
        <v/>
      </c>
      <c r="C794">
        <f>IFERROR(VLOOKUP(Tabla13[[#This Row],[SISMED]],TblDisponibilidad[],7,FALSE), 0)</f>
        <v>0</v>
      </c>
      <c r="D794">
        <f>IFERROR(VLOOKUP(Tabla13[[#This Row],[SISMED]],TblDisponibilidad[],8,FALSE), 0)</f>
        <v>0</v>
      </c>
      <c r="E794">
        <f>IFERROR(VLOOKUP(Tabla13[[#This Row],[SISMED]],TblDisponibilidad[],9,FALSE), 0)</f>
        <v>0</v>
      </c>
      <c r="F794">
        <f>IFERROR(VLOOKUP(Tabla13[[#This Row],[SISMED]],TblDisponibilidad[],10,FALSE), 0)</f>
        <v>0</v>
      </c>
      <c r="G794">
        <f>IFERROR(VLOOKUP(Tabla13[[#This Row],[SISMED]],TblDisponibilidad[],11,FALSE), 0)</f>
        <v>0</v>
      </c>
      <c r="H794">
        <f>IFERROR(VLOOKUP(Tabla13[[#This Row],[SISMED]],TblDisponibilidad[],12,FALSE), 0)</f>
        <v>0</v>
      </c>
      <c r="I794">
        <f>IFERROR(VLOOKUP(Tabla13[[#This Row],[SISMED]],TblDisponibilidad[],13,FALSE), 0)</f>
        <v>0</v>
      </c>
      <c r="J794">
        <f>IFERROR(VLOOKUP(Tabla13[[#This Row],[SISMED]],TblDisponibilidad[],14,FALSE), 0)</f>
        <v>0</v>
      </c>
      <c r="K794">
        <f>IFERROR(VLOOKUP(Tabla13[[#This Row],[SISMED]],TblDisponibilidad[],15,FALSE), 0)</f>
        <v>0</v>
      </c>
      <c r="L794">
        <f>IFERROR(VLOOKUP(Tabla13[[#This Row],[SISMED]],TblDisponibilidad[],16,FALSE), 0)</f>
        <v>0</v>
      </c>
      <c r="M794">
        <f>IFERROR(VLOOKUP(Tabla13[[#This Row],[SISMED]],TblDisponibilidad[],17,FALSE), 0)</f>
        <v>0</v>
      </c>
      <c r="N794">
        <f>IFERROR(VLOOKUP(Tabla13[[#This Row],[SISMED]],TblDisponibilidad[],18,FALSE), 0)</f>
        <v>0</v>
      </c>
      <c r="O794">
        <f>IFERROR(VLOOKUP(Tabla13[[#This Row],[SISMED]],TblDisponibilidad[],19,FALSE), 0)</f>
        <v>0</v>
      </c>
      <c r="P794">
        <f>IFERROR(VLOOKUP(Tabla13[[#This Row],[SISMED]],TblDisponibilidad[],20,FALSE), 0)</f>
        <v>0</v>
      </c>
      <c r="Q794">
        <f>IFERROR(VLOOKUP(Tabla13[[#This Row],[SISMED]],TblDisponibilidad[],21,FALSE), 0)</f>
        <v>0</v>
      </c>
      <c r="R794">
        <f>IFERROR(VLOOKUP(Tabla13[[#This Row],[SISMED]],TblDisponibilidad[],22,FALSE), 0)</f>
        <v>0</v>
      </c>
      <c r="S794" s="15">
        <f>IFERROR(VLOOKUP(Tabla13[[#This Row],[SISMED]],TblDisponibilidad[],23,FALSE), 0)</f>
        <v>0</v>
      </c>
    </row>
    <row r="795" spans="1:19" x14ac:dyDescent="0.3">
      <c r="A795" s="15" t="s">
        <v>825</v>
      </c>
      <c r="B795" t="str">
        <f>IFERROR(VLOOKUP(Tabla13[[#This Row],[SISMED]],TblDisponibilidad[],2,FALSE), "")</f>
        <v/>
      </c>
      <c r="C795">
        <f>IFERROR(VLOOKUP(Tabla13[[#This Row],[SISMED]],TblDisponibilidad[],7,FALSE), 0)</f>
        <v>0</v>
      </c>
      <c r="D795">
        <f>IFERROR(VLOOKUP(Tabla13[[#This Row],[SISMED]],TblDisponibilidad[],8,FALSE), 0)</f>
        <v>0</v>
      </c>
      <c r="E795">
        <f>IFERROR(VLOOKUP(Tabla13[[#This Row],[SISMED]],TblDisponibilidad[],9,FALSE), 0)</f>
        <v>0</v>
      </c>
      <c r="F795">
        <f>IFERROR(VLOOKUP(Tabla13[[#This Row],[SISMED]],TblDisponibilidad[],10,FALSE), 0)</f>
        <v>0</v>
      </c>
      <c r="G795">
        <f>IFERROR(VLOOKUP(Tabla13[[#This Row],[SISMED]],TblDisponibilidad[],11,FALSE), 0)</f>
        <v>0</v>
      </c>
      <c r="H795">
        <f>IFERROR(VLOOKUP(Tabla13[[#This Row],[SISMED]],TblDisponibilidad[],12,FALSE), 0)</f>
        <v>0</v>
      </c>
      <c r="I795">
        <f>IFERROR(VLOOKUP(Tabla13[[#This Row],[SISMED]],TblDisponibilidad[],13,FALSE), 0)</f>
        <v>0</v>
      </c>
      <c r="J795">
        <f>IFERROR(VLOOKUP(Tabla13[[#This Row],[SISMED]],TblDisponibilidad[],14,FALSE), 0)</f>
        <v>0</v>
      </c>
      <c r="K795">
        <f>IFERROR(VLOOKUP(Tabla13[[#This Row],[SISMED]],TblDisponibilidad[],15,FALSE), 0)</f>
        <v>0</v>
      </c>
      <c r="L795">
        <f>IFERROR(VLOOKUP(Tabla13[[#This Row],[SISMED]],TblDisponibilidad[],16,FALSE), 0)</f>
        <v>0</v>
      </c>
      <c r="M795">
        <f>IFERROR(VLOOKUP(Tabla13[[#This Row],[SISMED]],TblDisponibilidad[],17,FALSE), 0)</f>
        <v>0</v>
      </c>
      <c r="N795">
        <f>IFERROR(VLOOKUP(Tabla13[[#This Row],[SISMED]],TblDisponibilidad[],18,FALSE), 0)</f>
        <v>0</v>
      </c>
      <c r="O795">
        <f>IFERROR(VLOOKUP(Tabla13[[#This Row],[SISMED]],TblDisponibilidad[],19,FALSE), 0)</f>
        <v>0</v>
      </c>
      <c r="P795">
        <f>IFERROR(VLOOKUP(Tabla13[[#This Row],[SISMED]],TblDisponibilidad[],20,FALSE), 0)</f>
        <v>0</v>
      </c>
      <c r="Q795">
        <f>IFERROR(VLOOKUP(Tabla13[[#This Row],[SISMED]],TblDisponibilidad[],21,FALSE), 0)</f>
        <v>0</v>
      </c>
      <c r="R795">
        <f>IFERROR(VLOOKUP(Tabla13[[#This Row],[SISMED]],TblDisponibilidad[],22,FALSE), 0)</f>
        <v>0</v>
      </c>
      <c r="S795" s="15">
        <f>IFERROR(VLOOKUP(Tabla13[[#This Row],[SISMED]],TblDisponibilidad[],23,FALSE), 0)</f>
        <v>0</v>
      </c>
    </row>
    <row r="796" spans="1:19" x14ac:dyDescent="0.3">
      <c r="A796" s="15" t="s">
        <v>826</v>
      </c>
      <c r="B796" t="str">
        <f>IFERROR(VLOOKUP(Tabla13[[#This Row],[SISMED]],TblDisponibilidad[],2,FALSE), "")</f>
        <v/>
      </c>
      <c r="C796">
        <f>IFERROR(VLOOKUP(Tabla13[[#This Row],[SISMED]],TblDisponibilidad[],7,FALSE), 0)</f>
        <v>0</v>
      </c>
      <c r="D796">
        <f>IFERROR(VLOOKUP(Tabla13[[#This Row],[SISMED]],TblDisponibilidad[],8,FALSE), 0)</f>
        <v>0</v>
      </c>
      <c r="E796">
        <f>IFERROR(VLOOKUP(Tabla13[[#This Row],[SISMED]],TblDisponibilidad[],9,FALSE), 0)</f>
        <v>0</v>
      </c>
      <c r="F796">
        <f>IFERROR(VLOOKUP(Tabla13[[#This Row],[SISMED]],TblDisponibilidad[],10,FALSE), 0)</f>
        <v>0</v>
      </c>
      <c r="G796">
        <f>IFERROR(VLOOKUP(Tabla13[[#This Row],[SISMED]],TblDisponibilidad[],11,FALSE), 0)</f>
        <v>0</v>
      </c>
      <c r="H796">
        <f>IFERROR(VLOOKUP(Tabla13[[#This Row],[SISMED]],TblDisponibilidad[],12,FALSE), 0)</f>
        <v>0</v>
      </c>
      <c r="I796">
        <f>IFERROR(VLOOKUP(Tabla13[[#This Row],[SISMED]],TblDisponibilidad[],13,FALSE), 0)</f>
        <v>0</v>
      </c>
      <c r="J796">
        <f>IFERROR(VLOOKUP(Tabla13[[#This Row],[SISMED]],TblDisponibilidad[],14,FALSE), 0)</f>
        <v>0</v>
      </c>
      <c r="K796">
        <f>IFERROR(VLOOKUP(Tabla13[[#This Row],[SISMED]],TblDisponibilidad[],15,FALSE), 0)</f>
        <v>0</v>
      </c>
      <c r="L796">
        <f>IFERROR(VLOOKUP(Tabla13[[#This Row],[SISMED]],TblDisponibilidad[],16,FALSE), 0)</f>
        <v>0</v>
      </c>
      <c r="M796">
        <f>IFERROR(VLOOKUP(Tabla13[[#This Row],[SISMED]],TblDisponibilidad[],17,FALSE), 0)</f>
        <v>0</v>
      </c>
      <c r="N796">
        <f>IFERROR(VLOOKUP(Tabla13[[#This Row],[SISMED]],TblDisponibilidad[],18,FALSE), 0)</f>
        <v>0</v>
      </c>
      <c r="O796">
        <f>IFERROR(VLOOKUP(Tabla13[[#This Row],[SISMED]],TblDisponibilidad[],19,FALSE), 0)</f>
        <v>0</v>
      </c>
      <c r="P796">
        <f>IFERROR(VLOOKUP(Tabla13[[#This Row],[SISMED]],TblDisponibilidad[],20,FALSE), 0)</f>
        <v>0</v>
      </c>
      <c r="Q796">
        <f>IFERROR(VLOOKUP(Tabla13[[#This Row],[SISMED]],TblDisponibilidad[],21,FALSE), 0)</f>
        <v>0</v>
      </c>
      <c r="R796">
        <f>IFERROR(VLOOKUP(Tabla13[[#This Row],[SISMED]],TblDisponibilidad[],22,FALSE), 0)</f>
        <v>0</v>
      </c>
      <c r="S796" s="15">
        <f>IFERROR(VLOOKUP(Tabla13[[#This Row],[SISMED]],TblDisponibilidad[],23,FALSE), 0)</f>
        <v>0</v>
      </c>
    </row>
    <row r="797" spans="1:19" x14ac:dyDescent="0.3">
      <c r="A797" s="15" t="s">
        <v>827</v>
      </c>
      <c r="B797" t="str">
        <f>IFERROR(VLOOKUP(Tabla13[[#This Row],[SISMED]],TblDisponibilidad[],2,FALSE), "")</f>
        <v/>
      </c>
      <c r="C797">
        <f>IFERROR(VLOOKUP(Tabla13[[#This Row],[SISMED]],TblDisponibilidad[],7,FALSE), 0)</f>
        <v>0</v>
      </c>
      <c r="D797">
        <f>IFERROR(VLOOKUP(Tabla13[[#This Row],[SISMED]],TblDisponibilidad[],8,FALSE), 0)</f>
        <v>0</v>
      </c>
      <c r="E797">
        <f>IFERROR(VLOOKUP(Tabla13[[#This Row],[SISMED]],TblDisponibilidad[],9,FALSE), 0)</f>
        <v>0</v>
      </c>
      <c r="F797">
        <f>IFERROR(VLOOKUP(Tabla13[[#This Row],[SISMED]],TblDisponibilidad[],10,FALSE), 0)</f>
        <v>0</v>
      </c>
      <c r="G797">
        <f>IFERROR(VLOOKUP(Tabla13[[#This Row],[SISMED]],TblDisponibilidad[],11,FALSE), 0)</f>
        <v>0</v>
      </c>
      <c r="H797">
        <f>IFERROR(VLOOKUP(Tabla13[[#This Row],[SISMED]],TblDisponibilidad[],12,FALSE), 0)</f>
        <v>0</v>
      </c>
      <c r="I797">
        <f>IFERROR(VLOOKUP(Tabla13[[#This Row],[SISMED]],TblDisponibilidad[],13,FALSE), 0)</f>
        <v>0</v>
      </c>
      <c r="J797">
        <f>IFERROR(VLOOKUP(Tabla13[[#This Row],[SISMED]],TblDisponibilidad[],14,FALSE), 0)</f>
        <v>0</v>
      </c>
      <c r="K797">
        <f>IFERROR(VLOOKUP(Tabla13[[#This Row],[SISMED]],TblDisponibilidad[],15,FALSE), 0)</f>
        <v>0</v>
      </c>
      <c r="L797">
        <f>IFERROR(VLOOKUP(Tabla13[[#This Row],[SISMED]],TblDisponibilidad[],16,FALSE), 0)</f>
        <v>0</v>
      </c>
      <c r="M797">
        <f>IFERROR(VLOOKUP(Tabla13[[#This Row],[SISMED]],TblDisponibilidad[],17,FALSE), 0)</f>
        <v>0</v>
      </c>
      <c r="N797">
        <f>IFERROR(VLOOKUP(Tabla13[[#This Row],[SISMED]],TblDisponibilidad[],18,FALSE), 0)</f>
        <v>0</v>
      </c>
      <c r="O797">
        <f>IFERROR(VLOOKUP(Tabla13[[#This Row],[SISMED]],TblDisponibilidad[],19,FALSE), 0)</f>
        <v>0</v>
      </c>
      <c r="P797">
        <f>IFERROR(VLOOKUP(Tabla13[[#This Row],[SISMED]],TblDisponibilidad[],20,FALSE), 0)</f>
        <v>0</v>
      </c>
      <c r="Q797">
        <f>IFERROR(VLOOKUP(Tabla13[[#This Row],[SISMED]],TblDisponibilidad[],21,FALSE), 0)</f>
        <v>0</v>
      </c>
      <c r="R797">
        <f>IFERROR(VLOOKUP(Tabla13[[#This Row],[SISMED]],TblDisponibilidad[],22,FALSE), 0)</f>
        <v>0</v>
      </c>
      <c r="S797" s="15">
        <f>IFERROR(VLOOKUP(Tabla13[[#This Row],[SISMED]],TblDisponibilidad[],23,FALSE), 0)</f>
        <v>0</v>
      </c>
    </row>
    <row r="798" spans="1:19" x14ac:dyDescent="0.3">
      <c r="A798" s="15" t="s">
        <v>828</v>
      </c>
      <c r="B798" t="str">
        <f>IFERROR(VLOOKUP(Tabla13[[#This Row],[SISMED]],TblDisponibilidad[],2,FALSE), "")</f>
        <v/>
      </c>
      <c r="C798">
        <f>IFERROR(VLOOKUP(Tabla13[[#This Row],[SISMED]],TblDisponibilidad[],7,FALSE), 0)</f>
        <v>0</v>
      </c>
      <c r="D798">
        <f>IFERROR(VLOOKUP(Tabla13[[#This Row],[SISMED]],TblDisponibilidad[],8,FALSE), 0)</f>
        <v>0</v>
      </c>
      <c r="E798">
        <f>IFERROR(VLOOKUP(Tabla13[[#This Row],[SISMED]],TblDisponibilidad[],9,FALSE), 0)</f>
        <v>0</v>
      </c>
      <c r="F798">
        <f>IFERROR(VLOOKUP(Tabla13[[#This Row],[SISMED]],TblDisponibilidad[],10,FALSE), 0)</f>
        <v>0</v>
      </c>
      <c r="G798">
        <f>IFERROR(VLOOKUP(Tabla13[[#This Row],[SISMED]],TblDisponibilidad[],11,FALSE), 0)</f>
        <v>0</v>
      </c>
      <c r="H798">
        <f>IFERROR(VLOOKUP(Tabla13[[#This Row],[SISMED]],TblDisponibilidad[],12,FALSE), 0)</f>
        <v>0</v>
      </c>
      <c r="I798">
        <f>IFERROR(VLOOKUP(Tabla13[[#This Row],[SISMED]],TblDisponibilidad[],13,FALSE), 0)</f>
        <v>0</v>
      </c>
      <c r="J798">
        <f>IFERROR(VLOOKUP(Tabla13[[#This Row],[SISMED]],TblDisponibilidad[],14,FALSE), 0)</f>
        <v>0</v>
      </c>
      <c r="K798">
        <f>IFERROR(VLOOKUP(Tabla13[[#This Row],[SISMED]],TblDisponibilidad[],15,FALSE), 0)</f>
        <v>0</v>
      </c>
      <c r="L798">
        <f>IFERROR(VLOOKUP(Tabla13[[#This Row],[SISMED]],TblDisponibilidad[],16,FALSE), 0)</f>
        <v>0</v>
      </c>
      <c r="M798">
        <f>IFERROR(VLOOKUP(Tabla13[[#This Row],[SISMED]],TblDisponibilidad[],17,FALSE), 0)</f>
        <v>0</v>
      </c>
      <c r="N798">
        <f>IFERROR(VLOOKUP(Tabla13[[#This Row],[SISMED]],TblDisponibilidad[],18,FALSE), 0)</f>
        <v>0</v>
      </c>
      <c r="O798">
        <f>IFERROR(VLOOKUP(Tabla13[[#This Row],[SISMED]],TblDisponibilidad[],19,FALSE), 0)</f>
        <v>0</v>
      </c>
      <c r="P798">
        <f>IFERROR(VLOOKUP(Tabla13[[#This Row],[SISMED]],TblDisponibilidad[],20,FALSE), 0)</f>
        <v>0</v>
      </c>
      <c r="Q798">
        <f>IFERROR(VLOOKUP(Tabla13[[#This Row],[SISMED]],TblDisponibilidad[],21,FALSE), 0)</f>
        <v>0</v>
      </c>
      <c r="R798">
        <f>IFERROR(VLOOKUP(Tabla13[[#This Row],[SISMED]],TblDisponibilidad[],22,FALSE), 0)</f>
        <v>0</v>
      </c>
      <c r="S798" s="15">
        <f>IFERROR(VLOOKUP(Tabla13[[#This Row],[SISMED]],TblDisponibilidad[],23,FALSE), 0)</f>
        <v>0</v>
      </c>
    </row>
    <row r="799" spans="1:19" x14ac:dyDescent="0.3">
      <c r="A799" s="15" t="s">
        <v>829</v>
      </c>
      <c r="B799" t="str">
        <f>IFERROR(VLOOKUP(Tabla13[[#This Row],[SISMED]],TblDisponibilidad[],2,FALSE), "")</f>
        <v/>
      </c>
      <c r="C799">
        <f>IFERROR(VLOOKUP(Tabla13[[#This Row],[SISMED]],TblDisponibilidad[],7,FALSE), 0)</f>
        <v>0</v>
      </c>
      <c r="D799">
        <f>IFERROR(VLOOKUP(Tabla13[[#This Row],[SISMED]],TblDisponibilidad[],8,FALSE), 0)</f>
        <v>0</v>
      </c>
      <c r="E799">
        <f>IFERROR(VLOOKUP(Tabla13[[#This Row],[SISMED]],TblDisponibilidad[],9,FALSE), 0)</f>
        <v>0</v>
      </c>
      <c r="F799">
        <f>IFERROR(VLOOKUP(Tabla13[[#This Row],[SISMED]],TblDisponibilidad[],10,FALSE), 0)</f>
        <v>0</v>
      </c>
      <c r="G799">
        <f>IFERROR(VLOOKUP(Tabla13[[#This Row],[SISMED]],TblDisponibilidad[],11,FALSE), 0)</f>
        <v>0</v>
      </c>
      <c r="H799">
        <f>IFERROR(VLOOKUP(Tabla13[[#This Row],[SISMED]],TblDisponibilidad[],12,FALSE), 0)</f>
        <v>0</v>
      </c>
      <c r="I799">
        <f>IFERROR(VLOOKUP(Tabla13[[#This Row],[SISMED]],TblDisponibilidad[],13,FALSE), 0)</f>
        <v>0</v>
      </c>
      <c r="J799">
        <f>IFERROR(VLOOKUP(Tabla13[[#This Row],[SISMED]],TblDisponibilidad[],14,FALSE), 0)</f>
        <v>0</v>
      </c>
      <c r="K799">
        <f>IFERROR(VLOOKUP(Tabla13[[#This Row],[SISMED]],TblDisponibilidad[],15,FALSE), 0)</f>
        <v>0</v>
      </c>
      <c r="L799">
        <f>IFERROR(VLOOKUP(Tabla13[[#This Row],[SISMED]],TblDisponibilidad[],16,FALSE), 0)</f>
        <v>0</v>
      </c>
      <c r="M799">
        <f>IFERROR(VLOOKUP(Tabla13[[#This Row],[SISMED]],TblDisponibilidad[],17,FALSE), 0)</f>
        <v>0</v>
      </c>
      <c r="N799">
        <f>IFERROR(VLOOKUP(Tabla13[[#This Row],[SISMED]],TblDisponibilidad[],18,FALSE), 0)</f>
        <v>0</v>
      </c>
      <c r="O799">
        <f>IFERROR(VLOOKUP(Tabla13[[#This Row],[SISMED]],TblDisponibilidad[],19,FALSE), 0)</f>
        <v>0</v>
      </c>
      <c r="P799">
        <f>IFERROR(VLOOKUP(Tabla13[[#This Row],[SISMED]],TblDisponibilidad[],20,FALSE), 0)</f>
        <v>0</v>
      </c>
      <c r="Q799">
        <f>IFERROR(VLOOKUP(Tabla13[[#This Row],[SISMED]],TblDisponibilidad[],21,FALSE), 0)</f>
        <v>0</v>
      </c>
      <c r="R799">
        <f>IFERROR(VLOOKUP(Tabla13[[#This Row],[SISMED]],TblDisponibilidad[],22,FALSE), 0)</f>
        <v>0</v>
      </c>
      <c r="S799" s="15">
        <f>IFERROR(VLOOKUP(Tabla13[[#This Row],[SISMED]],TblDisponibilidad[],23,FALSE), 0)</f>
        <v>0</v>
      </c>
    </row>
    <row r="800" spans="1:19" x14ac:dyDescent="0.3">
      <c r="A800" s="15" t="s">
        <v>830</v>
      </c>
      <c r="B800" t="str">
        <f>IFERROR(VLOOKUP(Tabla13[[#This Row],[SISMED]],TblDisponibilidad[],2,FALSE), "")</f>
        <v/>
      </c>
      <c r="C800">
        <f>IFERROR(VLOOKUP(Tabla13[[#This Row],[SISMED]],TblDisponibilidad[],7,FALSE), 0)</f>
        <v>0</v>
      </c>
      <c r="D800">
        <f>IFERROR(VLOOKUP(Tabla13[[#This Row],[SISMED]],TblDisponibilidad[],8,FALSE), 0)</f>
        <v>0</v>
      </c>
      <c r="E800">
        <f>IFERROR(VLOOKUP(Tabla13[[#This Row],[SISMED]],TblDisponibilidad[],9,FALSE), 0)</f>
        <v>0</v>
      </c>
      <c r="F800">
        <f>IFERROR(VLOOKUP(Tabla13[[#This Row],[SISMED]],TblDisponibilidad[],10,FALSE), 0)</f>
        <v>0</v>
      </c>
      <c r="G800">
        <f>IFERROR(VLOOKUP(Tabla13[[#This Row],[SISMED]],TblDisponibilidad[],11,FALSE), 0)</f>
        <v>0</v>
      </c>
      <c r="H800">
        <f>IFERROR(VLOOKUP(Tabla13[[#This Row],[SISMED]],TblDisponibilidad[],12,FALSE), 0)</f>
        <v>0</v>
      </c>
      <c r="I800">
        <f>IFERROR(VLOOKUP(Tabla13[[#This Row],[SISMED]],TblDisponibilidad[],13,FALSE), 0)</f>
        <v>0</v>
      </c>
      <c r="J800">
        <f>IFERROR(VLOOKUP(Tabla13[[#This Row],[SISMED]],TblDisponibilidad[],14,FALSE), 0)</f>
        <v>0</v>
      </c>
      <c r="K800">
        <f>IFERROR(VLOOKUP(Tabla13[[#This Row],[SISMED]],TblDisponibilidad[],15,FALSE), 0)</f>
        <v>0</v>
      </c>
      <c r="L800">
        <f>IFERROR(VLOOKUP(Tabla13[[#This Row],[SISMED]],TblDisponibilidad[],16,FALSE), 0)</f>
        <v>0</v>
      </c>
      <c r="M800">
        <f>IFERROR(VLOOKUP(Tabla13[[#This Row],[SISMED]],TblDisponibilidad[],17,FALSE), 0)</f>
        <v>0</v>
      </c>
      <c r="N800">
        <f>IFERROR(VLOOKUP(Tabla13[[#This Row],[SISMED]],TblDisponibilidad[],18,FALSE), 0)</f>
        <v>0</v>
      </c>
      <c r="O800">
        <f>IFERROR(VLOOKUP(Tabla13[[#This Row],[SISMED]],TblDisponibilidad[],19,FALSE), 0)</f>
        <v>0</v>
      </c>
      <c r="P800">
        <f>IFERROR(VLOOKUP(Tabla13[[#This Row],[SISMED]],TblDisponibilidad[],20,FALSE), 0)</f>
        <v>0</v>
      </c>
      <c r="Q800">
        <f>IFERROR(VLOOKUP(Tabla13[[#This Row],[SISMED]],TblDisponibilidad[],21,FALSE), 0)</f>
        <v>0</v>
      </c>
      <c r="R800">
        <f>IFERROR(VLOOKUP(Tabla13[[#This Row],[SISMED]],TblDisponibilidad[],22,FALSE), 0)</f>
        <v>0</v>
      </c>
      <c r="S800" s="15">
        <f>IFERROR(VLOOKUP(Tabla13[[#This Row],[SISMED]],TblDisponibilidad[],23,FALSE), 0)</f>
        <v>0</v>
      </c>
    </row>
    <row r="801" spans="1:19" x14ac:dyDescent="0.3">
      <c r="A801" s="15" t="s">
        <v>831</v>
      </c>
      <c r="B801" t="str">
        <f>IFERROR(VLOOKUP(Tabla13[[#This Row],[SISMED]],TblDisponibilidad[],2,FALSE), "")</f>
        <v/>
      </c>
      <c r="C801">
        <f>IFERROR(VLOOKUP(Tabla13[[#This Row],[SISMED]],TblDisponibilidad[],7,FALSE), 0)</f>
        <v>0</v>
      </c>
      <c r="D801">
        <f>IFERROR(VLOOKUP(Tabla13[[#This Row],[SISMED]],TblDisponibilidad[],8,FALSE), 0)</f>
        <v>0</v>
      </c>
      <c r="E801">
        <f>IFERROR(VLOOKUP(Tabla13[[#This Row],[SISMED]],TblDisponibilidad[],9,FALSE), 0)</f>
        <v>0</v>
      </c>
      <c r="F801">
        <f>IFERROR(VLOOKUP(Tabla13[[#This Row],[SISMED]],TblDisponibilidad[],10,FALSE), 0)</f>
        <v>0</v>
      </c>
      <c r="G801">
        <f>IFERROR(VLOOKUP(Tabla13[[#This Row],[SISMED]],TblDisponibilidad[],11,FALSE), 0)</f>
        <v>0</v>
      </c>
      <c r="H801">
        <f>IFERROR(VLOOKUP(Tabla13[[#This Row],[SISMED]],TblDisponibilidad[],12,FALSE), 0)</f>
        <v>0</v>
      </c>
      <c r="I801">
        <f>IFERROR(VLOOKUP(Tabla13[[#This Row],[SISMED]],TblDisponibilidad[],13,FALSE), 0)</f>
        <v>0</v>
      </c>
      <c r="J801">
        <f>IFERROR(VLOOKUP(Tabla13[[#This Row],[SISMED]],TblDisponibilidad[],14,FALSE), 0)</f>
        <v>0</v>
      </c>
      <c r="K801">
        <f>IFERROR(VLOOKUP(Tabla13[[#This Row],[SISMED]],TblDisponibilidad[],15,FALSE), 0)</f>
        <v>0</v>
      </c>
      <c r="L801">
        <f>IFERROR(VLOOKUP(Tabla13[[#This Row],[SISMED]],TblDisponibilidad[],16,FALSE), 0)</f>
        <v>0</v>
      </c>
      <c r="M801">
        <f>IFERROR(VLOOKUP(Tabla13[[#This Row],[SISMED]],TblDisponibilidad[],17,FALSE), 0)</f>
        <v>0</v>
      </c>
      <c r="N801">
        <f>IFERROR(VLOOKUP(Tabla13[[#This Row],[SISMED]],TblDisponibilidad[],18,FALSE), 0)</f>
        <v>0</v>
      </c>
      <c r="O801">
        <f>IFERROR(VLOOKUP(Tabla13[[#This Row],[SISMED]],TblDisponibilidad[],19,FALSE), 0)</f>
        <v>0</v>
      </c>
      <c r="P801">
        <f>IFERROR(VLOOKUP(Tabla13[[#This Row],[SISMED]],TblDisponibilidad[],20,FALSE), 0)</f>
        <v>0</v>
      </c>
      <c r="Q801">
        <f>IFERROR(VLOOKUP(Tabla13[[#This Row],[SISMED]],TblDisponibilidad[],21,FALSE), 0)</f>
        <v>0</v>
      </c>
      <c r="R801">
        <f>IFERROR(VLOOKUP(Tabla13[[#This Row],[SISMED]],TblDisponibilidad[],22,FALSE), 0)</f>
        <v>0</v>
      </c>
      <c r="S801" s="15">
        <f>IFERROR(VLOOKUP(Tabla13[[#This Row],[SISMED]],TblDisponibilidad[],23,FALSE), 0)</f>
        <v>0</v>
      </c>
    </row>
    <row r="802" spans="1:19" x14ac:dyDescent="0.3">
      <c r="A802" s="15" t="s">
        <v>832</v>
      </c>
      <c r="B802" t="str">
        <f>IFERROR(VLOOKUP(Tabla13[[#This Row],[SISMED]],TblDisponibilidad[],2,FALSE), "")</f>
        <v/>
      </c>
      <c r="C802">
        <f>IFERROR(VLOOKUP(Tabla13[[#This Row],[SISMED]],TblDisponibilidad[],7,FALSE), 0)</f>
        <v>0</v>
      </c>
      <c r="D802">
        <f>IFERROR(VLOOKUP(Tabla13[[#This Row],[SISMED]],TblDisponibilidad[],8,FALSE), 0)</f>
        <v>0</v>
      </c>
      <c r="E802">
        <f>IFERROR(VLOOKUP(Tabla13[[#This Row],[SISMED]],TblDisponibilidad[],9,FALSE), 0)</f>
        <v>0</v>
      </c>
      <c r="F802">
        <f>IFERROR(VLOOKUP(Tabla13[[#This Row],[SISMED]],TblDisponibilidad[],10,FALSE), 0)</f>
        <v>0</v>
      </c>
      <c r="G802">
        <f>IFERROR(VLOOKUP(Tabla13[[#This Row],[SISMED]],TblDisponibilidad[],11,FALSE), 0)</f>
        <v>0</v>
      </c>
      <c r="H802">
        <f>IFERROR(VLOOKUP(Tabla13[[#This Row],[SISMED]],TblDisponibilidad[],12,FALSE), 0)</f>
        <v>0</v>
      </c>
      <c r="I802">
        <f>IFERROR(VLOOKUP(Tabla13[[#This Row],[SISMED]],TblDisponibilidad[],13,FALSE), 0)</f>
        <v>0</v>
      </c>
      <c r="J802">
        <f>IFERROR(VLOOKUP(Tabla13[[#This Row],[SISMED]],TblDisponibilidad[],14,FALSE), 0)</f>
        <v>0</v>
      </c>
      <c r="K802">
        <f>IFERROR(VLOOKUP(Tabla13[[#This Row],[SISMED]],TblDisponibilidad[],15,FALSE), 0)</f>
        <v>0</v>
      </c>
      <c r="L802">
        <f>IFERROR(VLOOKUP(Tabla13[[#This Row],[SISMED]],TblDisponibilidad[],16,FALSE), 0)</f>
        <v>0</v>
      </c>
      <c r="M802">
        <f>IFERROR(VLOOKUP(Tabla13[[#This Row],[SISMED]],TblDisponibilidad[],17,FALSE), 0)</f>
        <v>0</v>
      </c>
      <c r="N802">
        <f>IFERROR(VLOOKUP(Tabla13[[#This Row],[SISMED]],TblDisponibilidad[],18,FALSE), 0)</f>
        <v>0</v>
      </c>
      <c r="O802">
        <f>IFERROR(VLOOKUP(Tabla13[[#This Row],[SISMED]],TblDisponibilidad[],19,FALSE), 0)</f>
        <v>0</v>
      </c>
      <c r="P802">
        <f>IFERROR(VLOOKUP(Tabla13[[#This Row],[SISMED]],TblDisponibilidad[],20,FALSE), 0)</f>
        <v>0</v>
      </c>
      <c r="Q802">
        <f>IFERROR(VLOOKUP(Tabla13[[#This Row],[SISMED]],TblDisponibilidad[],21,FALSE), 0)</f>
        <v>0</v>
      </c>
      <c r="R802">
        <f>IFERROR(VLOOKUP(Tabla13[[#This Row],[SISMED]],TblDisponibilidad[],22,FALSE), 0)</f>
        <v>0</v>
      </c>
      <c r="S802" s="15">
        <f>IFERROR(VLOOKUP(Tabla13[[#This Row],[SISMED]],TblDisponibilidad[],23,FALSE), 0)</f>
        <v>0</v>
      </c>
    </row>
    <row r="803" spans="1:19" x14ac:dyDescent="0.3">
      <c r="A803" s="15" t="s">
        <v>833</v>
      </c>
      <c r="B803" t="str">
        <f>IFERROR(VLOOKUP(Tabla13[[#This Row],[SISMED]],TblDisponibilidad[],2,FALSE), "")</f>
        <v/>
      </c>
      <c r="C803">
        <f>IFERROR(VLOOKUP(Tabla13[[#This Row],[SISMED]],TblDisponibilidad[],7,FALSE), 0)</f>
        <v>0</v>
      </c>
      <c r="D803">
        <f>IFERROR(VLOOKUP(Tabla13[[#This Row],[SISMED]],TblDisponibilidad[],8,FALSE), 0)</f>
        <v>0</v>
      </c>
      <c r="E803">
        <f>IFERROR(VLOOKUP(Tabla13[[#This Row],[SISMED]],TblDisponibilidad[],9,FALSE), 0)</f>
        <v>0</v>
      </c>
      <c r="F803">
        <f>IFERROR(VLOOKUP(Tabla13[[#This Row],[SISMED]],TblDisponibilidad[],10,FALSE), 0)</f>
        <v>0</v>
      </c>
      <c r="G803">
        <f>IFERROR(VLOOKUP(Tabla13[[#This Row],[SISMED]],TblDisponibilidad[],11,FALSE), 0)</f>
        <v>0</v>
      </c>
      <c r="H803">
        <f>IFERROR(VLOOKUP(Tabla13[[#This Row],[SISMED]],TblDisponibilidad[],12,FALSE), 0)</f>
        <v>0</v>
      </c>
      <c r="I803">
        <f>IFERROR(VLOOKUP(Tabla13[[#This Row],[SISMED]],TblDisponibilidad[],13,FALSE), 0)</f>
        <v>0</v>
      </c>
      <c r="J803">
        <f>IFERROR(VLOOKUP(Tabla13[[#This Row],[SISMED]],TblDisponibilidad[],14,FALSE), 0)</f>
        <v>0</v>
      </c>
      <c r="K803">
        <f>IFERROR(VLOOKUP(Tabla13[[#This Row],[SISMED]],TblDisponibilidad[],15,FALSE), 0)</f>
        <v>0</v>
      </c>
      <c r="L803">
        <f>IFERROR(VLOOKUP(Tabla13[[#This Row],[SISMED]],TblDisponibilidad[],16,FALSE), 0)</f>
        <v>0</v>
      </c>
      <c r="M803">
        <f>IFERROR(VLOOKUP(Tabla13[[#This Row],[SISMED]],TblDisponibilidad[],17,FALSE), 0)</f>
        <v>0</v>
      </c>
      <c r="N803">
        <f>IFERROR(VLOOKUP(Tabla13[[#This Row],[SISMED]],TblDisponibilidad[],18,FALSE), 0)</f>
        <v>0</v>
      </c>
      <c r="O803">
        <f>IFERROR(VLOOKUP(Tabla13[[#This Row],[SISMED]],TblDisponibilidad[],19,FALSE), 0)</f>
        <v>0</v>
      </c>
      <c r="P803">
        <f>IFERROR(VLOOKUP(Tabla13[[#This Row],[SISMED]],TblDisponibilidad[],20,FALSE), 0)</f>
        <v>0</v>
      </c>
      <c r="Q803">
        <f>IFERROR(VLOOKUP(Tabla13[[#This Row],[SISMED]],TblDisponibilidad[],21,FALSE), 0)</f>
        <v>0</v>
      </c>
      <c r="R803">
        <f>IFERROR(VLOOKUP(Tabla13[[#This Row],[SISMED]],TblDisponibilidad[],22,FALSE), 0)</f>
        <v>0</v>
      </c>
      <c r="S803" s="15">
        <f>IFERROR(VLOOKUP(Tabla13[[#This Row],[SISMED]],TblDisponibilidad[],23,FALSE), 0)</f>
        <v>0</v>
      </c>
    </row>
    <row r="804" spans="1:19" x14ac:dyDescent="0.3">
      <c r="A804" s="15" t="s">
        <v>834</v>
      </c>
      <c r="B804" t="str">
        <f>IFERROR(VLOOKUP(Tabla13[[#This Row],[SISMED]],TblDisponibilidad[],2,FALSE), "")</f>
        <v/>
      </c>
      <c r="C804">
        <f>IFERROR(VLOOKUP(Tabla13[[#This Row],[SISMED]],TblDisponibilidad[],7,FALSE), 0)</f>
        <v>0</v>
      </c>
      <c r="D804">
        <f>IFERROR(VLOOKUP(Tabla13[[#This Row],[SISMED]],TblDisponibilidad[],8,FALSE), 0)</f>
        <v>0</v>
      </c>
      <c r="E804">
        <f>IFERROR(VLOOKUP(Tabla13[[#This Row],[SISMED]],TblDisponibilidad[],9,FALSE), 0)</f>
        <v>0</v>
      </c>
      <c r="F804">
        <f>IFERROR(VLOOKUP(Tabla13[[#This Row],[SISMED]],TblDisponibilidad[],10,FALSE), 0)</f>
        <v>0</v>
      </c>
      <c r="G804">
        <f>IFERROR(VLOOKUP(Tabla13[[#This Row],[SISMED]],TblDisponibilidad[],11,FALSE), 0)</f>
        <v>0</v>
      </c>
      <c r="H804">
        <f>IFERROR(VLOOKUP(Tabla13[[#This Row],[SISMED]],TblDisponibilidad[],12,FALSE), 0)</f>
        <v>0</v>
      </c>
      <c r="I804">
        <f>IFERROR(VLOOKUP(Tabla13[[#This Row],[SISMED]],TblDisponibilidad[],13,FALSE), 0)</f>
        <v>0</v>
      </c>
      <c r="J804">
        <f>IFERROR(VLOOKUP(Tabla13[[#This Row],[SISMED]],TblDisponibilidad[],14,FALSE), 0)</f>
        <v>0</v>
      </c>
      <c r="K804">
        <f>IFERROR(VLOOKUP(Tabla13[[#This Row],[SISMED]],TblDisponibilidad[],15,FALSE), 0)</f>
        <v>0</v>
      </c>
      <c r="L804">
        <f>IFERROR(VLOOKUP(Tabla13[[#This Row],[SISMED]],TblDisponibilidad[],16,FALSE), 0)</f>
        <v>0</v>
      </c>
      <c r="M804">
        <f>IFERROR(VLOOKUP(Tabla13[[#This Row],[SISMED]],TblDisponibilidad[],17,FALSE), 0)</f>
        <v>0</v>
      </c>
      <c r="N804">
        <f>IFERROR(VLOOKUP(Tabla13[[#This Row],[SISMED]],TblDisponibilidad[],18,FALSE), 0)</f>
        <v>0</v>
      </c>
      <c r="O804">
        <f>IFERROR(VLOOKUP(Tabla13[[#This Row],[SISMED]],TblDisponibilidad[],19,FALSE), 0)</f>
        <v>0</v>
      </c>
      <c r="P804">
        <f>IFERROR(VLOOKUP(Tabla13[[#This Row],[SISMED]],TblDisponibilidad[],20,FALSE), 0)</f>
        <v>0</v>
      </c>
      <c r="Q804">
        <f>IFERROR(VLOOKUP(Tabla13[[#This Row],[SISMED]],TblDisponibilidad[],21,FALSE), 0)</f>
        <v>0</v>
      </c>
      <c r="R804">
        <f>IFERROR(VLOOKUP(Tabla13[[#This Row],[SISMED]],TblDisponibilidad[],22,FALSE), 0)</f>
        <v>0</v>
      </c>
      <c r="S804" s="15">
        <f>IFERROR(VLOOKUP(Tabla13[[#This Row],[SISMED]],TblDisponibilidad[],23,FALSE), 0)</f>
        <v>0</v>
      </c>
    </row>
    <row r="805" spans="1:19" x14ac:dyDescent="0.3">
      <c r="A805" s="15" t="s">
        <v>835</v>
      </c>
      <c r="B805" t="str">
        <f>IFERROR(VLOOKUP(Tabla13[[#This Row],[SISMED]],TblDisponibilidad[],2,FALSE), "")</f>
        <v/>
      </c>
      <c r="C805">
        <f>IFERROR(VLOOKUP(Tabla13[[#This Row],[SISMED]],TblDisponibilidad[],7,FALSE), 0)</f>
        <v>0</v>
      </c>
      <c r="D805">
        <f>IFERROR(VLOOKUP(Tabla13[[#This Row],[SISMED]],TblDisponibilidad[],8,FALSE), 0)</f>
        <v>0</v>
      </c>
      <c r="E805">
        <f>IFERROR(VLOOKUP(Tabla13[[#This Row],[SISMED]],TblDisponibilidad[],9,FALSE), 0)</f>
        <v>0</v>
      </c>
      <c r="F805">
        <f>IFERROR(VLOOKUP(Tabla13[[#This Row],[SISMED]],TblDisponibilidad[],10,FALSE), 0)</f>
        <v>0</v>
      </c>
      <c r="G805">
        <f>IFERROR(VLOOKUP(Tabla13[[#This Row],[SISMED]],TblDisponibilidad[],11,FALSE), 0)</f>
        <v>0</v>
      </c>
      <c r="H805">
        <f>IFERROR(VLOOKUP(Tabla13[[#This Row],[SISMED]],TblDisponibilidad[],12,FALSE), 0)</f>
        <v>0</v>
      </c>
      <c r="I805">
        <f>IFERROR(VLOOKUP(Tabla13[[#This Row],[SISMED]],TblDisponibilidad[],13,FALSE), 0)</f>
        <v>0</v>
      </c>
      <c r="J805">
        <f>IFERROR(VLOOKUP(Tabla13[[#This Row],[SISMED]],TblDisponibilidad[],14,FALSE), 0)</f>
        <v>0</v>
      </c>
      <c r="K805">
        <f>IFERROR(VLOOKUP(Tabla13[[#This Row],[SISMED]],TblDisponibilidad[],15,FALSE), 0)</f>
        <v>0</v>
      </c>
      <c r="L805">
        <f>IFERROR(VLOOKUP(Tabla13[[#This Row],[SISMED]],TblDisponibilidad[],16,FALSE), 0)</f>
        <v>0</v>
      </c>
      <c r="M805">
        <f>IFERROR(VLOOKUP(Tabla13[[#This Row],[SISMED]],TblDisponibilidad[],17,FALSE), 0)</f>
        <v>0</v>
      </c>
      <c r="N805">
        <f>IFERROR(VLOOKUP(Tabla13[[#This Row],[SISMED]],TblDisponibilidad[],18,FALSE), 0)</f>
        <v>0</v>
      </c>
      <c r="O805">
        <f>IFERROR(VLOOKUP(Tabla13[[#This Row],[SISMED]],TblDisponibilidad[],19,FALSE), 0)</f>
        <v>0</v>
      </c>
      <c r="P805">
        <f>IFERROR(VLOOKUP(Tabla13[[#This Row],[SISMED]],TblDisponibilidad[],20,FALSE), 0)</f>
        <v>0</v>
      </c>
      <c r="Q805">
        <f>IFERROR(VLOOKUP(Tabla13[[#This Row],[SISMED]],TblDisponibilidad[],21,FALSE), 0)</f>
        <v>0</v>
      </c>
      <c r="R805">
        <f>IFERROR(VLOOKUP(Tabla13[[#This Row],[SISMED]],TblDisponibilidad[],22,FALSE), 0)</f>
        <v>0</v>
      </c>
      <c r="S805" s="15">
        <f>IFERROR(VLOOKUP(Tabla13[[#This Row],[SISMED]],TblDisponibilidad[],23,FALSE), 0)</f>
        <v>0</v>
      </c>
    </row>
    <row r="806" spans="1:19" x14ac:dyDescent="0.3">
      <c r="A806" s="15" t="s">
        <v>836</v>
      </c>
      <c r="B806" t="str">
        <f>IFERROR(VLOOKUP(Tabla13[[#This Row],[SISMED]],TblDisponibilidad[],2,FALSE), "")</f>
        <v/>
      </c>
      <c r="C806">
        <f>IFERROR(VLOOKUP(Tabla13[[#This Row],[SISMED]],TblDisponibilidad[],7,FALSE), 0)</f>
        <v>0</v>
      </c>
      <c r="D806">
        <f>IFERROR(VLOOKUP(Tabla13[[#This Row],[SISMED]],TblDisponibilidad[],8,FALSE), 0)</f>
        <v>0</v>
      </c>
      <c r="E806">
        <f>IFERROR(VLOOKUP(Tabla13[[#This Row],[SISMED]],TblDisponibilidad[],9,FALSE), 0)</f>
        <v>0</v>
      </c>
      <c r="F806">
        <f>IFERROR(VLOOKUP(Tabla13[[#This Row],[SISMED]],TblDisponibilidad[],10,FALSE), 0)</f>
        <v>0</v>
      </c>
      <c r="G806">
        <f>IFERROR(VLOOKUP(Tabla13[[#This Row],[SISMED]],TblDisponibilidad[],11,FALSE), 0)</f>
        <v>0</v>
      </c>
      <c r="H806">
        <f>IFERROR(VLOOKUP(Tabla13[[#This Row],[SISMED]],TblDisponibilidad[],12,FALSE), 0)</f>
        <v>0</v>
      </c>
      <c r="I806">
        <f>IFERROR(VLOOKUP(Tabla13[[#This Row],[SISMED]],TblDisponibilidad[],13,FALSE), 0)</f>
        <v>0</v>
      </c>
      <c r="J806">
        <f>IFERROR(VLOOKUP(Tabla13[[#This Row],[SISMED]],TblDisponibilidad[],14,FALSE), 0)</f>
        <v>0</v>
      </c>
      <c r="K806">
        <f>IFERROR(VLOOKUP(Tabla13[[#This Row],[SISMED]],TblDisponibilidad[],15,FALSE), 0)</f>
        <v>0</v>
      </c>
      <c r="L806">
        <f>IFERROR(VLOOKUP(Tabla13[[#This Row],[SISMED]],TblDisponibilidad[],16,FALSE), 0)</f>
        <v>0</v>
      </c>
      <c r="M806">
        <f>IFERROR(VLOOKUP(Tabla13[[#This Row],[SISMED]],TblDisponibilidad[],17,FALSE), 0)</f>
        <v>0</v>
      </c>
      <c r="N806">
        <f>IFERROR(VLOOKUP(Tabla13[[#This Row],[SISMED]],TblDisponibilidad[],18,FALSE), 0)</f>
        <v>0</v>
      </c>
      <c r="O806">
        <f>IFERROR(VLOOKUP(Tabla13[[#This Row],[SISMED]],TblDisponibilidad[],19,FALSE), 0)</f>
        <v>0</v>
      </c>
      <c r="P806">
        <f>IFERROR(VLOOKUP(Tabla13[[#This Row],[SISMED]],TblDisponibilidad[],20,FALSE), 0)</f>
        <v>0</v>
      </c>
      <c r="Q806">
        <f>IFERROR(VLOOKUP(Tabla13[[#This Row],[SISMED]],TblDisponibilidad[],21,FALSE), 0)</f>
        <v>0</v>
      </c>
      <c r="R806">
        <f>IFERROR(VLOOKUP(Tabla13[[#This Row],[SISMED]],TblDisponibilidad[],22,FALSE), 0)</f>
        <v>0</v>
      </c>
      <c r="S806" s="15">
        <f>IFERROR(VLOOKUP(Tabla13[[#This Row],[SISMED]],TblDisponibilidad[],23,FALSE), 0)</f>
        <v>0</v>
      </c>
    </row>
    <row r="807" spans="1:19" x14ac:dyDescent="0.3">
      <c r="A807" s="15" t="s">
        <v>837</v>
      </c>
      <c r="B807" t="str">
        <f>IFERROR(VLOOKUP(Tabla13[[#This Row],[SISMED]],TblDisponibilidad[],2,FALSE), "")</f>
        <v/>
      </c>
      <c r="C807">
        <f>IFERROR(VLOOKUP(Tabla13[[#This Row],[SISMED]],TblDisponibilidad[],7,FALSE), 0)</f>
        <v>0</v>
      </c>
      <c r="D807">
        <f>IFERROR(VLOOKUP(Tabla13[[#This Row],[SISMED]],TblDisponibilidad[],8,FALSE), 0)</f>
        <v>0</v>
      </c>
      <c r="E807">
        <f>IFERROR(VLOOKUP(Tabla13[[#This Row],[SISMED]],TblDisponibilidad[],9,FALSE), 0)</f>
        <v>0</v>
      </c>
      <c r="F807">
        <f>IFERROR(VLOOKUP(Tabla13[[#This Row],[SISMED]],TblDisponibilidad[],10,FALSE), 0)</f>
        <v>0</v>
      </c>
      <c r="G807">
        <f>IFERROR(VLOOKUP(Tabla13[[#This Row],[SISMED]],TblDisponibilidad[],11,FALSE), 0)</f>
        <v>0</v>
      </c>
      <c r="H807">
        <f>IFERROR(VLOOKUP(Tabla13[[#This Row],[SISMED]],TblDisponibilidad[],12,FALSE), 0)</f>
        <v>0</v>
      </c>
      <c r="I807">
        <f>IFERROR(VLOOKUP(Tabla13[[#This Row],[SISMED]],TblDisponibilidad[],13,FALSE), 0)</f>
        <v>0</v>
      </c>
      <c r="J807">
        <f>IFERROR(VLOOKUP(Tabla13[[#This Row],[SISMED]],TblDisponibilidad[],14,FALSE), 0)</f>
        <v>0</v>
      </c>
      <c r="K807">
        <f>IFERROR(VLOOKUP(Tabla13[[#This Row],[SISMED]],TblDisponibilidad[],15,FALSE), 0)</f>
        <v>0</v>
      </c>
      <c r="L807">
        <f>IFERROR(VLOOKUP(Tabla13[[#This Row],[SISMED]],TblDisponibilidad[],16,FALSE), 0)</f>
        <v>0</v>
      </c>
      <c r="M807">
        <f>IFERROR(VLOOKUP(Tabla13[[#This Row],[SISMED]],TblDisponibilidad[],17,FALSE), 0)</f>
        <v>0</v>
      </c>
      <c r="N807">
        <f>IFERROR(VLOOKUP(Tabla13[[#This Row],[SISMED]],TblDisponibilidad[],18,FALSE), 0)</f>
        <v>0</v>
      </c>
      <c r="O807">
        <f>IFERROR(VLOOKUP(Tabla13[[#This Row],[SISMED]],TblDisponibilidad[],19,FALSE), 0)</f>
        <v>0</v>
      </c>
      <c r="P807">
        <f>IFERROR(VLOOKUP(Tabla13[[#This Row],[SISMED]],TblDisponibilidad[],20,FALSE), 0)</f>
        <v>0</v>
      </c>
      <c r="Q807">
        <f>IFERROR(VLOOKUP(Tabla13[[#This Row],[SISMED]],TblDisponibilidad[],21,FALSE), 0)</f>
        <v>0</v>
      </c>
      <c r="R807">
        <f>IFERROR(VLOOKUP(Tabla13[[#This Row],[SISMED]],TblDisponibilidad[],22,FALSE), 0)</f>
        <v>0</v>
      </c>
      <c r="S807" s="15">
        <f>IFERROR(VLOOKUP(Tabla13[[#This Row],[SISMED]],TblDisponibilidad[],23,FALSE), 0)</f>
        <v>0</v>
      </c>
    </row>
    <row r="808" spans="1:19" x14ac:dyDescent="0.3">
      <c r="A808" s="15" t="s">
        <v>838</v>
      </c>
      <c r="B808" t="str">
        <f>IFERROR(VLOOKUP(Tabla13[[#This Row],[SISMED]],TblDisponibilidad[],2,FALSE), "")</f>
        <v/>
      </c>
      <c r="C808">
        <f>IFERROR(VLOOKUP(Tabla13[[#This Row],[SISMED]],TblDisponibilidad[],7,FALSE), 0)</f>
        <v>0</v>
      </c>
      <c r="D808">
        <f>IFERROR(VLOOKUP(Tabla13[[#This Row],[SISMED]],TblDisponibilidad[],8,FALSE), 0)</f>
        <v>0</v>
      </c>
      <c r="E808">
        <f>IFERROR(VLOOKUP(Tabla13[[#This Row],[SISMED]],TblDisponibilidad[],9,FALSE), 0)</f>
        <v>0</v>
      </c>
      <c r="F808">
        <f>IFERROR(VLOOKUP(Tabla13[[#This Row],[SISMED]],TblDisponibilidad[],10,FALSE), 0)</f>
        <v>0</v>
      </c>
      <c r="G808">
        <f>IFERROR(VLOOKUP(Tabla13[[#This Row],[SISMED]],TblDisponibilidad[],11,FALSE), 0)</f>
        <v>0</v>
      </c>
      <c r="H808">
        <f>IFERROR(VLOOKUP(Tabla13[[#This Row],[SISMED]],TblDisponibilidad[],12,FALSE), 0)</f>
        <v>0</v>
      </c>
      <c r="I808">
        <f>IFERROR(VLOOKUP(Tabla13[[#This Row],[SISMED]],TblDisponibilidad[],13,FALSE), 0)</f>
        <v>0</v>
      </c>
      <c r="J808">
        <f>IFERROR(VLOOKUP(Tabla13[[#This Row],[SISMED]],TblDisponibilidad[],14,FALSE), 0)</f>
        <v>0</v>
      </c>
      <c r="K808">
        <f>IFERROR(VLOOKUP(Tabla13[[#This Row],[SISMED]],TblDisponibilidad[],15,FALSE), 0)</f>
        <v>0</v>
      </c>
      <c r="L808">
        <f>IFERROR(VLOOKUP(Tabla13[[#This Row],[SISMED]],TblDisponibilidad[],16,FALSE), 0)</f>
        <v>0</v>
      </c>
      <c r="M808">
        <f>IFERROR(VLOOKUP(Tabla13[[#This Row],[SISMED]],TblDisponibilidad[],17,FALSE), 0)</f>
        <v>0</v>
      </c>
      <c r="N808">
        <f>IFERROR(VLOOKUP(Tabla13[[#This Row],[SISMED]],TblDisponibilidad[],18,FALSE), 0)</f>
        <v>0</v>
      </c>
      <c r="O808">
        <f>IFERROR(VLOOKUP(Tabla13[[#This Row],[SISMED]],TblDisponibilidad[],19,FALSE), 0)</f>
        <v>0</v>
      </c>
      <c r="P808">
        <f>IFERROR(VLOOKUP(Tabla13[[#This Row],[SISMED]],TblDisponibilidad[],20,FALSE), 0)</f>
        <v>0</v>
      </c>
      <c r="Q808">
        <f>IFERROR(VLOOKUP(Tabla13[[#This Row],[SISMED]],TblDisponibilidad[],21,FALSE), 0)</f>
        <v>0</v>
      </c>
      <c r="R808">
        <f>IFERROR(VLOOKUP(Tabla13[[#This Row],[SISMED]],TblDisponibilidad[],22,FALSE), 0)</f>
        <v>0</v>
      </c>
      <c r="S808" s="15">
        <f>IFERROR(VLOOKUP(Tabla13[[#This Row],[SISMED]],TblDisponibilidad[],23,FALSE), 0)</f>
        <v>0</v>
      </c>
    </row>
    <row r="809" spans="1:19" x14ac:dyDescent="0.3">
      <c r="A809" s="15" t="s">
        <v>839</v>
      </c>
      <c r="B809" t="str">
        <f>IFERROR(VLOOKUP(Tabla13[[#This Row],[SISMED]],TblDisponibilidad[],2,FALSE), "")</f>
        <v/>
      </c>
      <c r="C809">
        <f>IFERROR(VLOOKUP(Tabla13[[#This Row],[SISMED]],TblDisponibilidad[],7,FALSE), 0)</f>
        <v>0</v>
      </c>
      <c r="D809">
        <f>IFERROR(VLOOKUP(Tabla13[[#This Row],[SISMED]],TblDisponibilidad[],8,FALSE), 0)</f>
        <v>0</v>
      </c>
      <c r="E809">
        <f>IFERROR(VLOOKUP(Tabla13[[#This Row],[SISMED]],TblDisponibilidad[],9,FALSE), 0)</f>
        <v>0</v>
      </c>
      <c r="F809">
        <f>IFERROR(VLOOKUP(Tabla13[[#This Row],[SISMED]],TblDisponibilidad[],10,FALSE), 0)</f>
        <v>0</v>
      </c>
      <c r="G809">
        <f>IFERROR(VLOOKUP(Tabla13[[#This Row],[SISMED]],TblDisponibilidad[],11,FALSE), 0)</f>
        <v>0</v>
      </c>
      <c r="H809">
        <f>IFERROR(VLOOKUP(Tabla13[[#This Row],[SISMED]],TblDisponibilidad[],12,FALSE), 0)</f>
        <v>0</v>
      </c>
      <c r="I809">
        <f>IFERROR(VLOOKUP(Tabla13[[#This Row],[SISMED]],TblDisponibilidad[],13,FALSE), 0)</f>
        <v>0</v>
      </c>
      <c r="J809">
        <f>IFERROR(VLOOKUP(Tabla13[[#This Row],[SISMED]],TblDisponibilidad[],14,FALSE), 0)</f>
        <v>0</v>
      </c>
      <c r="K809">
        <f>IFERROR(VLOOKUP(Tabla13[[#This Row],[SISMED]],TblDisponibilidad[],15,FALSE), 0)</f>
        <v>0</v>
      </c>
      <c r="L809">
        <f>IFERROR(VLOOKUP(Tabla13[[#This Row],[SISMED]],TblDisponibilidad[],16,FALSE), 0)</f>
        <v>0</v>
      </c>
      <c r="M809">
        <f>IFERROR(VLOOKUP(Tabla13[[#This Row],[SISMED]],TblDisponibilidad[],17,FALSE), 0)</f>
        <v>0</v>
      </c>
      <c r="N809">
        <f>IFERROR(VLOOKUP(Tabla13[[#This Row],[SISMED]],TblDisponibilidad[],18,FALSE), 0)</f>
        <v>0</v>
      </c>
      <c r="O809">
        <f>IFERROR(VLOOKUP(Tabla13[[#This Row],[SISMED]],TblDisponibilidad[],19,FALSE), 0)</f>
        <v>0</v>
      </c>
      <c r="P809">
        <f>IFERROR(VLOOKUP(Tabla13[[#This Row],[SISMED]],TblDisponibilidad[],20,FALSE), 0)</f>
        <v>0</v>
      </c>
      <c r="Q809">
        <f>IFERROR(VLOOKUP(Tabla13[[#This Row],[SISMED]],TblDisponibilidad[],21,FALSE), 0)</f>
        <v>0</v>
      </c>
      <c r="R809">
        <f>IFERROR(VLOOKUP(Tabla13[[#This Row],[SISMED]],TblDisponibilidad[],22,FALSE), 0)</f>
        <v>0</v>
      </c>
      <c r="S809" s="15">
        <f>IFERROR(VLOOKUP(Tabla13[[#This Row],[SISMED]],TblDisponibilidad[],23,FALSE), 0)</f>
        <v>0</v>
      </c>
    </row>
    <row r="810" spans="1:19" x14ac:dyDescent="0.3">
      <c r="A810" s="15" t="s">
        <v>840</v>
      </c>
      <c r="B810" t="str">
        <f>IFERROR(VLOOKUP(Tabla13[[#This Row],[SISMED]],TblDisponibilidad[],2,FALSE), "")</f>
        <v/>
      </c>
      <c r="C810">
        <f>IFERROR(VLOOKUP(Tabla13[[#This Row],[SISMED]],TblDisponibilidad[],7,FALSE), 0)</f>
        <v>0</v>
      </c>
      <c r="D810">
        <f>IFERROR(VLOOKUP(Tabla13[[#This Row],[SISMED]],TblDisponibilidad[],8,FALSE), 0)</f>
        <v>0</v>
      </c>
      <c r="E810">
        <f>IFERROR(VLOOKUP(Tabla13[[#This Row],[SISMED]],TblDisponibilidad[],9,FALSE), 0)</f>
        <v>0</v>
      </c>
      <c r="F810">
        <f>IFERROR(VLOOKUP(Tabla13[[#This Row],[SISMED]],TblDisponibilidad[],10,FALSE), 0)</f>
        <v>0</v>
      </c>
      <c r="G810">
        <f>IFERROR(VLOOKUP(Tabla13[[#This Row],[SISMED]],TblDisponibilidad[],11,FALSE), 0)</f>
        <v>0</v>
      </c>
      <c r="H810">
        <f>IFERROR(VLOOKUP(Tabla13[[#This Row],[SISMED]],TblDisponibilidad[],12,FALSE), 0)</f>
        <v>0</v>
      </c>
      <c r="I810">
        <f>IFERROR(VLOOKUP(Tabla13[[#This Row],[SISMED]],TblDisponibilidad[],13,FALSE), 0)</f>
        <v>0</v>
      </c>
      <c r="J810">
        <f>IFERROR(VLOOKUP(Tabla13[[#This Row],[SISMED]],TblDisponibilidad[],14,FALSE), 0)</f>
        <v>0</v>
      </c>
      <c r="K810">
        <f>IFERROR(VLOOKUP(Tabla13[[#This Row],[SISMED]],TblDisponibilidad[],15,FALSE), 0)</f>
        <v>0</v>
      </c>
      <c r="L810">
        <f>IFERROR(VLOOKUP(Tabla13[[#This Row],[SISMED]],TblDisponibilidad[],16,FALSE), 0)</f>
        <v>0</v>
      </c>
      <c r="M810">
        <f>IFERROR(VLOOKUP(Tabla13[[#This Row],[SISMED]],TblDisponibilidad[],17,FALSE), 0)</f>
        <v>0</v>
      </c>
      <c r="N810">
        <f>IFERROR(VLOOKUP(Tabla13[[#This Row],[SISMED]],TblDisponibilidad[],18,FALSE), 0)</f>
        <v>0</v>
      </c>
      <c r="O810">
        <f>IFERROR(VLOOKUP(Tabla13[[#This Row],[SISMED]],TblDisponibilidad[],19,FALSE), 0)</f>
        <v>0</v>
      </c>
      <c r="P810">
        <f>IFERROR(VLOOKUP(Tabla13[[#This Row],[SISMED]],TblDisponibilidad[],20,FALSE), 0)</f>
        <v>0</v>
      </c>
      <c r="Q810">
        <f>IFERROR(VLOOKUP(Tabla13[[#This Row],[SISMED]],TblDisponibilidad[],21,FALSE), 0)</f>
        <v>0</v>
      </c>
      <c r="R810">
        <f>IFERROR(VLOOKUP(Tabla13[[#This Row],[SISMED]],TblDisponibilidad[],22,FALSE), 0)</f>
        <v>0</v>
      </c>
      <c r="S810" s="15">
        <f>IFERROR(VLOOKUP(Tabla13[[#This Row],[SISMED]],TblDisponibilidad[],23,FALSE), 0)</f>
        <v>0</v>
      </c>
    </row>
    <row r="811" spans="1:19" x14ac:dyDescent="0.3">
      <c r="A811" s="15" t="s">
        <v>841</v>
      </c>
      <c r="B811" t="str">
        <f>IFERROR(VLOOKUP(Tabla13[[#This Row],[SISMED]],TblDisponibilidad[],2,FALSE), "")</f>
        <v/>
      </c>
      <c r="C811">
        <f>IFERROR(VLOOKUP(Tabla13[[#This Row],[SISMED]],TblDisponibilidad[],7,FALSE), 0)</f>
        <v>0</v>
      </c>
      <c r="D811">
        <f>IFERROR(VLOOKUP(Tabla13[[#This Row],[SISMED]],TblDisponibilidad[],8,FALSE), 0)</f>
        <v>0</v>
      </c>
      <c r="E811">
        <f>IFERROR(VLOOKUP(Tabla13[[#This Row],[SISMED]],TblDisponibilidad[],9,FALSE), 0)</f>
        <v>0</v>
      </c>
      <c r="F811">
        <f>IFERROR(VLOOKUP(Tabla13[[#This Row],[SISMED]],TblDisponibilidad[],10,FALSE), 0)</f>
        <v>0</v>
      </c>
      <c r="G811">
        <f>IFERROR(VLOOKUP(Tabla13[[#This Row],[SISMED]],TblDisponibilidad[],11,FALSE), 0)</f>
        <v>0</v>
      </c>
      <c r="H811">
        <f>IFERROR(VLOOKUP(Tabla13[[#This Row],[SISMED]],TblDisponibilidad[],12,FALSE), 0)</f>
        <v>0</v>
      </c>
      <c r="I811">
        <f>IFERROR(VLOOKUP(Tabla13[[#This Row],[SISMED]],TblDisponibilidad[],13,FALSE), 0)</f>
        <v>0</v>
      </c>
      <c r="J811">
        <f>IFERROR(VLOOKUP(Tabla13[[#This Row],[SISMED]],TblDisponibilidad[],14,FALSE), 0)</f>
        <v>0</v>
      </c>
      <c r="K811">
        <f>IFERROR(VLOOKUP(Tabla13[[#This Row],[SISMED]],TblDisponibilidad[],15,FALSE), 0)</f>
        <v>0</v>
      </c>
      <c r="L811">
        <f>IFERROR(VLOOKUP(Tabla13[[#This Row],[SISMED]],TblDisponibilidad[],16,FALSE), 0)</f>
        <v>0</v>
      </c>
      <c r="M811">
        <f>IFERROR(VLOOKUP(Tabla13[[#This Row],[SISMED]],TblDisponibilidad[],17,FALSE), 0)</f>
        <v>0</v>
      </c>
      <c r="N811">
        <f>IFERROR(VLOOKUP(Tabla13[[#This Row],[SISMED]],TblDisponibilidad[],18,FALSE), 0)</f>
        <v>0</v>
      </c>
      <c r="O811">
        <f>IFERROR(VLOOKUP(Tabla13[[#This Row],[SISMED]],TblDisponibilidad[],19,FALSE), 0)</f>
        <v>0</v>
      </c>
      <c r="P811">
        <f>IFERROR(VLOOKUP(Tabla13[[#This Row],[SISMED]],TblDisponibilidad[],20,FALSE), 0)</f>
        <v>0</v>
      </c>
      <c r="Q811">
        <f>IFERROR(VLOOKUP(Tabla13[[#This Row],[SISMED]],TblDisponibilidad[],21,FALSE), 0)</f>
        <v>0</v>
      </c>
      <c r="R811">
        <f>IFERROR(VLOOKUP(Tabla13[[#This Row],[SISMED]],TblDisponibilidad[],22,FALSE), 0)</f>
        <v>0</v>
      </c>
      <c r="S811" s="15">
        <f>IFERROR(VLOOKUP(Tabla13[[#This Row],[SISMED]],TblDisponibilidad[],23,FALSE), 0)</f>
        <v>0</v>
      </c>
    </row>
    <row r="812" spans="1:19" x14ac:dyDescent="0.3">
      <c r="A812" s="15" t="s">
        <v>842</v>
      </c>
      <c r="B812" t="str">
        <f>IFERROR(VLOOKUP(Tabla13[[#This Row],[SISMED]],TblDisponibilidad[],2,FALSE), "")</f>
        <v/>
      </c>
      <c r="C812">
        <f>IFERROR(VLOOKUP(Tabla13[[#This Row],[SISMED]],TblDisponibilidad[],7,FALSE), 0)</f>
        <v>0</v>
      </c>
      <c r="D812">
        <f>IFERROR(VLOOKUP(Tabla13[[#This Row],[SISMED]],TblDisponibilidad[],8,FALSE), 0)</f>
        <v>0</v>
      </c>
      <c r="E812">
        <f>IFERROR(VLOOKUP(Tabla13[[#This Row],[SISMED]],TblDisponibilidad[],9,FALSE), 0)</f>
        <v>0</v>
      </c>
      <c r="F812">
        <f>IFERROR(VLOOKUP(Tabla13[[#This Row],[SISMED]],TblDisponibilidad[],10,FALSE), 0)</f>
        <v>0</v>
      </c>
      <c r="G812">
        <f>IFERROR(VLOOKUP(Tabla13[[#This Row],[SISMED]],TblDisponibilidad[],11,FALSE), 0)</f>
        <v>0</v>
      </c>
      <c r="H812">
        <f>IFERROR(VLOOKUP(Tabla13[[#This Row],[SISMED]],TblDisponibilidad[],12,FALSE), 0)</f>
        <v>0</v>
      </c>
      <c r="I812">
        <f>IFERROR(VLOOKUP(Tabla13[[#This Row],[SISMED]],TblDisponibilidad[],13,FALSE), 0)</f>
        <v>0</v>
      </c>
      <c r="J812">
        <f>IFERROR(VLOOKUP(Tabla13[[#This Row],[SISMED]],TblDisponibilidad[],14,FALSE), 0)</f>
        <v>0</v>
      </c>
      <c r="K812">
        <f>IFERROR(VLOOKUP(Tabla13[[#This Row],[SISMED]],TblDisponibilidad[],15,FALSE), 0)</f>
        <v>0</v>
      </c>
      <c r="L812">
        <f>IFERROR(VLOOKUP(Tabla13[[#This Row],[SISMED]],TblDisponibilidad[],16,FALSE), 0)</f>
        <v>0</v>
      </c>
      <c r="M812">
        <f>IFERROR(VLOOKUP(Tabla13[[#This Row],[SISMED]],TblDisponibilidad[],17,FALSE), 0)</f>
        <v>0</v>
      </c>
      <c r="N812">
        <f>IFERROR(VLOOKUP(Tabla13[[#This Row],[SISMED]],TblDisponibilidad[],18,FALSE), 0)</f>
        <v>0</v>
      </c>
      <c r="O812">
        <f>IFERROR(VLOOKUP(Tabla13[[#This Row],[SISMED]],TblDisponibilidad[],19,FALSE), 0)</f>
        <v>0</v>
      </c>
      <c r="P812">
        <f>IFERROR(VLOOKUP(Tabla13[[#This Row],[SISMED]],TblDisponibilidad[],20,FALSE), 0)</f>
        <v>0</v>
      </c>
      <c r="Q812">
        <f>IFERROR(VLOOKUP(Tabla13[[#This Row],[SISMED]],TblDisponibilidad[],21,FALSE), 0)</f>
        <v>0</v>
      </c>
      <c r="R812">
        <f>IFERROR(VLOOKUP(Tabla13[[#This Row],[SISMED]],TblDisponibilidad[],22,FALSE), 0)</f>
        <v>0</v>
      </c>
      <c r="S812" s="15">
        <f>IFERROR(VLOOKUP(Tabla13[[#This Row],[SISMED]],TblDisponibilidad[],23,FALSE), 0)</f>
        <v>0</v>
      </c>
    </row>
    <row r="813" spans="1:19" x14ac:dyDescent="0.3">
      <c r="A813" s="15" t="s">
        <v>843</v>
      </c>
      <c r="B813" t="str">
        <f>IFERROR(VLOOKUP(Tabla13[[#This Row],[SISMED]],TblDisponibilidad[],2,FALSE), "")</f>
        <v/>
      </c>
      <c r="C813">
        <f>IFERROR(VLOOKUP(Tabla13[[#This Row],[SISMED]],TblDisponibilidad[],7,FALSE), 0)</f>
        <v>0</v>
      </c>
      <c r="D813">
        <f>IFERROR(VLOOKUP(Tabla13[[#This Row],[SISMED]],TblDisponibilidad[],8,FALSE), 0)</f>
        <v>0</v>
      </c>
      <c r="E813">
        <f>IFERROR(VLOOKUP(Tabla13[[#This Row],[SISMED]],TblDisponibilidad[],9,FALSE), 0)</f>
        <v>0</v>
      </c>
      <c r="F813">
        <f>IFERROR(VLOOKUP(Tabla13[[#This Row],[SISMED]],TblDisponibilidad[],10,FALSE), 0)</f>
        <v>0</v>
      </c>
      <c r="G813">
        <f>IFERROR(VLOOKUP(Tabla13[[#This Row],[SISMED]],TblDisponibilidad[],11,FALSE), 0)</f>
        <v>0</v>
      </c>
      <c r="H813">
        <f>IFERROR(VLOOKUP(Tabla13[[#This Row],[SISMED]],TblDisponibilidad[],12,FALSE), 0)</f>
        <v>0</v>
      </c>
      <c r="I813">
        <f>IFERROR(VLOOKUP(Tabla13[[#This Row],[SISMED]],TblDisponibilidad[],13,FALSE), 0)</f>
        <v>0</v>
      </c>
      <c r="J813">
        <f>IFERROR(VLOOKUP(Tabla13[[#This Row],[SISMED]],TblDisponibilidad[],14,FALSE), 0)</f>
        <v>0</v>
      </c>
      <c r="K813">
        <f>IFERROR(VLOOKUP(Tabla13[[#This Row],[SISMED]],TblDisponibilidad[],15,FALSE), 0)</f>
        <v>0</v>
      </c>
      <c r="L813">
        <f>IFERROR(VLOOKUP(Tabla13[[#This Row],[SISMED]],TblDisponibilidad[],16,FALSE), 0)</f>
        <v>0</v>
      </c>
      <c r="M813">
        <f>IFERROR(VLOOKUP(Tabla13[[#This Row],[SISMED]],TblDisponibilidad[],17,FALSE), 0)</f>
        <v>0</v>
      </c>
      <c r="N813">
        <f>IFERROR(VLOOKUP(Tabla13[[#This Row],[SISMED]],TblDisponibilidad[],18,FALSE), 0)</f>
        <v>0</v>
      </c>
      <c r="O813">
        <f>IFERROR(VLOOKUP(Tabla13[[#This Row],[SISMED]],TblDisponibilidad[],19,FALSE), 0)</f>
        <v>0</v>
      </c>
      <c r="P813">
        <f>IFERROR(VLOOKUP(Tabla13[[#This Row],[SISMED]],TblDisponibilidad[],20,FALSE), 0)</f>
        <v>0</v>
      </c>
      <c r="Q813">
        <f>IFERROR(VLOOKUP(Tabla13[[#This Row],[SISMED]],TblDisponibilidad[],21,FALSE), 0)</f>
        <v>0</v>
      </c>
      <c r="R813">
        <f>IFERROR(VLOOKUP(Tabla13[[#This Row],[SISMED]],TblDisponibilidad[],22,FALSE), 0)</f>
        <v>0</v>
      </c>
      <c r="S813" s="15">
        <f>IFERROR(VLOOKUP(Tabla13[[#This Row],[SISMED]],TblDisponibilidad[],23,FALSE), 0)</f>
        <v>0</v>
      </c>
    </row>
    <row r="814" spans="1:19" x14ac:dyDescent="0.3">
      <c r="A814" s="15" t="s">
        <v>844</v>
      </c>
      <c r="B814" t="str">
        <f>IFERROR(VLOOKUP(Tabla13[[#This Row],[SISMED]],TblDisponibilidad[],2,FALSE), "")</f>
        <v/>
      </c>
      <c r="C814">
        <f>IFERROR(VLOOKUP(Tabla13[[#This Row],[SISMED]],TblDisponibilidad[],7,FALSE), 0)</f>
        <v>0</v>
      </c>
      <c r="D814">
        <f>IFERROR(VLOOKUP(Tabla13[[#This Row],[SISMED]],TblDisponibilidad[],8,FALSE), 0)</f>
        <v>0</v>
      </c>
      <c r="E814">
        <f>IFERROR(VLOOKUP(Tabla13[[#This Row],[SISMED]],TblDisponibilidad[],9,FALSE), 0)</f>
        <v>0</v>
      </c>
      <c r="F814">
        <f>IFERROR(VLOOKUP(Tabla13[[#This Row],[SISMED]],TblDisponibilidad[],10,FALSE), 0)</f>
        <v>0</v>
      </c>
      <c r="G814">
        <f>IFERROR(VLOOKUP(Tabla13[[#This Row],[SISMED]],TblDisponibilidad[],11,FALSE), 0)</f>
        <v>0</v>
      </c>
      <c r="H814">
        <f>IFERROR(VLOOKUP(Tabla13[[#This Row],[SISMED]],TblDisponibilidad[],12,FALSE), 0)</f>
        <v>0</v>
      </c>
      <c r="I814">
        <f>IFERROR(VLOOKUP(Tabla13[[#This Row],[SISMED]],TblDisponibilidad[],13,FALSE), 0)</f>
        <v>0</v>
      </c>
      <c r="J814">
        <f>IFERROR(VLOOKUP(Tabla13[[#This Row],[SISMED]],TblDisponibilidad[],14,FALSE), 0)</f>
        <v>0</v>
      </c>
      <c r="K814">
        <f>IFERROR(VLOOKUP(Tabla13[[#This Row],[SISMED]],TblDisponibilidad[],15,FALSE), 0)</f>
        <v>0</v>
      </c>
      <c r="L814">
        <f>IFERROR(VLOOKUP(Tabla13[[#This Row],[SISMED]],TblDisponibilidad[],16,FALSE), 0)</f>
        <v>0</v>
      </c>
      <c r="M814">
        <f>IFERROR(VLOOKUP(Tabla13[[#This Row],[SISMED]],TblDisponibilidad[],17,FALSE), 0)</f>
        <v>0</v>
      </c>
      <c r="N814">
        <f>IFERROR(VLOOKUP(Tabla13[[#This Row],[SISMED]],TblDisponibilidad[],18,FALSE), 0)</f>
        <v>0</v>
      </c>
      <c r="O814">
        <f>IFERROR(VLOOKUP(Tabla13[[#This Row],[SISMED]],TblDisponibilidad[],19,FALSE), 0)</f>
        <v>0</v>
      </c>
      <c r="P814">
        <f>IFERROR(VLOOKUP(Tabla13[[#This Row],[SISMED]],TblDisponibilidad[],20,FALSE), 0)</f>
        <v>0</v>
      </c>
      <c r="Q814">
        <f>IFERROR(VLOOKUP(Tabla13[[#This Row],[SISMED]],TblDisponibilidad[],21,FALSE), 0)</f>
        <v>0</v>
      </c>
      <c r="R814">
        <f>IFERROR(VLOOKUP(Tabla13[[#This Row],[SISMED]],TblDisponibilidad[],22,FALSE), 0)</f>
        <v>0</v>
      </c>
      <c r="S814" s="15">
        <f>IFERROR(VLOOKUP(Tabla13[[#This Row],[SISMED]],TblDisponibilidad[],23,FALSE), 0)</f>
        <v>0</v>
      </c>
    </row>
    <row r="815" spans="1:19" x14ac:dyDescent="0.3">
      <c r="A815" s="15" t="s">
        <v>845</v>
      </c>
      <c r="B815" t="str">
        <f>IFERROR(VLOOKUP(Tabla13[[#This Row],[SISMED]],TblDisponibilidad[],2,FALSE), "")</f>
        <v/>
      </c>
      <c r="C815">
        <f>IFERROR(VLOOKUP(Tabla13[[#This Row],[SISMED]],TblDisponibilidad[],7,FALSE), 0)</f>
        <v>0</v>
      </c>
      <c r="D815">
        <f>IFERROR(VLOOKUP(Tabla13[[#This Row],[SISMED]],TblDisponibilidad[],8,FALSE), 0)</f>
        <v>0</v>
      </c>
      <c r="E815">
        <f>IFERROR(VLOOKUP(Tabla13[[#This Row],[SISMED]],TblDisponibilidad[],9,FALSE), 0)</f>
        <v>0</v>
      </c>
      <c r="F815">
        <f>IFERROR(VLOOKUP(Tabla13[[#This Row],[SISMED]],TblDisponibilidad[],10,FALSE), 0)</f>
        <v>0</v>
      </c>
      <c r="G815">
        <f>IFERROR(VLOOKUP(Tabla13[[#This Row],[SISMED]],TblDisponibilidad[],11,FALSE), 0)</f>
        <v>0</v>
      </c>
      <c r="H815">
        <f>IFERROR(VLOOKUP(Tabla13[[#This Row],[SISMED]],TblDisponibilidad[],12,FALSE), 0)</f>
        <v>0</v>
      </c>
      <c r="I815">
        <f>IFERROR(VLOOKUP(Tabla13[[#This Row],[SISMED]],TblDisponibilidad[],13,FALSE), 0)</f>
        <v>0</v>
      </c>
      <c r="J815">
        <f>IFERROR(VLOOKUP(Tabla13[[#This Row],[SISMED]],TblDisponibilidad[],14,FALSE), 0)</f>
        <v>0</v>
      </c>
      <c r="K815">
        <f>IFERROR(VLOOKUP(Tabla13[[#This Row],[SISMED]],TblDisponibilidad[],15,FALSE), 0)</f>
        <v>0</v>
      </c>
      <c r="L815">
        <f>IFERROR(VLOOKUP(Tabla13[[#This Row],[SISMED]],TblDisponibilidad[],16,FALSE), 0)</f>
        <v>0</v>
      </c>
      <c r="M815">
        <f>IFERROR(VLOOKUP(Tabla13[[#This Row],[SISMED]],TblDisponibilidad[],17,FALSE), 0)</f>
        <v>0</v>
      </c>
      <c r="N815">
        <f>IFERROR(VLOOKUP(Tabla13[[#This Row],[SISMED]],TblDisponibilidad[],18,FALSE), 0)</f>
        <v>0</v>
      </c>
      <c r="O815">
        <f>IFERROR(VLOOKUP(Tabla13[[#This Row],[SISMED]],TblDisponibilidad[],19,FALSE), 0)</f>
        <v>0</v>
      </c>
      <c r="P815">
        <f>IFERROR(VLOOKUP(Tabla13[[#This Row],[SISMED]],TblDisponibilidad[],20,FALSE), 0)</f>
        <v>0</v>
      </c>
      <c r="Q815">
        <f>IFERROR(VLOOKUP(Tabla13[[#This Row],[SISMED]],TblDisponibilidad[],21,FALSE), 0)</f>
        <v>0</v>
      </c>
      <c r="R815">
        <f>IFERROR(VLOOKUP(Tabla13[[#This Row],[SISMED]],TblDisponibilidad[],22,FALSE), 0)</f>
        <v>0</v>
      </c>
      <c r="S815" s="15">
        <f>IFERROR(VLOOKUP(Tabla13[[#This Row],[SISMED]],TblDisponibilidad[],23,FALSE), 0)</f>
        <v>0</v>
      </c>
    </row>
    <row r="816" spans="1:19" x14ac:dyDescent="0.3">
      <c r="A816" s="15" t="s">
        <v>846</v>
      </c>
      <c r="B816" t="str">
        <f>IFERROR(VLOOKUP(Tabla13[[#This Row],[SISMED]],TblDisponibilidad[],2,FALSE), "")</f>
        <v/>
      </c>
      <c r="C816">
        <f>IFERROR(VLOOKUP(Tabla13[[#This Row],[SISMED]],TblDisponibilidad[],7,FALSE), 0)</f>
        <v>0</v>
      </c>
      <c r="D816">
        <f>IFERROR(VLOOKUP(Tabla13[[#This Row],[SISMED]],TblDisponibilidad[],8,FALSE), 0)</f>
        <v>0</v>
      </c>
      <c r="E816">
        <f>IFERROR(VLOOKUP(Tabla13[[#This Row],[SISMED]],TblDisponibilidad[],9,FALSE), 0)</f>
        <v>0</v>
      </c>
      <c r="F816">
        <f>IFERROR(VLOOKUP(Tabla13[[#This Row],[SISMED]],TblDisponibilidad[],10,FALSE), 0)</f>
        <v>0</v>
      </c>
      <c r="G816">
        <f>IFERROR(VLOOKUP(Tabla13[[#This Row],[SISMED]],TblDisponibilidad[],11,FALSE), 0)</f>
        <v>0</v>
      </c>
      <c r="H816">
        <f>IFERROR(VLOOKUP(Tabla13[[#This Row],[SISMED]],TblDisponibilidad[],12,FALSE), 0)</f>
        <v>0</v>
      </c>
      <c r="I816">
        <f>IFERROR(VLOOKUP(Tabla13[[#This Row],[SISMED]],TblDisponibilidad[],13,FALSE), 0)</f>
        <v>0</v>
      </c>
      <c r="J816">
        <f>IFERROR(VLOOKUP(Tabla13[[#This Row],[SISMED]],TblDisponibilidad[],14,FALSE), 0)</f>
        <v>0</v>
      </c>
      <c r="K816">
        <f>IFERROR(VLOOKUP(Tabla13[[#This Row],[SISMED]],TblDisponibilidad[],15,FALSE), 0)</f>
        <v>0</v>
      </c>
      <c r="L816">
        <f>IFERROR(VLOOKUP(Tabla13[[#This Row],[SISMED]],TblDisponibilidad[],16,FALSE), 0)</f>
        <v>0</v>
      </c>
      <c r="M816">
        <f>IFERROR(VLOOKUP(Tabla13[[#This Row],[SISMED]],TblDisponibilidad[],17,FALSE), 0)</f>
        <v>0</v>
      </c>
      <c r="N816">
        <f>IFERROR(VLOOKUP(Tabla13[[#This Row],[SISMED]],TblDisponibilidad[],18,FALSE), 0)</f>
        <v>0</v>
      </c>
      <c r="O816">
        <f>IFERROR(VLOOKUP(Tabla13[[#This Row],[SISMED]],TblDisponibilidad[],19,FALSE), 0)</f>
        <v>0</v>
      </c>
      <c r="P816">
        <f>IFERROR(VLOOKUP(Tabla13[[#This Row],[SISMED]],TblDisponibilidad[],20,FALSE), 0)</f>
        <v>0</v>
      </c>
      <c r="Q816">
        <f>IFERROR(VLOOKUP(Tabla13[[#This Row],[SISMED]],TblDisponibilidad[],21,FALSE), 0)</f>
        <v>0</v>
      </c>
      <c r="R816">
        <f>IFERROR(VLOOKUP(Tabla13[[#This Row],[SISMED]],TblDisponibilidad[],22,FALSE), 0)</f>
        <v>0</v>
      </c>
      <c r="S816" s="15">
        <f>IFERROR(VLOOKUP(Tabla13[[#This Row],[SISMED]],TblDisponibilidad[],23,FALSE), 0)</f>
        <v>0</v>
      </c>
    </row>
    <row r="817" spans="1:19" x14ac:dyDescent="0.3">
      <c r="A817" s="15" t="s">
        <v>847</v>
      </c>
      <c r="B817" t="str">
        <f>IFERROR(VLOOKUP(Tabla13[[#This Row],[SISMED]],TblDisponibilidad[],2,FALSE), "")</f>
        <v/>
      </c>
      <c r="C817">
        <f>IFERROR(VLOOKUP(Tabla13[[#This Row],[SISMED]],TblDisponibilidad[],7,FALSE), 0)</f>
        <v>0</v>
      </c>
      <c r="D817">
        <f>IFERROR(VLOOKUP(Tabla13[[#This Row],[SISMED]],TblDisponibilidad[],8,FALSE), 0)</f>
        <v>0</v>
      </c>
      <c r="E817">
        <f>IFERROR(VLOOKUP(Tabla13[[#This Row],[SISMED]],TblDisponibilidad[],9,FALSE), 0)</f>
        <v>0</v>
      </c>
      <c r="F817">
        <f>IFERROR(VLOOKUP(Tabla13[[#This Row],[SISMED]],TblDisponibilidad[],10,FALSE), 0)</f>
        <v>0</v>
      </c>
      <c r="G817">
        <f>IFERROR(VLOOKUP(Tabla13[[#This Row],[SISMED]],TblDisponibilidad[],11,FALSE), 0)</f>
        <v>0</v>
      </c>
      <c r="H817">
        <f>IFERROR(VLOOKUP(Tabla13[[#This Row],[SISMED]],TblDisponibilidad[],12,FALSE), 0)</f>
        <v>0</v>
      </c>
      <c r="I817">
        <f>IFERROR(VLOOKUP(Tabla13[[#This Row],[SISMED]],TblDisponibilidad[],13,FALSE), 0)</f>
        <v>0</v>
      </c>
      <c r="J817">
        <f>IFERROR(VLOOKUP(Tabla13[[#This Row],[SISMED]],TblDisponibilidad[],14,FALSE), 0)</f>
        <v>0</v>
      </c>
      <c r="K817">
        <f>IFERROR(VLOOKUP(Tabla13[[#This Row],[SISMED]],TblDisponibilidad[],15,FALSE), 0)</f>
        <v>0</v>
      </c>
      <c r="L817">
        <f>IFERROR(VLOOKUP(Tabla13[[#This Row],[SISMED]],TblDisponibilidad[],16,FALSE), 0)</f>
        <v>0</v>
      </c>
      <c r="M817">
        <f>IFERROR(VLOOKUP(Tabla13[[#This Row],[SISMED]],TblDisponibilidad[],17,FALSE), 0)</f>
        <v>0</v>
      </c>
      <c r="N817">
        <f>IFERROR(VLOOKUP(Tabla13[[#This Row],[SISMED]],TblDisponibilidad[],18,FALSE), 0)</f>
        <v>0</v>
      </c>
      <c r="O817">
        <f>IFERROR(VLOOKUP(Tabla13[[#This Row],[SISMED]],TblDisponibilidad[],19,FALSE), 0)</f>
        <v>0</v>
      </c>
      <c r="P817">
        <f>IFERROR(VLOOKUP(Tabla13[[#This Row],[SISMED]],TblDisponibilidad[],20,FALSE), 0)</f>
        <v>0</v>
      </c>
      <c r="Q817">
        <f>IFERROR(VLOOKUP(Tabla13[[#This Row],[SISMED]],TblDisponibilidad[],21,FALSE), 0)</f>
        <v>0</v>
      </c>
      <c r="R817">
        <f>IFERROR(VLOOKUP(Tabla13[[#This Row],[SISMED]],TblDisponibilidad[],22,FALSE), 0)</f>
        <v>0</v>
      </c>
      <c r="S817" s="15">
        <f>IFERROR(VLOOKUP(Tabla13[[#This Row],[SISMED]],TblDisponibilidad[],23,FALSE), 0)</f>
        <v>0</v>
      </c>
    </row>
    <row r="818" spans="1:19" x14ac:dyDescent="0.3">
      <c r="A818" s="15" t="s">
        <v>848</v>
      </c>
      <c r="B818" t="str">
        <f>IFERROR(VLOOKUP(Tabla13[[#This Row],[SISMED]],TblDisponibilidad[],2,FALSE), "")</f>
        <v/>
      </c>
      <c r="C818">
        <f>IFERROR(VLOOKUP(Tabla13[[#This Row],[SISMED]],TblDisponibilidad[],7,FALSE), 0)</f>
        <v>0</v>
      </c>
      <c r="D818">
        <f>IFERROR(VLOOKUP(Tabla13[[#This Row],[SISMED]],TblDisponibilidad[],8,FALSE), 0)</f>
        <v>0</v>
      </c>
      <c r="E818">
        <f>IFERROR(VLOOKUP(Tabla13[[#This Row],[SISMED]],TblDisponibilidad[],9,FALSE), 0)</f>
        <v>0</v>
      </c>
      <c r="F818">
        <f>IFERROR(VLOOKUP(Tabla13[[#This Row],[SISMED]],TblDisponibilidad[],10,FALSE), 0)</f>
        <v>0</v>
      </c>
      <c r="G818">
        <f>IFERROR(VLOOKUP(Tabla13[[#This Row],[SISMED]],TblDisponibilidad[],11,FALSE), 0)</f>
        <v>0</v>
      </c>
      <c r="H818">
        <f>IFERROR(VLOOKUP(Tabla13[[#This Row],[SISMED]],TblDisponibilidad[],12,FALSE), 0)</f>
        <v>0</v>
      </c>
      <c r="I818">
        <f>IFERROR(VLOOKUP(Tabla13[[#This Row],[SISMED]],TblDisponibilidad[],13,FALSE), 0)</f>
        <v>0</v>
      </c>
      <c r="J818">
        <f>IFERROR(VLOOKUP(Tabla13[[#This Row],[SISMED]],TblDisponibilidad[],14,FALSE), 0)</f>
        <v>0</v>
      </c>
      <c r="K818">
        <f>IFERROR(VLOOKUP(Tabla13[[#This Row],[SISMED]],TblDisponibilidad[],15,FALSE), 0)</f>
        <v>0</v>
      </c>
      <c r="L818">
        <f>IFERROR(VLOOKUP(Tabla13[[#This Row],[SISMED]],TblDisponibilidad[],16,FALSE), 0)</f>
        <v>0</v>
      </c>
      <c r="M818">
        <f>IFERROR(VLOOKUP(Tabla13[[#This Row],[SISMED]],TblDisponibilidad[],17,FALSE), 0)</f>
        <v>0</v>
      </c>
      <c r="N818">
        <f>IFERROR(VLOOKUP(Tabla13[[#This Row],[SISMED]],TblDisponibilidad[],18,FALSE), 0)</f>
        <v>0</v>
      </c>
      <c r="O818">
        <f>IFERROR(VLOOKUP(Tabla13[[#This Row],[SISMED]],TblDisponibilidad[],19,FALSE), 0)</f>
        <v>0</v>
      </c>
      <c r="P818">
        <f>IFERROR(VLOOKUP(Tabla13[[#This Row],[SISMED]],TblDisponibilidad[],20,FALSE), 0)</f>
        <v>0</v>
      </c>
      <c r="Q818">
        <f>IFERROR(VLOOKUP(Tabla13[[#This Row],[SISMED]],TblDisponibilidad[],21,FALSE), 0)</f>
        <v>0</v>
      </c>
      <c r="R818">
        <f>IFERROR(VLOOKUP(Tabla13[[#This Row],[SISMED]],TblDisponibilidad[],22,FALSE), 0)</f>
        <v>0</v>
      </c>
      <c r="S818" s="15">
        <f>IFERROR(VLOOKUP(Tabla13[[#This Row],[SISMED]],TblDisponibilidad[],23,FALSE), 0)</f>
        <v>0</v>
      </c>
    </row>
    <row r="819" spans="1:19" x14ac:dyDescent="0.3">
      <c r="A819" s="15" t="s">
        <v>849</v>
      </c>
      <c r="B819" t="str">
        <f>IFERROR(VLOOKUP(Tabla13[[#This Row],[SISMED]],TblDisponibilidad[],2,FALSE), "")</f>
        <v/>
      </c>
      <c r="C819">
        <f>IFERROR(VLOOKUP(Tabla13[[#This Row],[SISMED]],TblDisponibilidad[],7,FALSE), 0)</f>
        <v>0</v>
      </c>
      <c r="D819">
        <f>IFERROR(VLOOKUP(Tabla13[[#This Row],[SISMED]],TblDisponibilidad[],8,FALSE), 0)</f>
        <v>0</v>
      </c>
      <c r="E819">
        <f>IFERROR(VLOOKUP(Tabla13[[#This Row],[SISMED]],TblDisponibilidad[],9,FALSE), 0)</f>
        <v>0</v>
      </c>
      <c r="F819">
        <f>IFERROR(VLOOKUP(Tabla13[[#This Row],[SISMED]],TblDisponibilidad[],10,FALSE), 0)</f>
        <v>0</v>
      </c>
      <c r="G819">
        <f>IFERROR(VLOOKUP(Tabla13[[#This Row],[SISMED]],TblDisponibilidad[],11,FALSE), 0)</f>
        <v>0</v>
      </c>
      <c r="H819">
        <f>IFERROR(VLOOKUP(Tabla13[[#This Row],[SISMED]],TblDisponibilidad[],12,FALSE), 0)</f>
        <v>0</v>
      </c>
      <c r="I819">
        <f>IFERROR(VLOOKUP(Tabla13[[#This Row],[SISMED]],TblDisponibilidad[],13,FALSE), 0)</f>
        <v>0</v>
      </c>
      <c r="J819">
        <f>IFERROR(VLOOKUP(Tabla13[[#This Row],[SISMED]],TblDisponibilidad[],14,FALSE), 0)</f>
        <v>0</v>
      </c>
      <c r="K819">
        <f>IFERROR(VLOOKUP(Tabla13[[#This Row],[SISMED]],TblDisponibilidad[],15,FALSE), 0)</f>
        <v>0</v>
      </c>
      <c r="L819">
        <f>IFERROR(VLOOKUP(Tabla13[[#This Row],[SISMED]],TblDisponibilidad[],16,FALSE), 0)</f>
        <v>0</v>
      </c>
      <c r="M819">
        <f>IFERROR(VLOOKUP(Tabla13[[#This Row],[SISMED]],TblDisponibilidad[],17,FALSE), 0)</f>
        <v>0</v>
      </c>
      <c r="N819">
        <f>IFERROR(VLOOKUP(Tabla13[[#This Row],[SISMED]],TblDisponibilidad[],18,FALSE), 0)</f>
        <v>0</v>
      </c>
      <c r="O819">
        <f>IFERROR(VLOOKUP(Tabla13[[#This Row],[SISMED]],TblDisponibilidad[],19,FALSE), 0)</f>
        <v>0</v>
      </c>
      <c r="P819">
        <f>IFERROR(VLOOKUP(Tabla13[[#This Row],[SISMED]],TblDisponibilidad[],20,FALSE), 0)</f>
        <v>0</v>
      </c>
      <c r="Q819">
        <f>IFERROR(VLOOKUP(Tabla13[[#This Row],[SISMED]],TblDisponibilidad[],21,FALSE), 0)</f>
        <v>0</v>
      </c>
      <c r="R819">
        <f>IFERROR(VLOOKUP(Tabla13[[#This Row],[SISMED]],TblDisponibilidad[],22,FALSE), 0)</f>
        <v>0</v>
      </c>
      <c r="S819" s="15">
        <f>IFERROR(VLOOKUP(Tabla13[[#This Row],[SISMED]],TblDisponibilidad[],23,FALSE), 0)</f>
        <v>0</v>
      </c>
    </row>
    <row r="820" spans="1:19" x14ac:dyDescent="0.3">
      <c r="A820" s="15" t="s">
        <v>850</v>
      </c>
      <c r="B820" t="str">
        <f>IFERROR(VLOOKUP(Tabla13[[#This Row],[SISMED]],TblDisponibilidad[],2,FALSE), "")</f>
        <v/>
      </c>
      <c r="C820">
        <f>IFERROR(VLOOKUP(Tabla13[[#This Row],[SISMED]],TblDisponibilidad[],7,FALSE), 0)</f>
        <v>0</v>
      </c>
      <c r="D820">
        <f>IFERROR(VLOOKUP(Tabla13[[#This Row],[SISMED]],TblDisponibilidad[],8,FALSE), 0)</f>
        <v>0</v>
      </c>
      <c r="E820">
        <f>IFERROR(VLOOKUP(Tabla13[[#This Row],[SISMED]],TblDisponibilidad[],9,FALSE), 0)</f>
        <v>0</v>
      </c>
      <c r="F820">
        <f>IFERROR(VLOOKUP(Tabla13[[#This Row],[SISMED]],TblDisponibilidad[],10,FALSE), 0)</f>
        <v>0</v>
      </c>
      <c r="G820">
        <f>IFERROR(VLOOKUP(Tabla13[[#This Row],[SISMED]],TblDisponibilidad[],11,FALSE), 0)</f>
        <v>0</v>
      </c>
      <c r="H820">
        <f>IFERROR(VLOOKUP(Tabla13[[#This Row],[SISMED]],TblDisponibilidad[],12,FALSE), 0)</f>
        <v>0</v>
      </c>
      <c r="I820">
        <f>IFERROR(VLOOKUP(Tabla13[[#This Row],[SISMED]],TblDisponibilidad[],13,FALSE), 0)</f>
        <v>0</v>
      </c>
      <c r="J820">
        <f>IFERROR(VLOOKUP(Tabla13[[#This Row],[SISMED]],TblDisponibilidad[],14,FALSE), 0)</f>
        <v>0</v>
      </c>
      <c r="K820">
        <f>IFERROR(VLOOKUP(Tabla13[[#This Row],[SISMED]],TblDisponibilidad[],15,FALSE), 0)</f>
        <v>0</v>
      </c>
      <c r="L820">
        <f>IFERROR(VLOOKUP(Tabla13[[#This Row],[SISMED]],TblDisponibilidad[],16,FALSE), 0)</f>
        <v>0</v>
      </c>
      <c r="M820">
        <f>IFERROR(VLOOKUP(Tabla13[[#This Row],[SISMED]],TblDisponibilidad[],17,FALSE), 0)</f>
        <v>0</v>
      </c>
      <c r="N820">
        <f>IFERROR(VLOOKUP(Tabla13[[#This Row],[SISMED]],TblDisponibilidad[],18,FALSE), 0)</f>
        <v>0</v>
      </c>
      <c r="O820">
        <f>IFERROR(VLOOKUP(Tabla13[[#This Row],[SISMED]],TblDisponibilidad[],19,FALSE), 0)</f>
        <v>0</v>
      </c>
      <c r="P820">
        <f>IFERROR(VLOOKUP(Tabla13[[#This Row],[SISMED]],TblDisponibilidad[],20,FALSE), 0)</f>
        <v>0</v>
      </c>
      <c r="Q820">
        <f>IFERROR(VLOOKUP(Tabla13[[#This Row],[SISMED]],TblDisponibilidad[],21,FALSE), 0)</f>
        <v>0</v>
      </c>
      <c r="R820">
        <f>IFERROR(VLOOKUP(Tabla13[[#This Row],[SISMED]],TblDisponibilidad[],22,FALSE), 0)</f>
        <v>0</v>
      </c>
      <c r="S820" s="15">
        <f>IFERROR(VLOOKUP(Tabla13[[#This Row],[SISMED]],TblDisponibilidad[],23,FALSE), 0)</f>
        <v>0</v>
      </c>
    </row>
    <row r="821" spans="1:19" x14ac:dyDescent="0.3">
      <c r="A821" s="15" t="s">
        <v>851</v>
      </c>
      <c r="B821" t="str">
        <f>IFERROR(VLOOKUP(Tabla13[[#This Row],[SISMED]],TblDisponibilidad[],2,FALSE), "")</f>
        <v/>
      </c>
      <c r="C821">
        <f>IFERROR(VLOOKUP(Tabla13[[#This Row],[SISMED]],TblDisponibilidad[],7,FALSE), 0)</f>
        <v>0</v>
      </c>
      <c r="D821">
        <f>IFERROR(VLOOKUP(Tabla13[[#This Row],[SISMED]],TblDisponibilidad[],8,FALSE), 0)</f>
        <v>0</v>
      </c>
      <c r="E821">
        <f>IFERROR(VLOOKUP(Tabla13[[#This Row],[SISMED]],TblDisponibilidad[],9,FALSE), 0)</f>
        <v>0</v>
      </c>
      <c r="F821">
        <f>IFERROR(VLOOKUP(Tabla13[[#This Row],[SISMED]],TblDisponibilidad[],10,FALSE), 0)</f>
        <v>0</v>
      </c>
      <c r="G821">
        <f>IFERROR(VLOOKUP(Tabla13[[#This Row],[SISMED]],TblDisponibilidad[],11,FALSE), 0)</f>
        <v>0</v>
      </c>
      <c r="H821">
        <f>IFERROR(VLOOKUP(Tabla13[[#This Row],[SISMED]],TblDisponibilidad[],12,FALSE), 0)</f>
        <v>0</v>
      </c>
      <c r="I821">
        <f>IFERROR(VLOOKUP(Tabla13[[#This Row],[SISMED]],TblDisponibilidad[],13,FALSE), 0)</f>
        <v>0</v>
      </c>
      <c r="J821">
        <f>IFERROR(VLOOKUP(Tabla13[[#This Row],[SISMED]],TblDisponibilidad[],14,FALSE), 0)</f>
        <v>0</v>
      </c>
      <c r="K821">
        <f>IFERROR(VLOOKUP(Tabla13[[#This Row],[SISMED]],TblDisponibilidad[],15,FALSE), 0)</f>
        <v>0</v>
      </c>
      <c r="L821">
        <f>IFERROR(VLOOKUP(Tabla13[[#This Row],[SISMED]],TblDisponibilidad[],16,FALSE), 0)</f>
        <v>0</v>
      </c>
      <c r="M821">
        <f>IFERROR(VLOOKUP(Tabla13[[#This Row],[SISMED]],TblDisponibilidad[],17,FALSE), 0)</f>
        <v>0</v>
      </c>
      <c r="N821">
        <f>IFERROR(VLOOKUP(Tabla13[[#This Row],[SISMED]],TblDisponibilidad[],18,FALSE), 0)</f>
        <v>0</v>
      </c>
      <c r="O821">
        <f>IFERROR(VLOOKUP(Tabla13[[#This Row],[SISMED]],TblDisponibilidad[],19,FALSE), 0)</f>
        <v>0</v>
      </c>
      <c r="P821">
        <f>IFERROR(VLOOKUP(Tabla13[[#This Row],[SISMED]],TblDisponibilidad[],20,FALSE), 0)</f>
        <v>0</v>
      </c>
      <c r="Q821">
        <f>IFERROR(VLOOKUP(Tabla13[[#This Row],[SISMED]],TblDisponibilidad[],21,FALSE), 0)</f>
        <v>0</v>
      </c>
      <c r="R821">
        <f>IFERROR(VLOOKUP(Tabla13[[#This Row],[SISMED]],TblDisponibilidad[],22,FALSE), 0)</f>
        <v>0</v>
      </c>
      <c r="S821" s="15">
        <f>IFERROR(VLOOKUP(Tabla13[[#This Row],[SISMED]],TblDisponibilidad[],23,FALSE), 0)</f>
        <v>0</v>
      </c>
    </row>
    <row r="822" spans="1:19" x14ac:dyDescent="0.3">
      <c r="A822" s="15" t="s">
        <v>852</v>
      </c>
      <c r="B822" t="str">
        <f>IFERROR(VLOOKUP(Tabla13[[#This Row],[SISMED]],TblDisponibilidad[],2,FALSE), "")</f>
        <v/>
      </c>
      <c r="C822">
        <f>IFERROR(VLOOKUP(Tabla13[[#This Row],[SISMED]],TblDisponibilidad[],7,FALSE), 0)</f>
        <v>0</v>
      </c>
      <c r="D822">
        <f>IFERROR(VLOOKUP(Tabla13[[#This Row],[SISMED]],TblDisponibilidad[],8,FALSE), 0)</f>
        <v>0</v>
      </c>
      <c r="E822">
        <f>IFERROR(VLOOKUP(Tabla13[[#This Row],[SISMED]],TblDisponibilidad[],9,FALSE), 0)</f>
        <v>0</v>
      </c>
      <c r="F822">
        <f>IFERROR(VLOOKUP(Tabla13[[#This Row],[SISMED]],TblDisponibilidad[],10,FALSE), 0)</f>
        <v>0</v>
      </c>
      <c r="G822">
        <f>IFERROR(VLOOKUP(Tabla13[[#This Row],[SISMED]],TblDisponibilidad[],11,FALSE), 0)</f>
        <v>0</v>
      </c>
      <c r="H822">
        <f>IFERROR(VLOOKUP(Tabla13[[#This Row],[SISMED]],TblDisponibilidad[],12,FALSE), 0)</f>
        <v>0</v>
      </c>
      <c r="I822">
        <f>IFERROR(VLOOKUP(Tabla13[[#This Row],[SISMED]],TblDisponibilidad[],13,FALSE), 0)</f>
        <v>0</v>
      </c>
      <c r="J822">
        <f>IFERROR(VLOOKUP(Tabla13[[#This Row],[SISMED]],TblDisponibilidad[],14,FALSE), 0)</f>
        <v>0</v>
      </c>
      <c r="K822">
        <f>IFERROR(VLOOKUP(Tabla13[[#This Row],[SISMED]],TblDisponibilidad[],15,FALSE), 0)</f>
        <v>0</v>
      </c>
      <c r="L822">
        <f>IFERROR(VLOOKUP(Tabla13[[#This Row],[SISMED]],TblDisponibilidad[],16,FALSE), 0)</f>
        <v>0</v>
      </c>
      <c r="M822">
        <f>IFERROR(VLOOKUP(Tabla13[[#This Row],[SISMED]],TblDisponibilidad[],17,FALSE), 0)</f>
        <v>0</v>
      </c>
      <c r="N822">
        <f>IFERROR(VLOOKUP(Tabla13[[#This Row],[SISMED]],TblDisponibilidad[],18,FALSE), 0)</f>
        <v>0</v>
      </c>
      <c r="O822">
        <f>IFERROR(VLOOKUP(Tabla13[[#This Row],[SISMED]],TblDisponibilidad[],19,FALSE), 0)</f>
        <v>0</v>
      </c>
      <c r="P822">
        <f>IFERROR(VLOOKUP(Tabla13[[#This Row],[SISMED]],TblDisponibilidad[],20,FALSE), 0)</f>
        <v>0</v>
      </c>
      <c r="Q822">
        <f>IFERROR(VLOOKUP(Tabla13[[#This Row],[SISMED]],TblDisponibilidad[],21,FALSE), 0)</f>
        <v>0</v>
      </c>
      <c r="R822">
        <f>IFERROR(VLOOKUP(Tabla13[[#This Row],[SISMED]],TblDisponibilidad[],22,FALSE), 0)</f>
        <v>0</v>
      </c>
      <c r="S822" s="15">
        <f>IFERROR(VLOOKUP(Tabla13[[#This Row],[SISMED]],TblDisponibilidad[],23,FALSE), 0)</f>
        <v>0</v>
      </c>
    </row>
    <row r="823" spans="1:19" x14ac:dyDescent="0.3">
      <c r="A823" s="15" t="s">
        <v>853</v>
      </c>
      <c r="B823" t="str">
        <f>IFERROR(VLOOKUP(Tabla13[[#This Row],[SISMED]],TblDisponibilidad[],2,FALSE), "")</f>
        <v/>
      </c>
      <c r="C823">
        <f>IFERROR(VLOOKUP(Tabla13[[#This Row],[SISMED]],TblDisponibilidad[],7,FALSE), 0)</f>
        <v>0</v>
      </c>
      <c r="D823">
        <f>IFERROR(VLOOKUP(Tabla13[[#This Row],[SISMED]],TblDisponibilidad[],8,FALSE), 0)</f>
        <v>0</v>
      </c>
      <c r="E823">
        <f>IFERROR(VLOOKUP(Tabla13[[#This Row],[SISMED]],TblDisponibilidad[],9,FALSE), 0)</f>
        <v>0</v>
      </c>
      <c r="F823">
        <f>IFERROR(VLOOKUP(Tabla13[[#This Row],[SISMED]],TblDisponibilidad[],10,FALSE), 0)</f>
        <v>0</v>
      </c>
      <c r="G823">
        <f>IFERROR(VLOOKUP(Tabla13[[#This Row],[SISMED]],TblDisponibilidad[],11,FALSE), 0)</f>
        <v>0</v>
      </c>
      <c r="H823">
        <f>IFERROR(VLOOKUP(Tabla13[[#This Row],[SISMED]],TblDisponibilidad[],12,FALSE), 0)</f>
        <v>0</v>
      </c>
      <c r="I823">
        <f>IFERROR(VLOOKUP(Tabla13[[#This Row],[SISMED]],TblDisponibilidad[],13,FALSE), 0)</f>
        <v>0</v>
      </c>
      <c r="J823">
        <f>IFERROR(VLOOKUP(Tabla13[[#This Row],[SISMED]],TblDisponibilidad[],14,FALSE), 0)</f>
        <v>0</v>
      </c>
      <c r="K823">
        <f>IFERROR(VLOOKUP(Tabla13[[#This Row],[SISMED]],TblDisponibilidad[],15,FALSE), 0)</f>
        <v>0</v>
      </c>
      <c r="L823">
        <f>IFERROR(VLOOKUP(Tabla13[[#This Row],[SISMED]],TblDisponibilidad[],16,FALSE), 0)</f>
        <v>0</v>
      </c>
      <c r="M823">
        <f>IFERROR(VLOOKUP(Tabla13[[#This Row],[SISMED]],TblDisponibilidad[],17,FALSE), 0)</f>
        <v>0</v>
      </c>
      <c r="N823">
        <f>IFERROR(VLOOKUP(Tabla13[[#This Row],[SISMED]],TblDisponibilidad[],18,FALSE), 0)</f>
        <v>0</v>
      </c>
      <c r="O823">
        <f>IFERROR(VLOOKUP(Tabla13[[#This Row],[SISMED]],TblDisponibilidad[],19,FALSE), 0)</f>
        <v>0</v>
      </c>
      <c r="P823">
        <f>IFERROR(VLOOKUP(Tabla13[[#This Row],[SISMED]],TblDisponibilidad[],20,FALSE), 0)</f>
        <v>0</v>
      </c>
      <c r="Q823">
        <f>IFERROR(VLOOKUP(Tabla13[[#This Row],[SISMED]],TblDisponibilidad[],21,FALSE), 0)</f>
        <v>0</v>
      </c>
      <c r="R823">
        <f>IFERROR(VLOOKUP(Tabla13[[#This Row],[SISMED]],TblDisponibilidad[],22,FALSE), 0)</f>
        <v>0</v>
      </c>
      <c r="S823" s="15">
        <f>IFERROR(VLOOKUP(Tabla13[[#This Row],[SISMED]],TblDisponibilidad[],23,FALSE), 0)</f>
        <v>0</v>
      </c>
    </row>
    <row r="824" spans="1:19" x14ac:dyDescent="0.3">
      <c r="A824" s="15" t="s">
        <v>854</v>
      </c>
      <c r="B824" t="str">
        <f>IFERROR(VLOOKUP(Tabla13[[#This Row],[SISMED]],TblDisponibilidad[],2,FALSE), "")</f>
        <v/>
      </c>
      <c r="C824">
        <f>IFERROR(VLOOKUP(Tabla13[[#This Row],[SISMED]],TblDisponibilidad[],7,FALSE), 0)</f>
        <v>0</v>
      </c>
      <c r="D824">
        <f>IFERROR(VLOOKUP(Tabla13[[#This Row],[SISMED]],TblDisponibilidad[],8,FALSE), 0)</f>
        <v>0</v>
      </c>
      <c r="E824">
        <f>IFERROR(VLOOKUP(Tabla13[[#This Row],[SISMED]],TblDisponibilidad[],9,FALSE), 0)</f>
        <v>0</v>
      </c>
      <c r="F824">
        <f>IFERROR(VLOOKUP(Tabla13[[#This Row],[SISMED]],TblDisponibilidad[],10,FALSE), 0)</f>
        <v>0</v>
      </c>
      <c r="G824">
        <f>IFERROR(VLOOKUP(Tabla13[[#This Row],[SISMED]],TblDisponibilidad[],11,FALSE), 0)</f>
        <v>0</v>
      </c>
      <c r="H824">
        <f>IFERROR(VLOOKUP(Tabla13[[#This Row],[SISMED]],TblDisponibilidad[],12,FALSE), 0)</f>
        <v>0</v>
      </c>
      <c r="I824">
        <f>IFERROR(VLOOKUP(Tabla13[[#This Row],[SISMED]],TblDisponibilidad[],13,FALSE), 0)</f>
        <v>0</v>
      </c>
      <c r="J824">
        <f>IFERROR(VLOOKUP(Tabla13[[#This Row],[SISMED]],TblDisponibilidad[],14,FALSE), 0)</f>
        <v>0</v>
      </c>
      <c r="K824">
        <f>IFERROR(VLOOKUP(Tabla13[[#This Row],[SISMED]],TblDisponibilidad[],15,FALSE), 0)</f>
        <v>0</v>
      </c>
      <c r="L824">
        <f>IFERROR(VLOOKUP(Tabla13[[#This Row],[SISMED]],TblDisponibilidad[],16,FALSE), 0)</f>
        <v>0</v>
      </c>
      <c r="M824">
        <f>IFERROR(VLOOKUP(Tabla13[[#This Row],[SISMED]],TblDisponibilidad[],17,FALSE), 0)</f>
        <v>0</v>
      </c>
      <c r="N824">
        <f>IFERROR(VLOOKUP(Tabla13[[#This Row],[SISMED]],TblDisponibilidad[],18,FALSE), 0)</f>
        <v>0</v>
      </c>
      <c r="O824">
        <f>IFERROR(VLOOKUP(Tabla13[[#This Row],[SISMED]],TblDisponibilidad[],19,FALSE), 0)</f>
        <v>0</v>
      </c>
      <c r="P824">
        <f>IFERROR(VLOOKUP(Tabla13[[#This Row],[SISMED]],TblDisponibilidad[],20,FALSE), 0)</f>
        <v>0</v>
      </c>
      <c r="Q824">
        <f>IFERROR(VLOOKUP(Tabla13[[#This Row],[SISMED]],TblDisponibilidad[],21,FALSE), 0)</f>
        <v>0</v>
      </c>
      <c r="R824">
        <f>IFERROR(VLOOKUP(Tabla13[[#This Row],[SISMED]],TblDisponibilidad[],22,FALSE), 0)</f>
        <v>0</v>
      </c>
      <c r="S824" s="15">
        <f>IFERROR(VLOOKUP(Tabla13[[#This Row],[SISMED]],TblDisponibilidad[],23,FALSE), 0)</f>
        <v>0</v>
      </c>
    </row>
    <row r="825" spans="1:19" x14ac:dyDescent="0.3">
      <c r="A825" s="15" t="s">
        <v>855</v>
      </c>
      <c r="B825" t="str">
        <f>IFERROR(VLOOKUP(Tabla13[[#This Row],[SISMED]],TblDisponibilidad[],2,FALSE), "")</f>
        <v/>
      </c>
      <c r="C825">
        <f>IFERROR(VLOOKUP(Tabla13[[#This Row],[SISMED]],TblDisponibilidad[],7,FALSE), 0)</f>
        <v>0</v>
      </c>
      <c r="D825">
        <f>IFERROR(VLOOKUP(Tabla13[[#This Row],[SISMED]],TblDisponibilidad[],8,FALSE), 0)</f>
        <v>0</v>
      </c>
      <c r="E825">
        <f>IFERROR(VLOOKUP(Tabla13[[#This Row],[SISMED]],TblDisponibilidad[],9,FALSE), 0)</f>
        <v>0</v>
      </c>
      <c r="F825">
        <f>IFERROR(VLOOKUP(Tabla13[[#This Row],[SISMED]],TblDisponibilidad[],10,FALSE), 0)</f>
        <v>0</v>
      </c>
      <c r="G825">
        <f>IFERROR(VLOOKUP(Tabla13[[#This Row],[SISMED]],TblDisponibilidad[],11,FALSE), 0)</f>
        <v>0</v>
      </c>
      <c r="H825">
        <f>IFERROR(VLOOKUP(Tabla13[[#This Row],[SISMED]],TblDisponibilidad[],12,FALSE), 0)</f>
        <v>0</v>
      </c>
      <c r="I825">
        <f>IFERROR(VLOOKUP(Tabla13[[#This Row],[SISMED]],TblDisponibilidad[],13,FALSE), 0)</f>
        <v>0</v>
      </c>
      <c r="J825">
        <f>IFERROR(VLOOKUP(Tabla13[[#This Row],[SISMED]],TblDisponibilidad[],14,FALSE), 0)</f>
        <v>0</v>
      </c>
      <c r="K825">
        <f>IFERROR(VLOOKUP(Tabla13[[#This Row],[SISMED]],TblDisponibilidad[],15,FALSE), 0)</f>
        <v>0</v>
      </c>
      <c r="L825">
        <f>IFERROR(VLOOKUP(Tabla13[[#This Row],[SISMED]],TblDisponibilidad[],16,FALSE), 0)</f>
        <v>0</v>
      </c>
      <c r="M825">
        <f>IFERROR(VLOOKUP(Tabla13[[#This Row],[SISMED]],TblDisponibilidad[],17,FALSE), 0)</f>
        <v>0</v>
      </c>
      <c r="N825">
        <f>IFERROR(VLOOKUP(Tabla13[[#This Row],[SISMED]],TblDisponibilidad[],18,FALSE), 0)</f>
        <v>0</v>
      </c>
      <c r="O825">
        <f>IFERROR(VLOOKUP(Tabla13[[#This Row],[SISMED]],TblDisponibilidad[],19,FALSE), 0)</f>
        <v>0</v>
      </c>
      <c r="P825">
        <f>IFERROR(VLOOKUP(Tabla13[[#This Row],[SISMED]],TblDisponibilidad[],20,FALSE), 0)</f>
        <v>0</v>
      </c>
      <c r="Q825">
        <f>IFERROR(VLOOKUP(Tabla13[[#This Row],[SISMED]],TblDisponibilidad[],21,FALSE), 0)</f>
        <v>0</v>
      </c>
      <c r="R825">
        <f>IFERROR(VLOOKUP(Tabla13[[#This Row],[SISMED]],TblDisponibilidad[],22,FALSE), 0)</f>
        <v>0</v>
      </c>
      <c r="S825" s="15">
        <f>IFERROR(VLOOKUP(Tabla13[[#This Row],[SISMED]],TblDisponibilidad[],23,FALSE), 0)</f>
        <v>0</v>
      </c>
    </row>
    <row r="826" spans="1:19" x14ac:dyDescent="0.3">
      <c r="A826" s="15" t="s">
        <v>856</v>
      </c>
      <c r="B826" t="str">
        <f>IFERROR(VLOOKUP(Tabla13[[#This Row],[SISMED]],TblDisponibilidad[],2,FALSE), "")</f>
        <v/>
      </c>
      <c r="C826">
        <f>IFERROR(VLOOKUP(Tabla13[[#This Row],[SISMED]],TblDisponibilidad[],7,FALSE), 0)</f>
        <v>0</v>
      </c>
      <c r="D826">
        <f>IFERROR(VLOOKUP(Tabla13[[#This Row],[SISMED]],TblDisponibilidad[],8,FALSE), 0)</f>
        <v>0</v>
      </c>
      <c r="E826">
        <f>IFERROR(VLOOKUP(Tabla13[[#This Row],[SISMED]],TblDisponibilidad[],9,FALSE), 0)</f>
        <v>0</v>
      </c>
      <c r="F826">
        <f>IFERROR(VLOOKUP(Tabla13[[#This Row],[SISMED]],TblDisponibilidad[],10,FALSE), 0)</f>
        <v>0</v>
      </c>
      <c r="G826">
        <f>IFERROR(VLOOKUP(Tabla13[[#This Row],[SISMED]],TblDisponibilidad[],11,FALSE), 0)</f>
        <v>0</v>
      </c>
      <c r="H826">
        <f>IFERROR(VLOOKUP(Tabla13[[#This Row],[SISMED]],TblDisponibilidad[],12,FALSE), 0)</f>
        <v>0</v>
      </c>
      <c r="I826">
        <f>IFERROR(VLOOKUP(Tabla13[[#This Row],[SISMED]],TblDisponibilidad[],13,FALSE), 0)</f>
        <v>0</v>
      </c>
      <c r="J826">
        <f>IFERROR(VLOOKUP(Tabla13[[#This Row],[SISMED]],TblDisponibilidad[],14,FALSE), 0)</f>
        <v>0</v>
      </c>
      <c r="K826">
        <f>IFERROR(VLOOKUP(Tabla13[[#This Row],[SISMED]],TblDisponibilidad[],15,FALSE), 0)</f>
        <v>0</v>
      </c>
      <c r="L826">
        <f>IFERROR(VLOOKUP(Tabla13[[#This Row],[SISMED]],TblDisponibilidad[],16,FALSE), 0)</f>
        <v>0</v>
      </c>
      <c r="M826">
        <f>IFERROR(VLOOKUP(Tabla13[[#This Row],[SISMED]],TblDisponibilidad[],17,FALSE), 0)</f>
        <v>0</v>
      </c>
      <c r="N826">
        <f>IFERROR(VLOOKUP(Tabla13[[#This Row],[SISMED]],TblDisponibilidad[],18,FALSE), 0)</f>
        <v>0</v>
      </c>
      <c r="O826">
        <f>IFERROR(VLOOKUP(Tabla13[[#This Row],[SISMED]],TblDisponibilidad[],19,FALSE), 0)</f>
        <v>0</v>
      </c>
      <c r="P826">
        <f>IFERROR(VLOOKUP(Tabla13[[#This Row],[SISMED]],TblDisponibilidad[],20,FALSE), 0)</f>
        <v>0</v>
      </c>
      <c r="Q826">
        <f>IFERROR(VLOOKUP(Tabla13[[#This Row],[SISMED]],TblDisponibilidad[],21,FALSE), 0)</f>
        <v>0</v>
      </c>
      <c r="R826">
        <f>IFERROR(VLOOKUP(Tabla13[[#This Row],[SISMED]],TblDisponibilidad[],22,FALSE), 0)</f>
        <v>0</v>
      </c>
      <c r="S826" s="15">
        <f>IFERROR(VLOOKUP(Tabla13[[#This Row],[SISMED]],TblDisponibilidad[],23,FALSE), 0)</f>
        <v>0</v>
      </c>
    </row>
    <row r="827" spans="1:19" x14ac:dyDescent="0.3">
      <c r="A827" s="15" t="s">
        <v>857</v>
      </c>
      <c r="B827" t="str">
        <f>IFERROR(VLOOKUP(Tabla13[[#This Row],[SISMED]],TblDisponibilidad[],2,FALSE), "")</f>
        <v/>
      </c>
      <c r="C827">
        <f>IFERROR(VLOOKUP(Tabla13[[#This Row],[SISMED]],TblDisponibilidad[],7,FALSE), 0)</f>
        <v>0</v>
      </c>
      <c r="D827">
        <f>IFERROR(VLOOKUP(Tabla13[[#This Row],[SISMED]],TblDisponibilidad[],8,FALSE), 0)</f>
        <v>0</v>
      </c>
      <c r="E827">
        <f>IFERROR(VLOOKUP(Tabla13[[#This Row],[SISMED]],TblDisponibilidad[],9,FALSE), 0)</f>
        <v>0</v>
      </c>
      <c r="F827">
        <f>IFERROR(VLOOKUP(Tabla13[[#This Row],[SISMED]],TblDisponibilidad[],10,FALSE), 0)</f>
        <v>0</v>
      </c>
      <c r="G827">
        <f>IFERROR(VLOOKUP(Tabla13[[#This Row],[SISMED]],TblDisponibilidad[],11,FALSE), 0)</f>
        <v>0</v>
      </c>
      <c r="H827">
        <f>IFERROR(VLOOKUP(Tabla13[[#This Row],[SISMED]],TblDisponibilidad[],12,FALSE), 0)</f>
        <v>0</v>
      </c>
      <c r="I827">
        <f>IFERROR(VLOOKUP(Tabla13[[#This Row],[SISMED]],TblDisponibilidad[],13,FALSE), 0)</f>
        <v>0</v>
      </c>
      <c r="J827">
        <f>IFERROR(VLOOKUP(Tabla13[[#This Row],[SISMED]],TblDisponibilidad[],14,FALSE), 0)</f>
        <v>0</v>
      </c>
      <c r="K827">
        <f>IFERROR(VLOOKUP(Tabla13[[#This Row],[SISMED]],TblDisponibilidad[],15,FALSE), 0)</f>
        <v>0</v>
      </c>
      <c r="L827">
        <f>IFERROR(VLOOKUP(Tabla13[[#This Row],[SISMED]],TblDisponibilidad[],16,FALSE), 0)</f>
        <v>0</v>
      </c>
      <c r="M827">
        <f>IFERROR(VLOOKUP(Tabla13[[#This Row],[SISMED]],TblDisponibilidad[],17,FALSE), 0)</f>
        <v>0</v>
      </c>
      <c r="N827">
        <f>IFERROR(VLOOKUP(Tabla13[[#This Row],[SISMED]],TblDisponibilidad[],18,FALSE), 0)</f>
        <v>0</v>
      </c>
      <c r="O827">
        <f>IFERROR(VLOOKUP(Tabla13[[#This Row],[SISMED]],TblDisponibilidad[],19,FALSE), 0)</f>
        <v>0</v>
      </c>
      <c r="P827">
        <f>IFERROR(VLOOKUP(Tabla13[[#This Row],[SISMED]],TblDisponibilidad[],20,FALSE), 0)</f>
        <v>0</v>
      </c>
      <c r="Q827">
        <f>IFERROR(VLOOKUP(Tabla13[[#This Row],[SISMED]],TblDisponibilidad[],21,FALSE), 0)</f>
        <v>0</v>
      </c>
      <c r="R827">
        <f>IFERROR(VLOOKUP(Tabla13[[#This Row],[SISMED]],TblDisponibilidad[],22,FALSE), 0)</f>
        <v>0</v>
      </c>
      <c r="S827" s="15">
        <f>IFERROR(VLOOKUP(Tabla13[[#This Row],[SISMED]],TblDisponibilidad[],23,FALSE), 0)</f>
        <v>0</v>
      </c>
    </row>
    <row r="828" spans="1:19" x14ac:dyDescent="0.3">
      <c r="A828" s="15" t="s">
        <v>858</v>
      </c>
      <c r="B828" t="str">
        <f>IFERROR(VLOOKUP(Tabla13[[#This Row],[SISMED]],TblDisponibilidad[],2,FALSE), "")</f>
        <v/>
      </c>
      <c r="C828">
        <f>IFERROR(VLOOKUP(Tabla13[[#This Row],[SISMED]],TblDisponibilidad[],7,FALSE), 0)</f>
        <v>0</v>
      </c>
      <c r="D828">
        <f>IFERROR(VLOOKUP(Tabla13[[#This Row],[SISMED]],TblDisponibilidad[],8,FALSE), 0)</f>
        <v>0</v>
      </c>
      <c r="E828">
        <f>IFERROR(VLOOKUP(Tabla13[[#This Row],[SISMED]],TblDisponibilidad[],9,FALSE), 0)</f>
        <v>0</v>
      </c>
      <c r="F828">
        <f>IFERROR(VLOOKUP(Tabla13[[#This Row],[SISMED]],TblDisponibilidad[],10,FALSE), 0)</f>
        <v>0</v>
      </c>
      <c r="G828">
        <f>IFERROR(VLOOKUP(Tabla13[[#This Row],[SISMED]],TblDisponibilidad[],11,FALSE), 0)</f>
        <v>0</v>
      </c>
      <c r="H828">
        <f>IFERROR(VLOOKUP(Tabla13[[#This Row],[SISMED]],TblDisponibilidad[],12,FALSE), 0)</f>
        <v>0</v>
      </c>
      <c r="I828">
        <f>IFERROR(VLOOKUP(Tabla13[[#This Row],[SISMED]],TblDisponibilidad[],13,FALSE), 0)</f>
        <v>0</v>
      </c>
      <c r="J828">
        <f>IFERROR(VLOOKUP(Tabla13[[#This Row],[SISMED]],TblDisponibilidad[],14,FALSE), 0)</f>
        <v>0</v>
      </c>
      <c r="K828">
        <f>IFERROR(VLOOKUP(Tabla13[[#This Row],[SISMED]],TblDisponibilidad[],15,FALSE), 0)</f>
        <v>0</v>
      </c>
      <c r="L828">
        <f>IFERROR(VLOOKUP(Tabla13[[#This Row],[SISMED]],TblDisponibilidad[],16,FALSE), 0)</f>
        <v>0</v>
      </c>
      <c r="M828">
        <f>IFERROR(VLOOKUP(Tabla13[[#This Row],[SISMED]],TblDisponibilidad[],17,FALSE), 0)</f>
        <v>0</v>
      </c>
      <c r="N828">
        <f>IFERROR(VLOOKUP(Tabla13[[#This Row],[SISMED]],TblDisponibilidad[],18,FALSE), 0)</f>
        <v>0</v>
      </c>
      <c r="O828">
        <f>IFERROR(VLOOKUP(Tabla13[[#This Row],[SISMED]],TblDisponibilidad[],19,FALSE), 0)</f>
        <v>0</v>
      </c>
      <c r="P828">
        <f>IFERROR(VLOOKUP(Tabla13[[#This Row],[SISMED]],TblDisponibilidad[],20,FALSE), 0)</f>
        <v>0</v>
      </c>
      <c r="Q828">
        <f>IFERROR(VLOOKUP(Tabla13[[#This Row],[SISMED]],TblDisponibilidad[],21,FALSE), 0)</f>
        <v>0</v>
      </c>
      <c r="R828">
        <f>IFERROR(VLOOKUP(Tabla13[[#This Row],[SISMED]],TblDisponibilidad[],22,FALSE), 0)</f>
        <v>0</v>
      </c>
      <c r="S828" s="15">
        <f>IFERROR(VLOOKUP(Tabla13[[#This Row],[SISMED]],TblDisponibilidad[],23,FALSE), 0)</f>
        <v>0</v>
      </c>
    </row>
    <row r="829" spans="1:19" x14ac:dyDescent="0.3">
      <c r="A829" s="15" t="s">
        <v>859</v>
      </c>
      <c r="B829" t="str">
        <f>IFERROR(VLOOKUP(Tabla13[[#This Row],[SISMED]],TblDisponibilidad[],2,FALSE), "")</f>
        <v/>
      </c>
      <c r="C829">
        <f>IFERROR(VLOOKUP(Tabla13[[#This Row],[SISMED]],TblDisponibilidad[],7,FALSE), 0)</f>
        <v>0</v>
      </c>
      <c r="D829">
        <f>IFERROR(VLOOKUP(Tabla13[[#This Row],[SISMED]],TblDisponibilidad[],8,FALSE), 0)</f>
        <v>0</v>
      </c>
      <c r="E829">
        <f>IFERROR(VLOOKUP(Tabla13[[#This Row],[SISMED]],TblDisponibilidad[],9,FALSE), 0)</f>
        <v>0</v>
      </c>
      <c r="F829">
        <f>IFERROR(VLOOKUP(Tabla13[[#This Row],[SISMED]],TblDisponibilidad[],10,FALSE), 0)</f>
        <v>0</v>
      </c>
      <c r="G829">
        <f>IFERROR(VLOOKUP(Tabla13[[#This Row],[SISMED]],TblDisponibilidad[],11,FALSE), 0)</f>
        <v>0</v>
      </c>
      <c r="H829">
        <f>IFERROR(VLOOKUP(Tabla13[[#This Row],[SISMED]],TblDisponibilidad[],12,FALSE), 0)</f>
        <v>0</v>
      </c>
      <c r="I829">
        <f>IFERROR(VLOOKUP(Tabla13[[#This Row],[SISMED]],TblDisponibilidad[],13,FALSE), 0)</f>
        <v>0</v>
      </c>
      <c r="J829">
        <f>IFERROR(VLOOKUP(Tabla13[[#This Row],[SISMED]],TblDisponibilidad[],14,FALSE), 0)</f>
        <v>0</v>
      </c>
      <c r="K829">
        <f>IFERROR(VLOOKUP(Tabla13[[#This Row],[SISMED]],TblDisponibilidad[],15,FALSE), 0)</f>
        <v>0</v>
      </c>
      <c r="L829">
        <f>IFERROR(VLOOKUP(Tabla13[[#This Row],[SISMED]],TblDisponibilidad[],16,FALSE), 0)</f>
        <v>0</v>
      </c>
      <c r="M829">
        <f>IFERROR(VLOOKUP(Tabla13[[#This Row],[SISMED]],TblDisponibilidad[],17,FALSE), 0)</f>
        <v>0</v>
      </c>
      <c r="N829">
        <f>IFERROR(VLOOKUP(Tabla13[[#This Row],[SISMED]],TblDisponibilidad[],18,FALSE), 0)</f>
        <v>0</v>
      </c>
      <c r="O829">
        <f>IFERROR(VLOOKUP(Tabla13[[#This Row],[SISMED]],TblDisponibilidad[],19,FALSE), 0)</f>
        <v>0</v>
      </c>
      <c r="P829">
        <f>IFERROR(VLOOKUP(Tabla13[[#This Row],[SISMED]],TblDisponibilidad[],20,FALSE), 0)</f>
        <v>0</v>
      </c>
      <c r="Q829">
        <f>IFERROR(VLOOKUP(Tabla13[[#This Row],[SISMED]],TblDisponibilidad[],21,FALSE), 0)</f>
        <v>0</v>
      </c>
      <c r="R829">
        <f>IFERROR(VLOOKUP(Tabla13[[#This Row],[SISMED]],TblDisponibilidad[],22,FALSE), 0)</f>
        <v>0</v>
      </c>
      <c r="S829" s="15">
        <f>IFERROR(VLOOKUP(Tabla13[[#This Row],[SISMED]],TblDisponibilidad[],23,FALSE), 0)</f>
        <v>0</v>
      </c>
    </row>
    <row r="830" spans="1:19" x14ac:dyDescent="0.3">
      <c r="A830" s="15" t="s">
        <v>860</v>
      </c>
      <c r="B830" t="str">
        <f>IFERROR(VLOOKUP(Tabla13[[#This Row],[SISMED]],TblDisponibilidad[],2,FALSE), "")</f>
        <v/>
      </c>
      <c r="C830">
        <f>IFERROR(VLOOKUP(Tabla13[[#This Row],[SISMED]],TblDisponibilidad[],7,FALSE), 0)</f>
        <v>0</v>
      </c>
      <c r="D830">
        <f>IFERROR(VLOOKUP(Tabla13[[#This Row],[SISMED]],TblDisponibilidad[],8,FALSE), 0)</f>
        <v>0</v>
      </c>
      <c r="E830">
        <f>IFERROR(VLOOKUP(Tabla13[[#This Row],[SISMED]],TblDisponibilidad[],9,FALSE), 0)</f>
        <v>0</v>
      </c>
      <c r="F830">
        <f>IFERROR(VLOOKUP(Tabla13[[#This Row],[SISMED]],TblDisponibilidad[],10,FALSE), 0)</f>
        <v>0</v>
      </c>
      <c r="G830">
        <f>IFERROR(VLOOKUP(Tabla13[[#This Row],[SISMED]],TblDisponibilidad[],11,FALSE), 0)</f>
        <v>0</v>
      </c>
      <c r="H830">
        <f>IFERROR(VLOOKUP(Tabla13[[#This Row],[SISMED]],TblDisponibilidad[],12,FALSE), 0)</f>
        <v>0</v>
      </c>
      <c r="I830">
        <f>IFERROR(VLOOKUP(Tabla13[[#This Row],[SISMED]],TblDisponibilidad[],13,FALSE), 0)</f>
        <v>0</v>
      </c>
      <c r="J830">
        <f>IFERROR(VLOOKUP(Tabla13[[#This Row],[SISMED]],TblDisponibilidad[],14,FALSE), 0)</f>
        <v>0</v>
      </c>
      <c r="K830">
        <f>IFERROR(VLOOKUP(Tabla13[[#This Row],[SISMED]],TblDisponibilidad[],15,FALSE), 0)</f>
        <v>0</v>
      </c>
      <c r="L830">
        <f>IFERROR(VLOOKUP(Tabla13[[#This Row],[SISMED]],TblDisponibilidad[],16,FALSE), 0)</f>
        <v>0</v>
      </c>
      <c r="M830">
        <f>IFERROR(VLOOKUP(Tabla13[[#This Row],[SISMED]],TblDisponibilidad[],17,FALSE), 0)</f>
        <v>0</v>
      </c>
      <c r="N830">
        <f>IFERROR(VLOOKUP(Tabla13[[#This Row],[SISMED]],TblDisponibilidad[],18,FALSE), 0)</f>
        <v>0</v>
      </c>
      <c r="O830">
        <f>IFERROR(VLOOKUP(Tabla13[[#This Row],[SISMED]],TblDisponibilidad[],19,FALSE), 0)</f>
        <v>0</v>
      </c>
      <c r="P830">
        <f>IFERROR(VLOOKUP(Tabla13[[#This Row],[SISMED]],TblDisponibilidad[],20,FALSE), 0)</f>
        <v>0</v>
      </c>
      <c r="Q830">
        <f>IFERROR(VLOOKUP(Tabla13[[#This Row],[SISMED]],TblDisponibilidad[],21,FALSE), 0)</f>
        <v>0</v>
      </c>
      <c r="R830">
        <f>IFERROR(VLOOKUP(Tabla13[[#This Row],[SISMED]],TblDisponibilidad[],22,FALSE), 0)</f>
        <v>0</v>
      </c>
      <c r="S830" s="15">
        <f>IFERROR(VLOOKUP(Tabla13[[#This Row],[SISMED]],TblDisponibilidad[],23,FALSE), 0)</f>
        <v>0</v>
      </c>
    </row>
    <row r="831" spans="1:19" x14ac:dyDescent="0.3">
      <c r="A831" s="15" t="s">
        <v>861</v>
      </c>
      <c r="B831" t="str">
        <f>IFERROR(VLOOKUP(Tabla13[[#This Row],[SISMED]],TblDisponibilidad[],2,FALSE), "")</f>
        <v/>
      </c>
      <c r="C831">
        <f>IFERROR(VLOOKUP(Tabla13[[#This Row],[SISMED]],TblDisponibilidad[],7,FALSE), 0)</f>
        <v>0</v>
      </c>
      <c r="D831">
        <f>IFERROR(VLOOKUP(Tabla13[[#This Row],[SISMED]],TblDisponibilidad[],8,FALSE), 0)</f>
        <v>0</v>
      </c>
      <c r="E831">
        <f>IFERROR(VLOOKUP(Tabla13[[#This Row],[SISMED]],TblDisponibilidad[],9,FALSE), 0)</f>
        <v>0</v>
      </c>
      <c r="F831">
        <f>IFERROR(VLOOKUP(Tabla13[[#This Row],[SISMED]],TblDisponibilidad[],10,FALSE), 0)</f>
        <v>0</v>
      </c>
      <c r="G831">
        <f>IFERROR(VLOOKUP(Tabla13[[#This Row],[SISMED]],TblDisponibilidad[],11,FALSE), 0)</f>
        <v>0</v>
      </c>
      <c r="H831">
        <f>IFERROR(VLOOKUP(Tabla13[[#This Row],[SISMED]],TblDisponibilidad[],12,FALSE), 0)</f>
        <v>0</v>
      </c>
      <c r="I831">
        <f>IFERROR(VLOOKUP(Tabla13[[#This Row],[SISMED]],TblDisponibilidad[],13,FALSE), 0)</f>
        <v>0</v>
      </c>
      <c r="J831">
        <f>IFERROR(VLOOKUP(Tabla13[[#This Row],[SISMED]],TblDisponibilidad[],14,FALSE), 0)</f>
        <v>0</v>
      </c>
      <c r="K831">
        <f>IFERROR(VLOOKUP(Tabla13[[#This Row],[SISMED]],TblDisponibilidad[],15,FALSE), 0)</f>
        <v>0</v>
      </c>
      <c r="L831">
        <f>IFERROR(VLOOKUP(Tabla13[[#This Row],[SISMED]],TblDisponibilidad[],16,FALSE), 0)</f>
        <v>0</v>
      </c>
      <c r="M831">
        <f>IFERROR(VLOOKUP(Tabla13[[#This Row],[SISMED]],TblDisponibilidad[],17,FALSE), 0)</f>
        <v>0</v>
      </c>
      <c r="N831">
        <f>IFERROR(VLOOKUP(Tabla13[[#This Row],[SISMED]],TblDisponibilidad[],18,FALSE), 0)</f>
        <v>0</v>
      </c>
      <c r="O831">
        <f>IFERROR(VLOOKUP(Tabla13[[#This Row],[SISMED]],TblDisponibilidad[],19,FALSE), 0)</f>
        <v>0</v>
      </c>
      <c r="P831">
        <f>IFERROR(VLOOKUP(Tabla13[[#This Row],[SISMED]],TblDisponibilidad[],20,FALSE), 0)</f>
        <v>0</v>
      </c>
      <c r="Q831">
        <f>IFERROR(VLOOKUP(Tabla13[[#This Row],[SISMED]],TblDisponibilidad[],21,FALSE), 0)</f>
        <v>0</v>
      </c>
      <c r="R831">
        <f>IFERROR(VLOOKUP(Tabla13[[#This Row],[SISMED]],TblDisponibilidad[],22,FALSE), 0)</f>
        <v>0</v>
      </c>
      <c r="S831" s="15">
        <f>IFERROR(VLOOKUP(Tabla13[[#This Row],[SISMED]],TblDisponibilidad[],23,FALSE), 0)</f>
        <v>0</v>
      </c>
    </row>
    <row r="832" spans="1:19" x14ac:dyDescent="0.3">
      <c r="A832" s="15" t="s">
        <v>862</v>
      </c>
      <c r="B832" t="str">
        <f>IFERROR(VLOOKUP(Tabla13[[#This Row],[SISMED]],TblDisponibilidad[],2,FALSE), "")</f>
        <v/>
      </c>
      <c r="C832">
        <f>IFERROR(VLOOKUP(Tabla13[[#This Row],[SISMED]],TblDisponibilidad[],7,FALSE), 0)</f>
        <v>0</v>
      </c>
      <c r="D832">
        <f>IFERROR(VLOOKUP(Tabla13[[#This Row],[SISMED]],TblDisponibilidad[],8,FALSE), 0)</f>
        <v>0</v>
      </c>
      <c r="E832">
        <f>IFERROR(VLOOKUP(Tabla13[[#This Row],[SISMED]],TblDisponibilidad[],9,FALSE), 0)</f>
        <v>0</v>
      </c>
      <c r="F832">
        <f>IFERROR(VLOOKUP(Tabla13[[#This Row],[SISMED]],TblDisponibilidad[],10,FALSE), 0)</f>
        <v>0</v>
      </c>
      <c r="G832">
        <f>IFERROR(VLOOKUP(Tabla13[[#This Row],[SISMED]],TblDisponibilidad[],11,FALSE), 0)</f>
        <v>0</v>
      </c>
      <c r="H832">
        <f>IFERROR(VLOOKUP(Tabla13[[#This Row],[SISMED]],TblDisponibilidad[],12,FALSE), 0)</f>
        <v>0</v>
      </c>
      <c r="I832">
        <f>IFERROR(VLOOKUP(Tabla13[[#This Row],[SISMED]],TblDisponibilidad[],13,FALSE), 0)</f>
        <v>0</v>
      </c>
      <c r="J832">
        <f>IFERROR(VLOOKUP(Tabla13[[#This Row],[SISMED]],TblDisponibilidad[],14,FALSE), 0)</f>
        <v>0</v>
      </c>
      <c r="K832">
        <f>IFERROR(VLOOKUP(Tabla13[[#This Row],[SISMED]],TblDisponibilidad[],15,FALSE), 0)</f>
        <v>0</v>
      </c>
      <c r="L832">
        <f>IFERROR(VLOOKUP(Tabla13[[#This Row],[SISMED]],TblDisponibilidad[],16,FALSE), 0)</f>
        <v>0</v>
      </c>
      <c r="M832">
        <f>IFERROR(VLOOKUP(Tabla13[[#This Row],[SISMED]],TblDisponibilidad[],17,FALSE), 0)</f>
        <v>0</v>
      </c>
      <c r="N832">
        <f>IFERROR(VLOOKUP(Tabla13[[#This Row],[SISMED]],TblDisponibilidad[],18,FALSE), 0)</f>
        <v>0</v>
      </c>
      <c r="O832">
        <f>IFERROR(VLOOKUP(Tabla13[[#This Row],[SISMED]],TblDisponibilidad[],19,FALSE), 0)</f>
        <v>0</v>
      </c>
      <c r="P832">
        <f>IFERROR(VLOOKUP(Tabla13[[#This Row],[SISMED]],TblDisponibilidad[],20,FALSE), 0)</f>
        <v>0</v>
      </c>
      <c r="Q832">
        <f>IFERROR(VLOOKUP(Tabla13[[#This Row],[SISMED]],TblDisponibilidad[],21,FALSE), 0)</f>
        <v>0</v>
      </c>
      <c r="R832">
        <f>IFERROR(VLOOKUP(Tabla13[[#This Row],[SISMED]],TblDisponibilidad[],22,FALSE), 0)</f>
        <v>0</v>
      </c>
      <c r="S832" s="15">
        <f>IFERROR(VLOOKUP(Tabla13[[#This Row],[SISMED]],TblDisponibilidad[],23,FALSE), 0)</f>
        <v>0</v>
      </c>
    </row>
    <row r="833" spans="1:19" x14ac:dyDescent="0.3">
      <c r="A833" s="15" t="s">
        <v>863</v>
      </c>
      <c r="B833" t="str">
        <f>IFERROR(VLOOKUP(Tabla13[[#This Row],[SISMED]],TblDisponibilidad[],2,FALSE), "")</f>
        <v/>
      </c>
      <c r="C833">
        <f>IFERROR(VLOOKUP(Tabla13[[#This Row],[SISMED]],TblDisponibilidad[],7,FALSE), 0)</f>
        <v>0</v>
      </c>
      <c r="D833">
        <f>IFERROR(VLOOKUP(Tabla13[[#This Row],[SISMED]],TblDisponibilidad[],8,FALSE), 0)</f>
        <v>0</v>
      </c>
      <c r="E833">
        <f>IFERROR(VLOOKUP(Tabla13[[#This Row],[SISMED]],TblDisponibilidad[],9,FALSE), 0)</f>
        <v>0</v>
      </c>
      <c r="F833">
        <f>IFERROR(VLOOKUP(Tabla13[[#This Row],[SISMED]],TblDisponibilidad[],10,FALSE), 0)</f>
        <v>0</v>
      </c>
      <c r="G833">
        <f>IFERROR(VLOOKUP(Tabla13[[#This Row],[SISMED]],TblDisponibilidad[],11,FALSE), 0)</f>
        <v>0</v>
      </c>
      <c r="H833">
        <f>IFERROR(VLOOKUP(Tabla13[[#This Row],[SISMED]],TblDisponibilidad[],12,FALSE), 0)</f>
        <v>0</v>
      </c>
      <c r="I833">
        <f>IFERROR(VLOOKUP(Tabla13[[#This Row],[SISMED]],TblDisponibilidad[],13,FALSE), 0)</f>
        <v>0</v>
      </c>
      <c r="J833">
        <f>IFERROR(VLOOKUP(Tabla13[[#This Row],[SISMED]],TblDisponibilidad[],14,FALSE), 0)</f>
        <v>0</v>
      </c>
      <c r="K833">
        <f>IFERROR(VLOOKUP(Tabla13[[#This Row],[SISMED]],TblDisponibilidad[],15,FALSE), 0)</f>
        <v>0</v>
      </c>
      <c r="L833">
        <f>IFERROR(VLOOKUP(Tabla13[[#This Row],[SISMED]],TblDisponibilidad[],16,FALSE), 0)</f>
        <v>0</v>
      </c>
      <c r="M833">
        <f>IFERROR(VLOOKUP(Tabla13[[#This Row],[SISMED]],TblDisponibilidad[],17,FALSE), 0)</f>
        <v>0</v>
      </c>
      <c r="N833">
        <f>IFERROR(VLOOKUP(Tabla13[[#This Row],[SISMED]],TblDisponibilidad[],18,FALSE), 0)</f>
        <v>0</v>
      </c>
      <c r="O833">
        <f>IFERROR(VLOOKUP(Tabla13[[#This Row],[SISMED]],TblDisponibilidad[],19,FALSE), 0)</f>
        <v>0</v>
      </c>
      <c r="P833">
        <f>IFERROR(VLOOKUP(Tabla13[[#This Row],[SISMED]],TblDisponibilidad[],20,FALSE), 0)</f>
        <v>0</v>
      </c>
      <c r="Q833">
        <f>IFERROR(VLOOKUP(Tabla13[[#This Row],[SISMED]],TblDisponibilidad[],21,FALSE), 0)</f>
        <v>0</v>
      </c>
      <c r="R833">
        <f>IFERROR(VLOOKUP(Tabla13[[#This Row],[SISMED]],TblDisponibilidad[],22,FALSE), 0)</f>
        <v>0</v>
      </c>
      <c r="S833" s="15">
        <f>IFERROR(VLOOKUP(Tabla13[[#This Row],[SISMED]],TblDisponibilidad[],23,FALSE), 0)</f>
        <v>0</v>
      </c>
    </row>
    <row r="834" spans="1:19" x14ac:dyDescent="0.3">
      <c r="A834" s="15" t="s">
        <v>864</v>
      </c>
      <c r="B834" t="str">
        <f>IFERROR(VLOOKUP(Tabla13[[#This Row],[SISMED]],TblDisponibilidad[],2,FALSE), "")</f>
        <v/>
      </c>
      <c r="C834">
        <f>IFERROR(VLOOKUP(Tabla13[[#This Row],[SISMED]],TblDisponibilidad[],7,FALSE), 0)</f>
        <v>0</v>
      </c>
      <c r="D834">
        <f>IFERROR(VLOOKUP(Tabla13[[#This Row],[SISMED]],TblDisponibilidad[],8,FALSE), 0)</f>
        <v>0</v>
      </c>
      <c r="E834">
        <f>IFERROR(VLOOKUP(Tabla13[[#This Row],[SISMED]],TblDisponibilidad[],9,FALSE), 0)</f>
        <v>0</v>
      </c>
      <c r="F834">
        <f>IFERROR(VLOOKUP(Tabla13[[#This Row],[SISMED]],TblDisponibilidad[],10,FALSE), 0)</f>
        <v>0</v>
      </c>
      <c r="G834">
        <f>IFERROR(VLOOKUP(Tabla13[[#This Row],[SISMED]],TblDisponibilidad[],11,FALSE), 0)</f>
        <v>0</v>
      </c>
      <c r="H834">
        <f>IFERROR(VLOOKUP(Tabla13[[#This Row],[SISMED]],TblDisponibilidad[],12,FALSE), 0)</f>
        <v>0</v>
      </c>
      <c r="I834">
        <f>IFERROR(VLOOKUP(Tabla13[[#This Row],[SISMED]],TblDisponibilidad[],13,FALSE), 0)</f>
        <v>0</v>
      </c>
      <c r="J834">
        <f>IFERROR(VLOOKUP(Tabla13[[#This Row],[SISMED]],TblDisponibilidad[],14,FALSE), 0)</f>
        <v>0</v>
      </c>
      <c r="K834">
        <f>IFERROR(VLOOKUP(Tabla13[[#This Row],[SISMED]],TblDisponibilidad[],15,FALSE), 0)</f>
        <v>0</v>
      </c>
      <c r="L834">
        <f>IFERROR(VLOOKUP(Tabla13[[#This Row],[SISMED]],TblDisponibilidad[],16,FALSE), 0)</f>
        <v>0</v>
      </c>
      <c r="M834">
        <f>IFERROR(VLOOKUP(Tabla13[[#This Row],[SISMED]],TblDisponibilidad[],17,FALSE), 0)</f>
        <v>0</v>
      </c>
      <c r="N834">
        <f>IFERROR(VLOOKUP(Tabla13[[#This Row],[SISMED]],TblDisponibilidad[],18,FALSE), 0)</f>
        <v>0</v>
      </c>
      <c r="O834">
        <f>IFERROR(VLOOKUP(Tabla13[[#This Row],[SISMED]],TblDisponibilidad[],19,FALSE), 0)</f>
        <v>0</v>
      </c>
      <c r="P834">
        <f>IFERROR(VLOOKUP(Tabla13[[#This Row],[SISMED]],TblDisponibilidad[],20,FALSE), 0)</f>
        <v>0</v>
      </c>
      <c r="Q834">
        <f>IFERROR(VLOOKUP(Tabla13[[#This Row],[SISMED]],TblDisponibilidad[],21,FALSE), 0)</f>
        <v>0</v>
      </c>
      <c r="R834">
        <f>IFERROR(VLOOKUP(Tabla13[[#This Row],[SISMED]],TblDisponibilidad[],22,FALSE), 0)</f>
        <v>0</v>
      </c>
      <c r="S834" s="15">
        <f>IFERROR(VLOOKUP(Tabla13[[#This Row],[SISMED]],TblDisponibilidad[],23,FALSE), 0)</f>
        <v>0</v>
      </c>
    </row>
    <row r="835" spans="1:19" x14ac:dyDescent="0.3">
      <c r="A835" s="15" t="s">
        <v>865</v>
      </c>
      <c r="B835" t="str">
        <f>IFERROR(VLOOKUP(Tabla13[[#This Row],[SISMED]],TblDisponibilidad[],2,FALSE), "")</f>
        <v/>
      </c>
      <c r="C835">
        <f>IFERROR(VLOOKUP(Tabla13[[#This Row],[SISMED]],TblDisponibilidad[],7,FALSE), 0)</f>
        <v>0</v>
      </c>
      <c r="D835">
        <f>IFERROR(VLOOKUP(Tabla13[[#This Row],[SISMED]],TblDisponibilidad[],8,FALSE), 0)</f>
        <v>0</v>
      </c>
      <c r="E835">
        <f>IFERROR(VLOOKUP(Tabla13[[#This Row],[SISMED]],TblDisponibilidad[],9,FALSE), 0)</f>
        <v>0</v>
      </c>
      <c r="F835">
        <f>IFERROR(VLOOKUP(Tabla13[[#This Row],[SISMED]],TblDisponibilidad[],10,FALSE), 0)</f>
        <v>0</v>
      </c>
      <c r="G835">
        <f>IFERROR(VLOOKUP(Tabla13[[#This Row],[SISMED]],TblDisponibilidad[],11,FALSE), 0)</f>
        <v>0</v>
      </c>
      <c r="H835">
        <f>IFERROR(VLOOKUP(Tabla13[[#This Row],[SISMED]],TblDisponibilidad[],12,FALSE), 0)</f>
        <v>0</v>
      </c>
      <c r="I835">
        <f>IFERROR(VLOOKUP(Tabla13[[#This Row],[SISMED]],TblDisponibilidad[],13,FALSE), 0)</f>
        <v>0</v>
      </c>
      <c r="J835">
        <f>IFERROR(VLOOKUP(Tabla13[[#This Row],[SISMED]],TblDisponibilidad[],14,FALSE), 0)</f>
        <v>0</v>
      </c>
      <c r="K835">
        <f>IFERROR(VLOOKUP(Tabla13[[#This Row],[SISMED]],TblDisponibilidad[],15,FALSE), 0)</f>
        <v>0</v>
      </c>
      <c r="L835">
        <f>IFERROR(VLOOKUP(Tabla13[[#This Row],[SISMED]],TblDisponibilidad[],16,FALSE), 0)</f>
        <v>0</v>
      </c>
      <c r="M835">
        <f>IFERROR(VLOOKUP(Tabla13[[#This Row],[SISMED]],TblDisponibilidad[],17,FALSE), 0)</f>
        <v>0</v>
      </c>
      <c r="N835">
        <f>IFERROR(VLOOKUP(Tabla13[[#This Row],[SISMED]],TblDisponibilidad[],18,FALSE), 0)</f>
        <v>0</v>
      </c>
      <c r="O835">
        <f>IFERROR(VLOOKUP(Tabla13[[#This Row],[SISMED]],TblDisponibilidad[],19,FALSE), 0)</f>
        <v>0</v>
      </c>
      <c r="P835">
        <f>IFERROR(VLOOKUP(Tabla13[[#This Row],[SISMED]],TblDisponibilidad[],20,FALSE), 0)</f>
        <v>0</v>
      </c>
      <c r="Q835">
        <f>IFERROR(VLOOKUP(Tabla13[[#This Row],[SISMED]],TblDisponibilidad[],21,FALSE), 0)</f>
        <v>0</v>
      </c>
      <c r="R835">
        <f>IFERROR(VLOOKUP(Tabla13[[#This Row],[SISMED]],TblDisponibilidad[],22,FALSE), 0)</f>
        <v>0</v>
      </c>
      <c r="S835" s="15">
        <f>IFERROR(VLOOKUP(Tabla13[[#This Row],[SISMED]],TblDisponibilidad[],23,FALSE), 0)</f>
        <v>0</v>
      </c>
    </row>
    <row r="836" spans="1:19" x14ac:dyDescent="0.3">
      <c r="A836" s="15" t="s">
        <v>866</v>
      </c>
      <c r="B836" t="str">
        <f>IFERROR(VLOOKUP(Tabla13[[#This Row],[SISMED]],TblDisponibilidad[],2,FALSE), "")</f>
        <v/>
      </c>
      <c r="C836">
        <f>IFERROR(VLOOKUP(Tabla13[[#This Row],[SISMED]],TblDisponibilidad[],7,FALSE), 0)</f>
        <v>0</v>
      </c>
      <c r="D836">
        <f>IFERROR(VLOOKUP(Tabla13[[#This Row],[SISMED]],TblDisponibilidad[],8,FALSE), 0)</f>
        <v>0</v>
      </c>
      <c r="E836">
        <f>IFERROR(VLOOKUP(Tabla13[[#This Row],[SISMED]],TblDisponibilidad[],9,FALSE), 0)</f>
        <v>0</v>
      </c>
      <c r="F836">
        <f>IFERROR(VLOOKUP(Tabla13[[#This Row],[SISMED]],TblDisponibilidad[],10,FALSE), 0)</f>
        <v>0</v>
      </c>
      <c r="G836">
        <f>IFERROR(VLOOKUP(Tabla13[[#This Row],[SISMED]],TblDisponibilidad[],11,FALSE), 0)</f>
        <v>0</v>
      </c>
      <c r="H836">
        <f>IFERROR(VLOOKUP(Tabla13[[#This Row],[SISMED]],TblDisponibilidad[],12,FALSE), 0)</f>
        <v>0</v>
      </c>
      <c r="I836">
        <f>IFERROR(VLOOKUP(Tabla13[[#This Row],[SISMED]],TblDisponibilidad[],13,FALSE), 0)</f>
        <v>0</v>
      </c>
      <c r="J836">
        <f>IFERROR(VLOOKUP(Tabla13[[#This Row],[SISMED]],TblDisponibilidad[],14,FALSE), 0)</f>
        <v>0</v>
      </c>
      <c r="K836">
        <f>IFERROR(VLOOKUP(Tabla13[[#This Row],[SISMED]],TblDisponibilidad[],15,FALSE), 0)</f>
        <v>0</v>
      </c>
      <c r="L836">
        <f>IFERROR(VLOOKUP(Tabla13[[#This Row],[SISMED]],TblDisponibilidad[],16,FALSE), 0)</f>
        <v>0</v>
      </c>
      <c r="M836">
        <f>IFERROR(VLOOKUP(Tabla13[[#This Row],[SISMED]],TblDisponibilidad[],17,FALSE), 0)</f>
        <v>0</v>
      </c>
      <c r="N836">
        <f>IFERROR(VLOOKUP(Tabla13[[#This Row],[SISMED]],TblDisponibilidad[],18,FALSE), 0)</f>
        <v>0</v>
      </c>
      <c r="O836">
        <f>IFERROR(VLOOKUP(Tabla13[[#This Row],[SISMED]],TblDisponibilidad[],19,FALSE), 0)</f>
        <v>0</v>
      </c>
      <c r="P836">
        <f>IFERROR(VLOOKUP(Tabla13[[#This Row],[SISMED]],TblDisponibilidad[],20,FALSE), 0)</f>
        <v>0</v>
      </c>
      <c r="Q836">
        <f>IFERROR(VLOOKUP(Tabla13[[#This Row],[SISMED]],TblDisponibilidad[],21,FALSE), 0)</f>
        <v>0</v>
      </c>
      <c r="R836">
        <f>IFERROR(VLOOKUP(Tabla13[[#This Row],[SISMED]],TblDisponibilidad[],22,FALSE), 0)</f>
        <v>0</v>
      </c>
      <c r="S836" s="15">
        <f>IFERROR(VLOOKUP(Tabla13[[#This Row],[SISMED]],TblDisponibilidad[],23,FALSE), 0)</f>
        <v>0</v>
      </c>
    </row>
    <row r="837" spans="1:19" x14ac:dyDescent="0.3">
      <c r="A837" s="15" t="s">
        <v>867</v>
      </c>
      <c r="B837" t="str">
        <f>IFERROR(VLOOKUP(Tabla13[[#This Row],[SISMED]],TblDisponibilidad[],2,FALSE), "")</f>
        <v/>
      </c>
      <c r="C837">
        <f>IFERROR(VLOOKUP(Tabla13[[#This Row],[SISMED]],TblDisponibilidad[],7,FALSE), 0)</f>
        <v>0</v>
      </c>
      <c r="D837">
        <f>IFERROR(VLOOKUP(Tabla13[[#This Row],[SISMED]],TblDisponibilidad[],8,FALSE), 0)</f>
        <v>0</v>
      </c>
      <c r="E837">
        <f>IFERROR(VLOOKUP(Tabla13[[#This Row],[SISMED]],TblDisponibilidad[],9,FALSE), 0)</f>
        <v>0</v>
      </c>
      <c r="F837">
        <f>IFERROR(VLOOKUP(Tabla13[[#This Row],[SISMED]],TblDisponibilidad[],10,FALSE), 0)</f>
        <v>0</v>
      </c>
      <c r="G837">
        <f>IFERROR(VLOOKUP(Tabla13[[#This Row],[SISMED]],TblDisponibilidad[],11,FALSE), 0)</f>
        <v>0</v>
      </c>
      <c r="H837">
        <f>IFERROR(VLOOKUP(Tabla13[[#This Row],[SISMED]],TblDisponibilidad[],12,FALSE), 0)</f>
        <v>0</v>
      </c>
      <c r="I837">
        <f>IFERROR(VLOOKUP(Tabla13[[#This Row],[SISMED]],TblDisponibilidad[],13,FALSE), 0)</f>
        <v>0</v>
      </c>
      <c r="J837">
        <f>IFERROR(VLOOKUP(Tabla13[[#This Row],[SISMED]],TblDisponibilidad[],14,FALSE), 0)</f>
        <v>0</v>
      </c>
      <c r="K837">
        <f>IFERROR(VLOOKUP(Tabla13[[#This Row],[SISMED]],TblDisponibilidad[],15,FALSE), 0)</f>
        <v>0</v>
      </c>
      <c r="L837">
        <f>IFERROR(VLOOKUP(Tabla13[[#This Row],[SISMED]],TblDisponibilidad[],16,FALSE), 0)</f>
        <v>0</v>
      </c>
      <c r="M837">
        <f>IFERROR(VLOOKUP(Tabla13[[#This Row],[SISMED]],TblDisponibilidad[],17,FALSE), 0)</f>
        <v>0</v>
      </c>
      <c r="N837">
        <f>IFERROR(VLOOKUP(Tabla13[[#This Row],[SISMED]],TblDisponibilidad[],18,FALSE), 0)</f>
        <v>0</v>
      </c>
      <c r="O837">
        <f>IFERROR(VLOOKUP(Tabla13[[#This Row],[SISMED]],TblDisponibilidad[],19,FALSE), 0)</f>
        <v>0</v>
      </c>
      <c r="P837">
        <f>IFERROR(VLOOKUP(Tabla13[[#This Row],[SISMED]],TblDisponibilidad[],20,FALSE), 0)</f>
        <v>0</v>
      </c>
      <c r="Q837">
        <f>IFERROR(VLOOKUP(Tabla13[[#This Row],[SISMED]],TblDisponibilidad[],21,FALSE), 0)</f>
        <v>0</v>
      </c>
      <c r="R837">
        <f>IFERROR(VLOOKUP(Tabla13[[#This Row],[SISMED]],TblDisponibilidad[],22,FALSE), 0)</f>
        <v>0</v>
      </c>
      <c r="S837" s="15">
        <f>IFERROR(VLOOKUP(Tabla13[[#This Row],[SISMED]],TblDisponibilidad[],23,FALSE), 0)</f>
        <v>0</v>
      </c>
    </row>
    <row r="838" spans="1:19" x14ac:dyDescent="0.3">
      <c r="A838" s="15" t="s">
        <v>868</v>
      </c>
      <c r="B838" t="str">
        <f>IFERROR(VLOOKUP(Tabla13[[#This Row],[SISMED]],TblDisponibilidad[],2,FALSE), "")</f>
        <v/>
      </c>
      <c r="C838">
        <f>IFERROR(VLOOKUP(Tabla13[[#This Row],[SISMED]],TblDisponibilidad[],7,FALSE), 0)</f>
        <v>0</v>
      </c>
      <c r="D838">
        <f>IFERROR(VLOOKUP(Tabla13[[#This Row],[SISMED]],TblDisponibilidad[],8,FALSE), 0)</f>
        <v>0</v>
      </c>
      <c r="E838">
        <f>IFERROR(VLOOKUP(Tabla13[[#This Row],[SISMED]],TblDisponibilidad[],9,FALSE), 0)</f>
        <v>0</v>
      </c>
      <c r="F838">
        <f>IFERROR(VLOOKUP(Tabla13[[#This Row],[SISMED]],TblDisponibilidad[],10,FALSE), 0)</f>
        <v>0</v>
      </c>
      <c r="G838">
        <f>IFERROR(VLOOKUP(Tabla13[[#This Row],[SISMED]],TblDisponibilidad[],11,FALSE), 0)</f>
        <v>0</v>
      </c>
      <c r="H838">
        <f>IFERROR(VLOOKUP(Tabla13[[#This Row],[SISMED]],TblDisponibilidad[],12,FALSE), 0)</f>
        <v>0</v>
      </c>
      <c r="I838">
        <f>IFERROR(VLOOKUP(Tabla13[[#This Row],[SISMED]],TblDisponibilidad[],13,FALSE), 0)</f>
        <v>0</v>
      </c>
      <c r="J838">
        <f>IFERROR(VLOOKUP(Tabla13[[#This Row],[SISMED]],TblDisponibilidad[],14,FALSE), 0)</f>
        <v>0</v>
      </c>
      <c r="K838">
        <f>IFERROR(VLOOKUP(Tabla13[[#This Row],[SISMED]],TblDisponibilidad[],15,FALSE), 0)</f>
        <v>0</v>
      </c>
      <c r="L838">
        <f>IFERROR(VLOOKUP(Tabla13[[#This Row],[SISMED]],TblDisponibilidad[],16,FALSE), 0)</f>
        <v>0</v>
      </c>
      <c r="M838">
        <f>IFERROR(VLOOKUP(Tabla13[[#This Row],[SISMED]],TblDisponibilidad[],17,FALSE), 0)</f>
        <v>0</v>
      </c>
      <c r="N838">
        <f>IFERROR(VLOOKUP(Tabla13[[#This Row],[SISMED]],TblDisponibilidad[],18,FALSE), 0)</f>
        <v>0</v>
      </c>
      <c r="O838">
        <f>IFERROR(VLOOKUP(Tabla13[[#This Row],[SISMED]],TblDisponibilidad[],19,FALSE), 0)</f>
        <v>0</v>
      </c>
      <c r="P838">
        <f>IFERROR(VLOOKUP(Tabla13[[#This Row],[SISMED]],TblDisponibilidad[],20,FALSE), 0)</f>
        <v>0</v>
      </c>
      <c r="Q838">
        <f>IFERROR(VLOOKUP(Tabla13[[#This Row],[SISMED]],TblDisponibilidad[],21,FALSE), 0)</f>
        <v>0</v>
      </c>
      <c r="R838">
        <f>IFERROR(VLOOKUP(Tabla13[[#This Row],[SISMED]],TblDisponibilidad[],22,FALSE), 0)</f>
        <v>0</v>
      </c>
      <c r="S838" s="15">
        <f>IFERROR(VLOOKUP(Tabla13[[#This Row],[SISMED]],TblDisponibilidad[],23,FALSE), 0)</f>
        <v>0</v>
      </c>
    </row>
    <row r="839" spans="1:19" x14ac:dyDescent="0.3">
      <c r="A839" s="15" t="s">
        <v>869</v>
      </c>
      <c r="B839" t="str">
        <f>IFERROR(VLOOKUP(Tabla13[[#This Row],[SISMED]],TblDisponibilidad[],2,FALSE), "")</f>
        <v/>
      </c>
      <c r="C839">
        <f>IFERROR(VLOOKUP(Tabla13[[#This Row],[SISMED]],TblDisponibilidad[],7,FALSE), 0)</f>
        <v>0</v>
      </c>
      <c r="D839">
        <f>IFERROR(VLOOKUP(Tabla13[[#This Row],[SISMED]],TblDisponibilidad[],8,FALSE), 0)</f>
        <v>0</v>
      </c>
      <c r="E839">
        <f>IFERROR(VLOOKUP(Tabla13[[#This Row],[SISMED]],TblDisponibilidad[],9,FALSE), 0)</f>
        <v>0</v>
      </c>
      <c r="F839">
        <f>IFERROR(VLOOKUP(Tabla13[[#This Row],[SISMED]],TblDisponibilidad[],10,FALSE), 0)</f>
        <v>0</v>
      </c>
      <c r="G839">
        <f>IFERROR(VLOOKUP(Tabla13[[#This Row],[SISMED]],TblDisponibilidad[],11,FALSE), 0)</f>
        <v>0</v>
      </c>
      <c r="H839">
        <f>IFERROR(VLOOKUP(Tabla13[[#This Row],[SISMED]],TblDisponibilidad[],12,FALSE), 0)</f>
        <v>0</v>
      </c>
      <c r="I839">
        <f>IFERROR(VLOOKUP(Tabla13[[#This Row],[SISMED]],TblDisponibilidad[],13,FALSE), 0)</f>
        <v>0</v>
      </c>
      <c r="J839">
        <f>IFERROR(VLOOKUP(Tabla13[[#This Row],[SISMED]],TblDisponibilidad[],14,FALSE), 0)</f>
        <v>0</v>
      </c>
      <c r="K839">
        <f>IFERROR(VLOOKUP(Tabla13[[#This Row],[SISMED]],TblDisponibilidad[],15,FALSE), 0)</f>
        <v>0</v>
      </c>
      <c r="L839">
        <f>IFERROR(VLOOKUP(Tabla13[[#This Row],[SISMED]],TblDisponibilidad[],16,FALSE), 0)</f>
        <v>0</v>
      </c>
      <c r="M839">
        <f>IFERROR(VLOOKUP(Tabla13[[#This Row],[SISMED]],TblDisponibilidad[],17,FALSE), 0)</f>
        <v>0</v>
      </c>
      <c r="N839">
        <f>IFERROR(VLOOKUP(Tabla13[[#This Row],[SISMED]],TblDisponibilidad[],18,FALSE), 0)</f>
        <v>0</v>
      </c>
      <c r="O839">
        <f>IFERROR(VLOOKUP(Tabla13[[#This Row],[SISMED]],TblDisponibilidad[],19,FALSE), 0)</f>
        <v>0</v>
      </c>
      <c r="P839">
        <f>IFERROR(VLOOKUP(Tabla13[[#This Row],[SISMED]],TblDisponibilidad[],20,FALSE), 0)</f>
        <v>0</v>
      </c>
      <c r="Q839">
        <f>IFERROR(VLOOKUP(Tabla13[[#This Row],[SISMED]],TblDisponibilidad[],21,FALSE), 0)</f>
        <v>0</v>
      </c>
      <c r="R839">
        <f>IFERROR(VLOOKUP(Tabla13[[#This Row],[SISMED]],TblDisponibilidad[],22,FALSE), 0)</f>
        <v>0</v>
      </c>
      <c r="S839" s="15">
        <f>IFERROR(VLOOKUP(Tabla13[[#This Row],[SISMED]],TblDisponibilidad[],23,FALSE), 0)</f>
        <v>0</v>
      </c>
    </row>
    <row r="840" spans="1:19" x14ac:dyDescent="0.3">
      <c r="A840" s="15" t="s">
        <v>870</v>
      </c>
      <c r="B840" t="str">
        <f>IFERROR(VLOOKUP(Tabla13[[#This Row],[SISMED]],TblDisponibilidad[],2,FALSE), "")</f>
        <v/>
      </c>
      <c r="C840">
        <f>IFERROR(VLOOKUP(Tabla13[[#This Row],[SISMED]],TblDisponibilidad[],7,FALSE), 0)</f>
        <v>0</v>
      </c>
      <c r="D840">
        <f>IFERROR(VLOOKUP(Tabla13[[#This Row],[SISMED]],TblDisponibilidad[],8,FALSE), 0)</f>
        <v>0</v>
      </c>
      <c r="E840">
        <f>IFERROR(VLOOKUP(Tabla13[[#This Row],[SISMED]],TblDisponibilidad[],9,FALSE), 0)</f>
        <v>0</v>
      </c>
      <c r="F840">
        <f>IFERROR(VLOOKUP(Tabla13[[#This Row],[SISMED]],TblDisponibilidad[],10,FALSE), 0)</f>
        <v>0</v>
      </c>
      <c r="G840">
        <f>IFERROR(VLOOKUP(Tabla13[[#This Row],[SISMED]],TblDisponibilidad[],11,FALSE), 0)</f>
        <v>0</v>
      </c>
      <c r="H840">
        <f>IFERROR(VLOOKUP(Tabla13[[#This Row],[SISMED]],TblDisponibilidad[],12,FALSE), 0)</f>
        <v>0</v>
      </c>
      <c r="I840">
        <f>IFERROR(VLOOKUP(Tabla13[[#This Row],[SISMED]],TblDisponibilidad[],13,FALSE), 0)</f>
        <v>0</v>
      </c>
      <c r="J840">
        <f>IFERROR(VLOOKUP(Tabla13[[#This Row],[SISMED]],TblDisponibilidad[],14,FALSE), 0)</f>
        <v>0</v>
      </c>
      <c r="K840">
        <f>IFERROR(VLOOKUP(Tabla13[[#This Row],[SISMED]],TblDisponibilidad[],15,FALSE), 0)</f>
        <v>0</v>
      </c>
      <c r="L840">
        <f>IFERROR(VLOOKUP(Tabla13[[#This Row],[SISMED]],TblDisponibilidad[],16,FALSE), 0)</f>
        <v>0</v>
      </c>
      <c r="M840">
        <f>IFERROR(VLOOKUP(Tabla13[[#This Row],[SISMED]],TblDisponibilidad[],17,FALSE), 0)</f>
        <v>0</v>
      </c>
      <c r="N840">
        <f>IFERROR(VLOOKUP(Tabla13[[#This Row],[SISMED]],TblDisponibilidad[],18,FALSE), 0)</f>
        <v>0</v>
      </c>
      <c r="O840">
        <f>IFERROR(VLOOKUP(Tabla13[[#This Row],[SISMED]],TblDisponibilidad[],19,FALSE), 0)</f>
        <v>0</v>
      </c>
      <c r="P840">
        <f>IFERROR(VLOOKUP(Tabla13[[#This Row],[SISMED]],TblDisponibilidad[],20,FALSE), 0)</f>
        <v>0</v>
      </c>
      <c r="Q840">
        <f>IFERROR(VLOOKUP(Tabla13[[#This Row],[SISMED]],TblDisponibilidad[],21,FALSE), 0)</f>
        <v>0</v>
      </c>
      <c r="R840">
        <f>IFERROR(VLOOKUP(Tabla13[[#This Row],[SISMED]],TblDisponibilidad[],22,FALSE), 0)</f>
        <v>0</v>
      </c>
      <c r="S840" s="15">
        <f>IFERROR(VLOOKUP(Tabla13[[#This Row],[SISMED]],TblDisponibilidad[],23,FALSE), 0)</f>
        <v>0</v>
      </c>
    </row>
    <row r="841" spans="1:19" x14ac:dyDescent="0.3">
      <c r="A841" s="15" t="s">
        <v>871</v>
      </c>
      <c r="B841" t="str">
        <f>IFERROR(VLOOKUP(Tabla13[[#This Row],[SISMED]],TblDisponibilidad[],2,FALSE), "")</f>
        <v/>
      </c>
      <c r="C841">
        <f>IFERROR(VLOOKUP(Tabla13[[#This Row],[SISMED]],TblDisponibilidad[],7,FALSE), 0)</f>
        <v>0</v>
      </c>
      <c r="D841">
        <f>IFERROR(VLOOKUP(Tabla13[[#This Row],[SISMED]],TblDisponibilidad[],8,FALSE), 0)</f>
        <v>0</v>
      </c>
      <c r="E841">
        <f>IFERROR(VLOOKUP(Tabla13[[#This Row],[SISMED]],TblDisponibilidad[],9,FALSE), 0)</f>
        <v>0</v>
      </c>
      <c r="F841">
        <f>IFERROR(VLOOKUP(Tabla13[[#This Row],[SISMED]],TblDisponibilidad[],10,FALSE), 0)</f>
        <v>0</v>
      </c>
      <c r="G841">
        <f>IFERROR(VLOOKUP(Tabla13[[#This Row],[SISMED]],TblDisponibilidad[],11,FALSE), 0)</f>
        <v>0</v>
      </c>
      <c r="H841">
        <f>IFERROR(VLOOKUP(Tabla13[[#This Row],[SISMED]],TblDisponibilidad[],12,FALSE), 0)</f>
        <v>0</v>
      </c>
      <c r="I841">
        <f>IFERROR(VLOOKUP(Tabla13[[#This Row],[SISMED]],TblDisponibilidad[],13,FALSE), 0)</f>
        <v>0</v>
      </c>
      <c r="J841">
        <f>IFERROR(VLOOKUP(Tabla13[[#This Row],[SISMED]],TblDisponibilidad[],14,FALSE), 0)</f>
        <v>0</v>
      </c>
      <c r="K841">
        <f>IFERROR(VLOOKUP(Tabla13[[#This Row],[SISMED]],TblDisponibilidad[],15,FALSE), 0)</f>
        <v>0</v>
      </c>
      <c r="L841">
        <f>IFERROR(VLOOKUP(Tabla13[[#This Row],[SISMED]],TblDisponibilidad[],16,FALSE), 0)</f>
        <v>0</v>
      </c>
      <c r="M841">
        <f>IFERROR(VLOOKUP(Tabla13[[#This Row],[SISMED]],TblDisponibilidad[],17,FALSE), 0)</f>
        <v>0</v>
      </c>
      <c r="N841">
        <f>IFERROR(VLOOKUP(Tabla13[[#This Row],[SISMED]],TblDisponibilidad[],18,FALSE), 0)</f>
        <v>0</v>
      </c>
      <c r="O841">
        <f>IFERROR(VLOOKUP(Tabla13[[#This Row],[SISMED]],TblDisponibilidad[],19,FALSE), 0)</f>
        <v>0</v>
      </c>
      <c r="P841">
        <f>IFERROR(VLOOKUP(Tabla13[[#This Row],[SISMED]],TblDisponibilidad[],20,FALSE), 0)</f>
        <v>0</v>
      </c>
      <c r="Q841">
        <f>IFERROR(VLOOKUP(Tabla13[[#This Row],[SISMED]],TblDisponibilidad[],21,FALSE), 0)</f>
        <v>0</v>
      </c>
      <c r="R841">
        <f>IFERROR(VLOOKUP(Tabla13[[#This Row],[SISMED]],TblDisponibilidad[],22,FALSE), 0)</f>
        <v>0</v>
      </c>
      <c r="S841" s="15">
        <f>IFERROR(VLOOKUP(Tabla13[[#This Row],[SISMED]],TblDisponibilidad[],23,FALSE), 0)</f>
        <v>0</v>
      </c>
    </row>
    <row r="842" spans="1:19" x14ac:dyDescent="0.3">
      <c r="A842" s="15" t="s">
        <v>872</v>
      </c>
      <c r="B842" t="str">
        <f>IFERROR(VLOOKUP(Tabla13[[#This Row],[SISMED]],TblDisponibilidad[],2,FALSE), "")</f>
        <v/>
      </c>
      <c r="C842">
        <f>IFERROR(VLOOKUP(Tabla13[[#This Row],[SISMED]],TblDisponibilidad[],7,FALSE), 0)</f>
        <v>0</v>
      </c>
      <c r="D842">
        <f>IFERROR(VLOOKUP(Tabla13[[#This Row],[SISMED]],TblDisponibilidad[],8,FALSE), 0)</f>
        <v>0</v>
      </c>
      <c r="E842">
        <f>IFERROR(VLOOKUP(Tabla13[[#This Row],[SISMED]],TblDisponibilidad[],9,FALSE), 0)</f>
        <v>0</v>
      </c>
      <c r="F842">
        <f>IFERROR(VLOOKUP(Tabla13[[#This Row],[SISMED]],TblDisponibilidad[],10,FALSE), 0)</f>
        <v>0</v>
      </c>
      <c r="G842">
        <f>IFERROR(VLOOKUP(Tabla13[[#This Row],[SISMED]],TblDisponibilidad[],11,FALSE), 0)</f>
        <v>0</v>
      </c>
      <c r="H842">
        <f>IFERROR(VLOOKUP(Tabla13[[#This Row],[SISMED]],TblDisponibilidad[],12,FALSE), 0)</f>
        <v>0</v>
      </c>
      <c r="I842">
        <f>IFERROR(VLOOKUP(Tabla13[[#This Row],[SISMED]],TblDisponibilidad[],13,FALSE), 0)</f>
        <v>0</v>
      </c>
      <c r="J842">
        <f>IFERROR(VLOOKUP(Tabla13[[#This Row],[SISMED]],TblDisponibilidad[],14,FALSE), 0)</f>
        <v>0</v>
      </c>
      <c r="K842">
        <f>IFERROR(VLOOKUP(Tabla13[[#This Row],[SISMED]],TblDisponibilidad[],15,FALSE), 0)</f>
        <v>0</v>
      </c>
      <c r="L842">
        <f>IFERROR(VLOOKUP(Tabla13[[#This Row],[SISMED]],TblDisponibilidad[],16,FALSE), 0)</f>
        <v>0</v>
      </c>
      <c r="M842">
        <f>IFERROR(VLOOKUP(Tabla13[[#This Row],[SISMED]],TblDisponibilidad[],17,FALSE), 0)</f>
        <v>0</v>
      </c>
      <c r="N842">
        <f>IFERROR(VLOOKUP(Tabla13[[#This Row],[SISMED]],TblDisponibilidad[],18,FALSE), 0)</f>
        <v>0</v>
      </c>
      <c r="O842">
        <f>IFERROR(VLOOKUP(Tabla13[[#This Row],[SISMED]],TblDisponibilidad[],19,FALSE), 0)</f>
        <v>0</v>
      </c>
      <c r="P842">
        <f>IFERROR(VLOOKUP(Tabla13[[#This Row],[SISMED]],TblDisponibilidad[],20,FALSE), 0)</f>
        <v>0</v>
      </c>
      <c r="Q842">
        <f>IFERROR(VLOOKUP(Tabla13[[#This Row],[SISMED]],TblDisponibilidad[],21,FALSE), 0)</f>
        <v>0</v>
      </c>
      <c r="R842">
        <f>IFERROR(VLOOKUP(Tabla13[[#This Row],[SISMED]],TblDisponibilidad[],22,FALSE), 0)</f>
        <v>0</v>
      </c>
      <c r="S842" s="15">
        <f>IFERROR(VLOOKUP(Tabla13[[#This Row],[SISMED]],TblDisponibilidad[],23,FALSE), 0)</f>
        <v>0</v>
      </c>
    </row>
    <row r="843" spans="1:19" x14ac:dyDescent="0.3">
      <c r="A843" s="15" t="s">
        <v>873</v>
      </c>
      <c r="B843" t="str">
        <f>IFERROR(VLOOKUP(Tabla13[[#This Row],[SISMED]],TblDisponibilidad[],2,FALSE), "")</f>
        <v/>
      </c>
      <c r="C843">
        <f>IFERROR(VLOOKUP(Tabla13[[#This Row],[SISMED]],TblDisponibilidad[],7,FALSE), 0)</f>
        <v>0</v>
      </c>
      <c r="D843">
        <f>IFERROR(VLOOKUP(Tabla13[[#This Row],[SISMED]],TblDisponibilidad[],8,FALSE), 0)</f>
        <v>0</v>
      </c>
      <c r="E843">
        <f>IFERROR(VLOOKUP(Tabla13[[#This Row],[SISMED]],TblDisponibilidad[],9,FALSE), 0)</f>
        <v>0</v>
      </c>
      <c r="F843">
        <f>IFERROR(VLOOKUP(Tabla13[[#This Row],[SISMED]],TblDisponibilidad[],10,FALSE), 0)</f>
        <v>0</v>
      </c>
      <c r="G843">
        <f>IFERROR(VLOOKUP(Tabla13[[#This Row],[SISMED]],TblDisponibilidad[],11,FALSE), 0)</f>
        <v>0</v>
      </c>
      <c r="H843">
        <f>IFERROR(VLOOKUP(Tabla13[[#This Row],[SISMED]],TblDisponibilidad[],12,FALSE), 0)</f>
        <v>0</v>
      </c>
      <c r="I843">
        <f>IFERROR(VLOOKUP(Tabla13[[#This Row],[SISMED]],TblDisponibilidad[],13,FALSE), 0)</f>
        <v>0</v>
      </c>
      <c r="J843">
        <f>IFERROR(VLOOKUP(Tabla13[[#This Row],[SISMED]],TblDisponibilidad[],14,FALSE), 0)</f>
        <v>0</v>
      </c>
      <c r="K843">
        <f>IFERROR(VLOOKUP(Tabla13[[#This Row],[SISMED]],TblDisponibilidad[],15,FALSE), 0)</f>
        <v>0</v>
      </c>
      <c r="L843">
        <f>IFERROR(VLOOKUP(Tabla13[[#This Row],[SISMED]],TblDisponibilidad[],16,FALSE), 0)</f>
        <v>0</v>
      </c>
      <c r="M843">
        <f>IFERROR(VLOOKUP(Tabla13[[#This Row],[SISMED]],TblDisponibilidad[],17,FALSE), 0)</f>
        <v>0</v>
      </c>
      <c r="N843">
        <f>IFERROR(VLOOKUP(Tabla13[[#This Row],[SISMED]],TblDisponibilidad[],18,FALSE), 0)</f>
        <v>0</v>
      </c>
      <c r="O843">
        <f>IFERROR(VLOOKUP(Tabla13[[#This Row],[SISMED]],TblDisponibilidad[],19,FALSE), 0)</f>
        <v>0</v>
      </c>
      <c r="P843">
        <f>IFERROR(VLOOKUP(Tabla13[[#This Row],[SISMED]],TblDisponibilidad[],20,FALSE), 0)</f>
        <v>0</v>
      </c>
      <c r="Q843">
        <f>IFERROR(VLOOKUP(Tabla13[[#This Row],[SISMED]],TblDisponibilidad[],21,FALSE), 0)</f>
        <v>0</v>
      </c>
      <c r="R843">
        <f>IFERROR(VLOOKUP(Tabla13[[#This Row],[SISMED]],TblDisponibilidad[],22,FALSE), 0)</f>
        <v>0</v>
      </c>
      <c r="S843" s="15">
        <f>IFERROR(VLOOKUP(Tabla13[[#This Row],[SISMED]],TblDisponibilidad[],23,FALSE), 0)</f>
        <v>0</v>
      </c>
    </row>
    <row r="844" spans="1:19" x14ac:dyDescent="0.3">
      <c r="A844" s="15" t="s">
        <v>874</v>
      </c>
      <c r="B844" t="str">
        <f>IFERROR(VLOOKUP(Tabla13[[#This Row],[SISMED]],TblDisponibilidad[],2,FALSE), "")</f>
        <v/>
      </c>
      <c r="C844">
        <f>IFERROR(VLOOKUP(Tabla13[[#This Row],[SISMED]],TblDisponibilidad[],7,FALSE), 0)</f>
        <v>0</v>
      </c>
      <c r="D844">
        <f>IFERROR(VLOOKUP(Tabla13[[#This Row],[SISMED]],TblDisponibilidad[],8,FALSE), 0)</f>
        <v>0</v>
      </c>
      <c r="E844">
        <f>IFERROR(VLOOKUP(Tabla13[[#This Row],[SISMED]],TblDisponibilidad[],9,FALSE), 0)</f>
        <v>0</v>
      </c>
      <c r="F844">
        <f>IFERROR(VLOOKUP(Tabla13[[#This Row],[SISMED]],TblDisponibilidad[],10,FALSE), 0)</f>
        <v>0</v>
      </c>
      <c r="G844">
        <f>IFERROR(VLOOKUP(Tabla13[[#This Row],[SISMED]],TblDisponibilidad[],11,FALSE), 0)</f>
        <v>0</v>
      </c>
      <c r="H844">
        <f>IFERROR(VLOOKUP(Tabla13[[#This Row],[SISMED]],TblDisponibilidad[],12,FALSE), 0)</f>
        <v>0</v>
      </c>
      <c r="I844">
        <f>IFERROR(VLOOKUP(Tabla13[[#This Row],[SISMED]],TblDisponibilidad[],13,FALSE), 0)</f>
        <v>0</v>
      </c>
      <c r="J844">
        <f>IFERROR(VLOOKUP(Tabla13[[#This Row],[SISMED]],TblDisponibilidad[],14,FALSE), 0)</f>
        <v>0</v>
      </c>
      <c r="K844">
        <f>IFERROR(VLOOKUP(Tabla13[[#This Row],[SISMED]],TblDisponibilidad[],15,FALSE), 0)</f>
        <v>0</v>
      </c>
      <c r="L844">
        <f>IFERROR(VLOOKUP(Tabla13[[#This Row],[SISMED]],TblDisponibilidad[],16,FALSE), 0)</f>
        <v>0</v>
      </c>
      <c r="M844">
        <f>IFERROR(VLOOKUP(Tabla13[[#This Row],[SISMED]],TblDisponibilidad[],17,FALSE), 0)</f>
        <v>0</v>
      </c>
      <c r="N844">
        <f>IFERROR(VLOOKUP(Tabla13[[#This Row],[SISMED]],TblDisponibilidad[],18,FALSE), 0)</f>
        <v>0</v>
      </c>
      <c r="O844">
        <f>IFERROR(VLOOKUP(Tabla13[[#This Row],[SISMED]],TblDisponibilidad[],19,FALSE), 0)</f>
        <v>0</v>
      </c>
      <c r="P844">
        <f>IFERROR(VLOOKUP(Tabla13[[#This Row],[SISMED]],TblDisponibilidad[],20,FALSE), 0)</f>
        <v>0</v>
      </c>
      <c r="Q844">
        <f>IFERROR(VLOOKUP(Tabla13[[#This Row],[SISMED]],TblDisponibilidad[],21,FALSE), 0)</f>
        <v>0</v>
      </c>
      <c r="R844">
        <f>IFERROR(VLOOKUP(Tabla13[[#This Row],[SISMED]],TblDisponibilidad[],22,FALSE), 0)</f>
        <v>0</v>
      </c>
      <c r="S844" s="15">
        <f>IFERROR(VLOOKUP(Tabla13[[#This Row],[SISMED]],TblDisponibilidad[],23,FALSE), 0)</f>
        <v>0</v>
      </c>
    </row>
    <row r="845" spans="1:19" x14ac:dyDescent="0.3">
      <c r="A845" s="15" t="s">
        <v>875</v>
      </c>
      <c r="B845" t="str">
        <f>IFERROR(VLOOKUP(Tabla13[[#This Row],[SISMED]],TblDisponibilidad[],2,FALSE), "")</f>
        <v/>
      </c>
      <c r="C845">
        <f>IFERROR(VLOOKUP(Tabla13[[#This Row],[SISMED]],TblDisponibilidad[],7,FALSE), 0)</f>
        <v>0</v>
      </c>
      <c r="D845">
        <f>IFERROR(VLOOKUP(Tabla13[[#This Row],[SISMED]],TblDisponibilidad[],8,FALSE), 0)</f>
        <v>0</v>
      </c>
      <c r="E845">
        <f>IFERROR(VLOOKUP(Tabla13[[#This Row],[SISMED]],TblDisponibilidad[],9,FALSE), 0)</f>
        <v>0</v>
      </c>
      <c r="F845">
        <f>IFERROR(VLOOKUP(Tabla13[[#This Row],[SISMED]],TblDisponibilidad[],10,FALSE), 0)</f>
        <v>0</v>
      </c>
      <c r="G845">
        <f>IFERROR(VLOOKUP(Tabla13[[#This Row],[SISMED]],TblDisponibilidad[],11,FALSE), 0)</f>
        <v>0</v>
      </c>
      <c r="H845">
        <f>IFERROR(VLOOKUP(Tabla13[[#This Row],[SISMED]],TblDisponibilidad[],12,FALSE), 0)</f>
        <v>0</v>
      </c>
      <c r="I845">
        <f>IFERROR(VLOOKUP(Tabla13[[#This Row],[SISMED]],TblDisponibilidad[],13,FALSE), 0)</f>
        <v>0</v>
      </c>
      <c r="J845">
        <f>IFERROR(VLOOKUP(Tabla13[[#This Row],[SISMED]],TblDisponibilidad[],14,FALSE), 0)</f>
        <v>0</v>
      </c>
      <c r="K845">
        <f>IFERROR(VLOOKUP(Tabla13[[#This Row],[SISMED]],TblDisponibilidad[],15,FALSE), 0)</f>
        <v>0</v>
      </c>
      <c r="L845">
        <f>IFERROR(VLOOKUP(Tabla13[[#This Row],[SISMED]],TblDisponibilidad[],16,FALSE), 0)</f>
        <v>0</v>
      </c>
      <c r="M845">
        <f>IFERROR(VLOOKUP(Tabla13[[#This Row],[SISMED]],TblDisponibilidad[],17,FALSE), 0)</f>
        <v>0</v>
      </c>
      <c r="N845">
        <f>IFERROR(VLOOKUP(Tabla13[[#This Row],[SISMED]],TblDisponibilidad[],18,FALSE), 0)</f>
        <v>0</v>
      </c>
      <c r="O845">
        <f>IFERROR(VLOOKUP(Tabla13[[#This Row],[SISMED]],TblDisponibilidad[],19,FALSE), 0)</f>
        <v>0</v>
      </c>
      <c r="P845">
        <f>IFERROR(VLOOKUP(Tabla13[[#This Row],[SISMED]],TblDisponibilidad[],20,FALSE), 0)</f>
        <v>0</v>
      </c>
      <c r="Q845">
        <f>IFERROR(VLOOKUP(Tabla13[[#This Row],[SISMED]],TblDisponibilidad[],21,FALSE), 0)</f>
        <v>0</v>
      </c>
      <c r="R845">
        <f>IFERROR(VLOOKUP(Tabla13[[#This Row],[SISMED]],TblDisponibilidad[],22,FALSE), 0)</f>
        <v>0</v>
      </c>
      <c r="S845" s="15">
        <f>IFERROR(VLOOKUP(Tabla13[[#This Row],[SISMED]],TblDisponibilidad[],23,FALSE), 0)</f>
        <v>0</v>
      </c>
    </row>
    <row r="846" spans="1:19" x14ac:dyDescent="0.3">
      <c r="A846" s="15" t="s">
        <v>876</v>
      </c>
      <c r="B846" t="str">
        <f>IFERROR(VLOOKUP(Tabla13[[#This Row],[SISMED]],TblDisponibilidad[],2,FALSE), "")</f>
        <v/>
      </c>
      <c r="C846">
        <f>IFERROR(VLOOKUP(Tabla13[[#This Row],[SISMED]],TblDisponibilidad[],7,FALSE), 0)</f>
        <v>0</v>
      </c>
      <c r="D846">
        <f>IFERROR(VLOOKUP(Tabla13[[#This Row],[SISMED]],TblDisponibilidad[],8,FALSE), 0)</f>
        <v>0</v>
      </c>
      <c r="E846">
        <f>IFERROR(VLOOKUP(Tabla13[[#This Row],[SISMED]],TblDisponibilidad[],9,FALSE), 0)</f>
        <v>0</v>
      </c>
      <c r="F846">
        <f>IFERROR(VLOOKUP(Tabla13[[#This Row],[SISMED]],TblDisponibilidad[],10,FALSE), 0)</f>
        <v>0</v>
      </c>
      <c r="G846">
        <f>IFERROR(VLOOKUP(Tabla13[[#This Row],[SISMED]],TblDisponibilidad[],11,FALSE), 0)</f>
        <v>0</v>
      </c>
      <c r="H846">
        <f>IFERROR(VLOOKUP(Tabla13[[#This Row],[SISMED]],TblDisponibilidad[],12,FALSE), 0)</f>
        <v>0</v>
      </c>
      <c r="I846">
        <f>IFERROR(VLOOKUP(Tabla13[[#This Row],[SISMED]],TblDisponibilidad[],13,FALSE), 0)</f>
        <v>0</v>
      </c>
      <c r="J846">
        <f>IFERROR(VLOOKUP(Tabla13[[#This Row],[SISMED]],TblDisponibilidad[],14,FALSE), 0)</f>
        <v>0</v>
      </c>
      <c r="K846">
        <f>IFERROR(VLOOKUP(Tabla13[[#This Row],[SISMED]],TblDisponibilidad[],15,FALSE), 0)</f>
        <v>0</v>
      </c>
      <c r="L846">
        <f>IFERROR(VLOOKUP(Tabla13[[#This Row],[SISMED]],TblDisponibilidad[],16,FALSE), 0)</f>
        <v>0</v>
      </c>
      <c r="M846">
        <f>IFERROR(VLOOKUP(Tabla13[[#This Row],[SISMED]],TblDisponibilidad[],17,FALSE), 0)</f>
        <v>0</v>
      </c>
      <c r="N846">
        <f>IFERROR(VLOOKUP(Tabla13[[#This Row],[SISMED]],TblDisponibilidad[],18,FALSE), 0)</f>
        <v>0</v>
      </c>
      <c r="O846">
        <f>IFERROR(VLOOKUP(Tabla13[[#This Row],[SISMED]],TblDisponibilidad[],19,FALSE), 0)</f>
        <v>0</v>
      </c>
      <c r="P846">
        <f>IFERROR(VLOOKUP(Tabla13[[#This Row],[SISMED]],TblDisponibilidad[],20,FALSE), 0)</f>
        <v>0</v>
      </c>
      <c r="Q846">
        <f>IFERROR(VLOOKUP(Tabla13[[#This Row],[SISMED]],TblDisponibilidad[],21,FALSE), 0)</f>
        <v>0</v>
      </c>
      <c r="R846">
        <f>IFERROR(VLOOKUP(Tabla13[[#This Row],[SISMED]],TblDisponibilidad[],22,FALSE), 0)</f>
        <v>0</v>
      </c>
      <c r="S846" s="15">
        <f>IFERROR(VLOOKUP(Tabla13[[#This Row],[SISMED]],TblDisponibilidad[],23,FALSE), 0)</f>
        <v>0</v>
      </c>
    </row>
    <row r="847" spans="1:19" x14ac:dyDescent="0.3">
      <c r="A847" s="15" t="s">
        <v>877</v>
      </c>
      <c r="B847" t="str">
        <f>IFERROR(VLOOKUP(Tabla13[[#This Row],[SISMED]],TblDisponibilidad[],2,FALSE), "")</f>
        <v/>
      </c>
      <c r="C847">
        <f>IFERROR(VLOOKUP(Tabla13[[#This Row],[SISMED]],TblDisponibilidad[],7,FALSE), 0)</f>
        <v>0</v>
      </c>
      <c r="D847">
        <f>IFERROR(VLOOKUP(Tabla13[[#This Row],[SISMED]],TblDisponibilidad[],8,FALSE), 0)</f>
        <v>0</v>
      </c>
      <c r="E847">
        <f>IFERROR(VLOOKUP(Tabla13[[#This Row],[SISMED]],TblDisponibilidad[],9,FALSE), 0)</f>
        <v>0</v>
      </c>
      <c r="F847">
        <f>IFERROR(VLOOKUP(Tabla13[[#This Row],[SISMED]],TblDisponibilidad[],10,FALSE), 0)</f>
        <v>0</v>
      </c>
      <c r="G847">
        <f>IFERROR(VLOOKUP(Tabla13[[#This Row],[SISMED]],TblDisponibilidad[],11,FALSE), 0)</f>
        <v>0</v>
      </c>
      <c r="H847">
        <f>IFERROR(VLOOKUP(Tabla13[[#This Row],[SISMED]],TblDisponibilidad[],12,FALSE), 0)</f>
        <v>0</v>
      </c>
      <c r="I847">
        <f>IFERROR(VLOOKUP(Tabla13[[#This Row],[SISMED]],TblDisponibilidad[],13,FALSE), 0)</f>
        <v>0</v>
      </c>
      <c r="J847">
        <f>IFERROR(VLOOKUP(Tabla13[[#This Row],[SISMED]],TblDisponibilidad[],14,FALSE), 0)</f>
        <v>0</v>
      </c>
      <c r="K847">
        <f>IFERROR(VLOOKUP(Tabla13[[#This Row],[SISMED]],TblDisponibilidad[],15,FALSE), 0)</f>
        <v>0</v>
      </c>
      <c r="L847">
        <f>IFERROR(VLOOKUP(Tabla13[[#This Row],[SISMED]],TblDisponibilidad[],16,FALSE), 0)</f>
        <v>0</v>
      </c>
      <c r="M847">
        <f>IFERROR(VLOOKUP(Tabla13[[#This Row],[SISMED]],TblDisponibilidad[],17,FALSE), 0)</f>
        <v>0</v>
      </c>
      <c r="N847">
        <f>IFERROR(VLOOKUP(Tabla13[[#This Row],[SISMED]],TblDisponibilidad[],18,FALSE), 0)</f>
        <v>0</v>
      </c>
      <c r="O847">
        <f>IFERROR(VLOOKUP(Tabla13[[#This Row],[SISMED]],TblDisponibilidad[],19,FALSE), 0)</f>
        <v>0</v>
      </c>
      <c r="P847">
        <f>IFERROR(VLOOKUP(Tabla13[[#This Row],[SISMED]],TblDisponibilidad[],20,FALSE), 0)</f>
        <v>0</v>
      </c>
      <c r="Q847">
        <f>IFERROR(VLOOKUP(Tabla13[[#This Row],[SISMED]],TblDisponibilidad[],21,FALSE), 0)</f>
        <v>0</v>
      </c>
      <c r="R847">
        <f>IFERROR(VLOOKUP(Tabla13[[#This Row],[SISMED]],TblDisponibilidad[],22,FALSE), 0)</f>
        <v>0</v>
      </c>
      <c r="S847" s="15">
        <f>IFERROR(VLOOKUP(Tabla13[[#This Row],[SISMED]],TblDisponibilidad[],23,FALSE), 0)</f>
        <v>0</v>
      </c>
    </row>
    <row r="848" spans="1:19" x14ac:dyDescent="0.3">
      <c r="A848" s="15" t="s">
        <v>878</v>
      </c>
      <c r="B848" t="str">
        <f>IFERROR(VLOOKUP(Tabla13[[#This Row],[SISMED]],TblDisponibilidad[],2,FALSE), "")</f>
        <v/>
      </c>
      <c r="C848">
        <f>IFERROR(VLOOKUP(Tabla13[[#This Row],[SISMED]],TblDisponibilidad[],7,FALSE), 0)</f>
        <v>0</v>
      </c>
      <c r="D848">
        <f>IFERROR(VLOOKUP(Tabla13[[#This Row],[SISMED]],TblDisponibilidad[],8,FALSE), 0)</f>
        <v>0</v>
      </c>
      <c r="E848">
        <f>IFERROR(VLOOKUP(Tabla13[[#This Row],[SISMED]],TblDisponibilidad[],9,FALSE), 0)</f>
        <v>0</v>
      </c>
      <c r="F848">
        <f>IFERROR(VLOOKUP(Tabla13[[#This Row],[SISMED]],TblDisponibilidad[],10,FALSE), 0)</f>
        <v>0</v>
      </c>
      <c r="G848">
        <f>IFERROR(VLOOKUP(Tabla13[[#This Row],[SISMED]],TblDisponibilidad[],11,FALSE), 0)</f>
        <v>0</v>
      </c>
      <c r="H848">
        <f>IFERROR(VLOOKUP(Tabla13[[#This Row],[SISMED]],TblDisponibilidad[],12,FALSE), 0)</f>
        <v>0</v>
      </c>
      <c r="I848">
        <f>IFERROR(VLOOKUP(Tabla13[[#This Row],[SISMED]],TblDisponibilidad[],13,FALSE), 0)</f>
        <v>0</v>
      </c>
      <c r="J848">
        <f>IFERROR(VLOOKUP(Tabla13[[#This Row],[SISMED]],TblDisponibilidad[],14,FALSE), 0)</f>
        <v>0</v>
      </c>
      <c r="K848">
        <f>IFERROR(VLOOKUP(Tabla13[[#This Row],[SISMED]],TblDisponibilidad[],15,FALSE), 0)</f>
        <v>0</v>
      </c>
      <c r="L848">
        <f>IFERROR(VLOOKUP(Tabla13[[#This Row],[SISMED]],TblDisponibilidad[],16,FALSE), 0)</f>
        <v>0</v>
      </c>
      <c r="M848">
        <f>IFERROR(VLOOKUP(Tabla13[[#This Row],[SISMED]],TblDisponibilidad[],17,FALSE), 0)</f>
        <v>0</v>
      </c>
      <c r="N848">
        <f>IFERROR(VLOOKUP(Tabla13[[#This Row],[SISMED]],TblDisponibilidad[],18,FALSE), 0)</f>
        <v>0</v>
      </c>
      <c r="O848">
        <f>IFERROR(VLOOKUP(Tabla13[[#This Row],[SISMED]],TblDisponibilidad[],19,FALSE), 0)</f>
        <v>0</v>
      </c>
      <c r="P848">
        <f>IFERROR(VLOOKUP(Tabla13[[#This Row],[SISMED]],TblDisponibilidad[],20,FALSE), 0)</f>
        <v>0</v>
      </c>
      <c r="Q848">
        <f>IFERROR(VLOOKUP(Tabla13[[#This Row],[SISMED]],TblDisponibilidad[],21,FALSE), 0)</f>
        <v>0</v>
      </c>
      <c r="R848">
        <f>IFERROR(VLOOKUP(Tabla13[[#This Row],[SISMED]],TblDisponibilidad[],22,FALSE), 0)</f>
        <v>0</v>
      </c>
      <c r="S848" s="15">
        <f>IFERROR(VLOOKUP(Tabla13[[#This Row],[SISMED]],TblDisponibilidad[],23,FALSE), 0)</f>
        <v>0</v>
      </c>
    </row>
    <row r="849" spans="1:19" x14ac:dyDescent="0.3">
      <c r="A849" s="15" t="s">
        <v>879</v>
      </c>
      <c r="B849" t="str">
        <f>IFERROR(VLOOKUP(Tabla13[[#This Row],[SISMED]],TblDisponibilidad[],2,FALSE), "")</f>
        <v/>
      </c>
      <c r="C849">
        <f>IFERROR(VLOOKUP(Tabla13[[#This Row],[SISMED]],TblDisponibilidad[],7,FALSE), 0)</f>
        <v>0</v>
      </c>
      <c r="D849">
        <f>IFERROR(VLOOKUP(Tabla13[[#This Row],[SISMED]],TblDisponibilidad[],8,FALSE), 0)</f>
        <v>0</v>
      </c>
      <c r="E849">
        <f>IFERROR(VLOOKUP(Tabla13[[#This Row],[SISMED]],TblDisponibilidad[],9,FALSE), 0)</f>
        <v>0</v>
      </c>
      <c r="F849">
        <f>IFERROR(VLOOKUP(Tabla13[[#This Row],[SISMED]],TblDisponibilidad[],10,FALSE), 0)</f>
        <v>0</v>
      </c>
      <c r="G849">
        <f>IFERROR(VLOOKUP(Tabla13[[#This Row],[SISMED]],TblDisponibilidad[],11,FALSE), 0)</f>
        <v>0</v>
      </c>
      <c r="H849">
        <f>IFERROR(VLOOKUP(Tabla13[[#This Row],[SISMED]],TblDisponibilidad[],12,FALSE), 0)</f>
        <v>0</v>
      </c>
      <c r="I849">
        <f>IFERROR(VLOOKUP(Tabla13[[#This Row],[SISMED]],TblDisponibilidad[],13,FALSE), 0)</f>
        <v>0</v>
      </c>
      <c r="J849">
        <f>IFERROR(VLOOKUP(Tabla13[[#This Row],[SISMED]],TblDisponibilidad[],14,FALSE), 0)</f>
        <v>0</v>
      </c>
      <c r="K849">
        <f>IFERROR(VLOOKUP(Tabla13[[#This Row],[SISMED]],TblDisponibilidad[],15,FALSE), 0)</f>
        <v>0</v>
      </c>
      <c r="L849">
        <f>IFERROR(VLOOKUP(Tabla13[[#This Row],[SISMED]],TblDisponibilidad[],16,FALSE), 0)</f>
        <v>0</v>
      </c>
      <c r="M849">
        <f>IFERROR(VLOOKUP(Tabla13[[#This Row],[SISMED]],TblDisponibilidad[],17,FALSE), 0)</f>
        <v>0</v>
      </c>
      <c r="N849">
        <f>IFERROR(VLOOKUP(Tabla13[[#This Row],[SISMED]],TblDisponibilidad[],18,FALSE), 0)</f>
        <v>0</v>
      </c>
      <c r="O849">
        <f>IFERROR(VLOOKUP(Tabla13[[#This Row],[SISMED]],TblDisponibilidad[],19,FALSE), 0)</f>
        <v>0</v>
      </c>
      <c r="P849">
        <f>IFERROR(VLOOKUP(Tabla13[[#This Row],[SISMED]],TblDisponibilidad[],20,FALSE), 0)</f>
        <v>0</v>
      </c>
      <c r="Q849">
        <f>IFERROR(VLOOKUP(Tabla13[[#This Row],[SISMED]],TblDisponibilidad[],21,FALSE), 0)</f>
        <v>0</v>
      </c>
      <c r="R849">
        <f>IFERROR(VLOOKUP(Tabla13[[#This Row],[SISMED]],TblDisponibilidad[],22,FALSE), 0)</f>
        <v>0</v>
      </c>
      <c r="S849" s="15">
        <f>IFERROR(VLOOKUP(Tabla13[[#This Row],[SISMED]],TblDisponibilidad[],23,FALSE), 0)</f>
        <v>0</v>
      </c>
    </row>
    <row r="850" spans="1:19" x14ac:dyDescent="0.3">
      <c r="A850" s="15" t="s">
        <v>880</v>
      </c>
      <c r="B850" t="str">
        <f>IFERROR(VLOOKUP(Tabla13[[#This Row],[SISMED]],TblDisponibilidad[],2,FALSE), "")</f>
        <v/>
      </c>
      <c r="C850">
        <f>IFERROR(VLOOKUP(Tabla13[[#This Row],[SISMED]],TblDisponibilidad[],7,FALSE), 0)</f>
        <v>0</v>
      </c>
      <c r="D850">
        <f>IFERROR(VLOOKUP(Tabla13[[#This Row],[SISMED]],TblDisponibilidad[],8,FALSE), 0)</f>
        <v>0</v>
      </c>
      <c r="E850">
        <f>IFERROR(VLOOKUP(Tabla13[[#This Row],[SISMED]],TblDisponibilidad[],9,FALSE), 0)</f>
        <v>0</v>
      </c>
      <c r="F850">
        <f>IFERROR(VLOOKUP(Tabla13[[#This Row],[SISMED]],TblDisponibilidad[],10,FALSE), 0)</f>
        <v>0</v>
      </c>
      <c r="G850">
        <f>IFERROR(VLOOKUP(Tabla13[[#This Row],[SISMED]],TblDisponibilidad[],11,FALSE), 0)</f>
        <v>0</v>
      </c>
      <c r="H850">
        <f>IFERROR(VLOOKUP(Tabla13[[#This Row],[SISMED]],TblDisponibilidad[],12,FALSE), 0)</f>
        <v>0</v>
      </c>
      <c r="I850">
        <f>IFERROR(VLOOKUP(Tabla13[[#This Row],[SISMED]],TblDisponibilidad[],13,FALSE), 0)</f>
        <v>0</v>
      </c>
      <c r="J850">
        <f>IFERROR(VLOOKUP(Tabla13[[#This Row],[SISMED]],TblDisponibilidad[],14,FALSE), 0)</f>
        <v>0</v>
      </c>
      <c r="K850">
        <f>IFERROR(VLOOKUP(Tabla13[[#This Row],[SISMED]],TblDisponibilidad[],15,FALSE), 0)</f>
        <v>0</v>
      </c>
      <c r="L850">
        <f>IFERROR(VLOOKUP(Tabla13[[#This Row],[SISMED]],TblDisponibilidad[],16,FALSE), 0)</f>
        <v>0</v>
      </c>
      <c r="M850">
        <f>IFERROR(VLOOKUP(Tabla13[[#This Row],[SISMED]],TblDisponibilidad[],17,FALSE), 0)</f>
        <v>0</v>
      </c>
      <c r="N850">
        <f>IFERROR(VLOOKUP(Tabla13[[#This Row],[SISMED]],TblDisponibilidad[],18,FALSE), 0)</f>
        <v>0</v>
      </c>
      <c r="O850">
        <f>IFERROR(VLOOKUP(Tabla13[[#This Row],[SISMED]],TblDisponibilidad[],19,FALSE), 0)</f>
        <v>0</v>
      </c>
      <c r="P850">
        <f>IFERROR(VLOOKUP(Tabla13[[#This Row],[SISMED]],TblDisponibilidad[],20,FALSE), 0)</f>
        <v>0</v>
      </c>
      <c r="Q850">
        <f>IFERROR(VLOOKUP(Tabla13[[#This Row],[SISMED]],TblDisponibilidad[],21,FALSE), 0)</f>
        <v>0</v>
      </c>
      <c r="R850">
        <f>IFERROR(VLOOKUP(Tabla13[[#This Row],[SISMED]],TblDisponibilidad[],22,FALSE), 0)</f>
        <v>0</v>
      </c>
      <c r="S850" s="15">
        <f>IFERROR(VLOOKUP(Tabla13[[#This Row],[SISMED]],TblDisponibilidad[],23,FALSE), 0)</f>
        <v>0</v>
      </c>
    </row>
    <row r="851" spans="1:19" x14ac:dyDescent="0.3">
      <c r="A851" s="15" t="s">
        <v>881</v>
      </c>
      <c r="B851" t="str">
        <f>IFERROR(VLOOKUP(Tabla13[[#This Row],[SISMED]],TblDisponibilidad[],2,FALSE), "")</f>
        <v/>
      </c>
      <c r="C851">
        <f>IFERROR(VLOOKUP(Tabla13[[#This Row],[SISMED]],TblDisponibilidad[],7,FALSE), 0)</f>
        <v>0</v>
      </c>
      <c r="D851">
        <f>IFERROR(VLOOKUP(Tabla13[[#This Row],[SISMED]],TblDisponibilidad[],8,FALSE), 0)</f>
        <v>0</v>
      </c>
      <c r="E851">
        <f>IFERROR(VLOOKUP(Tabla13[[#This Row],[SISMED]],TblDisponibilidad[],9,FALSE), 0)</f>
        <v>0</v>
      </c>
      <c r="F851">
        <f>IFERROR(VLOOKUP(Tabla13[[#This Row],[SISMED]],TblDisponibilidad[],10,FALSE), 0)</f>
        <v>0</v>
      </c>
      <c r="G851">
        <f>IFERROR(VLOOKUP(Tabla13[[#This Row],[SISMED]],TblDisponibilidad[],11,FALSE), 0)</f>
        <v>0</v>
      </c>
      <c r="H851">
        <f>IFERROR(VLOOKUP(Tabla13[[#This Row],[SISMED]],TblDisponibilidad[],12,FALSE), 0)</f>
        <v>0</v>
      </c>
      <c r="I851">
        <f>IFERROR(VLOOKUP(Tabla13[[#This Row],[SISMED]],TblDisponibilidad[],13,FALSE), 0)</f>
        <v>0</v>
      </c>
      <c r="J851">
        <f>IFERROR(VLOOKUP(Tabla13[[#This Row],[SISMED]],TblDisponibilidad[],14,FALSE), 0)</f>
        <v>0</v>
      </c>
      <c r="K851">
        <f>IFERROR(VLOOKUP(Tabla13[[#This Row],[SISMED]],TblDisponibilidad[],15,FALSE), 0)</f>
        <v>0</v>
      </c>
      <c r="L851">
        <f>IFERROR(VLOOKUP(Tabla13[[#This Row],[SISMED]],TblDisponibilidad[],16,FALSE), 0)</f>
        <v>0</v>
      </c>
      <c r="M851">
        <f>IFERROR(VLOOKUP(Tabla13[[#This Row],[SISMED]],TblDisponibilidad[],17,FALSE), 0)</f>
        <v>0</v>
      </c>
      <c r="N851">
        <f>IFERROR(VLOOKUP(Tabla13[[#This Row],[SISMED]],TblDisponibilidad[],18,FALSE), 0)</f>
        <v>0</v>
      </c>
      <c r="O851">
        <f>IFERROR(VLOOKUP(Tabla13[[#This Row],[SISMED]],TblDisponibilidad[],19,FALSE), 0)</f>
        <v>0</v>
      </c>
      <c r="P851">
        <f>IFERROR(VLOOKUP(Tabla13[[#This Row],[SISMED]],TblDisponibilidad[],20,FALSE), 0)</f>
        <v>0</v>
      </c>
      <c r="Q851">
        <f>IFERROR(VLOOKUP(Tabla13[[#This Row],[SISMED]],TblDisponibilidad[],21,FALSE), 0)</f>
        <v>0</v>
      </c>
      <c r="R851">
        <f>IFERROR(VLOOKUP(Tabla13[[#This Row],[SISMED]],TblDisponibilidad[],22,FALSE), 0)</f>
        <v>0</v>
      </c>
      <c r="S851" s="15">
        <f>IFERROR(VLOOKUP(Tabla13[[#This Row],[SISMED]],TblDisponibilidad[],23,FALSE), 0)</f>
        <v>0</v>
      </c>
    </row>
    <row r="852" spans="1:19" x14ac:dyDescent="0.3">
      <c r="A852" s="15" t="s">
        <v>882</v>
      </c>
      <c r="B852" t="str">
        <f>IFERROR(VLOOKUP(Tabla13[[#This Row],[SISMED]],TblDisponibilidad[],2,FALSE), "")</f>
        <v/>
      </c>
      <c r="C852">
        <f>IFERROR(VLOOKUP(Tabla13[[#This Row],[SISMED]],TblDisponibilidad[],7,FALSE), 0)</f>
        <v>0</v>
      </c>
      <c r="D852">
        <f>IFERROR(VLOOKUP(Tabla13[[#This Row],[SISMED]],TblDisponibilidad[],8,FALSE), 0)</f>
        <v>0</v>
      </c>
      <c r="E852">
        <f>IFERROR(VLOOKUP(Tabla13[[#This Row],[SISMED]],TblDisponibilidad[],9,FALSE), 0)</f>
        <v>0</v>
      </c>
      <c r="F852">
        <f>IFERROR(VLOOKUP(Tabla13[[#This Row],[SISMED]],TblDisponibilidad[],10,FALSE), 0)</f>
        <v>0</v>
      </c>
      <c r="G852">
        <f>IFERROR(VLOOKUP(Tabla13[[#This Row],[SISMED]],TblDisponibilidad[],11,FALSE), 0)</f>
        <v>0</v>
      </c>
      <c r="H852">
        <f>IFERROR(VLOOKUP(Tabla13[[#This Row],[SISMED]],TblDisponibilidad[],12,FALSE), 0)</f>
        <v>0</v>
      </c>
      <c r="I852">
        <f>IFERROR(VLOOKUP(Tabla13[[#This Row],[SISMED]],TblDisponibilidad[],13,FALSE), 0)</f>
        <v>0</v>
      </c>
      <c r="J852">
        <f>IFERROR(VLOOKUP(Tabla13[[#This Row],[SISMED]],TblDisponibilidad[],14,FALSE), 0)</f>
        <v>0</v>
      </c>
      <c r="K852">
        <f>IFERROR(VLOOKUP(Tabla13[[#This Row],[SISMED]],TblDisponibilidad[],15,FALSE), 0)</f>
        <v>0</v>
      </c>
      <c r="L852">
        <f>IFERROR(VLOOKUP(Tabla13[[#This Row],[SISMED]],TblDisponibilidad[],16,FALSE), 0)</f>
        <v>0</v>
      </c>
      <c r="M852">
        <f>IFERROR(VLOOKUP(Tabla13[[#This Row],[SISMED]],TblDisponibilidad[],17,FALSE), 0)</f>
        <v>0</v>
      </c>
      <c r="N852">
        <f>IFERROR(VLOOKUP(Tabla13[[#This Row],[SISMED]],TblDisponibilidad[],18,FALSE), 0)</f>
        <v>0</v>
      </c>
      <c r="O852">
        <f>IFERROR(VLOOKUP(Tabla13[[#This Row],[SISMED]],TblDisponibilidad[],19,FALSE), 0)</f>
        <v>0</v>
      </c>
      <c r="P852">
        <f>IFERROR(VLOOKUP(Tabla13[[#This Row],[SISMED]],TblDisponibilidad[],20,FALSE), 0)</f>
        <v>0</v>
      </c>
      <c r="Q852">
        <f>IFERROR(VLOOKUP(Tabla13[[#This Row],[SISMED]],TblDisponibilidad[],21,FALSE), 0)</f>
        <v>0</v>
      </c>
      <c r="R852">
        <f>IFERROR(VLOOKUP(Tabla13[[#This Row],[SISMED]],TblDisponibilidad[],22,FALSE), 0)</f>
        <v>0</v>
      </c>
      <c r="S852" s="15">
        <f>IFERROR(VLOOKUP(Tabla13[[#This Row],[SISMED]],TblDisponibilidad[],23,FALSE), 0)</f>
        <v>0</v>
      </c>
    </row>
    <row r="853" spans="1:19" x14ac:dyDescent="0.3">
      <c r="A853" s="15" t="s">
        <v>883</v>
      </c>
      <c r="B853" t="str">
        <f>IFERROR(VLOOKUP(Tabla13[[#This Row],[SISMED]],TblDisponibilidad[],2,FALSE), "")</f>
        <v/>
      </c>
      <c r="C853">
        <f>IFERROR(VLOOKUP(Tabla13[[#This Row],[SISMED]],TblDisponibilidad[],7,FALSE), 0)</f>
        <v>0</v>
      </c>
      <c r="D853">
        <f>IFERROR(VLOOKUP(Tabla13[[#This Row],[SISMED]],TblDisponibilidad[],8,FALSE), 0)</f>
        <v>0</v>
      </c>
      <c r="E853">
        <f>IFERROR(VLOOKUP(Tabla13[[#This Row],[SISMED]],TblDisponibilidad[],9,FALSE), 0)</f>
        <v>0</v>
      </c>
      <c r="F853">
        <f>IFERROR(VLOOKUP(Tabla13[[#This Row],[SISMED]],TblDisponibilidad[],10,FALSE), 0)</f>
        <v>0</v>
      </c>
      <c r="G853">
        <f>IFERROR(VLOOKUP(Tabla13[[#This Row],[SISMED]],TblDisponibilidad[],11,FALSE), 0)</f>
        <v>0</v>
      </c>
      <c r="H853">
        <f>IFERROR(VLOOKUP(Tabla13[[#This Row],[SISMED]],TblDisponibilidad[],12,FALSE), 0)</f>
        <v>0</v>
      </c>
      <c r="I853">
        <f>IFERROR(VLOOKUP(Tabla13[[#This Row],[SISMED]],TblDisponibilidad[],13,FALSE), 0)</f>
        <v>0</v>
      </c>
      <c r="J853">
        <f>IFERROR(VLOOKUP(Tabla13[[#This Row],[SISMED]],TblDisponibilidad[],14,FALSE), 0)</f>
        <v>0</v>
      </c>
      <c r="K853">
        <f>IFERROR(VLOOKUP(Tabla13[[#This Row],[SISMED]],TblDisponibilidad[],15,FALSE), 0)</f>
        <v>0</v>
      </c>
      <c r="L853">
        <f>IFERROR(VLOOKUP(Tabla13[[#This Row],[SISMED]],TblDisponibilidad[],16,FALSE), 0)</f>
        <v>0</v>
      </c>
      <c r="M853">
        <f>IFERROR(VLOOKUP(Tabla13[[#This Row],[SISMED]],TblDisponibilidad[],17,FALSE), 0)</f>
        <v>0</v>
      </c>
      <c r="N853">
        <f>IFERROR(VLOOKUP(Tabla13[[#This Row],[SISMED]],TblDisponibilidad[],18,FALSE), 0)</f>
        <v>0</v>
      </c>
      <c r="O853">
        <f>IFERROR(VLOOKUP(Tabla13[[#This Row],[SISMED]],TblDisponibilidad[],19,FALSE), 0)</f>
        <v>0</v>
      </c>
      <c r="P853">
        <f>IFERROR(VLOOKUP(Tabla13[[#This Row],[SISMED]],TblDisponibilidad[],20,FALSE), 0)</f>
        <v>0</v>
      </c>
      <c r="Q853">
        <f>IFERROR(VLOOKUP(Tabla13[[#This Row],[SISMED]],TblDisponibilidad[],21,FALSE), 0)</f>
        <v>0</v>
      </c>
      <c r="R853">
        <f>IFERROR(VLOOKUP(Tabla13[[#This Row],[SISMED]],TblDisponibilidad[],22,FALSE), 0)</f>
        <v>0</v>
      </c>
      <c r="S853" s="15">
        <f>IFERROR(VLOOKUP(Tabla13[[#This Row],[SISMED]],TblDisponibilidad[],23,FALSE), 0)</f>
        <v>0</v>
      </c>
    </row>
    <row r="854" spans="1:19" x14ac:dyDescent="0.3">
      <c r="A854" s="15" t="s">
        <v>884</v>
      </c>
      <c r="B854" t="str">
        <f>IFERROR(VLOOKUP(Tabla13[[#This Row],[SISMED]],TblDisponibilidad[],2,FALSE), "")</f>
        <v/>
      </c>
      <c r="C854">
        <f>IFERROR(VLOOKUP(Tabla13[[#This Row],[SISMED]],TblDisponibilidad[],7,FALSE), 0)</f>
        <v>0</v>
      </c>
      <c r="D854">
        <f>IFERROR(VLOOKUP(Tabla13[[#This Row],[SISMED]],TblDisponibilidad[],8,FALSE), 0)</f>
        <v>0</v>
      </c>
      <c r="E854">
        <f>IFERROR(VLOOKUP(Tabla13[[#This Row],[SISMED]],TblDisponibilidad[],9,FALSE), 0)</f>
        <v>0</v>
      </c>
      <c r="F854">
        <f>IFERROR(VLOOKUP(Tabla13[[#This Row],[SISMED]],TblDisponibilidad[],10,FALSE), 0)</f>
        <v>0</v>
      </c>
      <c r="G854">
        <f>IFERROR(VLOOKUP(Tabla13[[#This Row],[SISMED]],TblDisponibilidad[],11,FALSE), 0)</f>
        <v>0</v>
      </c>
      <c r="H854">
        <f>IFERROR(VLOOKUP(Tabla13[[#This Row],[SISMED]],TblDisponibilidad[],12,FALSE), 0)</f>
        <v>0</v>
      </c>
      <c r="I854">
        <f>IFERROR(VLOOKUP(Tabla13[[#This Row],[SISMED]],TblDisponibilidad[],13,FALSE), 0)</f>
        <v>0</v>
      </c>
      <c r="J854">
        <f>IFERROR(VLOOKUP(Tabla13[[#This Row],[SISMED]],TblDisponibilidad[],14,FALSE), 0)</f>
        <v>0</v>
      </c>
      <c r="K854">
        <f>IFERROR(VLOOKUP(Tabla13[[#This Row],[SISMED]],TblDisponibilidad[],15,FALSE), 0)</f>
        <v>0</v>
      </c>
      <c r="L854">
        <f>IFERROR(VLOOKUP(Tabla13[[#This Row],[SISMED]],TblDisponibilidad[],16,FALSE), 0)</f>
        <v>0</v>
      </c>
      <c r="M854">
        <f>IFERROR(VLOOKUP(Tabla13[[#This Row],[SISMED]],TblDisponibilidad[],17,FALSE), 0)</f>
        <v>0</v>
      </c>
      <c r="N854">
        <f>IFERROR(VLOOKUP(Tabla13[[#This Row],[SISMED]],TblDisponibilidad[],18,FALSE), 0)</f>
        <v>0</v>
      </c>
      <c r="O854">
        <f>IFERROR(VLOOKUP(Tabla13[[#This Row],[SISMED]],TblDisponibilidad[],19,FALSE), 0)</f>
        <v>0</v>
      </c>
      <c r="P854">
        <f>IFERROR(VLOOKUP(Tabla13[[#This Row],[SISMED]],TblDisponibilidad[],20,FALSE), 0)</f>
        <v>0</v>
      </c>
      <c r="Q854">
        <f>IFERROR(VLOOKUP(Tabla13[[#This Row],[SISMED]],TblDisponibilidad[],21,FALSE), 0)</f>
        <v>0</v>
      </c>
      <c r="R854">
        <f>IFERROR(VLOOKUP(Tabla13[[#This Row],[SISMED]],TblDisponibilidad[],22,FALSE), 0)</f>
        <v>0</v>
      </c>
      <c r="S854" s="15">
        <f>IFERROR(VLOOKUP(Tabla13[[#This Row],[SISMED]],TblDisponibilidad[],23,FALSE), 0)</f>
        <v>0</v>
      </c>
    </row>
    <row r="855" spans="1:19" x14ac:dyDescent="0.3">
      <c r="A855" s="15" t="s">
        <v>885</v>
      </c>
      <c r="B855" t="str">
        <f>IFERROR(VLOOKUP(Tabla13[[#This Row],[SISMED]],TblDisponibilidad[],2,FALSE), "")</f>
        <v/>
      </c>
      <c r="C855">
        <f>IFERROR(VLOOKUP(Tabla13[[#This Row],[SISMED]],TblDisponibilidad[],7,FALSE), 0)</f>
        <v>0</v>
      </c>
      <c r="D855">
        <f>IFERROR(VLOOKUP(Tabla13[[#This Row],[SISMED]],TblDisponibilidad[],8,FALSE), 0)</f>
        <v>0</v>
      </c>
      <c r="E855">
        <f>IFERROR(VLOOKUP(Tabla13[[#This Row],[SISMED]],TblDisponibilidad[],9,FALSE), 0)</f>
        <v>0</v>
      </c>
      <c r="F855">
        <f>IFERROR(VLOOKUP(Tabla13[[#This Row],[SISMED]],TblDisponibilidad[],10,FALSE), 0)</f>
        <v>0</v>
      </c>
      <c r="G855">
        <f>IFERROR(VLOOKUP(Tabla13[[#This Row],[SISMED]],TblDisponibilidad[],11,FALSE), 0)</f>
        <v>0</v>
      </c>
      <c r="H855">
        <f>IFERROR(VLOOKUP(Tabla13[[#This Row],[SISMED]],TblDisponibilidad[],12,FALSE), 0)</f>
        <v>0</v>
      </c>
      <c r="I855">
        <f>IFERROR(VLOOKUP(Tabla13[[#This Row],[SISMED]],TblDisponibilidad[],13,FALSE), 0)</f>
        <v>0</v>
      </c>
      <c r="J855">
        <f>IFERROR(VLOOKUP(Tabla13[[#This Row],[SISMED]],TblDisponibilidad[],14,FALSE), 0)</f>
        <v>0</v>
      </c>
      <c r="K855">
        <f>IFERROR(VLOOKUP(Tabla13[[#This Row],[SISMED]],TblDisponibilidad[],15,FALSE), 0)</f>
        <v>0</v>
      </c>
      <c r="L855">
        <f>IFERROR(VLOOKUP(Tabla13[[#This Row],[SISMED]],TblDisponibilidad[],16,FALSE), 0)</f>
        <v>0</v>
      </c>
      <c r="M855">
        <f>IFERROR(VLOOKUP(Tabla13[[#This Row],[SISMED]],TblDisponibilidad[],17,FALSE), 0)</f>
        <v>0</v>
      </c>
      <c r="N855">
        <f>IFERROR(VLOOKUP(Tabla13[[#This Row],[SISMED]],TblDisponibilidad[],18,FALSE), 0)</f>
        <v>0</v>
      </c>
      <c r="O855">
        <f>IFERROR(VLOOKUP(Tabla13[[#This Row],[SISMED]],TblDisponibilidad[],19,FALSE), 0)</f>
        <v>0</v>
      </c>
      <c r="P855">
        <f>IFERROR(VLOOKUP(Tabla13[[#This Row],[SISMED]],TblDisponibilidad[],20,FALSE), 0)</f>
        <v>0</v>
      </c>
      <c r="Q855">
        <f>IFERROR(VLOOKUP(Tabla13[[#This Row],[SISMED]],TblDisponibilidad[],21,FALSE), 0)</f>
        <v>0</v>
      </c>
      <c r="R855">
        <f>IFERROR(VLOOKUP(Tabla13[[#This Row],[SISMED]],TblDisponibilidad[],22,FALSE), 0)</f>
        <v>0</v>
      </c>
      <c r="S855" s="15">
        <f>IFERROR(VLOOKUP(Tabla13[[#This Row],[SISMED]],TblDisponibilidad[],23,FALSE), 0)</f>
        <v>0</v>
      </c>
    </row>
    <row r="856" spans="1:19" x14ac:dyDescent="0.3">
      <c r="A856" s="15" t="s">
        <v>886</v>
      </c>
      <c r="B856" t="str">
        <f>IFERROR(VLOOKUP(Tabla13[[#This Row],[SISMED]],TblDisponibilidad[],2,FALSE), "")</f>
        <v/>
      </c>
      <c r="C856">
        <f>IFERROR(VLOOKUP(Tabla13[[#This Row],[SISMED]],TblDisponibilidad[],7,FALSE), 0)</f>
        <v>0</v>
      </c>
      <c r="D856">
        <f>IFERROR(VLOOKUP(Tabla13[[#This Row],[SISMED]],TblDisponibilidad[],8,FALSE), 0)</f>
        <v>0</v>
      </c>
      <c r="E856">
        <f>IFERROR(VLOOKUP(Tabla13[[#This Row],[SISMED]],TblDisponibilidad[],9,FALSE), 0)</f>
        <v>0</v>
      </c>
      <c r="F856">
        <f>IFERROR(VLOOKUP(Tabla13[[#This Row],[SISMED]],TblDisponibilidad[],10,FALSE), 0)</f>
        <v>0</v>
      </c>
      <c r="G856">
        <f>IFERROR(VLOOKUP(Tabla13[[#This Row],[SISMED]],TblDisponibilidad[],11,FALSE), 0)</f>
        <v>0</v>
      </c>
      <c r="H856">
        <f>IFERROR(VLOOKUP(Tabla13[[#This Row],[SISMED]],TblDisponibilidad[],12,FALSE), 0)</f>
        <v>0</v>
      </c>
      <c r="I856">
        <f>IFERROR(VLOOKUP(Tabla13[[#This Row],[SISMED]],TblDisponibilidad[],13,FALSE), 0)</f>
        <v>0</v>
      </c>
      <c r="J856">
        <f>IFERROR(VLOOKUP(Tabla13[[#This Row],[SISMED]],TblDisponibilidad[],14,FALSE), 0)</f>
        <v>0</v>
      </c>
      <c r="K856">
        <f>IFERROR(VLOOKUP(Tabla13[[#This Row],[SISMED]],TblDisponibilidad[],15,FALSE), 0)</f>
        <v>0</v>
      </c>
      <c r="L856">
        <f>IFERROR(VLOOKUP(Tabla13[[#This Row],[SISMED]],TblDisponibilidad[],16,FALSE), 0)</f>
        <v>0</v>
      </c>
      <c r="M856">
        <f>IFERROR(VLOOKUP(Tabla13[[#This Row],[SISMED]],TblDisponibilidad[],17,FALSE), 0)</f>
        <v>0</v>
      </c>
      <c r="N856">
        <f>IFERROR(VLOOKUP(Tabla13[[#This Row],[SISMED]],TblDisponibilidad[],18,FALSE), 0)</f>
        <v>0</v>
      </c>
      <c r="O856">
        <f>IFERROR(VLOOKUP(Tabla13[[#This Row],[SISMED]],TblDisponibilidad[],19,FALSE), 0)</f>
        <v>0</v>
      </c>
      <c r="P856">
        <f>IFERROR(VLOOKUP(Tabla13[[#This Row],[SISMED]],TblDisponibilidad[],20,FALSE), 0)</f>
        <v>0</v>
      </c>
      <c r="Q856">
        <f>IFERROR(VLOOKUP(Tabla13[[#This Row],[SISMED]],TblDisponibilidad[],21,FALSE), 0)</f>
        <v>0</v>
      </c>
      <c r="R856">
        <f>IFERROR(VLOOKUP(Tabla13[[#This Row],[SISMED]],TblDisponibilidad[],22,FALSE), 0)</f>
        <v>0</v>
      </c>
      <c r="S856" s="15">
        <f>IFERROR(VLOOKUP(Tabla13[[#This Row],[SISMED]],TblDisponibilidad[],23,FALSE), 0)</f>
        <v>0</v>
      </c>
    </row>
    <row r="857" spans="1:19" x14ac:dyDescent="0.3">
      <c r="A857" s="15" t="s">
        <v>887</v>
      </c>
      <c r="B857" t="str">
        <f>IFERROR(VLOOKUP(Tabla13[[#This Row],[SISMED]],TblDisponibilidad[],2,FALSE), "")</f>
        <v/>
      </c>
      <c r="C857">
        <f>IFERROR(VLOOKUP(Tabla13[[#This Row],[SISMED]],TblDisponibilidad[],7,FALSE), 0)</f>
        <v>0</v>
      </c>
      <c r="D857">
        <f>IFERROR(VLOOKUP(Tabla13[[#This Row],[SISMED]],TblDisponibilidad[],8,FALSE), 0)</f>
        <v>0</v>
      </c>
      <c r="E857">
        <f>IFERROR(VLOOKUP(Tabla13[[#This Row],[SISMED]],TblDisponibilidad[],9,FALSE), 0)</f>
        <v>0</v>
      </c>
      <c r="F857">
        <f>IFERROR(VLOOKUP(Tabla13[[#This Row],[SISMED]],TblDisponibilidad[],10,FALSE), 0)</f>
        <v>0</v>
      </c>
      <c r="G857">
        <f>IFERROR(VLOOKUP(Tabla13[[#This Row],[SISMED]],TblDisponibilidad[],11,FALSE), 0)</f>
        <v>0</v>
      </c>
      <c r="H857">
        <f>IFERROR(VLOOKUP(Tabla13[[#This Row],[SISMED]],TblDisponibilidad[],12,FALSE), 0)</f>
        <v>0</v>
      </c>
      <c r="I857">
        <f>IFERROR(VLOOKUP(Tabla13[[#This Row],[SISMED]],TblDisponibilidad[],13,FALSE), 0)</f>
        <v>0</v>
      </c>
      <c r="J857">
        <f>IFERROR(VLOOKUP(Tabla13[[#This Row],[SISMED]],TblDisponibilidad[],14,FALSE), 0)</f>
        <v>0</v>
      </c>
      <c r="K857">
        <f>IFERROR(VLOOKUP(Tabla13[[#This Row],[SISMED]],TblDisponibilidad[],15,FALSE), 0)</f>
        <v>0</v>
      </c>
      <c r="L857">
        <f>IFERROR(VLOOKUP(Tabla13[[#This Row],[SISMED]],TblDisponibilidad[],16,FALSE), 0)</f>
        <v>0</v>
      </c>
      <c r="M857">
        <f>IFERROR(VLOOKUP(Tabla13[[#This Row],[SISMED]],TblDisponibilidad[],17,FALSE), 0)</f>
        <v>0</v>
      </c>
      <c r="N857">
        <f>IFERROR(VLOOKUP(Tabla13[[#This Row],[SISMED]],TblDisponibilidad[],18,FALSE), 0)</f>
        <v>0</v>
      </c>
      <c r="O857">
        <f>IFERROR(VLOOKUP(Tabla13[[#This Row],[SISMED]],TblDisponibilidad[],19,FALSE), 0)</f>
        <v>0</v>
      </c>
      <c r="P857">
        <f>IFERROR(VLOOKUP(Tabla13[[#This Row],[SISMED]],TblDisponibilidad[],20,FALSE), 0)</f>
        <v>0</v>
      </c>
      <c r="Q857">
        <f>IFERROR(VLOOKUP(Tabla13[[#This Row],[SISMED]],TblDisponibilidad[],21,FALSE), 0)</f>
        <v>0</v>
      </c>
      <c r="R857">
        <f>IFERROR(VLOOKUP(Tabla13[[#This Row],[SISMED]],TblDisponibilidad[],22,FALSE), 0)</f>
        <v>0</v>
      </c>
      <c r="S857" s="15">
        <f>IFERROR(VLOOKUP(Tabla13[[#This Row],[SISMED]],TblDisponibilidad[],23,FALSE), 0)</f>
        <v>0</v>
      </c>
    </row>
    <row r="858" spans="1:19" x14ac:dyDescent="0.3">
      <c r="A858" s="15" t="s">
        <v>888</v>
      </c>
      <c r="B858" t="str">
        <f>IFERROR(VLOOKUP(Tabla13[[#This Row],[SISMED]],TblDisponibilidad[],2,FALSE), "")</f>
        <v/>
      </c>
      <c r="C858">
        <f>IFERROR(VLOOKUP(Tabla13[[#This Row],[SISMED]],TblDisponibilidad[],7,FALSE), 0)</f>
        <v>0</v>
      </c>
      <c r="D858">
        <f>IFERROR(VLOOKUP(Tabla13[[#This Row],[SISMED]],TblDisponibilidad[],8,FALSE), 0)</f>
        <v>0</v>
      </c>
      <c r="E858">
        <f>IFERROR(VLOOKUP(Tabla13[[#This Row],[SISMED]],TblDisponibilidad[],9,FALSE), 0)</f>
        <v>0</v>
      </c>
      <c r="F858">
        <f>IFERROR(VLOOKUP(Tabla13[[#This Row],[SISMED]],TblDisponibilidad[],10,FALSE), 0)</f>
        <v>0</v>
      </c>
      <c r="G858">
        <f>IFERROR(VLOOKUP(Tabla13[[#This Row],[SISMED]],TblDisponibilidad[],11,FALSE), 0)</f>
        <v>0</v>
      </c>
      <c r="H858">
        <f>IFERROR(VLOOKUP(Tabla13[[#This Row],[SISMED]],TblDisponibilidad[],12,FALSE), 0)</f>
        <v>0</v>
      </c>
      <c r="I858">
        <f>IFERROR(VLOOKUP(Tabla13[[#This Row],[SISMED]],TblDisponibilidad[],13,FALSE), 0)</f>
        <v>0</v>
      </c>
      <c r="J858">
        <f>IFERROR(VLOOKUP(Tabla13[[#This Row],[SISMED]],TblDisponibilidad[],14,FALSE), 0)</f>
        <v>0</v>
      </c>
      <c r="K858">
        <f>IFERROR(VLOOKUP(Tabla13[[#This Row],[SISMED]],TblDisponibilidad[],15,FALSE), 0)</f>
        <v>0</v>
      </c>
      <c r="L858">
        <f>IFERROR(VLOOKUP(Tabla13[[#This Row],[SISMED]],TblDisponibilidad[],16,FALSE), 0)</f>
        <v>0</v>
      </c>
      <c r="M858">
        <f>IFERROR(VLOOKUP(Tabla13[[#This Row],[SISMED]],TblDisponibilidad[],17,FALSE), 0)</f>
        <v>0</v>
      </c>
      <c r="N858">
        <f>IFERROR(VLOOKUP(Tabla13[[#This Row],[SISMED]],TblDisponibilidad[],18,FALSE), 0)</f>
        <v>0</v>
      </c>
      <c r="O858">
        <f>IFERROR(VLOOKUP(Tabla13[[#This Row],[SISMED]],TblDisponibilidad[],19,FALSE), 0)</f>
        <v>0</v>
      </c>
      <c r="P858">
        <f>IFERROR(VLOOKUP(Tabla13[[#This Row],[SISMED]],TblDisponibilidad[],20,FALSE), 0)</f>
        <v>0</v>
      </c>
      <c r="Q858">
        <f>IFERROR(VLOOKUP(Tabla13[[#This Row],[SISMED]],TblDisponibilidad[],21,FALSE), 0)</f>
        <v>0</v>
      </c>
      <c r="R858">
        <f>IFERROR(VLOOKUP(Tabla13[[#This Row],[SISMED]],TblDisponibilidad[],22,FALSE), 0)</f>
        <v>0</v>
      </c>
      <c r="S858" s="15">
        <f>IFERROR(VLOOKUP(Tabla13[[#This Row],[SISMED]],TblDisponibilidad[],23,FALSE), 0)</f>
        <v>0</v>
      </c>
    </row>
    <row r="859" spans="1:19" x14ac:dyDescent="0.3">
      <c r="A859" s="15" t="s">
        <v>889</v>
      </c>
      <c r="B859" t="str">
        <f>IFERROR(VLOOKUP(Tabla13[[#This Row],[SISMED]],TblDisponibilidad[],2,FALSE), "")</f>
        <v/>
      </c>
      <c r="C859">
        <f>IFERROR(VLOOKUP(Tabla13[[#This Row],[SISMED]],TblDisponibilidad[],7,FALSE), 0)</f>
        <v>0</v>
      </c>
      <c r="D859">
        <f>IFERROR(VLOOKUP(Tabla13[[#This Row],[SISMED]],TblDisponibilidad[],8,FALSE), 0)</f>
        <v>0</v>
      </c>
      <c r="E859">
        <f>IFERROR(VLOOKUP(Tabla13[[#This Row],[SISMED]],TblDisponibilidad[],9,FALSE), 0)</f>
        <v>0</v>
      </c>
      <c r="F859">
        <f>IFERROR(VLOOKUP(Tabla13[[#This Row],[SISMED]],TblDisponibilidad[],10,FALSE), 0)</f>
        <v>0</v>
      </c>
      <c r="G859">
        <f>IFERROR(VLOOKUP(Tabla13[[#This Row],[SISMED]],TblDisponibilidad[],11,FALSE), 0)</f>
        <v>0</v>
      </c>
      <c r="H859">
        <f>IFERROR(VLOOKUP(Tabla13[[#This Row],[SISMED]],TblDisponibilidad[],12,FALSE), 0)</f>
        <v>0</v>
      </c>
      <c r="I859">
        <f>IFERROR(VLOOKUP(Tabla13[[#This Row],[SISMED]],TblDisponibilidad[],13,FALSE), 0)</f>
        <v>0</v>
      </c>
      <c r="J859">
        <f>IFERROR(VLOOKUP(Tabla13[[#This Row],[SISMED]],TblDisponibilidad[],14,FALSE), 0)</f>
        <v>0</v>
      </c>
      <c r="K859">
        <f>IFERROR(VLOOKUP(Tabla13[[#This Row],[SISMED]],TblDisponibilidad[],15,FALSE), 0)</f>
        <v>0</v>
      </c>
      <c r="L859">
        <f>IFERROR(VLOOKUP(Tabla13[[#This Row],[SISMED]],TblDisponibilidad[],16,FALSE), 0)</f>
        <v>0</v>
      </c>
      <c r="M859">
        <f>IFERROR(VLOOKUP(Tabla13[[#This Row],[SISMED]],TblDisponibilidad[],17,FALSE), 0)</f>
        <v>0</v>
      </c>
      <c r="N859">
        <f>IFERROR(VLOOKUP(Tabla13[[#This Row],[SISMED]],TblDisponibilidad[],18,FALSE), 0)</f>
        <v>0</v>
      </c>
      <c r="O859">
        <f>IFERROR(VLOOKUP(Tabla13[[#This Row],[SISMED]],TblDisponibilidad[],19,FALSE), 0)</f>
        <v>0</v>
      </c>
      <c r="P859">
        <f>IFERROR(VLOOKUP(Tabla13[[#This Row],[SISMED]],TblDisponibilidad[],20,FALSE), 0)</f>
        <v>0</v>
      </c>
      <c r="Q859">
        <f>IFERROR(VLOOKUP(Tabla13[[#This Row],[SISMED]],TblDisponibilidad[],21,FALSE), 0)</f>
        <v>0</v>
      </c>
      <c r="R859">
        <f>IFERROR(VLOOKUP(Tabla13[[#This Row],[SISMED]],TblDisponibilidad[],22,FALSE), 0)</f>
        <v>0</v>
      </c>
      <c r="S859" s="15">
        <f>IFERROR(VLOOKUP(Tabla13[[#This Row],[SISMED]],TblDisponibilidad[],23,FALSE), 0)</f>
        <v>0</v>
      </c>
    </row>
    <row r="860" spans="1:19" x14ac:dyDescent="0.3">
      <c r="A860" s="15" t="s">
        <v>890</v>
      </c>
      <c r="B860" t="str">
        <f>IFERROR(VLOOKUP(Tabla13[[#This Row],[SISMED]],TblDisponibilidad[],2,FALSE), "")</f>
        <v/>
      </c>
      <c r="C860">
        <f>IFERROR(VLOOKUP(Tabla13[[#This Row],[SISMED]],TblDisponibilidad[],7,FALSE), 0)</f>
        <v>0</v>
      </c>
      <c r="D860">
        <f>IFERROR(VLOOKUP(Tabla13[[#This Row],[SISMED]],TblDisponibilidad[],8,FALSE), 0)</f>
        <v>0</v>
      </c>
      <c r="E860">
        <f>IFERROR(VLOOKUP(Tabla13[[#This Row],[SISMED]],TblDisponibilidad[],9,FALSE), 0)</f>
        <v>0</v>
      </c>
      <c r="F860">
        <f>IFERROR(VLOOKUP(Tabla13[[#This Row],[SISMED]],TblDisponibilidad[],10,FALSE), 0)</f>
        <v>0</v>
      </c>
      <c r="G860">
        <f>IFERROR(VLOOKUP(Tabla13[[#This Row],[SISMED]],TblDisponibilidad[],11,FALSE), 0)</f>
        <v>0</v>
      </c>
      <c r="H860">
        <f>IFERROR(VLOOKUP(Tabla13[[#This Row],[SISMED]],TblDisponibilidad[],12,FALSE), 0)</f>
        <v>0</v>
      </c>
      <c r="I860">
        <f>IFERROR(VLOOKUP(Tabla13[[#This Row],[SISMED]],TblDisponibilidad[],13,FALSE), 0)</f>
        <v>0</v>
      </c>
      <c r="J860">
        <f>IFERROR(VLOOKUP(Tabla13[[#This Row],[SISMED]],TblDisponibilidad[],14,FALSE), 0)</f>
        <v>0</v>
      </c>
      <c r="K860">
        <f>IFERROR(VLOOKUP(Tabla13[[#This Row],[SISMED]],TblDisponibilidad[],15,FALSE), 0)</f>
        <v>0</v>
      </c>
      <c r="L860">
        <f>IFERROR(VLOOKUP(Tabla13[[#This Row],[SISMED]],TblDisponibilidad[],16,FALSE), 0)</f>
        <v>0</v>
      </c>
      <c r="M860">
        <f>IFERROR(VLOOKUP(Tabla13[[#This Row],[SISMED]],TblDisponibilidad[],17,FALSE), 0)</f>
        <v>0</v>
      </c>
      <c r="N860">
        <f>IFERROR(VLOOKUP(Tabla13[[#This Row],[SISMED]],TblDisponibilidad[],18,FALSE), 0)</f>
        <v>0</v>
      </c>
      <c r="O860">
        <f>IFERROR(VLOOKUP(Tabla13[[#This Row],[SISMED]],TblDisponibilidad[],19,FALSE), 0)</f>
        <v>0</v>
      </c>
      <c r="P860">
        <f>IFERROR(VLOOKUP(Tabla13[[#This Row],[SISMED]],TblDisponibilidad[],20,FALSE), 0)</f>
        <v>0</v>
      </c>
      <c r="Q860">
        <f>IFERROR(VLOOKUP(Tabla13[[#This Row],[SISMED]],TblDisponibilidad[],21,FALSE), 0)</f>
        <v>0</v>
      </c>
      <c r="R860">
        <f>IFERROR(VLOOKUP(Tabla13[[#This Row],[SISMED]],TblDisponibilidad[],22,FALSE), 0)</f>
        <v>0</v>
      </c>
      <c r="S860" s="15">
        <f>IFERROR(VLOOKUP(Tabla13[[#This Row],[SISMED]],TblDisponibilidad[],23,FALSE), 0)</f>
        <v>0</v>
      </c>
    </row>
    <row r="861" spans="1:19" x14ac:dyDescent="0.3">
      <c r="A861" s="15" t="s">
        <v>891</v>
      </c>
      <c r="B861" t="str">
        <f>IFERROR(VLOOKUP(Tabla13[[#This Row],[SISMED]],TblDisponibilidad[],2,FALSE), "")</f>
        <v/>
      </c>
      <c r="C861">
        <f>IFERROR(VLOOKUP(Tabla13[[#This Row],[SISMED]],TblDisponibilidad[],7,FALSE), 0)</f>
        <v>0</v>
      </c>
      <c r="D861">
        <f>IFERROR(VLOOKUP(Tabla13[[#This Row],[SISMED]],TblDisponibilidad[],8,FALSE), 0)</f>
        <v>0</v>
      </c>
      <c r="E861">
        <f>IFERROR(VLOOKUP(Tabla13[[#This Row],[SISMED]],TblDisponibilidad[],9,FALSE), 0)</f>
        <v>0</v>
      </c>
      <c r="F861">
        <f>IFERROR(VLOOKUP(Tabla13[[#This Row],[SISMED]],TblDisponibilidad[],10,FALSE), 0)</f>
        <v>0</v>
      </c>
      <c r="G861">
        <f>IFERROR(VLOOKUP(Tabla13[[#This Row],[SISMED]],TblDisponibilidad[],11,FALSE), 0)</f>
        <v>0</v>
      </c>
      <c r="H861">
        <f>IFERROR(VLOOKUP(Tabla13[[#This Row],[SISMED]],TblDisponibilidad[],12,FALSE), 0)</f>
        <v>0</v>
      </c>
      <c r="I861">
        <f>IFERROR(VLOOKUP(Tabla13[[#This Row],[SISMED]],TblDisponibilidad[],13,FALSE), 0)</f>
        <v>0</v>
      </c>
      <c r="J861">
        <f>IFERROR(VLOOKUP(Tabla13[[#This Row],[SISMED]],TblDisponibilidad[],14,FALSE), 0)</f>
        <v>0</v>
      </c>
      <c r="K861">
        <f>IFERROR(VLOOKUP(Tabla13[[#This Row],[SISMED]],TblDisponibilidad[],15,FALSE), 0)</f>
        <v>0</v>
      </c>
      <c r="L861">
        <f>IFERROR(VLOOKUP(Tabla13[[#This Row],[SISMED]],TblDisponibilidad[],16,FALSE), 0)</f>
        <v>0</v>
      </c>
      <c r="M861">
        <f>IFERROR(VLOOKUP(Tabla13[[#This Row],[SISMED]],TblDisponibilidad[],17,FALSE), 0)</f>
        <v>0</v>
      </c>
      <c r="N861">
        <f>IFERROR(VLOOKUP(Tabla13[[#This Row],[SISMED]],TblDisponibilidad[],18,FALSE), 0)</f>
        <v>0</v>
      </c>
      <c r="O861">
        <f>IFERROR(VLOOKUP(Tabla13[[#This Row],[SISMED]],TblDisponibilidad[],19,FALSE), 0)</f>
        <v>0</v>
      </c>
      <c r="P861">
        <f>IFERROR(VLOOKUP(Tabla13[[#This Row],[SISMED]],TblDisponibilidad[],20,FALSE), 0)</f>
        <v>0</v>
      </c>
      <c r="Q861">
        <f>IFERROR(VLOOKUP(Tabla13[[#This Row],[SISMED]],TblDisponibilidad[],21,FALSE), 0)</f>
        <v>0</v>
      </c>
      <c r="R861">
        <f>IFERROR(VLOOKUP(Tabla13[[#This Row],[SISMED]],TblDisponibilidad[],22,FALSE), 0)</f>
        <v>0</v>
      </c>
      <c r="S861" s="15">
        <f>IFERROR(VLOOKUP(Tabla13[[#This Row],[SISMED]],TblDisponibilidad[],23,FALSE), 0)</f>
        <v>0</v>
      </c>
    </row>
    <row r="862" spans="1:19" x14ac:dyDescent="0.3">
      <c r="A862" s="15" t="s">
        <v>892</v>
      </c>
      <c r="B862" t="str">
        <f>IFERROR(VLOOKUP(Tabla13[[#This Row],[SISMED]],TblDisponibilidad[],2,FALSE), "")</f>
        <v/>
      </c>
      <c r="C862">
        <f>IFERROR(VLOOKUP(Tabla13[[#This Row],[SISMED]],TblDisponibilidad[],7,FALSE), 0)</f>
        <v>0</v>
      </c>
      <c r="D862">
        <f>IFERROR(VLOOKUP(Tabla13[[#This Row],[SISMED]],TblDisponibilidad[],8,FALSE), 0)</f>
        <v>0</v>
      </c>
      <c r="E862">
        <f>IFERROR(VLOOKUP(Tabla13[[#This Row],[SISMED]],TblDisponibilidad[],9,FALSE), 0)</f>
        <v>0</v>
      </c>
      <c r="F862">
        <f>IFERROR(VLOOKUP(Tabla13[[#This Row],[SISMED]],TblDisponibilidad[],10,FALSE), 0)</f>
        <v>0</v>
      </c>
      <c r="G862">
        <f>IFERROR(VLOOKUP(Tabla13[[#This Row],[SISMED]],TblDisponibilidad[],11,FALSE), 0)</f>
        <v>0</v>
      </c>
      <c r="H862">
        <f>IFERROR(VLOOKUP(Tabla13[[#This Row],[SISMED]],TblDisponibilidad[],12,FALSE), 0)</f>
        <v>0</v>
      </c>
      <c r="I862">
        <f>IFERROR(VLOOKUP(Tabla13[[#This Row],[SISMED]],TblDisponibilidad[],13,FALSE), 0)</f>
        <v>0</v>
      </c>
      <c r="J862">
        <f>IFERROR(VLOOKUP(Tabla13[[#This Row],[SISMED]],TblDisponibilidad[],14,FALSE), 0)</f>
        <v>0</v>
      </c>
      <c r="K862">
        <f>IFERROR(VLOOKUP(Tabla13[[#This Row],[SISMED]],TblDisponibilidad[],15,FALSE), 0)</f>
        <v>0</v>
      </c>
      <c r="L862">
        <f>IFERROR(VLOOKUP(Tabla13[[#This Row],[SISMED]],TblDisponibilidad[],16,FALSE), 0)</f>
        <v>0</v>
      </c>
      <c r="M862">
        <f>IFERROR(VLOOKUP(Tabla13[[#This Row],[SISMED]],TblDisponibilidad[],17,FALSE), 0)</f>
        <v>0</v>
      </c>
      <c r="N862">
        <f>IFERROR(VLOOKUP(Tabla13[[#This Row],[SISMED]],TblDisponibilidad[],18,FALSE), 0)</f>
        <v>0</v>
      </c>
      <c r="O862">
        <f>IFERROR(VLOOKUP(Tabla13[[#This Row],[SISMED]],TblDisponibilidad[],19,FALSE), 0)</f>
        <v>0</v>
      </c>
      <c r="P862">
        <f>IFERROR(VLOOKUP(Tabla13[[#This Row],[SISMED]],TblDisponibilidad[],20,FALSE), 0)</f>
        <v>0</v>
      </c>
      <c r="Q862">
        <f>IFERROR(VLOOKUP(Tabla13[[#This Row],[SISMED]],TblDisponibilidad[],21,FALSE), 0)</f>
        <v>0</v>
      </c>
      <c r="R862">
        <f>IFERROR(VLOOKUP(Tabla13[[#This Row],[SISMED]],TblDisponibilidad[],22,FALSE), 0)</f>
        <v>0</v>
      </c>
      <c r="S862" s="15">
        <f>IFERROR(VLOOKUP(Tabla13[[#This Row],[SISMED]],TblDisponibilidad[],23,FALSE), 0)</f>
        <v>0</v>
      </c>
    </row>
    <row r="863" spans="1:19" x14ac:dyDescent="0.3">
      <c r="A863" s="15" t="s">
        <v>893</v>
      </c>
      <c r="B863" t="str">
        <f>IFERROR(VLOOKUP(Tabla13[[#This Row],[SISMED]],TblDisponibilidad[],2,FALSE), "")</f>
        <v/>
      </c>
      <c r="C863">
        <f>IFERROR(VLOOKUP(Tabla13[[#This Row],[SISMED]],TblDisponibilidad[],7,FALSE), 0)</f>
        <v>0</v>
      </c>
      <c r="D863">
        <f>IFERROR(VLOOKUP(Tabla13[[#This Row],[SISMED]],TblDisponibilidad[],8,FALSE), 0)</f>
        <v>0</v>
      </c>
      <c r="E863">
        <f>IFERROR(VLOOKUP(Tabla13[[#This Row],[SISMED]],TblDisponibilidad[],9,FALSE), 0)</f>
        <v>0</v>
      </c>
      <c r="F863">
        <f>IFERROR(VLOOKUP(Tabla13[[#This Row],[SISMED]],TblDisponibilidad[],10,FALSE), 0)</f>
        <v>0</v>
      </c>
      <c r="G863">
        <f>IFERROR(VLOOKUP(Tabla13[[#This Row],[SISMED]],TblDisponibilidad[],11,FALSE), 0)</f>
        <v>0</v>
      </c>
      <c r="H863">
        <f>IFERROR(VLOOKUP(Tabla13[[#This Row],[SISMED]],TblDisponibilidad[],12,FALSE), 0)</f>
        <v>0</v>
      </c>
      <c r="I863">
        <f>IFERROR(VLOOKUP(Tabla13[[#This Row],[SISMED]],TblDisponibilidad[],13,FALSE), 0)</f>
        <v>0</v>
      </c>
      <c r="J863">
        <f>IFERROR(VLOOKUP(Tabla13[[#This Row],[SISMED]],TblDisponibilidad[],14,FALSE), 0)</f>
        <v>0</v>
      </c>
      <c r="K863">
        <f>IFERROR(VLOOKUP(Tabla13[[#This Row],[SISMED]],TblDisponibilidad[],15,FALSE), 0)</f>
        <v>0</v>
      </c>
      <c r="L863">
        <f>IFERROR(VLOOKUP(Tabla13[[#This Row],[SISMED]],TblDisponibilidad[],16,FALSE), 0)</f>
        <v>0</v>
      </c>
      <c r="M863">
        <f>IFERROR(VLOOKUP(Tabla13[[#This Row],[SISMED]],TblDisponibilidad[],17,FALSE), 0)</f>
        <v>0</v>
      </c>
      <c r="N863">
        <f>IFERROR(VLOOKUP(Tabla13[[#This Row],[SISMED]],TblDisponibilidad[],18,FALSE), 0)</f>
        <v>0</v>
      </c>
      <c r="O863">
        <f>IFERROR(VLOOKUP(Tabla13[[#This Row],[SISMED]],TblDisponibilidad[],19,FALSE), 0)</f>
        <v>0</v>
      </c>
      <c r="P863">
        <f>IFERROR(VLOOKUP(Tabla13[[#This Row],[SISMED]],TblDisponibilidad[],20,FALSE), 0)</f>
        <v>0</v>
      </c>
      <c r="Q863">
        <f>IFERROR(VLOOKUP(Tabla13[[#This Row],[SISMED]],TblDisponibilidad[],21,FALSE), 0)</f>
        <v>0</v>
      </c>
      <c r="R863">
        <f>IFERROR(VLOOKUP(Tabla13[[#This Row],[SISMED]],TblDisponibilidad[],22,FALSE), 0)</f>
        <v>0</v>
      </c>
      <c r="S863" s="15">
        <f>IFERROR(VLOOKUP(Tabla13[[#This Row],[SISMED]],TblDisponibilidad[],23,FALSE), 0)</f>
        <v>0</v>
      </c>
    </row>
    <row r="864" spans="1:19" x14ac:dyDescent="0.3">
      <c r="A864" s="15" t="s">
        <v>894</v>
      </c>
      <c r="B864" t="str">
        <f>IFERROR(VLOOKUP(Tabla13[[#This Row],[SISMED]],TblDisponibilidad[],2,FALSE), "")</f>
        <v/>
      </c>
      <c r="C864">
        <f>IFERROR(VLOOKUP(Tabla13[[#This Row],[SISMED]],TblDisponibilidad[],7,FALSE), 0)</f>
        <v>0</v>
      </c>
      <c r="D864">
        <f>IFERROR(VLOOKUP(Tabla13[[#This Row],[SISMED]],TblDisponibilidad[],8,FALSE), 0)</f>
        <v>0</v>
      </c>
      <c r="E864">
        <f>IFERROR(VLOOKUP(Tabla13[[#This Row],[SISMED]],TblDisponibilidad[],9,FALSE), 0)</f>
        <v>0</v>
      </c>
      <c r="F864">
        <f>IFERROR(VLOOKUP(Tabla13[[#This Row],[SISMED]],TblDisponibilidad[],10,FALSE), 0)</f>
        <v>0</v>
      </c>
      <c r="G864">
        <f>IFERROR(VLOOKUP(Tabla13[[#This Row],[SISMED]],TblDisponibilidad[],11,FALSE), 0)</f>
        <v>0</v>
      </c>
      <c r="H864">
        <f>IFERROR(VLOOKUP(Tabla13[[#This Row],[SISMED]],TblDisponibilidad[],12,FALSE), 0)</f>
        <v>0</v>
      </c>
      <c r="I864">
        <f>IFERROR(VLOOKUP(Tabla13[[#This Row],[SISMED]],TblDisponibilidad[],13,FALSE), 0)</f>
        <v>0</v>
      </c>
      <c r="J864">
        <f>IFERROR(VLOOKUP(Tabla13[[#This Row],[SISMED]],TblDisponibilidad[],14,FALSE), 0)</f>
        <v>0</v>
      </c>
      <c r="K864">
        <f>IFERROR(VLOOKUP(Tabla13[[#This Row],[SISMED]],TblDisponibilidad[],15,FALSE), 0)</f>
        <v>0</v>
      </c>
      <c r="L864">
        <f>IFERROR(VLOOKUP(Tabla13[[#This Row],[SISMED]],TblDisponibilidad[],16,FALSE), 0)</f>
        <v>0</v>
      </c>
      <c r="M864">
        <f>IFERROR(VLOOKUP(Tabla13[[#This Row],[SISMED]],TblDisponibilidad[],17,FALSE), 0)</f>
        <v>0</v>
      </c>
      <c r="N864">
        <f>IFERROR(VLOOKUP(Tabla13[[#This Row],[SISMED]],TblDisponibilidad[],18,FALSE), 0)</f>
        <v>0</v>
      </c>
      <c r="O864">
        <f>IFERROR(VLOOKUP(Tabla13[[#This Row],[SISMED]],TblDisponibilidad[],19,FALSE), 0)</f>
        <v>0</v>
      </c>
      <c r="P864">
        <f>IFERROR(VLOOKUP(Tabla13[[#This Row],[SISMED]],TblDisponibilidad[],20,FALSE), 0)</f>
        <v>0</v>
      </c>
      <c r="Q864">
        <f>IFERROR(VLOOKUP(Tabla13[[#This Row],[SISMED]],TblDisponibilidad[],21,FALSE), 0)</f>
        <v>0</v>
      </c>
      <c r="R864">
        <f>IFERROR(VLOOKUP(Tabla13[[#This Row],[SISMED]],TblDisponibilidad[],22,FALSE), 0)</f>
        <v>0</v>
      </c>
      <c r="S864" s="15">
        <f>IFERROR(VLOOKUP(Tabla13[[#This Row],[SISMED]],TblDisponibilidad[],23,FALSE), 0)</f>
        <v>0</v>
      </c>
    </row>
    <row r="865" spans="1:19" x14ac:dyDescent="0.3">
      <c r="A865" s="15" t="s">
        <v>895</v>
      </c>
      <c r="B865" t="str">
        <f>IFERROR(VLOOKUP(Tabla13[[#This Row],[SISMED]],TblDisponibilidad[],2,FALSE), "")</f>
        <v/>
      </c>
      <c r="C865">
        <f>IFERROR(VLOOKUP(Tabla13[[#This Row],[SISMED]],TblDisponibilidad[],7,FALSE), 0)</f>
        <v>0</v>
      </c>
      <c r="D865">
        <f>IFERROR(VLOOKUP(Tabla13[[#This Row],[SISMED]],TblDisponibilidad[],8,FALSE), 0)</f>
        <v>0</v>
      </c>
      <c r="E865">
        <f>IFERROR(VLOOKUP(Tabla13[[#This Row],[SISMED]],TblDisponibilidad[],9,FALSE), 0)</f>
        <v>0</v>
      </c>
      <c r="F865">
        <f>IFERROR(VLOOKUP(Tabla13[[#This Row],[SISMED]],TblDisponibilidad[],10,FALSE), 0)</f>
        <v>0</v>
      </c>
      <c r="G865">
        <f>IFERROR(VLOOKUP(Tabla13[[#This Row],[SISMED]],TblDisponibilidad[],11,FALSE), 0)</f>
        <v>0</v>
      </c>
      <c r="H865">
        <f>IFERROR(VLOOKUP(Tabla13[[#This Row],[SISMED]],TblDisponibilidad[],12,FALSE), 0)</f>
        <v>0</v>
      </c>
      <c r="I865">
        <f>IFERROR(VLOOKUP(Tabla13[[#This Row],[SISMED]],TblDisponibilidad[],13,FALSE), 0)</f>
        <v>0</v>
      </c>
      <c r="J865">
        <f>IFERROR(VLOOKUP(Tabla13[[#This Row],[SISMED]],TblDisponibilidad[],14,FALSE), 0)</f>
        <v>0</v>
      </c>
      <c r="K865">
        <f>IFERROR(VLOOKUP(Tabla13[[#This Row],[SISMED]],TblDisponibilidad[],15,FALSE), 0)</f>
        <v>0</v>
      </c>
      <c r="L865">
        <f>IFERROR(VLOOKUP(Tabla13[[#This Row],[SISMED]],TblDisponibilidad[],16,FALSE), 0)</f>
        <v>0</v>
      </c>
      <c r="M865">
        <f>IFERROR(VLOOKUP(Tabla13[[#This Row],[SISMED]],TblDisponibilidad[],17,FALSE), 0)</f>
        <v>0</v>
      </c>
      <c r="N865">
        <f>IFERROR(VLOOKUP(Tabla13[[#This Row],[SISMED]],TblDisponibilidad[],18,FALSE), 0)</f>
        <v>0</v>
      </c>
      <c r="O865">
        <f>IFERROR(VLOOKUP(Tabla13[[#This Row],[SISMED]],TblDisponibilidad[],19,FALSE), 0)</f>
        <v>0</v>
      </c>
      <c r="P865">
        <f>IFERROR(VLOOKUP(Tabla13[[#This Row],[SISMED]],TblDisponibilidad[],20,FALSE), 0)</f>
        <v>0</v>
      </c>
      <c r="Q865">
        <f>IFERROR(VLOOKUP(Tabla13[[#This Row],[SISMED]],TblDisponibilidad[],21,FALSE), 0)</f>
        <v>0</v>
      </c>
      <c r="R865">
        <f>IFERROR(VLOOKUP(Tabla13[[#This Row],[SISMED]],TblDisponibilidad[],22,FALSE), 0)</f>
        <v>0</v>
      </c>
      <c r="S865" s="15">
        <f>IFERROR(VLOOKUP(Tabla13[[#This Row],[SISMED]],TblDisponibilidad[],23,FALSE), 0)</f>
        <v>0</v>
      </c>
    </row>
    <row r="866" spans="1:19" x14ac:dyDescent="0.3">
      <c r="A866" s="15" t="s">
        <v>896</v>
      </c>
      <c r="B866" t="str">
        <f>IFERROR(VLOOKUP(Tabla13[[#This Row],[SISMED]],TblDisponibilidad[],2,FALSE), "")</f>
        <v/>
      </c>
      <c r="C866">
        <f>IFERROR(VLOOKUP(Tabla13[[#This Row],[SISMED]],TblDisponibilidad[],7,FALSE), 0)</f>
        <v>0</v>
      </c>
      <c r="D866">
        <f>IFERROR(VLOOKUP(Tabla13[[#This Row],[SISMED]],TblDisponibilidad[],8,FALSE), 0)</f>
        <v>0</v>
      </c>
      <c r="E866">
        <f>IFERROR(VLOOKUP(Tabla13[[#This Row],[SISMED]],TblDisponibilidad[],9,FALSE), 0)</f>
        <v>0</v>
      </c>
      <c r="F866">
        <f>IFERROR(VLOOKUP(Tabla13[[#This Row],[SISMED]],TblDisponibilidad[],10,FALSE), 0)</f>
        <v>0</v>
      </c>
      <c r="G866">
        <f>IFERROR(VLOOKUP(Tabla13[[#This Row],[SISMED]],TblDisponibilidad[],11,FALSE), 0)</f>
        <v>0</v>
      </c>
      <c r="H866">
        <f>IFERROR(VLOOKUP(Tabla13[[#This Row],[SISMED]],TblDisponibilidad[],12,FALSE), 0)</f>
        <v>0</v>
      </c>
      <c r="I866">
        <f>IFERROR(VLOOKUP(Tabla13[[#This Row],[SISMED]],TblDisponibilidad[],13,FALSE), 0)</f>
        <v>0</v>
      </c>
      <c r="J866">
        <f>IFERROR(VLOOKUP(Tabla13[[#This Row],[SISMED]],TblDisponibilidad[],14,FALSE), 0)</f>
        <v>0</v>
      </c>
      <c r="K866">
        <f>IFERROR(VLOOKUP(Tabla13[[#This Row],[SISMED]],TblDisponibilidad[],15,FALSE), 0)</f>
        <v>0</v>
      </c>
      <c r="L866">
        <f>IFERROR(VLOOKUP(Tabla13[[#This Row],[SISMED]],TblDisponibilidad[],16,FALSE), 0)</f>
        <v>0</v>
      </c>
      <c r="M866">
        <f>IFERROR(VLOOKUP(Tabla13[[#This Row],[SISMED]],TblDisponibilidad[],17,FALSE), 0)</f>
        <v>0</v>
      </c>
      <c r="N866">
        <f>IFERROR(VLOOKUP(Tabla13[[#This Row],[SISMED]],TblDisponibilidad[],18,FALSE), 0)</f>
        <v>0</v>
      </c>
      <c r="O866">
        <f>IFERROR(VLOOKUP(Tabla13[[#This Row],[SISMED]],TblDisponibilidad[],19,FALSE), 0)</f>
        <v>0</v>
      </c>
      <c r="P866">
        <f>IFERROR(VLOOKUP(Tabla13[[#This Row],[SISMED]],TblDisponibilidad[],20,FALSE), 0)</f>
        <v>0</v>
      </c>
      <c r="Q866">
        <f>IFERROR(VLOOKUP(Tabla13[[#This Row],[SISMED]],TblDisponibilidad[],21,FALSE), 0)</f>
        <v>0</v>
      </c>
      <c r="R866">
        <f>IFERROR(VLOOKUP(Tabla13[[#This Row],[SISMED]],TblDisponibilidad[],22,FALSE), 0)</f>
        <v>0</v>
      </c>
      <c r="S866" s="15">
        <f>IFERROR(VLOOKUP(Tabla13[[#This Row],[SISMED]],TblDisponibilidad[],23,FALSE), 0)</f>
        <v>0</v>
      </c>
    </row>
    <row r="867" spans="1:19" x14ac:dyDescent="0.3">
      <c r="A867" s="15" t="s">
        <v>897</v>
      </c>
      <c r="B867" t="str">
        <f>IFERROR(VLOOKUP(Tabla13[[#This Row],[SISMED]],TblDisponibilidad[],2,FALSE), "")</f>
        <v/>
      </c>
      <c r="C867">
        <f>IFERROR(VLOOKUP(Tabla13[[#This Row],[SISMED]],TblDisponibilidad[],7,FALSE), 0)</f>
        <v>0</v>
      </c>
      <c r="D867">
        <f>IFERROR(VLOOKUP(Tabla13[[#This Row],[SISMED]],TblDisponibilidad[],8,FALSE), 0)</f>
        <v>0</v>
      </c>
      <c r="E867">
        <f>IFERROR(VLOOKUP(Tabla13[[#This Row],[SISMED]],TblDisponibilidad[],9,FALSE), 0)</f>
        <v>0</v>
      </c>
      <c r="F867">
        <f>IFERROR(VLOOKUP(Tabla13[[#This Row],[SISMED]],TblDisponibilidad[],10,FALSE), 0)</f>
        <v>0</v>
      </c>
      <c r="G867">
        <f>IFERROR(VLOOKUP(Tabla13[[#This Row],[SISMED]],TblDisponibilidad[],11,FALSE), 0)</f>
        <v>0</v>
      </c>
      <c r="H867">
        <f>IFERROR(VLOOKUP(Tabla13[[#This Row],[SISMED]],TblDisponibilidad[],12,FALSE), 0)</f>
        <v>0</v>
      </c>
      <c r="I867">
        <f>IFERROR(VLOOKUP(Tabla13[[#This Row],[SISMED]],TblDisponibilidad[],13,FALSE), 0)</f>
        <v>0</v>
      </c>
      <c r="J867">
        <f>IFERROR(VLOOKUP(Tabla13[[#This Row],[SISMED]],TblDisponibilidad[],14,FALSE), 0)</f>
        <v>0</v>
      </c>
      <c r="K867">
        <f>IFERROR(VLOOKUP(Tabla13[[#This Row],[SISMED]],TblDisponibilidad[],15,FALSE), 0)</f>
        <v>0</v>
      </c>
      <c r="L867">
        <f>IFERROR(VLOOKUP(Tabla13[[#This Row],[SISMED]],TblDisponibilidad[],16,FALSE), 0)</f>
        <v>0</v>
      </c>
      <c r="M867">
        <f>IFERROR(VLOOKUP(Tabla13[[#This Row],[SISMED]],TblDisponibilidad[],17,FALSE), 0)</f>
        <v>0</v>
      </c>
      <c r="N867">
        <f>IFERROR(VLOOKUP(Tabla13[[#This Row],[SISMED]],TblDisponibilidad[],18,FALSE), 0)</f>
        <v>0</v>
      </c>
      <c r="O867">
        <f>IFERROR(VLOOKUP(Tabla13[[#This Row],[SISMED]],TblDisponibilidad[],19,FALSE), 0)</f>
        <v>0</v>
      </c>
      <c r="P867">
        <f>IFERROR(VLOOKUP(Tabla13[[#This Row],[SISMED]],TblDisponibilidad[],20,FALSE), 0)</f>
        <v>0</v>
      </c>
      <c r="Q867">
        <f>IFERROR(VLOOKUP(Tabla13[[#This Row],[SISMED]],TblDisponibilidad[],21,FALSE), 0)</f>
        <v>0</v>
      </c>
      <c r="R867">
        <f>IFERROR(VLOOKUP(Tabla13[[#This Row],[SISMED]],TblDisponibilidad[],22,FALSE), 0)</f>
        <v>0</v>
      </c>
      <c r="S867" s="15">
        <f>IFERROR(VLOOKUP(Tabla13[[#This Row],[SISMED]],TblDisponibilidad[],23,FALSE), 0)</f>
        <v>0</v>
      </c>
    </row>
    <row r="868" spans="1:19" x14ac:dyDescent="0.3">
      <c r="A868" s="15" t="s">
        <v>898</v>
      </c>
      <c r="B868" t="str">
        <f>IFERROR(VLOOKUP(Tabla13[[#This Row],[SISMED]],TblDisponibilidad[],2,FALSE), "")</f>
        <v/>
      </c>
      <c r="C868">
        <f>IFERROR(VLOOKUP(Tabla13[[#This Row],[SISMED]],TblDisponibilidad[],7,FALSE), 0)</f>
        <v>0</v>
      </c>
      <c r="D868">
        <f>IFERROR(VLOOKUP(Tabla13[[#This Row],[SISMED]],TblDisponibilidad[],8,FALSE), 0)</f>
        <v>0</v>
      </c>
      <c r="E868">
        <f>IFERROR(VLOOKUP(Tabla13[[#This Row],[SISMED]],TblDisponibilidad[],9,FALSE), 0)</f>
        <v>0</v>
      </c>
      <c r="F868">
        <f>IFERROR(VLOOKUP(Tabla13[[#This Row],[SISMED]],TblDisponibilidad[],10,FALSE), 0)</f>
        <v>0</v>
      </c>
      <c r="G868">
        <f>IFERROR(VLOOKUP(Tabla13[[#This Row],[SISMED]],TblDisponibilidad[],11,FALSE), 0)</f>
        <v>0</v>
      </c>
      <c r="H868">
        <f>IFERROR(VLOOKUP(Tabla13[[#This Row],[SISMED]],TblDisponibilidad[],12,FALSE), 0)</f>
        <v>0</v>
      </c>
      <c r="I868">
        <f>IFERROR(VLOOKUP(Tabla13[[#This Row],[SISMED]],TblDisponibilidad[],13,FALSE), 0)</f>
        <v>0</v>
      </c>
      <c r="J868">
        <f>IFERROR(VLOOKUP(Tabla13[[#This Row],[SISMED]],TblDisponibilidad[],14,FALSE), 0)</f>
        <v>0</v>
      </c>
      <c r="K868">
        <f>IFERROR(VLOOKUP(Tabla13[[#This Row],[SISMED]],TblDisponibilidad[],15,FALSE), 0)</f>
        <v>0</v>
      </c>
      <c r="L868">
        <f>IFERROR(VLOOKUP(Tabla13[[#This Row],[SISMED]],TblDisponibilidad[],16,FALSE), 0)</f>
        <v>0</v>
      </c>
      <c r="M868">
        <f>IFERROR(VLOOKUP(Tabla13[[#This Row],[SISMED]],TblDisponibilidad[],17,FALSE), 0)</f>
        <v>0</v>
      </c>
      <c r="N868">
        <f>IFERROR(VLOOKUP(Tabla13[[#This Row],[SISMED]],TblDisponibilidad[],18,FALSE), 0)</f>
        <v>0</v>
      </c>
      <c r="O868">
        <f>IFERROR(VLOOKUP(Tabla13[[#This Row],[SISMED]],TblDisponibilidad[],19,FALSE), 0)</f>
        <v>0</v>
      </c>
      <c r="P868">
        <f>IFERROR(VLOOKUP(Tabla13[[#This Row],[SISMED]],TblDisponibilidad[],20,FALSE), 0)</f>
        <v>0</v>
      </c>
      <c r="Q868">
        <f>IFERROR(VLOOKUP(Tabla13[[#This Row],[SISMED]],TblDisponibilidad[],21,FALSE), 0)</f>
        <v>0</v>
      </c>
      <c r="R868">
        <f>IFERROR(VLOOKUP(Tabla13[[#This Row],[SISMED]],TblDisponibilidad[],22,FALSE), 0)</f>
        <v>0</v>
      </c>
      <c r="S868" s="15">
        <f>IFERROR(VLOOKUP(Tabla13[[#This Row],[SISMED]],TblDisponibilidad[],23,FALSE), 0)</f>
        <v>0</v>
      </c>
    </row>
    <row r="869" spans="1:19" x14ac:dyDescent="0.3">
      <c r="A869" s="15" t="s">
        <v>899</v>
      </c>
      <c r="B869" t="str">
        <f>IFERROR(VLOOKUP(Tabla13[[#This Row],[SISMED]],TblDisponibilidad[],2,FALSE), "")</f>
        <v/>
      </c>
      <c r="C869">
        <f>IFERROR(VLOOKUP(Tabla13[[#This Row],[SISMED]],TblDisponibilidad[],7,FALSE), 0)</f>
        <v>0</v>
      </c>
      <c r="D869">
        <f>IFERROR(VLOOKUP(Tabla13[[#This Row],[SISMED]],TblDisponibilidad[],8,FALSE), 0)</f>
        <v>0</v>
      </c>
      <c r="E869">
        <f>IFERROR(VLOOKUP(Tabla13[[#This Row],[SISMED]],TblDisponibilidad[],9,FALSE), 0)</f>
        <v>0</v>
      </c>
      <c r="F869">
        <f>IFERROR(VLOOKUP(Tabla13[[#This Row],[SISMED]],TblDisponibilidad[],10,FALSE), 0)</f>
        <v>0</v>
      </c>
      <c r="G869">
        <f>IFERROR(VLOOKUP(Tabla13[[#This Row],[SISMED]],TblDisponibilidad[],11,FALSE), 0)</f>
        <v>0</v>
      </c>
      <c r="H869">
        <f>IFERROR(VLOOKUP(Tabla13[[#This Row],[SISMED]],TblDisponibilidad[],12,FALSE), 0)</f>
        <v>0</v>
      </c>
      <c r="I869">
        <f>IFERROR(VLOOKUP(Tabla13[[#This Row],[SISMED]],TblDisponibilidad[],13,FALSE), 0)</f>
        <v>0</v>
      </c>
      <c r="J869">
        <f>IFERROR(VLOOKUP(Tabla13[[#This Row],[SISMED]],TblDisponibilidad[],14,FALSE), 0)</f>
        <v>0</v>
      </c>
      <c r="K869">
        <f>IFERROR(VLOOKUP(Tabla13[[#This Row],[SISMED]],TblDisponibilidad[],15,FALSE), 0)</f>
        <v>0</v>
      </c>
      <c r="L869">
        <f>IFERROR(VLOOKUP(Tabla13[[#This Row],[SISMED]],TblDisponibilidad[],16,FALSE), 0)</f>
        <v>0</v>
      </c>
      <c r="M869">
        <f>IFERROR(VLOOKUP(Tabla13[[#This Row],[SISMED]],TblDisponibilidad[],17,FALSE), 0)</f>
        <v>0</v>
      </c>
      <c r="N869">
        <f>IFERROR(VLOOKUP(Tabla13[[#This Row],[SISMED]],TblDisponibilidad[],18,FALSE), 0)</f>
        <v>0</v>
      </c>
      <c r="O869">
        <f>IFERROR(VLOOKUP(Tabla13[[#This Row],[SISMED]],TblDisponibilidad[],19,FALSE), 0)</f>
        <v>0</v>
      </c>
      <c r="P869">
        <f>IFERROR(VLOOKUP(Tabla13[[#This Row],[SISMED]],TblDisponibilidad[],20,FALSE), 0)</f>
        <v>0</v>
      </c>
      <c r="Q869">
        <f>IFERROR(VLOOKUP(Tabla13[[#This Row],[SISMED]],TblDisponibilidad[],21,FALSE), 0)</f>
        <v>0</v>
      </c>
      <c r="R869">
        <f>IFERROR(VLOOKUP(Tabla13[[#This Row],[SISMED]],TblDisponibilidad[],22,FALSE), 0)</f>
        <v>0</v>
      </c>
      <c r="S869" s="15">
        <f>IFERROR(VLOOKUP(Tabla13[[#This Row],[SISMED]],TblDisponibilidad[],23,FALSE), 0)</f>
        <v>0</v>
      </c>
    </row>
    <row r="870" spans="1:19" x14ac:dyDescent="0.3">
      <c r="A870" s="15" t="s">
        <v>900</v>
      </c>
      <c r="B870" t="str">
        <f>IFERROR(VLOOKUP(Tabla13[[#This Row],[SISMED]],TblDisponibilidad[],2,FALSE), "")</f>
        <v/>
      </c>
      <c r="C870">
        <f>IFERROR(VLOOKUP(Tabla13[[#This Row],[SISMED]],TblDisponibilidad[],7,FALSE), 0)</f>
        <v>0</v>
      </c>
      <c r="D870">
        <f>IFERROR(VLOOKUP(Tabla13[[#This Row],[SISMED]],TblDisponibilidad[],8,FALSE), 0)</f>
        <v>0</v>
      </c>
      <c r="E870">
        <f>IFERROR(VLOOKUP(Tabla13[[#This Row],[SISMED]],TblDisponibilidad[],9,FALSE), 0)</f>
        <v>0</v>
      </c>
      <c r="F870">
        <f>IFERROR(VLOOKUP(Tabla13[[#This Row],[SISMED]],TblDisponibilidad[],10,FALSE), 0)</f>
        <v>0</v>
      </c>
      <c r="G870">
        <f>IFERROR(VLOOKUP(Tabla13[[#This Row],[SISMED]],TblDisponibilidad[],11,FALSE), 0)</f>
        <v>0</v>
      </c>
      <c r="H870">
        <f>IFERROR(VLOOKUP(Tabla13[[#This Row],[SISMED]],TblDisponibilidad[],12,FALSE), 0)</f>
        <v>0</v>
      </c>
      <c r="I870">
        <f>IFERROR(VLOOKUP(Tabla13[[#This Row],[SISMED]],TblDisponibilidad[],13,FALSE), 0)</f>
        <v>0</v>
      </c>
      <c r="J870">
        <f>IFERROR(VLOOKUP(Tabla13[[#This Row],[SISMED]],TblDisponibilidad[],14,FALSE), 0)</f>
        <v>0</v>
      </c>
      <c r="K870">
        <f>IFERROR(VLOOKUP(Tabla13[[#This Row],[SISMED]],TblDisponibilidad[],15,FALSE), 0)</f>
        <v>0</v>
      </c>
      <c r="L870">
        <f>IFERROR(VLOOKUP(Tabla13[[#This Row],[SISMED]],TblDisponibilidad[],16,FALSE), 0)</f>
        <v>0</v>
      </c>
      <c r="M870">
        <f>IFERROR(VLOOKUP(Tabla13[[#This Row],[SISMED]],TblDisponibilidad[],17,FALSE), 0)</f>
        <v>0</v>
      </c>
      <c r="N870">
        <f>IFERROR(VLOOKUP(Tabla13[[#This Row],[SISMED]],TblDisponibilidad[],18,FALSE), 0)</f>
        <v>0</v>
      </c>
      <c r="O870">
        <f>IFERROR(VLOOKUP(Tabla13[[#This Row],[SISMED]],TblDisponibilidad[],19,FALSE), 0)</f>
        <v>0</v>
      </c>
      <c r="P870">
        <f>IFERROR(VLOOKUP(Tabla13[[#This Row],[SISMED]],TblDisponibilidad[],20,FALSE), 0)</f>
        <v>0</v>
      </c>
      <c r="Q870">
        <f>IFERROR(VLOOKUP(Tabla13[[#This Row],[SISMED]],TblDisponibilidad[],21,FALSE), 0)</f>
        <v>0</v>
      </c>
      <c r="R870">
        <f>IFERROR(VLOOKUP(Tabla13[[#This Row],[SISMED]],TblDisponibilidad[],22,FALSE), 0)</f>
        <v>0</v>
      </c>
      <c r="S870" s="15">
        <f>IFERROR(VLOOKUP(Tabla13[[#This Row],[SISMED]],TblDisponibilidad[],23,FALSE), 0)</f>
        <v>0</v>
      </c>
    </row>
    <row r="871" spans="1:19" x14ac:dyDescent="0.3">
      <c r="A871" s="15" t="s">
        <v>901</v>
      </c>
      <c r="B871" t="str">
        <f>IFERROR(VLOOKUP(Tabla13[[#This Row],[SISMED]],TblDisponibilidad[],2,FALSE), "")</f>
        <v/>
      </c>
      <c r="C871">
        <f>IFERROR(VLOOKUP(Tabla13[[#This Row],[SISMED]],TblDisponibilidad[],7,FALSE), 0)</f>
        <v>0</v>
      </c>
      <c r="D871">
        <f>IFERROR(VLOOKUP(Tabla13[[#This Row],[SISMED]],TblDisponibilidad[],8,FALSE), 0)</f>
        <v>0</v>
      </c>
      <c r="E871">
        <f>IFERROR(VLOOKUP(Tabla13[[#This Row],[SISMED]],TblDisponibilidad[],9,FALSE), 0)</f>
        <v>0</v>
      </c>
      <c r="F871">
        <f>IFERROR(VLOOKUP(Tabla13[[#This Row],[SISMED]],TblDisponibilidad[],10,FALSE), 0)</f>
        <v>0</v>
      </c>
      <c r="G871">
        <f>IFERROR(VLOOKUP(Tabla13[[#This Row],[SISMED]],TblDisponibilidad[],11,FALSE), 0)</f>
        <v>0</v>
      </c>
      <c r="H871">
        <f>IFERROR(VLOOKUP(Tabla13[[#This Row],[SISMED]],TblDisponibilidad[],12,FALSE), 0)</f>
        <v>0</v>
      </c>
      <c r="I871">
        <f>IFERROR(VLOOKUP(Tabla13[[#This Row],[SISMED]],TblDisponibilidad[],13,FALSE), 0)</f>
        <v>0</v>
      </c>
      <c r="J871">
        <f>IFERROR(VLOOKUP(Tabla13[[#This Row],[SISMED]],TblDisponibilidad[],14,FALSE), 0)</f>
        <v>0</v>
      </c>
      <c r="K871">
        <f>IFERROR(VLOOKUP(Tabla13[[#This Row],[SISMED]],TblDisponibilidad[],15,FALSE), 0)</f>
        <v>0</v>
      </c>
      <c r="L871">
        <f>IFERROR(VLOOKUP(Tabla13[[#This Row],[SISMED]],TblDisponibilidad[],16,FALSE), 0)</f>
        <v>0</v>
      </c>
      <c r="M871">
        <f>IFERROR(VLOOKUP(Tabla13[[#This Row],[SISMED]],TblDisponibilidad[],17,FALSE), 0)</f>
        <v>0</v>
      </c>
      <c r="N871">
        <f>IFERROR(VLOOKUP(Tabla13[[#This Row],[SISMED]],TblDisponibilidad[],18,FALSE), 0)</f>
        <v>0</v>
      </c>
      <c r="O871">
        <f>IFERROR(VLOOKUP(Tabla13[[#This Row],[SISMED]],TblDisponibilidad[],19,FALSE), 0)</f>
        <v>0</v>
      </c>
      <c r="P871">
        <f>IFERROR(VLOOKUP(Tabla13[[#This Row],[SISMED]],TblDisponibilidad[],20,FALSE), 0)</f>
        <v>0</v>
      </c>
      <c r="Q871">
        <f>IFERROR(VLOOKUP(Tabla13[[#This Row],[SISMED]],TblDisponibilidad[],21,FALSE), 0)</f>
        <v>0</v>
      </c>
      <c r="R871">
        <f>IFERROR(VLOOKUP(Tabla13[[#This Row],[SISMED]],TblDisponibilidad[],22,FALSE), 0)</f>
        <v>0</v>
      </c>
      <c r="S871" s="15">
        <f>IFERROR(VLOOKUP(Tabla13[[#This Row],[SISMED]],TblDisponibilidad[],23,FALSE), 0)</f>
        <v>0</v>
      </c>
    </row>
    <row r="872" spans="1:19" x14ac:dyDescent="0.3">
      <c r="A872" s="15" t="s">
        <v>902</v>
      </c>
      <c r="B872" t="str">
        <f>IFERROR(VLOOKUP(Tabla13[[#This Row],[SISMED]],TblDisponibilidad[],2,FALSE), "")</f>
        <v/>
      </c>
      <c r="C872">
        <f>IFERROR(VLOOKUP(Tabla13[[#This Row],[SISMED]],TblDisponibilidad[],7,FALSE), 0)</f>
        <v>0</v>
      </c>
      <c r="D872">
        <f>IFERROR(VLOOKUP(Tabla13[[#This Row],[SISMED]],TblDisponibilidad[],8,FALSE), 0)</f>
        <v>0</v>
      </c>
      <c r="E872">
        <f>IFERROR(VLOOKUP(Tabla13[[#This Row],[SISMED]],TblDisponibilidad[],9,FALSE), 0)</f>
        <v>0</v>
      </c>
      <c r="F872">
        <f>IFERROR(VLOOKUP(Tabla13[[#This Row],[SISMED]],TblDisponibilidad[],10,FALSE), 0)</f>
        <v>0</v>
      </c>
      <c r="G872">
        <f>IFERROR(VLOOKUP(Tabla13[[#This Row],[SISMED]],TblDisponibilidad[],11,FALSE), 0)</f>
        <v>0</v>
      </c>
      <c r="H872">
        <f>IFERROR(VLOOKUP(Tabla13[[#This Row],[SISMED]],TblDisponibilidad[],12,FALSE), 0)</f>
        <v>0</v>
      </c>
      <c r="I872">
        <f>IFERROR(VLOOKUP(Tabla13[[#This Row],[SISMED]],TblDisponibilidad[],13,FALSE), 0)</f>
        <v>0</v>
      </c>
      <c r="J872">
        <f>IFERROR(VLOOKUP(Tabla13[[#This Row],[SISMED]],TblDisponibilidad[],14,FALSE), 0)</f>
        <v>0</v>
      </c>
      <c r="K872">
        <f>IFERROR(VLOOKUP(Tabla13[[#This Row],[SISMED]],TblDisponibilidad[],15,FALSE), 0)</f>
        <v>0</v>
      </c>
      <c r="L872">
        <f>IFERROR(VLOOKUP(Tabla13[[#This Row],[SISMED]],TblDisponibilidad[],16,FALSE), 0)</f>
        <v>0</v>
      </c>
      <c r="M872">
        <f>IFERROR(VLOOKUP(Tabla13[[#This Row],[SISMED]],TblDisponibilidad[],17,FALSE), 0)</f>
        <v>0</v>
      </c>
      <c r="N872">
        <f>IFERROR(VLOOKUP(Tabla13[[#This Row],[SISMED]],TblDisponibilidad[],18,FALSE), 0)</f>
        <v>0</v>
      </c>
      <c r="O872">
        <f>IFERROR(VLOOKUP(Tabla13[[#This Row],[SISMED]],TblDisponibilidad[],19,FALSE), 0)</f>
        <v>0</v>
      </c>
      <c r="P872">
        <f>IFERROR(VLOOKUP(Tabla13[[#This Row],[SISMED]],TblDisponibilidad[],20,FALSE), 0)</f>
        <v>0</v>
      </c>
      <c r="Q872">
        <f>IFERROR(VLOOKUP(Tabla13[[#This Row],[SISMED]],TblDisponibilidad[],21,FALSE), 0)</f>
        <v>0</v>
      </c>
      <c r="R872">
        <f>IFERROR(VLOOKUP(Tabla13[[#This Row],[SISMED]],TblDisponibilidad[],22,FALSE), 0)</f>
        <v>0</v>
      </c>
      <c r="S872" s="15">
        <f>IFERROR(VLOOKUP(Tabla13[[#This Row],[SISMED]],TblDisponibilidad[],23,FALSE), 0)</f>
        <v>0</v>
      </c>
    </row>
    <row r="873" spans="1:19" x14ac:dyDescent="0.3">
      <c r="A873" s="15" t="s">
        <v>903</v>
      </c>
      <c r="B873" t="str">
        <f>IFERROR(VLOOKUP(Tabla13[[#This Row],[SISMED]],TblDisponibilidad[],2,FALSE), "")</f>
        <v/>
      </c>
      <c r="C873">
        <f>IFERROR(VLOOKUP(Tabla13[[#This Row],[SISMED]],TblDisponibilidad[],7,FALSE), 0)</f>
        <v>0</v>
      </c>
      <c r="D873">
        <f>IFERROR(VLOOKUP(Tabla13[[#This Row],[SISMED]],TblDisponibilidad[],8,FALSE), 0)</f>
        <v>0</v>
      </c>
      <c r="E873">
        <f>IFERROR(VLOOKUP(Tabla13[[#This Row],[SISMED]],TblDisponibilidad[],9,FALSE), 0)</f>
        <v>0</v>
      </c>
      <c r="F873">
        <f>IFERROR(VLOOKUP(Tabla13[[#This Row],[SISMED]],TblDisponibilidad[],10,FALSE), 0)</f>
        <v>0</v>
      </c>
      <c r="G873">
        <f>IFERROR(VLOOKUP(Tabla13[[#This Row],[SISMED]],TblDisponibilidad[],11,FALSE), 0)</f>
        <v>0</v>
      </c>
      <c r="H873">
        <f>IFERROR(VLOOKUP(Tabla13[[#This Row],[SISMED]],TblDisponibilidad[],12,FALSE), 0)</f>
        <v>0</v>
      </c>
      <c r="I873">
        <f>IFERROR(VLOOKUP(Tabla13[[#This Row],[SISMED]],TblDisponibilidad[],13,FALSE), 0)</f>
        <v>0</v>
      </c>
      <c r="J873">
        <f>IFERROR(VLOOKUP(Tabla13[[#This Row],[SISMED]],TblDisponibilidad[],14,FALSE), 0)</f>
        <v>0</v>
      </c>
      <c r="K873">
        <f>IFERROR(VLOOKUP(Tabla13[[#This Row],[SISMED]],TblDisponibilidad[],15,FALSE), 0)</f>
        <v>0</v>
      </c>
      <c r="L873">
        <f>IFERROR(VLOOKUP(Tabla13[[#This Row],[SISMED]],TblDisponibilidad[],16,FALSE), 0)</f>
        <v>0</v>
      </c>
      <c r="M873">
        <f>IFERROR(VLOOKUP(Tabla13[[#This Row],[SISMED]],TblDisponibilidad[],17,FALSE), 0)</f>
        <v>0</v>
      </c>
      <c r="N873">
        <f>IFERROR(VLOOKUP(Tabla13[[#This Row],[SISMED]],TblDisponibilidad[],18,FALSE), 0)</f>
        <v>0</v>
      </c>
      <c r="O873">
        <f>IFERROR(VLOOKUP(Tabla13[[#This Row],[SISMED]],TblDisponibilidad[],19,FALSE), 0)</f>
        <v>0</v>
      </c>
      <c r="P873">
        <f>IFERROR(VLOOKUP(Tabla13[[#This Row],[SISMED]],TblDisponibilidad[],20,FALSE), 0)</f>
        <v>0</v>
      </c>
      <c r="Q873">
        <f>IFERROR(VLOOKUP(Tabla13[[#This Row],[SISMED]],TblDisponibilidad[],21,FALSE), 0)</f>
        <v>0</v>
      </c>
      <c r="R873">
        <f>IFERROR(VLOOKUP(Tabla13[[#This Row],[SISMED]],TblDisponibilidad[],22,FALSE), 0)</f>
        <v>0</v>
      </c>
      <c r="S873" s="15">
        <f>IFERROR(VLOOKUP(Tabla13[[#This Row],[SISMED]],TblDisponibilidad[],23,FALSE), 0)</f>
        <v>0</v>
      </c>
    </row>
    <row r="874" spans="1:19" x14ac:dyDescent="0.3">
      <c r="A874" s="15" t="s">
        <v>904</v>
      </c>
      <c r="B874" t="str">
        <f>IFERROR(VLOOKUP(Tabla13[[#This Row],[SISMED]],TblDisponibilidad[],2,FALSE), "")</f>
        <v/>
      </c>
      <c r="C874">
        <f>IFERROR(VLOOKUP(Tabla13[[#This Row],[SISMED]],TblDisponibilidad[],7,FALSE), 0)</f>
        <v>0</v>
      </c>
      <c r="D874">
        <f>IFERROR(VLOOKUP(Tabla13[[#This Row],[SISMED]],TblDisponibilidad[],8,FALSE), 0)</f>
        <v>0</v>
      </c>
      <c r="E874">
        <f>IFERROR(VLOOKUP(Tabla13[[#This Row],[SISMED]],TblDisponibilidad[],9,FALSE), 0)</f>
        <v>0</v>
      </c>
      <c r="F874">
        <f>IFERROR(VLOOKUP(Tabla13[[#This Row],[SISMED]],TblDisponibilidad[],10,FALSE), 0)</f>
        <v>0</v>
      </c>
      <c r="G874">
        <f>IFERROR(VLOOKUP(Tabla13[[#This Row],[SISMED]],TblDisponibilidad[],11,FALSE), 0)</f>
        <v>0</v>
      </c>
      <c r="H874">
        <f>IFERROR(VLOOKUP(Tabla13[[#This Row],[SISMED]],TblDisponibilidad[],12,FALSE), 0)</f>
        <v>0</v>
      </c>
      <c r="I874">
        <f>IFERROR(VLOOKUP(Tabla13[[#This Row],[SISMED]],TblDisponibilidad[],13,FALSE), 0)</f>
        <v>0</v>
      </c>
      <c r="J874">
        <f>IFERROR(VLOOKUP(Tabla13[[#This Row],[SISMED]],TblDisponibilidad[],14,FALSE), 0)</f>
        <v>0</v>
      </c>
      <c r="K874">
        <f>IFERROR(VLOOKUP(Tabla13[[#This Row],[SISMED]],TblDisponibilidad[],15,FALSE), 0)</f>
        <v>0</v>
      </c>
      <c r="L874">
        <f>IFERROR(VLOOKUP(Tabla13[[#This Row],[SISMED]],TblDisponibilidad[],16,FALSE), 0)</f>
        <v>0</v>
      </c>
      <c r="M874">
        <f>IFERROR(VLOOKUP(Tabla13[[#This Row],[SISMED]],TblDisponibilidad[],17,FALSE), 0)</f>
        <v>0</v>
      </c>
      <c r="N874">
        <f>IFERROR(VLOOKUP(Tabla13[[#This Row],[SISMED]],TblDisponibilidad[],18,FALSE), 0)</f>
        <v>0</v>
      </c>
      <c r="O874">
        <f>IFERROR(VLOOKUP(Tabla13[[#This Row],[SISMED]],TblDisponibilidad[],19,FALSE), 0)</f>
        <v>0</v>
      </c>
      <c r="P874">
        <f>IFERROR(VLOOKUP(Tabla13[[#This Row],[SISMED]],TblDisponibilidad[],20,FALSE), 0)</f>
        <v>0</v>
      </c>
      <c r="Q874">
        <f>IFERROR(VLOOKUP(Tabla13[[#This Row],[SISMED]],TblDisponibilidad[],21,FALSE), 0)</f>
        <v>0</v>
      </c>
      <c r="R874">
        <f>IFERROR(VLOOKUP(Tabla13[[#This Row],[SISMED]],TblDisponibilidad[],22,FALSE), 0)</f>
        <v>0</v>
      </c>
      <c r="S874" s="15">
        <f>IFERROR(VLOOKUP(Tabla13[[#This Row],[SISMED]],TblDisponibilidad[],23,FALSE), 0)</f>
        <v>0</v>
      </c>
    </row>
    <row r="875" spans="1:19" x14ac:dyDescent="0.3">
      <c r="A875" s="15" t="s">
        <v>905</v>
      </c>
      <c r="B875" t="str">
        <f>IFERROR(VLOOKUP(Tabla13[[#This Row],[SISMED]],TblDisponibilidad[],2,FALSE), "")</f>
        <v/>
      </c>
      <c r="C875">
        <f>IFERROR(VLOOKUP(Tabla13[[#This Row],[SISMED]],TblDisponibilidad[],7,FALSE), 0)</f>
        <v>0</v>
      </c>
      <c r="D875">
        <f>IFERROR(VLOOKUP(Tabla13[[#This Row],[SISMED]],TblDisponibilidad[],8,FALSE), 0)</f>
        <v>0</v>
      </c>
      <c r="E875">
        <f>IFERROR(VLOOKUP(Tabla13[[#This Row],[SISMED]],TblDisponibilidad[],9,FALSE), 0)</f>
        <v>0</v>
      </c>
      <c r="F875">
        <f>IFERROR(VLOOKUP(Tabla13[[#This Row],[SISMED]],TblDisponibilidad[],10,FALSE), 0)</f>
        <v>0</v>
      </c>
      <c r="G875">
        <f>IFERROR(VLOOKUP(Tabla13[[#This Row],[SISMED]],TblDisponibilidad[],11,FALSE), 0)</f>
        <v>0</v>
      </c>
      <c r="H875">
        <f>IFERROR(VLOOKUP(Tabla13[[#This Row],[SISMED]],TblDisponibilidad[],12,FALSE), 0)</f>
        <v>0</v>
      </c>
      <c r="I875">
        <f>IFERROR(VLOOKUP(Tabla13[[#This Row],[SISMED]],TblDisponibilidad[],13,FALSE), 0)</f>
        <v>0</v>
      </c>
      <c r="J875">
        <f>IFERROR(VLOOKUP(Tabla13[[#This Row],[SISMED]],TblDisponibilidad[],14,FALSE), 0)</f>
        <v>0</v>
      </c>
      <c r="K875">
        <f>IFERROR(VLOOKUP(Tabla13[[#This Row],[SISMED]],TblDisponibilidad[],15,FALSE), 0)</f>
        <v>0</v>
      </c>
      <c r="L875">
        <f>IFERROR(VLOOKUP(Tabla13[[#This Row],[SISMED]],TblDisponibilidad[],16,FALSE), 0)</f>
        <v>0</v>
      </c>
      <c r="M875">
        <f>IFERROR(VLOOKUP(Tabla13[[#This Row],[SISMED]],TblDisponibilidad[],17,FALSE), 0)</f>
        <v>0</v>
      </c>
      <c r="N875">
        <f>IFERROR(VLOOKUP(Tabla13[[#This Row],[SISMED]],TblDisponibilidad[],18,FALSE), 0)</f>
        <v>0</v>
      </c>
      <c r="O875">
        <f>IFERROR(VLOOKUP(Tabla13[[#This Row],[SISMED]],TblDisponibilidad[],19,FALSE), 0)</f>
        <v>0</v>
      </c>
      <c r="P875">
        <f>IFERROR(VLOOKUP(Tabla13[[#This Row],[SISMED]],TblDisponibilidad[],20,FALSE), 0)</f>
        <v>0</v>
      </c>
      <c r="Q875">
        <f>IFERROR(VLOOKUP(Tabla13[[#This Row],[SISMED]],TblDisponibilidad[],21,FALSE), 0)</f>
        <v>0</v>
      </c>
      <c r="R875">
        <f>IFERROR(VLOOKUP(Tabla13[[#This Row],[SISMED]],TblDisponibilidad[],22,FALSE), 0)</f>
        <v>0</v>
      </c>
      <c r="S875" s="15">
        <f>IFERROR(VLOOKUP(Tabla13[[#This Row],[SISMED]],TblDisponibilidad[],23,FALSE), 0)</f>
        <v>0</v>
      </c>
    </row>
    <row r="876" spans="1:19" x14ac:dyDescent="0.3">
      <c r="A876" s="15" t="s">
        <v>906</v>
      </c>
      <c r="B876" t="str">
        <f>IFERROR(VLOOKUP(Tabla13[[#This Row],[SISMED]],TblDisponibilidad[],2,FALSE), "")</f>
        <v/>
      </c>
      <c r="C876">
        <f>IFERROR(VLOOKUP(Tabla13[[#This Row],[SISMED]],TblDisponibilidad[],7,FALSE), 0)</f>
        <v>0</v>
      </c>
      <c r="D876">
        <f>IFERROR(VLOOKUP(Tabla13[[#This Row],[SISMED]],TblDisponibilidad[],8,FALSE), 0)</f>
        <v>0</v>
      </c>
      <c r="E876">
        <f>IFERROR(VLOOKUP(Tabla13[[#This Row],[SISMED]],TblDisponibilidad[],9,FALSE), 0)</f>
        <v>0</v>
      </c>
      <c r="F876">
        <f>IFERROR(VLOOKUP(Tabla13[[#This Row],[SISMED]],TblDisponibilidad[],10,FALSE), 0)</f>
        <v>0</v>
      </c>
      <c r="G876">
        <f>IFERROR(VLOOKUP(Tabla13[[#This Row],[SISMED]],TblDisponibilidad[],11,FALSE), 0)</f>
        <v>0</v>
      </c>
      <c r="H876">
        <f>IFERROR(VLOOKUP(Tabla13[[#This Row],[SISMED]],TblDisponibilidad[],12,FALSE), 0)</f>
        <v>0</v>
      </c>
      <c r="I876">
        <f>IFERROR(VLOOKUP(Tabla13[[#This Row],[SISMED]],TblDisponibilidad[],13,FALSE), 0)</f>
        <v>0</v>
      </c>
      <c r="J876">
        <f>IFERROR(VLOOKUP(Tabla13[[#This Row],[SISMED]],TblDisponibilidad[],14,FALSE), 0)</f>
        <v>0</v>
      </c>
      <c r="K876">
        <f>IFERROR(VLOOKUP(Tabla13[[#This Row],[SISMED]],TblDisponibilidad[],15,FALSE), 0)</f>
        <v>0</v>
      </c>
      <c r="L876">
        <f>IFERROR(VLOOKUP(Tabla13[[#This Row],[SISMED]],TblDisponibilidad[],16,FALSE), 0)</f>
        <v>0</v>
      </c>
      <c r="M876">
        <f>IFERROR(VLOOKUP(Tabla13[[#This Row],[SISMED]],TblDisponibilidad[],17,FALSE), 0)</f>
        <v>0</v>
      </c>
      <c r="N876">
        <f>IFERROR(VLOOKUP(Tabla13[[#This Row],[SISMED]],TblDisponibilidad[],18,FALSE), 0)</f>
        <v>0</v>
      </c>
      <c r="O876">
        <f>IFERROR(VLOOKUP(Tabla13[[#This Row],[SISMED]],TblDisponibilidad[],19,FALSE), 0)</f>
        <v>0</v>
      </c>
      <c r="P876">
        <f>IFERROR(VLOOKUP(Tabla13[[#This Row],[SISMED]],TblDisponibilidad[],20,FALSE), 0)</f>
        <v>0</v>
      </c>
      <c r="Q876">
        <f>IFERROR(VLOOKUP(Tabla13[[#This Row],[SISMED]],TblDisponibilidad[],21,FALSE), 0)</f>
        <v>0</v>
      </c>
      <c r="R876">
        <f>IFERROR(VLOOKUP(Tabla13[[#This Row],[SISMED]],TblDisponibilidad[],22,FALSE), 0)</f>
        <v>0</v>
      </c>
      <c r="S876" s="15">
        <f>IFERROR(VLOOKUP(Tabla13[[#This Row],[SISMED]],TblDisponibilidad[],23,FALSE), 0)</f>
        <v>0</v>
      </c>
    </row>
    <row r="877" spans="1:19" x14ac:dyDescent="0.3">
      <c r="A877" s="15" t="s">
        <v>907</v>
      </c>
      <c r="B877" t="str">
        <f>IFERROR(VLOOKUP(Tabla13[[#This Row],[SISMED]],TblDisponibilidad[],2,FALSE), "")</f>
        <v/>
      </c>
      <c r="C877">
        <f>IFERROR(VLOOKUP(Tabla13[[#This Row],[SISMED]],TblDisponibilidad[],7,FALSE), 0)</f>
        <v>0</v>
      </c>
      <c r="D877">
        <f>IFERROR(VLOOKUP(Tabla13[[#This Row],[SISMED]],TblDisponibilidad[],8,FALSE), 0)</f>
        <v>0</v>
      </c>
      <c r="E877">
        <f>IFERROR(VLOOKUP(Tabla13[[#This Row],[SISMED]],TblDisponibilidad[],9,FALSE), 0)</f>
        <v>0</v>
      </c>
      <c r="F877">
        <f>IFERROR(VLOOKUP(Tabla13[[#This Row],[SISMED]],TblDisponibilidad[],10,FALSE), 0)</f>
        <v>0</v>
      </c>
      <c r="G877">
        <f>IFERROR(VLOOKUP(Tabla13[[#This Row],[SISMED]],TblDisponibilidad[],11,FALSE), 0)</f>
        <v>0</v>
      </c>
      <c r="H877">
        <f>IFERROR(VLOOKUP(Tabla13[[#This Row],[SISMED]],TblDisponibilidad[],12,FALSE), 0)</f>
        <v>0</v>
      </c>
      <c r="I877">
        <f>IFERROR(VLOOKUP(Tabla13[[#This Row],[SISMED]],TblDisponibilidad[],13,FALSE), 0)</f>
        <v>0</v>
      </c>
      <c r="J877">
        <f>IFERROR(VLOOKUP(Tabla13[[#This Row],[SISMED]],TblDisponibilidad[],14,FALSE), 0)</f>
        <v>0</v>
      </c>
      <c r="K877">
        <f>IFERROR(VLOOKUP(Tabla13[[#This Row],[SISMED]],TblDisponibilidad[],15,FALSE), 0)</f>
        <v>0</v>
      </c>
      <c r="L877">
        <f>IFERROR(VLOOKUP(Tabla13[[#This Row],[SISMED]],TblDisponibilidad[],16,FALSE), 0)</f>
        <v>0</v>
      </c>
      <c r="M877">
        <f>IFERROR(VLOOKUP(Tabla13[[#This Row],[SISMED]],TblDisponibilidad[],17,FALSE), 0)</f>
        <v>0</v>
      </c>
      <c r="N877">
        <f>IFERROR(VLOOKUP(Tabla13[[#This Row],[SISMED]],TblDisponibilidad[],18,FALSE), 0)</f>
        <v>0</v>
      </c>
      <c r="O877">
        <f>IFERROR(VLOOKUP(Tabla13[[#This Row],[SISMED]],TblDisponibilidad[],19,FALSE), 0)</f>
        <v>0</v>
      </c>
      <c r="P877">
        <f>IFERROR(VLOOKUP(Tabla13[[#This Row],[SISMED]],TblDisponibilidad[],20,FALSE), 0)</f>
        <v>0</v>
      </c>
      <c r="Q877">
        <f>IFERROR(VLOOKUP(Tabla13[[#This Row],[SISMED]],TblDisponibilidad[],21,FALSE), 0)</f>
        <v>0</v>
      </c>
      <c r="R877">
        <f>IFERROR(VLOOKUP(Tabla13[[#This Row],[SISMED]],TblDisponibilidad[],22,FALSE), 0)</f>
        <v>0</v>
      </c>
      <c r="S877" s="15">
        <f>IFERROR(VLOOKUP(Tabla13[[#This Row],[SISMED]],TblDisponibilidad[],23,FALSE), 0)</f>
        <v>0</v>
      </c>
    </row>
    <row r="878" spans="1:19" x14ac:dyDescent="0.3">
      <c r="A878" s="15" t="s">
        <v>908</v>
      </c>
      <c r="B878" t="str">
        <f>IFERROR(VLOOKUP(Tabla13[[#This Row],[SISMED]],TblDisponibilidad[],2,FALSE), "")</f>
        <v/>
      </c>
      <c r="C878">
        <f>IFERROR(VLOOKUP(Tabla13[[#This Row],[SISMED]],TblDisponibilidad[],7,FALSE), 0)</f>
        <v>0</v>
      </c>
      <c r="D878">
        <f>IFERROR(VLOOKUP(Tabla13[[#This Row],[SISMED]],TblDisponibilidad[],8,FALSE), 0)</f>
        <v>0</v>
      </c>
      <c r="E878">
        <f>IFERROR(VLOOKUP(Tabla13[[#This Row],[SISMED]],TblDisponibilidad[],9,FALSE), 0)</f>
        <v>0</v>
      </c>
      <c r="F878">
        <f>IFERROR(VLOOKUP(Tabla13[[#This Row],[SISMED]],TblDisponibilidad[],10,FALSE), 0)</f>
        <v>0</v>
      </c>
      <c r="G878">
        <f>IFERROR(VLOOKUP(Tabla13[[#This Row],[SISMED]],TblDisponibilidad[],11,FALSE), 0)</f>
        <v>0</v>
      </c>
      <c r="H878">
        <f>IFERROR(VLOOKUP(Tabla13[[#This Row],[SISMED]],TblDisponibilidad[],12,FALSE), 0)</f>
        <v>0</v>
      </c>
      <c r="I878">
        <f>IFERROR(VLOOKUP(Tabla13[[#This Row],[SISMED]],TblDisponibilidad[],13,FALSE), 0)</f>
        <v>0</v>
      </c>
      <c r="J878">
        <f>IFERROR(VLOOKUP(Tabla13[[#This Row],[SISMED]],TblDisponibilidad[],14,FALSE), 0)</f>
        <v>0</v>
      </c>
      <c r="K878">
        <f>IFERROR(VLOOKUP(Tabla13[[#This Row],[SISMED]],TblDisponibilidad[],15,FALSE), 0)</f>
        <v>0</v>
      </c>
      <c r="L878">
        <f>IFERROR(VLOOKUP(Tabla13[[#This Row],[SISMED]],TblDisponibilidad[],16,FALSE), 0)</f>
        <v>0</v>
      </c>
      <c r="M878">
        <f>IFERROR(VLOOKUP(Tabla13[[#This Row],[SISMED]],TblDisponibilidad[],17,FALSE), 0)</f>
        <v>0</v>
      </c>
      <c r="N878">
        <f>IFERROR(VLOOKUP(Tabla13[[#This Row],[SISMED]],TblDisponibilidad[],18,FALSE), 0)</f>
        <v>0</v>
      </c>
      <c r="O878">
        <f>IFERROR(VLOOKUP(Tabla13[[#This Row],[SISMED]],TblDisponibilidad[],19,FALSE), 0)</f>
        <v>0</v>
      </c>
      <c r="P878">
        <f>IFERROR(VLOOKUP(Tabla13[[#This Row],[SISMED]],TblDisponibilidad[],20,FALSE), 0)</f>
        <v>0</v>
      </c>
      <c r="Q878">
        <f>IFERROR(VLOOKUP(Tabla13[[#This Row],[SISMED]],TblDisponibilidad[],21,FALSE), 0)</f>
        <v>0</v>
      </c>
      <c r="R878">
        <f>IFERROR(VLOOKUP(Tabla13[[#This Row],[SISMED]],TblDisponibilidad[],22,FALSE), 0)</f>
        <v>0</v>
      </c>
      <c r="S878" s="15">
        <f>IFERROR(VLOOKUP(Tabla13[[#This Row],[SISMED]],TblDisponibilidad[],23,FALSE), 0)</f>
        <v>0</v>
      </c>
    </row>
    <row r="879" spans="1:19" x14ac:dyDescent="0.3">
      <c r="A879" s="15" t="s">
        <v>909</v>
      </c>
      <c r="B879" t="str">
        <f>IFERROR(VLOOKUP(Tabla13[[#This Row],[SISMED]],TblDisponibilidad[],2,FALSE), "")</f>
        <v/>
      </c>
      <c r="C879">
        <f>IFERROR(VLOOKUP(Tabla13[[#This Row],[SISMED]],TblDisponibilidad[],7,FALSE), 0)</f>
        <v>0</v>
      </c>
      <c r="D879">
        <f>IFERROR(VLOOKUP(Tabla13[[#This Row],[SISMED]],TblDisponibilidad[],8,FALSE), 0)</f>
        <v>0</v>
      </c>
      <c r="E879">
        <f>IFERROR(VLOOKUP(Tabla13[[#This Row],[SISMED]],TblDisponibilidad[],9,FALSE), 0)</f>
        <v>0</v>
      </c>
      <c r="F879">
        <f>IFERROR(VLOOKUP(Tabla13[[#This Row],[SISMED]],TblDisponibilidad[],10,FALSE), 0)</f>
        <v>0</v>
      </c>
      <c r="G879">
        <f>IFERROR(VLOOKUP(Tabla13[[#This Row],[SISMED]],TblDisponibilidad[],11,FALSE), 0)</f>
        <v>0</v>
      </c>
      <c r="H879">
        <f>IFERROR(VLOOKUP(Tabla13[[#This Row],[SISMED]],TblDisponibilidad[],12,FALSE), 0)</f>
        <v>0</v>
      </c>
      <c r="I879">
        <f>IFERROR(VLOOKUP(Tabla13[[#This Row],[SISMED]],TblDisponibilidad[],13,FALSE), 0)</f>
        <v>0</v>
      </c>
      <c r="J879">
        <f>IFERROR(VLOOKUP(Tabla13[[#This Row],[SISMED]],TblDisponibilidad[],14,FALSE), 0)</f>
        <v>0</v>
      </c>
      <c r="K879">
        <f>IFERROR(VLOOKUP(Tabla13[[#This Row],[SISMED]],TblDisponibilidad[],15,FALSE), 0)</f>
        <v>0</v>
      </c>
      <c r="L879">
        <f>IFERROR(VLOOKUP(Tabla13[[#This Row],[SISMED]],TblDisponibilidad[],16,FALSE), 0)</f>
        <v>0</v>
      </c>
      <c r="M879">
        <f>IFERROR(VLOOKUP(Tabla13[[#This Row],[SISMED]],TblDisponibilidad[],17,FALSE), 0)</f>
        <v>0</v>
      </c>
      <c r="N879">
        <f>IFERROR(VLOOKUP(Tabla13[[#This Row],[SISMED]],TblDisponibilidad[],18,FALSE), 0)</f>
        <v>0</v>
      </c>
      <c r="O879">
        <f>IFERROR(VLOOKUP(Tabla13[[#This Row],[SISMED]],TblDisponibilidad[],19,FALSE), 0)</f>
        <v>0</v>
      </c>
      <c r="P879">
        <f>IFERROR(VLOOKUP(Tabla13[[#This Row],[SISMED]],TblDisponibilidad[],20,FALSE), 0)</f>
        <v>0</v>
      </c>
      <c r="Q879">
        <f>IFERROR(VLOOKUP(Tabla13[[#This Row],[SISMED]],TblDisponibilidad[],21,FALSE), 0)</f>
        <v>0</v>
      </c>
      <c r="R879">
        <f>IFERROR(VLOOKUP(Tabla13[[#This Row],[SISMED]],TblDisponibilidad[],22,FALSE), 0)</f>
        <v>0</v>
      </c>
      <c r="S879" s="15">
        <f>IFERROR(VLOOKUP(Tabla13[[#This Row],[SISMED]],TblDisponibilidad[],23,FALSE), 0)</f>
        <v>0</v>
      </c>
    </row>
    <row r="880" spans="1:19" x14ac:dyDescent="0.3">
      <c r="A880" s="15" t="s">
        <v>910</v>
      </c>
      <c r="B880" t="str">
        <f>IFERROR(VLOOKUP(Tabla13[[#This Row],[SISMED]],TblDisponibilidad[],2,FALSE), "")</f>
        <v/>
      </c>
      <c r="C880">
        <f>IFERROR(VLOOKUP(Tabla13[[#This Row],[SISMED]],TblDisponibilidad[],7,FALSE), 0)</f>
        <v>0</v>
      </c>
      <c r="D880">
        <f>IFERROR(VLOOKUP(Tabla13[[#This Row],[SISMED]],TblDisponibilidad[],8,FALSE), 0)</f>
        <v>0</v>
      </c>
      <c r="E880">
        <f>IFERROR(VLOOKUP(Tabla13[[#This Row],[SISMED]],TblDisponibilidad[],9,FALSE), 0)</f>
        <v>0</v>
      </c>
      <c r="F880">
        <f>IFERROR(VLOOKUP(Tabla13[[#This Row],[SISMED]],TblDisponibilidad[],10,FALSE), 0)</f>
        <v>0</v>
      </c>
      <c r="G880">
        <f>IFERROR(VLOOKUP(Tabla13[[#This Row],[SISMED]],TblDisponibilidad[],11,FALSE), 0)</f>
        <v>0</v>
      </c>
      <c r="H880">
        <f>IFERROR(VLOOKUP(Tabla13[[#This Row],[SISMED]],TblDisponibilidad[],12,FALSE), 0)</f>
        <v>0</v>
      </c>
      <c r="I880">
        <f>IFERROR(VLOOKUP(Tabla13[[#This Row],[SISMED]],TblDisponibilidad[],13,FALSE), 0)</f>
        <v>0</v>
      </c>
      <c r="J880">
        <f>IFERROR(VLOOKUP(Tabla13[[#This Row],[SISMED]],TblDisponibilidad[],14,FALSE), 0)</f>
        <v>0</v>
      </c>
      <c r="K880">
        <f>IFERROR(VLOOKUP(Tabla13[[#This Row],[SISMED]],TblDisponibilidad[],15,FALSE), 0)</f>
        <v>0</v>
      </c>
      <c r="L880">
        <f>IFERROR(VLOOKUP(Tabla13[[#This Row],[SISMED]],TblDisponibilidad[],16,FALSE), 0)</f>
        <v>0</v>
      </c>
      <c r="M880">
        <f>IFERROR(VLOOKUP(Tabla13[[#This Row],[SISMED]],TblDisponibilidad[],17,FALSE), 0)</f>
        <v>0</v>
      </c>
      <c r="N880">
        <f>IFERROR(VLOOKUP(Tabla13[[#This Row],[SISMED]],TblDisponibilidad[],18,FALSE), 0)</f>
        <v>0</v>
      </c>
      <c r="O880">
        <f>IFERROR(VLOOKUP(Tabla13[[#This Row],[SISMED]],TblDisponibilidad[],19,FALSE), 0)</f>
        <v>0</v>
      </c>
      <c r="P880">
        <f>IFERROR(VLOOKUP(Tabla13[[#This Row],[SISMED]],TblDisponibilidad[],20,FALSE), 0)</f>
        <v>0</v>
      </c>
      <c r="Q880">
        <f>IFERROR(VLOOKUP(Tabla13[[#This Row],[SISMED]],TblDisponibilidad[],21,FALSE), 0)</f>
        <v>0</v>
      </c>
      <c r="R880">
        <f>IFERROR(VLOOKUP(Tabla13[[#This Row],[SISMED]],TblDisponibilidad[],22,FALSE), 0)</f>
        <v>0</v>
      </c>
      <c r="S880" s="15">
        <f>IFERROR(VLOOKUP(Tabla13[[#This Row],[SISMED]],TblDisponibilidad[],23,FALSE), 0)</f>
        <v>0</v>
      </c>
    </row>
    <row r="881" spans="1:19" x14ac:dyDescent="0.3">
      <c r="A881" s="15" t="s">
        <v>911</v>
      </c>
      <c r="B881" t="str">
        <f>IFERROR(VLOOKUP(Tabla13[[#This Row],[SISMED]],TblDisponibilidad[],2,FALSE), "")</f>
        <v/>
      </c>
      <c r="C881">
        <f>IFERROR(VLOOKUP(Tabla13[[#This Row],[SISMED]],TblDisponibilidad[],7,FALSE), 0)</f>
        <v>0</v>
      </c>
      <c r="D881">
        <f>IFERROR(VLOOKUP(Tabla13[[#This Row],[SISMED]],TblDisponibilidad[],8,FALSE), 0)</f>
        <v>0</v>
      </c>
      <c r="E881">
        <f>IFERROR(VLOOKUP(Tabla13[[#This Row],[SISMED]],TblDisponibilidad[],9,FALSE), 0)</f>
        <v>0</v>
      </c>
      <c r="F881">
        <f>IFERROR(VLOOKUP(Tabla13[[#This Row],[SISMED]],TblDisponibilidad[],10,FALSE), 0)</f>
        <v>0</v>
      </c>
      <c r="G881">
        <f>IFERROR(VLOOKUP(Tabla13[[#This Row],[SISMED]],TblDisponibilidad[],11,FALSE), 0)</f>
        <v>0</v>
      </c>
      <c r="H881">
        <f>IFERROR(VLOOKUP(Tabla13[[#This Row],[SISMED]],TblDisponibilidad[],12,FALSE), 0)</f>
        <v>0</v>
      </c>
      <c r="I881">
        <f>IFERROR(VLOOKUP(Tabla13[[#This Row],[SISMED]],TblDisponibilidad[],13,FALSE), 0)</f>
        <v>0</v>
      </c>
      <c r="J881">
        <f>IFERROR(VLOOKUP(Tabla13[[#This Row],[SISMED]],TblDisponibilidad[],14,FALSE), 0)</f>
        <v>0</v>
      </c>
      <c r="K881">
        <f>IFERROR(VLOOKUP(Tabla13[[#This Row],[SISMED]],TblDisponibilidad[],15,FALSE), 0)</f>
        <v>0</v>
      </c>
      <c r="L881">
        <f>IFERROR(VLOOKUP(Tabla13[[#This Row],[SISMED]],TblDisponibilidad[],16,FALSE), 0)</f>
        <v>0</v>
      </c>
      <c r="M881">
        <f>IFERROR(VLOOKUP(Tabla13[[#This Row],[SISMED]],TblDisponibilidad[],17,FALSE), 0)</f>
        <v>0</v>
      </c>
      <c r="N881">
        <f>IFERROR(VLOOKUP(Tabla13[[#This Row],[SISMED]],TblDisponibilidad[],18,FALSE), 0)</f>
        <v>0</v>
      </c>
      <c r="O881">
        <f>IFERROR(VLOOKUP(Tabla13[[#This Row],[SISMED]],TblDisponibilidad[],19,FALSE), 0)</f>
        <v>0</v>
      </c>
      <c r="P881">
        <f>IFERROR(VLOOKUP(Tabla13[[#This Row],[SISMED]],TblDisponibilidad[],20,FALSE), 0)</f>
        <v>0</v>
      </c>
      <c r="Q881">
        <f>IFERROR(VLOOKUP(Tabla13[[#This Row],[SISMED]],TblDisponibilidad[],21,FALSE), 0)</f>
        <v>0</v>
      </c>
      <c r="R881">
        <f>IFERROR(VLOOKUP(Tabla13[[#This Row],[SISMED]],TblDisponibilidad[],22,FALSE), 0)</f>
        <v>0</v>
      </c>
      <c r="S881" s="15">
        <f>IFERROR(VLOOKUP(Tabla13[[#This Row],[SISMED]],TblDisponibilidad[],23,FALSE), 0)</f>
        <v>0</v>
      </c>
    </row>
    <row r="882" spans="1:19" x14ac:dyDescent="0.3">
      <c r="A882" s="15" t="s">
        <v>912</v>
      </c>
      <c r="B882" t="str">
        <f>IFERROR(VLOOKUP(Tabla13[[#This Row],[SISMED]],TblDisponibilidad[],2,FALSE), "")</f>
        <v/>
      </c>
      <c r="C882">
        <f>IFERROR(VLOOKUP(Tabla13[[#This Row],[SISMED]],TblDisponibilidad[],7,FALSE), 0)</f>
        <v>0</v>
      </c>
      <c r="D882">
        <f>IFERROR(VLOOKUP(Tabla13[[#This Row],[SISMED]],TblDisponibilidad[],8,FALSE), 0)</f>
        <v>0</v>
      </c>
      <c r="E882">
        <f>IFERROR(VLOOKUP(Tabla13[[#This Row],[SISMED]],TblDisponibilidad[],9,FALSE), 0)</f>
        <v>0</v>
      </c>
      <c r="F882">
        <f>IFERROR(VLOOKUP(Tabla13[[#This Row],[SISMED]],TblDisponibilidad[],10,FALSE), 0)</f>
        <v>0</v>
      </c>
      <c r="G882">
        <f>IFERROR(VLOOKUP(Tabla13[[#This Row],[SISMED]],TblDisponibilidad[],11,FALSE), 0)</f>
        <v>0</v>
      </c>
      <c r="H882">
        <f>IFERROR(VLOOKUP(Tabla13[[#This Row],[SISMED]],TblDisponibilidad[],12,FALSE), 0)</f>
        <v>0</v>
      </c>
      <c r="I882">
        <f>IFERROR(VLOOKUP(Tabla13[[#This Row],[SISMED]],TblDisponibilidad[],13,FALSE), 0)</f>
        <v>0</v>
      </c>
      <c r="J882">
        <f>IFERROR(VLOOKUP(Tabla13[[#This Row],[SISMED]],TblDisponibilidad[],14,FALSE), 0)</f>
        <v>0</v>
      </c>
      <c r="K882">
        <f>IFERROR(VLOOKUP(Tabla13[[#This Row],[SISMED]],TblDisponibilidad[],15,FALSE), 0)</f>
        <v>0</v>
      </c>
      <c r="L882">
        <f>IFERROR(VLOOKUP(Tabla13[[#This Row],[SISMED]],TblDisponibilidad[],16,FALSE), 0)</f>
        <v>0</v>
      </c>
      <c r="M882">
        <f>IFERROR(VLOOKUP(Tabla13[[#This Row],[SISMED]],TblDisponibilidad[],17,FALSE), 0)</f>
        <v>0</v>
      </c>
      <c r="N882">
        <f>IFERROR(VLOOKUP(Tabla13[[#This Row],[SISMED]],TblDisponibilidad[],18,FALSE), 0)</f>
        <v>0</v>
      </c>
      <c r="O882">
        <f>IFERROR(VLOOKUP(Tabla13[[#This Row],[SISMED]],TblDisponibilidad[],19,FALSE), 0)</f>
        <v>0</v>
      </c>
      <c r="P882">
        <f>IFERROR(VLOOKUP(Tabla13[[#This Row],[SISMED]],TblDisponibilidad[],20,FALSE), 0)</f>
        <v>0</v>
      </c>
      <c r="Q882">
        <f>IFERROR(VLOOKUP(Tabla13[[#This Row],[SISMED]],TblDisponibilidad[],21,FALSE), 0)</f>
        <v>0</v>
      </c>
      <c r="R882">
        <f>IFERROR(VLOOKUP(Tabla13[[#This Row],[SISMED]],TblDisponibilidad[],22,FALSE), 0)</f>
        <v>0</v>
      </c>
      <c r="S882" s="15">
        <f>IFERROR(VLOOKUP(Tabla13[[#This Row],[SISMED]],TblDisponibilidad[],23,FALSE), 0)</f>
        <v>0</v>
      </c>
    </row>
    <row r="883" spans="1:19" x14ac:dyDescent="0.3">
      <c r="A883" s="15" t="s">
        <v>913</v>
      </c>
      <c r="B883" t="str">
        <f>IFERROR(VLOOKUP(Tabla13[[#This Row],[SISMED]],TblDisponibilidad[],2,FALSE), "")</f>
        <v/>
      </c>
      <c r="C883">
        <f>IFERROR(VLOOKUP(Tabla13[[#This Row],[SISMED]],TblDisponibilidad[],7,FALSE), 0)</f>
        <v>0</v>
      </c>
      <c r="D883">
        <f>IFERROR(VLOOKUP(Tabla13[[#This Row],[SISMED]],TblDisponibilidad[],8,FALSE), 0)</f>
        <v>0</v>
      </c>
      <c r="E883">
        <f>IFERROR(VLOOKUP(Tabla13[[#This Row],[SISMED]],TblDisponibilidad[],9,FALSE), 0)</f>
        <v>0</v>
      </c>
      <c r="F883">
        <f>IFERROR(VLOOKUP(Tabla13[[#This Row],[SISMED]],TblDisponibilidad[],10,FALSE), 0)</f>
        <v>0</v>
      </c>
      <c r="G883">
        <f>IFERROR(VLOOKUP(Tabla13[[#This Row],[SISMED]],TblDisponibilidad[],11,FALSE), 0)</f>
        <v>0</v>
      </c>
      <c r="H883">
        <f>IFERROR(VLOOKUP(Tabla13[[#This Row],[SISMED]],TblDisponibilidad[],12,FALSE), 0)</f>
        <v>0</v>
      </c>
      <c r="I883">
        <f>IFERROR(VLOOKUP(Tabla13[[#This Row],[SISMED]],TblDisponibilidad[],13,FALSE), 0)</f>
        <v>0</v>
      </c>
      <c r="J883">
        <f>IFERROR(VLOOKUP(Tabla13[[#This Row],[SISMED]],TblDisponibilidad[],14,FALSE), 0)</f>
        <v>0</v>
      </c>
      <c r="K883">
        <f>IFERROR(VLOOKUP(Tabla13[[#This Row],[SISMED]],TblDisponibilidad[],15,FALSE), 0)</f>
        <v>0</v>
      </c>
      <c r="L883">
        <f>IFERROR(VLOOKUP(Tabla13[[#This Row],[SISMED]],TblDisponibilidad[],16,FALSE), 0)</f>
        <v>0</v>
      </c>
      <c r="M883">
        <f>IFERROR(VLOOKUP(Tabla13[[#This Row],[SISMED]],TblDisponibilidad[],17,FALSE), 0)</f>
        <v>0</v>
      </c>
      <c r="N883">
        <f>IFERROR(VLOOKUP(Tabla13[[#This Row],[SISMED]],TblDisponibilidad[],18,FALSE), 0)</f>
        <v>0</v>
      </c>
      <c r="O883">
        <f>IFERROR(VLOOKUP(Tabla13[[#This Row],[SISMED]],TblDisponibilidad[],19,FALSE), 0)</f>
        <v>0</v>
      </c>
      <c r="P883">
        <f>IFERROR(VLOOKUP(Tabla13[[#This Row],[SISMED]],TblDisponibilidad[],20,FALSE), 0)</f>
        <v>0</v>
      </c>
      <c r="Q883">
        <f>IFERROR(VLOOKUP(Tabla13[[#This Row],[SISMED]],TblDisponibilidad[],21,FALSE), 0)</f>
        <v>0</v>
      </c>
      <c r="R883">
        <f>IFERROR(VLOOKUP(Tabla13[[#This Row],[SISMED]],TblDisponibilidad[],22,FALSE), 0)</f>
        <v>0</v>
      </c>
      <c r="S883" s="15">
        <f>IFERROR(VLOOKUP(Tabla13[[#This Row],[SISMED]],TblDisponibilidad[],23,FALSE), 0)</f>
        <v>0</v>
      </c>
    </row>
    <row r="884" spans="1:19" x14ac:dyDescent="0.3">
      <c r="A884" s="15" t="s">
        <v>914</v>
      </c>
      <c r="B884" t="str">
        <f>IFERROR(VLOOKUP(Tabla13[[#This Row],[SISMED]],TblDisponibilidad[],2,FALSE), "")</f>
        <v/>
      </c>
      <c r="C884">
        <f>IFERROR(VLOOKUP(Tabla13[[#This Row],[SISMED]],TblDisponibilidad[],7,FALSE), 0)</f>
        <v>0</v>
      </c>
      <c r="D884">
        <f>IFERROR(VLOOKUP(Tabla13[[#This Row],[SISMED]],TblDisponibilidad[],8,FALSE), 0)</f>
        <v>0</v>
      </c>
      <c r="E884">
        <f>IFERROR(VLOOKUP(Tabla13[[#This Row],[SISMED]],TblDisponibilidad[],9,FALSE), 0)</f>
        <v>0</v>
      </c>
      <c r="F884">
        <f>IFERROR(VLOOKUP(Tabla13[[#This Row],[SISMED]],TblDisponibilidad[],10,FALSE), 0)</f>
        <v>0</v>
      </c>
      <c r="G884">
        <f>IFERROR(VLOOKUP(Tabla13[[#This Row],[SISMED]],TblDisponibilidad[],11,FALSE), 0)</f>
        <v>0</v>
      </c>
      <c r="H884">
        <f>IFERROR(VLOOKUP(Tabla13[[#This Row],[SISMED]],TblDisponibilidad[],12,FALSE), 0)</f>
        <v>0</v>
      </c>
      <c r="I884">
        <f>IFERROR(VLOOKUP(Tabla13[[#This Row],[SISMED]],TblDisponibilidad[],13,FALSE), 0)</f>
        <v>0</v>
      </c>
      <c r="J884">
        <f>IFERROR(VLOOKUP(Tabla13[[#This Row],[SISMED]],TblDisponibilidad[],14,FALSE), 0)</f>
        <v>0</v>
      </c>
      <c r="K884">
        <f>IFERROR(VLOOKUP(Tabla13[[#This Row],[SISMED]],TblDisponibilidad[],15,FALSE), 0)</f>
        <v>0</v>
      </c>
      <c r="L884">
        <f>IFERROR(VLOOKUP(Tabla13[[#This Row],[SISMED]],TblDisponibilidad[],16,FALSE), 0)</f>
        <v>0</v>
      </c>
      <c r="M884">
        <f>IFERROR(VLOOKUP(Tabla13[[#This Row],[SISMED]],TblDisponibilidad[],17,FALSE), 0)</f>
        <v>0</v>
      </c>
      <c r="N884">
        <f>IFERROR(VLOOKUP(Tabla13[[#This Row],[SISMED]],TblDisponibilidad[],18,FALSE), 0)</f>
        <v>0</v>
      </c>
      <c r="O884">
        <f>IFERROR(VLOOKUP(Tabla13[[#This Row],[SISMED]],TblDisponibilidad[],19,FALSE), 0)</f>
        <v>0</v>
      </c>
      <c r="P884">
        <f>IFERROR(VLOOKUP(Tabla13[[#This Row],[SISMED]],TblDisponibilidad[],20,FALSE), 0)</f>
        <v>0</v>
      </c>
      <c r="Q884">
        <f>IFERROR(VLOOKUP(Tabla13[[#This Row],[SISMED]],TblDisponibilidad[],21,FALSE), 0)</f>
        <v>0</v>
      </c>
      <c r="R884">
        <f>IFERROR(VLOOKUP(Tabla13[[#This Row],[SISMED]],TblDisponibilidad[],22,FALSE), 0)</f>
        <v>0</v>
      </c>
      <c r="S884" s="15">
        <f>IFERROR(VLOOKUP(Tabla13[[#This Row],[SISMED]],TblDisponibilidad[],23,FALSE), 0)</f>
        <v>0</v>
      </c>
    </row>
    <row r="885" spans="1:19" x14ac:dyDescent="0.3">
      <c r="A885" s="15" t="s">
        <v>915</v>
      </c>
      <c r="B885" t="str">
        <f>IFERROR(VLOOKUP(Tabla13[[#This Row],[SISMED]],TblDisponibilidad[],2,FALSE), "")</f>
        <v/>
      </c>
      <c r="C885">
        <f>IFERROR(VLOOKUP(Tabla13[[#This Row],[SISMED]],TblDisponibilidad[],7,FALSE), 0)</f>
        <v>0</v>
      </c>
      <c r="D885">
        <f>IFERROR(VLOOKUP(Tabla13[[#This Row],[SISMED]],TblDisponibilidad[],8,FALSE), 0)</f>
        <v>0</v>
      </c>
      <c r="E885">
        <f>IFERROR(VLOOKUP(Tabla13[[#This Row],[SISMED]],TblDisponibilidad[],9,FALSE), 0)</f>
        <v>0</v>
      </c>
      <c r="F885">
        <f>IFERROR(VLOOKUP(Tabla13[[#This Row],[SISMED]],TblDisponibilidad[],10,FALSE), 0)</f>
        <v>0</v>
      </c>
      <c r="G885">
        <f>IFERROR(VLOOKUP(Tabla13[[#This Row],[SISMED]],TblDisponibilidad[],11,FALSE), 0)</f>
        <v>0</v>
      </c>
      <c r="H885">
        <f>IFERROR(VLOOKUP(Tabla13[[#This Row],[SISMED]],TblDisponibilidad[],12,FALSE), 0)</f>
        <v>0</v>
      </c>
      <c r="I885">
        <f>IFERROR(VLOOKUP(Tabla13[[#This Row],[SISMED]],TblDisponibilidad[],13,FALSE), 0)</f>
        <v>0</v>
      </c>
      <c r="J885">
        <f>IFERROR(VLOOKUP(Tabla13[[#This Row],[SISMED]],TblDisponibilidad[],14,FALSE), 0)</f>
        <v>0</v>
      </c>
      <c r="K885">
        <f>IFERROR(VLOOKUP(Tabla13[[#This Row],[SISMED]],TblDisponibilidad[],15,FALSE), 0)</f>
        <v>0</v>
      </c>
      <c r="L885">
        <f>IFERROR(VLOOKUP(Tabla13[[#This Row],[SISMED]],TblDisponibilidad[],16,FALSE), 0)</f>
        <v>0</v>
      </c>
      <c r="M885">
        <f>IFERROR(VLOOKUP(Tabla13[[#This Row],[SISMED]],TblDisponibilidad[],17,FALSE), 0)</f>
        <v>0</v>
      </c>
      <c r="N885">
        <f>IFERROR(VLOOKUP(Tabla13[[#This Row],[SISMED]],TblDisponibilidad[],18,FALSE), 0)</f>
        <v>0</v>
      </c>
      <c r="O885">
        <f>IFERROR(VLOOKUP(Tabla13[[#This Row],[SISMED]],TblDisponibilidad[],19,FALSE), 0)</f>
        <v>0</v>
      </c>
      <c r="P885">
        <f>IFERROR(VLOOKUP(Tabla13[[#This Row],[SISMED]],TblDisponibilidad[],20,FALSE), 0)</f>
        <v>0</v>
      </c>
      <c r="Q885">
        <f>IFERROR(VLOOKUP(Tabla13[[#This Row],[SISMED]],TblDisponibilidad[],21,FALSE), 0)</f>
        <v>0</v>
      </c>
      <c r="R885">
        <f>IFERROR(VLOOKUP(Tabla13[[#This Row],[SISMED]],TblDisponibilidad[],22,FALSE), 0)</f>
        <v>0</v>
      </c>
      <c r="S885" s="15">
        <f>IFERROR(VLOOKUP(Tabla13[[#This Row],[SISMED]],TblDisponibilidad[],23,FALSE), 0)</f>
        <v>0</v>
      </c>
    </row>
    <row r="886" spans="1:19" x14ac:dyDescent="0.3">
      <c r="A886" s="15" t="s">
        <v>916</v>
      </c>
      <c r="B886" t="str">
        <f>IFERROR(VLOOKUP(Tabla13[[#This Row],[SISMED]],TblDisponibilidad[],2,FALSE), "")</f>
        <v/>
      </c>
      <c r="C886">
        <f>IFERROR(VLOOKUP(Tabla13[[#This Row],[SISMED]],TblDisponibilidad[],7,FALSE), 0)</f>
        <v>0</v>
      </c>
      <c r="D886">
        <f>IFERROR(VLOOKUP(Tabla13[[#This Row],[SISMED]],TblDisponibilidad[],8,FALSE), 0)</f>
        <v>0</v>
      </c>
      <c r="E886">
        <f>IFERROR(VLOOKUP(Tabla13[[#This Row],[SISMED]],TblDisponibilidad[],9,FALSE), 0)</f>
        <v>0</v>
      </c>
      <c r="F886">
        <f>IFERROR(VLOOKUP(Tabla13[[#This Row],[SISMED]],TblDisponibilidad[],10,FALSE), 0)</f>
        <v>0</v>
      </c>
      <c r="G886">
        <f>IFERROR(VLOOKUP(Tabla13[[#This Row],[SISMED]],TblDisponibilidad[],11,FALSE), 0)</f>
        <v>0</v>
      </c>
      <c r="H886">
        <f>IFERROR(VLOOKUP(Tabla13[[#This Row],[SISMED]],TblDisponibilidad[],12,FALSE), 0)</f>
        <v>0</v>
      </c>
      <c r="I886">
        <f>IFERROR(VLOOKUP(Tabla13[[#This Row],[SISMED]],TblDisponibilidad[],13,FALSE), 0)</f>
        <v>0</v>
      </c>
      <c r="J886">
        <f>IFERROR(VLOOKUP(Tabla13[[#This Row],[SISMED]],TblDisponibilidad[],14,FALSE), 0)</f>
        <v>0</v>
      </c>
      <c r="K886">
        <f>IFERROR(VLOOKUP(Tabla13[[#This Row],[SISMED]],TblDisponibilidad[],15,FALSE), 0)</f>
        <v>0</v>
      </c>
      <c r="L886">
        <f>IFERROR(VLOOKUP(Tabla13[[#This Row],[SISMED]],TblDisponibilidad[],16,FALSE), 0)</f>
        <v>0</v>
      </c>
      <c r="M886">
        <f>IFERROR(VLOOKUP(Tabla13[[#This Row],[SISMED]],TblDisponibilidad[],17,FALSE), 0)</f>
        <v>0</v>
      </c>
      <c r="N886">
        <f>IFERROR(VLOOKUP(Tabla13[[#This Row],[SISMED]],TblDisponibilidad[],18,FALSE), 0)</f>
        <v>0</v>
      </c>
      <c r="O886">
        <f>IFERROR(VLOOKUP(Tabla13[[#This Row],[SISMED]],TblDisponibilidad[],19,FALSE), 0)</f>
        <v>0</v>
      </c>
      <c r="P886">
        <f>IFERROR(VLOOKUP(Tabla13[[#This Row],[SISMED]],TblDisponibilidad[],20,FALSE), 0)</f>
        <v>0</v>
      </c>
      <c r="Q886">
        <f>IFERROR(VLOOKUP(Tabla13[[#This Row],[SISMED]],TblDisponibilidad[],21,FALSE), 0)</f>
        <v>0</v>
      </c>
      <c r="R886">
        <f>IFERROR(VLOOKUP(Tabla13[[#This Row],[SISMED]],TblDisponibilidad[],22,FALSE), 0)</f>
        <v>0</v>
      </c>
      <c r="S886" s="15">
        <f>IFERROR(VLOOKUP(Tabla13[[#This Row],[SISMED]],TblDisponibilidad[],23,FALSE), 0)</f>
        <v>0</v>
      </c>
    </row>
    <row r="887" spans="1:19" x14ac:dyDescent="0.3">
      <c r="A887" s="15" t="s">
        <v>917</v>
      </c>
      <c r="B887" t="str">
        <f>IFERROR(VLOOKUP(Tabla13[[#This Row],[SISMED]],TblDisponibilidad[],2,FALSE), "")</f>
        <v/>
      </c>
      <c r="C887">
        <f>IFERROR(VLOOKUP(Tabla13[[#This Row],[SISMED]],TblDisponibilidad[],7,FALSE), 0)</f>
        <v>0</v>
      </c>
      <c r="D887">
        <f>IFERROR(VLOOKUP(Tabla13[[#This Row],[SISMED]],TblDisponibilidad[],8,FALSE), 0)</f>
        <v>0</v>
      </c>
      <c r="E887">
        <f>IFERROR(VLOOKUP(Tabla13[[#This Row],[SISMED]],TblDisponibilidad[],9,FALSE), 0)</f>
        <v>0</v>
      </c>
      <c r="F887">
        <f>IFERROR(VLOOKUP(Tabla13[[#This Row],[SISMED]],TblDisponibilidad[],10,FALSE), 0)</f>
        <v>0</v>
      </c>
      <c r="G887">
        <f>IFERROR(VLOOKUP(Tabla13[[#This Row],[SISMED]],TblDisponibilidad[],11,FALSE), 0)</f>
        <v>0</v>
      </c>
      <c r="H887">
        <f>IFERROR(VLOOKUP(Tabla13[[#This Row],[SISMED]],TblDisponibilidad[],12,FALSE), 0)</f>
        <v>0</v>
      </c>
      <c r="I887">
        <f>IFERROR(VLOOKUP(Tabla13[[#This Row],[SISMED]],TblDisponibilidad[],13,FALSE), 0)</f>
        <v>0</v>
      </c>
      <c r="J887">
        <f>IFERROR(VLOOKUP(Tabla13[[#This Row],[SISMED]],TblDisponibilidad[],14,FALSE), 0)</f>
        <v>0</v>
      </c>
      <c r="K887">
        <f>IFERROR(VLOOKUP(Tabla13[[#This Row],[SISMED]],TblDisponibilidad[],15,FALSE), 0)</f>
        <v>0</v>
      </c>
      <c r="L887">
        <f>IFERROR(VLOOKUP(Tabla13[[#This Row],[SISMED]],TblDisponibilidad[],16,FALSE), 0)</f>
        <v>0</v>
      </c>
      <c r="M887">
        <f>IFERROR(VLOOKUP(Tabla13[[#This Row],[SISMED]],TblDisponibilidad[],17,FALSE), 0)</f>
        <v>0</v>
      </c>
      <c r="N887">
        <f>IFERROR(VLOOKUP(Tabla13[[#This Row],[SISMED]],TblDisponibilidad[],18,FALSE), 0)</f>
        <v>0</v>
      </c>
      <c r="O887">
        <f>IFERROR(VLOOKUP(Tabla13[[#This Row],[SISMED]],TblDisponibilidad[],19,FALSE), 0)</f>
        <v>0</v>
      </c>
      <c r="P887">
        <f>IFERROR(VLOOKUP(Tabla13[[#This Row],[SISMED]],TblDisponibilidad[],20,FALSE), 0)</f>
        <v>0</v>
      </c>
      <c r="Q887">
        <f>IFERROR(VLOOKUP(Tabla13[[#This Row],[SISMED]],TblDisponibilidad[],21,FALSE), 0)</f>
        <v>0</v>
      </c>
      <c r="R887">
        <f>IFERROR(VLOOKUP(Tabla13[[#This Row],[SISMED]],TblDisponibilidad[],22,FALSE), 0)</f>
        <v>0</v>
      </c>
      <c r="S887" s="15">
        <f>IFERROR(VLOOKUP(Tabla13[[#This Row],[SISMED]],TblDisponibilidad[],23,FALSE), 0)</f>
        <v>0</v>
      </c>
    </row>
    <row r="888" spans="1:19" x14ac:dyDescent="0.3">
      <c r="A888" s="15" t="s">
        <v>918</v>
      </c>
      <c r="B888" t="str">
        <f>IFERROR(VLOOKUP(Tabla13[[#This Row],[SISMED]],TblDisponibilidad[],2,FALSE), "")</f>
        <v/>
      </c>
      <c r="C888">
        <f>IFERROR(VLOOKUP(Tabla13[[#This Row],[SISMED]],TblDisponibilidad[],7,FALSE), 0)</f>
        <v>0</v>
      </c>
      <c r="D888">
        <f>IFERROR(VLOOKUP(Tabla13[[#This Row],[SISMED]],TblDisponibilidad[],8,FALSE), 0)</f>
        <v>0</v>
      </c>
      <c r="E888">
        <f>IFERROR(VLOOKUP(Tabla13[[#This Row],[SISMED]],TblDisponibilidad[],9,FALSE), 0)</f>
        <v>0</v>
      </c>
      <c r="F888">
        <f>IFERROR(VLOOKUP(Tabla13[[#This Row],[SISMED]],TblDisponibilidad[],10,FALSE), 0)</f>
        <v>0</v>
      </c>
      <c r="G888">
        <f>IFERROR(VLOOKUP(Tabla13[[#This Row],[SISMED]],TblDisponibilidad[],11,FALSE), 0)</f>
        <v>0</v>
      </c>
      <c r="H888">
        <f>IFERROR(VLOOKUP(Tabla13[[#This Row],[SISMED]],TblDisponibilidad[],12,FALSE), 0)</f>
        <v>0</v>
      </c>
      <c r="I888">
        <f>IFERROR(VLOOKUP(Tabla13[[#This Row],[SISMED]],TblDisponibilidad[],13,FALSE), 0)</f>
        <v>0</v>
      </c>
      <c r="J888">
        <f>IFERROR(VLOOKUP(Tabla13[[#This Row],[SISMED]],TblDisponibilidad[],14,FALSE), 0)</f>
        <v>0</v>
      </c>
      <c r="K888">
        <f>IFERROR(VLOOKUP(Tabla13[[#This Row],[SISMED]],TblDisponibilidad[],15,FALSE), 0)</f>
        <v>0</v>
      </c>
      <c r="L888">
        <f>IFERROR(VLOOKUP(Tabla13[[#This Row],[SISMED]],TblDisponibilidad[],16,FALSE), 0)</f>
        <v>0</v>
      </c>
      <c r="M888">
        <f>IFERROR(VLOOKUP(Tabla13[[#This Row],[SISMED]],TblDisponibilidad[],17,FALSE), 0)</f>
        <v>0</v>
      </c>
      <c r="N888">
        <f>IFERROR(VLOOKUP(Tabla13[[#This Row],[SISMED]],TblDisponibilidad[],18,FALSE), 0)</f>
        <v>0</v>
      </c>
      <c r="O888">
        <f>IFERROR(VLOOKUP(Tabla13[[#This Row],[SISMED]],TblDisponibilidad[],19,FALSE), 0)</f>
        <v>0</v>
      </c>
      <c r="P888">
        <f>IFERROR(VLOOKUP(Tabla13[[#This Row],[SISMED]],TblDisponibilidad[],20,FALSE), 0)</f>
        <v>0</v>
      </c>
      <c r="Q888">
        <f>IFERROR(VLOOKUP(Tabla13[[#This Row],[SISMED]],TblDisponibilidad[],21,FALSE), 0)</f>
        <v>0</v>
      </c>
      <c r="R888">
        <f>IFERROR(VLOOKUP(Tabla13[[#This Row],[SISMED]],TblDisponibilidad[],22,FALSE), 0)</f>
        <v>0</v>
      </c>
      <c r="S888" s="15">
        <f>IFERROR(VLOOKUP(Tabla13[[#This Row],[SISMED]],TblDisponibilidad[],23,FALSE), 0)</f>
        <v>0</v>
      </c>
    </row>
    <row r="889" spans="1:19" x14ac:dyDescent="0.3">
      <c r="A889" s="15" t="s">
        <v>919</v>
      </c>
      <c r="B889" t="str">
        <f>IFERROR(VLOOKUP(Tabla13[[#This Row],[SISMED]],TblDisponibilidad[],2,FALSE), "")</f>
        <v/>
      </c>
      <c r="C889">
        <f>IFERROR(VLOOKUP(Tabla13[[#This Row],[SISMED]],TblDisponibilidad[],7,FALSE), 0)</f>
        <v>0</v>
      </c>
      <c r="D889">
        <f>IFERROR(VLOOKUP(Tabla13[[#This Row],[SISMED]],TblDisponibilidad[],8,FALSE), 0)</f>
        <v>0</v>
      </c>
      <c r="E889">
        <f>IFERROR(VLOOKUP(Tabla13[[#This Row],[SISMED]],TblDisponibilidad[],9,FALSE), 0)</f>
        <v>0</v>
      </c>
      <c r="F889">
        <f>IFERROR(VLOOKUP(Tabla13[[#This Row],[SISMED]],TblDisponibilidad[],10,FALSE), 0)</f>
        <v>0</v>
      </c>
      <c r="G889">
        <f>IFERROR(VLOOKUP(Tabla13[[#This Row],[SISMED]],TblDisponibilidad[],11,FALSE), 0)</f>
        <v>0</v>
      </c>
      <c r="H889">
        <f>IFERROR(VLOOKUP(Tabla13[[#This Row],[SISMED]],TblDisponibilidad[],12,FALSE), 0)</f>
        <v>0</v>
      </c>
      <c r="I889">
        <f>IFERROR(VLOOKUP(Tabla13[[#This Row],[SISMED]],TblDisponibilidad[],13,FALSE), 0)</f>
        <v>0</v>
      </c>
      <c r="J889">
        <f>IFERROR(VLOOKUP(Tabla13[[#This Row],[SISMED]],TblDisponibilidad[],14,FALSE), 0)</f>
        <v>0</v>
      </c>
      <c r="K889">
        <f>IFERROR(VLOOKUP(Tabla13[[#This Row],[SISMED]],TblDisponibilidad[],15,FALSE), 0)</f>
        <v>0</v>
      </c>
      <c r="L889">
        <f>IFERROR(VLOOKUP(Tabla13[[#This Row],[SISMED]],TblDisponibilidad[],16,FALSE), 0)</f>
        <v>0</v>
      </c>
      <c r="M889">
        <f>IFERROR(VLOOKUP(Tabla13[[#This Row],[SISMED]],TblDisponibilidad[],17,FALSE), 0)</f>
        <v>0</v>
      </c>
      <c r="N889">
        <f>IFERROR(VLOOKUP(Tabla13[[#This Row],[SISMED]],TblDisponibilidad[],18,FALSE), 0)</f>
        <v>0</v>
      </c>
      <c r="O889">
        <f>IFERROR(VLOOKUP(Tabla13[[#This Row],[SISMED]],TblDisponibilidad[],19,FALSE), 0)</f>
        <v>0</v>
      </c>
      <c r="P889">
        <f>IFERROR(VLOOKUP(Tabla13[[#This Row],[SISMED]],TblDisponibilidad[],20,FALSE), 0)</f>
        <v>0</v>
      </c>
      <c r="Q889">
        <f>IFERROR(VLOOKUP(Tabla13[[#This Row],[SISMED]],TblDisponibilidad[],21,FALSE), 0)</f>
        <v>0</v>
      </c>
      <c r="R889">
        <f>IFERROR(VLOOKUP(Tabla13[[#This Row],[SISMED]],TblDisponibilidad[],22,FALSE), 0)</f>
        <v>0</v>
      </c>
      <c r="S889" s="15">
        <f>IFERROR(VLOOKUP(Tabla13[[#This Row],[SISMED]],TblDisponibilidad[],23,FALSE), 0)</f>
        <v>0</v>
      </c>
    </row>
    <row r="890" spans="1:19" x14ac:dyDescent="0.3">
      <c r="A890" s="15" t="s">
        <v>920</v>
      </c>
      <c r="B890" t="str">
        <f>IFERROR(VLOOKUP(Tabla13[[#This Row],[SISMED]],TblDisponibilidad[],2,FALSE), "")</f>
        <v/>
      </c>
      <c r="C890">
        <f>IFERROR(VLOOKUP(Tabla13[[#This Row],[SISMED]],TblDisponibilidad[],7,FALSE), 0)</f>
        <v>0</v>
      </c>
      <c r="D890">
        <f>IFERROR(VLOOKUP(Tabla13[[#This Row],[SISMED]],TblDisponibilidad[],8,FALSE), 0)</f>
        <v>0</v>
      </c>
      <c r="E890">
        <f>IFERROR(VLOOKUP(Tabla13[[#This Row],[SISMED]],TblDisponibilidad[],9,FALSE), 0)</f>
        <v>0</v>
      </c>
      <c r="F890">
        <f>IFERROR(VLOOKUP(Tabla13[[#This Row],[SISMED]],TblDisponibilidad[],10,FALSE), 0)</f>
        <v>0</v>
      </c>
      <c r="G890">
        <f>IFERROR(VLOOKUP(Tabla13[[#This Row],[SISMED]],TblDisponibilidad[],11,FALSE), 0)</f>
        <v>0</v>
      </c>
      <c r="H890">
        <f>IFERROR(VLOOKUP(Tabla13[[#This Row],[SISMED]],TblDisponibilidad[],12,FALSE), 0)</f>
        <v>0</v>
      </c>
      <c r="I890">
        <f>IFERROR(VLOOKUP(Tabla13[[#This Row],[SISMED]],TblDisponibilidad[],13,FALSE), 0)</f>
        <v>0</v>
      </c>
      <c r="J890">
        <f>IFERROR(VLOOKUP(Tabla13[[#This Row],[SISMED]],TblDisponibilidad[],14,FALSE), 0)</f>
        <v>0</v>
      </c>
      <c r="K890">
        <f>IFERROR(VLOOKUP(Tabla13[[#This Row],[SISMED]],TblDisponibilidad[],15,FALSE), 0)</f>
        <v>0</v>
      </c>
      <c r="L890">
        <f>IFERROR(VLOOKUP(Tabla13[[#This Row],[SISMED]],TblDisponibilidad[],16,FALSE), 0)</f>
        <v>0</v>
      </c>
      <c r="M890">
        <f>IFERROR(VLOOKUP(Tabla13[[#This Row],[SISMED]],TblDisponibilidad[],17,FALSE), 0)</f>
        <v>0</v>
      </c>
      <c r="N890">
        <f>IFERROR(VLOOKUP(Tabla13[[#This Row],[SISMED]],TblDisponibilidad[],18,FALSE), 0)</f>
        <v>0</v>
      </c>
      <c r="O890">
        <f>IFERROR(VLOOKUP(Tabla13[[#This Row],[SISMED]],TblDisponibilidad[],19,FALSE), 0)</f>
        <v>0</v>
      </c>
      <c r="P890">
        <f>IFERROR(VLOOKUP(Tabla13[[#This Row],[SISMED]],TblDisponibilidad[],20,FALSE), 0)</f>
        <v>0</v>
      </c>
      <c r="Q890">
        <f>IFERROR(VLOOKUP(Tabla13[[#This Row],[SISMED]],TblDisponibilidad[],21,FALSE), 0)</f>
        <v>0</v>
      </c>
      <c r="R890">
        <f>IFERROR(VLOOKUP(Tabla13[[#This Row],[SISMED]],TblDisponibilidad[],22,FALSE), 0)</f>
        <v>0</v>
      </c>
      <c r="S890" s="15">
        <f>IFERROR(VLOOKUP(Tabla13[[#This Row],[SISMED]],TblDisponibilidad[],23,FALSE), 0)</f>
        <v>0</v>
      </c>
    </row>
    <row r="891" spans="1:19" x14ac:dyDescent="0.3">
      <c r="A891" s="15" t="s">
        <v>921</v>
      </c>
      <c r="B891" t="str">
        <f>IFERROR(VLOOKUP(Tabla13[[#This Row],[SISMED]],TblDisponibilidad[],2,FALSE), "")</f>
        <v/>
      </c>
      <c r="C891">
        <f>IFERROR(VLOOKUP(Tabla13[[#This Row],[SISMED]],TblDisponibilidad[],7,FALSE), 0)</f>
        <v>0</v>
      </c>
      <c r="D891">
        <f>IFERROR(VLOOKUP(Tabla13[[#This Row],[SISMED]],TblDisponibilidad[],8,FALSE), 0)</f>
        <v>0</v>
      </c>
      <c r="E891">
        <f>IFERROR(VLOOKUP(Tabla13[[#This Row],[SISMED]],TblDisponibilidad[],9,FALSE), 0)</f>
        <v>0</v>
      </c>
      <c r="F891">
        <f>IFERROR(VLOOKUP(Tabla13[[#This Row],[SISMED]],TblDisponibilidad[],10,FALSE), 0)</f>
        <v>0</v>
      </c>
      <c r="G891">
        <f>IFERROR(VLOOKUP(Tabla13[[#This Row],[SISMED]],TblDisponibilidad[],11,FALSE), 0)</f>
        <v>0</v>
      </c>
      <c r="H891">
        <f>IFERROR(VLOOKUP(Tabla13[[#This Row],[SISMED]],TblDisponibilidad[],12,FALSE), 0)</f>
        <v>0</v>
      </c>
      <c r="I891">
        <f>IFERROR(VLOOKUP(Tabla13[[#This Row],[SISMED]],TblDisponibilidad[],13,FALSE), 0)</f>
        <v>0</v>
      </c>
      <c r="J891">
        <f>IFERROR(VLOOKUP(Tabla13[[#This Row],[SISMED]],TblDisponibilidad[],14,FALSE), 0)</f>
        <v>0</v>
      </c>
      <c r="K891">
        <f>IFERROR(VLOOKUP(Tabla13[[#This Row],[SISMED]],TblDisponibilidad[],15,FALSE), 0)</f>
        <v>0</v>
      </c>
      <c r="L891">
        <f>IFERROR(VLOOKUP(Tabla13[[#This Row],[SISMED]],TblDisponibilidad[],16,FALSE), 0)</f>
        <v>0</v>
      </c>
      <c r="M891">
        <f>IFERROR(VLOOKUP(Tabla13[[#This Row],[SISMED]],TblDisponibilidad[],17,FALSE), 0)</f>
        <v>0</v>
      </c>
      <c r="N891">
        <f>IFERROR(VLOOKUP(Tabla13[[#This Row],[SISMED]],TblDisponibilidad[],18,FALSE), 0)</f>
        <v>0</v>
      </c>
      <c r="O891">
        <f>IFERROR(VLOOKUP(Tabla13[[#This Row],[SISMED]],TblDisponibilidad[],19,FALSE), 0)</f>
        <v>0</v>
      </c>
      <c r="P891">
        <f>IFERROR(VLOOKUP(Tabla13[[#This Row],[SISMED]],TblDisponibilidad[],20,FALSE), 0)</f>
        <v>0</v>
      </c>
      <c r="Q891">
        <f>IFERROR(VLOOKUP(Tabla13[[#This Row],[SISMED]],TblDisponibilidad[],21,FALSE), 0)</f>
        <v>0</v>
      </c>
      <c r="R891">
        <f>IFERROR(VLOOKUP(Tabla13[[#This Row],[SISMED]],TblDisponibilidad[],22,FALSE), 0)</f>
        <v>0</v>
      </c>
      <c r="S891" s="15">
        <f>IFERROR(VLOOKUP(Tabla13[[#This Row],[SISMED]],TblDisponibilidad[],23,FALSE), 0)</f>
        <v>0</v>
      </c>
    </row>
    <row r="892" spans="1:19" x14ac:dyDescent="0.3">
      <c r="A892" s="15" t="s">
        <v>922</v>
      </c>
      <c r="B892" t="str">
        <f>IFERROR(VLOOKUP(Tabla13[[#This Row],[SISMED]],TblDisponibilidad[],2,FALSE), "")</f>
        <v/>
      </c>
      <c r="C892">
        <f>IFERROR(VLOOKUP(Tabla13[[#This Row],[SISMED]],TblDisponibilidad[],7,FALSE), 0)</f>
        <v>0</v>
      </c>
      <c r="D892">
        <f>IFERROR(VLOOKUP(Tabla13[[#This Row],[SISMED]],TblDisponibilidad[],8,FALSE), 0)</f>
        <v>0</v>
      </c>
      <c r="E892">
        <f>IFERROR(VLOOKUP(Tabla13[[#This Row],[SISMED]],TblDisponibilidad[],9,FALSE), 0)</f>
        <v>0</v>
      </c>
      <c r="F892">
        <f>IFERROR(VLOOKUP(Tabla13[[#This Row],[SISMED]],TblDisponibilidad[],10,FALSE), 0)</f>
        <v>0</v>
      </c>
      <c r="G892">
        <f>IFERROR(VLOOKUP(Tabla13[[#This Row],[SISMED]],TblDisponibilidad[],11,FALSE), 0)</f>
        <v>0</v>
      </c>
      <c r="H892">
        <f>IFERROR(VLOOKUP(Tabla13[[#This Row],[SISMED]],TblDisponibilidad[],12,FALSE), 0)</f>
        <v>0</v>
      </c>
      <c r="I892">
        <f>IFERROR(VLOOKUP(Tabla13[[#This Row],[SISMED]],TblDisponibilidad[],13,FALSE), 0)</f>
        <v>0</v>
      </c>
      <c r="J892">
        <f>IFERROR(VLOOKUP(Tabla13[[#This Row],[SISMED]],TblDisponibilidad[],14,FALSE), 0)</f>
        <v>0</v>
      </c>
      <c r="K892">
        <f>IFERROR(VLOOKUP(Tabla13[[#This Row],[SISMED]],TblDisponibilidad[],15,FALSE), 0)</f>
        <v>0</v>
      </c>
      <c r="L892">
        <f>IFERROR(VLOOKUP(Tabla13[[#This Row],[SISMED]],TblDisponibilidad[],16,FALSE), 0)</f>
        <v>0</v>
      </c>
      <c r="M892">
        <f>IFERROR(VLOOKUP(Tabla13[[#This Row],[SISMED]],TblDisponibilidad[],17,FALSE), 0)</f>
        <v>0</v>
      </c>
      <c r="N892">
        <f>IFERROR(VLOOKUP(Tabla13[[#This Row],[SISMED]],TblDisponibilidad[],18,FALSE), 0)</f>
        <v>0</v>
      </c>
      <c r="O892">
        <f>IFERROR(VLOOKUP(Tabla13[[#This Row],[SISMED]],TblDisponibilidad[],19,FALSE), 0)</f>
        <v>0</v>
      </c>
      <c r="P892">
        <f>IFERROR(VLOOKUP(Tabla13[[#This Row],[SISMED]],TblDisponibilidad[],20,FALSE), 0)</f>
        <v>0</v>
      </c>
      <c r="Q892">
        <f>IFERROR(VLOOKUP(Tabla13[[#This Row],[SISMED]],TblDisponibilidad[],21,FALSE), 0)</f>
        <v>0</v>
      </c>
      <c r="R892">
        <f>IFERROR(VLOOKUP(Tabla13[[#This Row],[SISMED]],TblDisponibilidad[],22,FALSE), 0)</f>
        <v>0</v>
      </c>
      <c r="S892" s="15">
        <f>IFERROR(VLOOKUP(Tabla13[[#This Row],[SISMED]],TblDisponibilidad[],23,FALSE), 0)</f>
        <v>0</v>
      </c>
    </row>
    <row r="893" spans="1:19" x14ac:dyDescent="0.3">
      <c r="A893" s="15" t="s">
        <v>923</v>
      </c>
      <c r="B893" t="str">
        <f>IFERROR(VLOOKUP(Tabla13[[#This Row],[SISMED]],TblDisponibilidad[],2,FALSE), "")</f>
        <v/>
      </c>
      <c r="C893">
        <f>IFERROR(VLOOKUP(Tabla13[[#This Row],[SISMED]],TblDisponibilidad[],7,FALSE), 0)</f>
        <v>0</v>
      </c>
      <c r="D893">
        <f>IFERROR(VLOOKUP(Tabla13[[#This Row],[SISMED]],TblDisponibilidad[],8,FALSE), 0)</f>
        <v>0</v>
      </c>
      <c r="E893">
        <f>IFERROR(VLOOKUP(Tabla13[[#This Row],[SISMED]],TblDisponibilidad[],9,FALSE), 0)</f>
        <v>0</v>
      </c>
      <c r="F893">
        <f>IFERROR(VLOOKUP(Tabla13[[#This Row],[SISMED]],TblDisponibilidad[],10,FALSE), 0)</f>
        <v>0</v>
      </c>
      <c r="G893">
        <f>IFERROR(VLOOKUP(Tabla13[[#This Row],[SISMED]],TblDisponibilidad[],11,FALSE), 0)</f>
        <v>0</v>
      </c>
      <c r="H893">
        <f>IFERROR(VLOOKUP(Tabla13[[#This Row],[SISMED]],TblDisponibilidad[],12,FALSE), 0)</f>
        <v>0</v>
      </c>
      <c r="I893">
        <f>IFERROR(VLOOKUP(Tabla13[[#This Row],[SISMED]],TblDisponibilidad[],13,FALSE), 0)</f>
        <v>0</v>
      </c>
      <c r="J893">
        <f>IFERROR(VLOOKUP(Tabla13[[#This Row],[SISMED]],TblDisponibilidad[],14,FALSE), 0)</f>
        <v>0</v>
      </c>
      <c r="K893">
        <f>IFERROR(VLOOKUP(Tabla13[[#This Row],[SISMED]],TblDisponibilidad[],15,FALSE), 0)</f>
        <v>0</v>
      </c>
      <c r="L893">
        <f>IFERROR(VLOOKUP(Tabla13[[#This Row],[SISMED]],TblDisponibilidad[],16,FALSE), 0)</f>
        <v>0</v>
      </c>
      <c r="M893">
        <f>IFERROR(VLOOKUP(Tabla13[[#This Row],[SISMED]],TblDisponibilidad[],17,FALSE), 0)</f>
        <v>0</v>
      </c>
      <c r="N893">
        <f>IFERROR(VLOOKUP(Tabla13[[#This Row],[SISMED]],TblDisponibilidad[],18,FALSE), 0)</f>
        <v>0</v>
      </c>
      <c r="O893">
        <f>IFERROR(VLOOKUP(Tabla13[[#This Row],[SISMED]],TblDisponibilidad[],19,FALSE), 0)</f>
        <v>0</v>
      </c>
      <c r="P893">
        <f>IFERROR(VLOOKUP(Tabla13[[#This Row],[SISMED]],TblDisponibilidad[],20,FALSE), 0)</f>
        <v>0</v>
      </c>
      <c r="Q893">
        <f>IFERROR(VLOOKUP(Tabla13[[#This Row],[SISMED]],TblDisponibilidad[],21,FALSE), 0)</f>
        <v>0</v>
      </c>
      <c r="R893">
        <f>IFERROR(VLOOKUP(Tabla13[[#This Row],[SISMED]],TblDisponibilidad[],22,FALSE), 0)</f>
        <v>0</v>
      </c>
      <c r="S893" s="15">
        <f>IFERROR(VLOOKUP(Tabla13[[#This Row],[SISMED]],TblDisponibilidad[],23,FALSE), 0)</f>
        <v>0</v>
      </c>
    </row>
    <row r="894" spans="1:19" x14ac:dyDescent="0.3">
      <c r="A894" s="15" t="s">
        <v>924</v>
      </c>
      <c r="B894" t="str">
        <f>IFERROR(VLOOKUP(Tabla13[[#This Row],[SISMED]],TblDisponibilidad[],2,FALSE), "")</f>
        <v/>
      </c>
      <c r="C894">
        <f>IFERROR(VLOOKUP(Tabla13[[#This Row],[SISMED]],TblDisponibilidad[],7,FALSE), 0)</f>
        <v>0</v>
      </c>
      <c r="D894">
        <f>IFERROR(VLOOKUP(Tabla13[[#This Row],[SISMED]],TblDisponibilidad[],8,FALSE), 0)</f>
        <v>0</v>
      </c>
      <c r="E894">
        <f>IFERROR(VLOOKUP(Tabla13[[#This Row],[SISMED]],TblDisponibilidad[],9,FALSE), 0)</f>
        <v>0</v>
      </c>
      <c r="F894">
        <f>IFERROR(VLOOKUP(Tabla13[[#This Row],[SISMED]],TblDisponibilidad[],10,FALSE), 0)</f>
        <v>0</v>
      </c>
      <c r="G894">
        <f>IFERROR(VLOOKUP(Tabla13[[#This Row],[SISMED]],TblDisponibilidad[],11,FALSE), 0)</f>
        <v>0</v>
      </c>
      <c r="H894">
        <f>IFERROR(VLOOKUP(Tabla13[[#This Row],[SISMED]],TblDisponibilidad[],12,FALSE), 0)</f>
        <v>0</v>
      </c>
      <c r="I894">
        <f>IFERROR(VLOOKUP(Tabla13[[#This Row],[SISMED]],TblDisponibilidad[],13,FALSE), 0)</f>
        <v>0</v>
      </c>
      <c r="J894">
        <f>IFERROR(VLOOKUP(Tabla13[[#This Row],[SISMED]],TblDisponibilidad[],14,FALSE), 0)</f>
        <v>0</v>
      </c>
      <c r="K894">
        <f>IFERROR(VLOOKUP(Tabla13[[#This Row],[SISMED]],TblDisponibilidad[],15,FALSE), 0)</f>
        <v>0</v>
      </c>
      <c r="L894">
        <f>IFERROR(VLOOKUP(Tabla13[[#This Row],[SISMED]],TblDisponibilidad[],16,FALSE), 0)</f>
        <v>0</v>
      </c>
      <c r="M894">
        <f>IFERROR(VLOOKUP(Tabla13[[#This Row],[SISMED]],TblDisponibilidad[],17,FALSE), 0)</f>
        <v>0</v>
      </c>
      <c r="N894">
        <f>IFERROR(VLOOKUP(Tabla13[[#This Row],[SISMED]],TblDisponibilidad[],18,FALSE), 0)</f>
        <v>0</v>
      </c>
      <c r="O894">
        <f>IFERROR(VLOOKUP(Tabla13[[#This Row],[SISMED]],TblDisponibilidad[],19,FALSE), 0)</f>
        <v>0</v>
      </c>
      <c r="P894">
        <f>IFERROR(VLOOKUP(Tabla13[[#This Row],[SISMED]],TblDisponibilidad[],20,FALSE), 0)</f>
        <v>0</v>
      </c>
      <c r="Q894">
        <f>IFERROR(VLOOKUP(Tabla13[[#This Row],[SISMED]],TblDisponibilidad[],21,FALSE), 0)</f>
        <v>0</v>
      </c>
      <c r="R894">
        <f>IFERROR(VLOOKUP(Tabla13[[#This Row],[SISMED]],TblDisponibilidad[],22,FALSE), 0)</f>
        <v>0</v>
      </c>
      <c r="S894" s="15">
        <f>IFERROR(VLOOKUP(Tabla13[[#This Row],[SISMED]],TblDisponibilidad[],23,FALSE), 0)</f>
        <v>0</v>
      </c>
    </row>
    <row r="895" spans="1:19" x14ac:dyDescent="0.3">
      <c r="A895" s="15" t="s">
        <v>925</v>
      </c>
      <c r="B895" t="str">
        <f>IFERROR(VLOOKUP(Tabla13[[#This Row],[SISMED]],TblDisponibilidad[],2,FALSE), "")</f>
        <v/>
      </c>
      <c r="C895">
        <f>IFERROR(VLOOKUP(Tabla13[[#This Row],[SISMED]],TblDisponibilidad[],7,FALSE), 0)</f>
        <v>0</v>
      </c>
      <c r="D895">
        <f>IFERROR(VLOOKUP(Tabla13[[#This Row],[SISMED]],TblDisponibilidad[],8,FALSE), 0)</f>
        <v>0</v>
      </c>
      <c r="E895">
        <f>IFERROR(VLOOKUP(Tabla13[[#This Row],[SISMED]],TblDisponibilidad[],9,FALSE), 0)</f>
        <v>0</v>
      </c>
      <c r="F895">
        <f>IFERROR(VLOOKUP(Tabla13[[#This Row],[SISMED]],TblDisponibilidad[],10,FALSE), 0)</f>
        <v>0</v>
      </c>
      <c r="G895">
        <f>IFERROR(VLOOKUP(Tabla13[[#This Row],[SISMED]],TblDisponibilidad[],11,FALSE), 0)</f>
        <v>0</v>
      </c>
      <c r="H895">
        <f>IFERROR(VLOOKUP(Tabla13[[#This Row],[SISMED]],TblDisponibilidad[],12,FALSE), 0)</f>
        <v>0</v>
      </c>
      <c r="I895">
        <f>IFERROR(VLOOKUP(Tabla13[[#This Row],[SISMED]],TblDisponibilidad[],13,FALSE), 0)</f>
        <v>0</v>
      </c>
      <c r="J895">
        <f>IFERROR(VLOOKUP(Tabla13[[#This Row],[SISMED]],TblDisponibilidad[],14,FALSE), 0)</f>
        <v>0</v>
      </c>
      <c r="K895">
        <f>IFERROR(VLOOKUP(Tabla13[[#This Row],[SISMED]],TblDisponibilidad[],15,FALSE), 0)</f>
        <v>0</v>
      </c>
      <c r="L895">
        <f>IFERROR(VLOOKUP(Tabla13[[#This Row],[SISMED]],TblDisponibilidad[],16,FALSE), 0)</f>
        <v>0</v>
      </c>
      <c r="M895">
        <f>IFERROR(VLOOKUP(Tabla13[[#This Row],[SISMED]],TblDisponibilidad[],17,FALSE), 0)</f>
        <v>0</v>
      </c>
      <c r="N895">
        <f>IFERROR(VLOOKUP(Tabla13[[#This Row],[SISMED]],TblDisponibilidad[],18,FALSE), 0)</f>
        <v>0</v>
      </c>
      <c r="O895">
        <f>IFERROR(VLOOKUP(Tabla13[[#This Row],[SISMED]],TblDisponibilidad[],19,FALSE), 0)</f>
        <v>0</v>
      </c>
      <c r="P895">
        <f>IFERROR(VLOOKUP(Tabla13[[#This Row],[SISMED]],TblDisponibilidad[],20,FALSE), 0)</f>
        <v>0</v>
      </c>
      <c r="Q895">
        <f>IFERROR(VLOOKUP(Tabla13[[#This Row],[SISMED]],TblDisponibilidad[],21,FALSE), 0)</f>
        <v>0</v>
      </c>
      <c r="R895">
        <f>IFERROR(VLOOKUP(Tabla13[[#This Row],[SISMED]],TblDisponibilidad[],22,FALSE), 0)</f>
        <v>0</v>
      </c>
      <c r="S895" s="15">
        <f>IFERROR(VLOOKUP(Tabla13[[#This Row],[SISMED]],TblDisponibilidad[],23,FALSE), 0)</f>
        <v>0</v>
      </c>
    </row>
  </sheetData>
  <conditionalFormatting sqref="S3:S895">
    <cfRule type="cellIs" dxfId="23" priority="1" operator="equal">
      <formula>"SOBRE STOCK"</formula>
    </cfRule>
    <cfRule type="cellIs" dxfId="22" priority="2" operator="equal">
      <formula>"DESABASTECIDO"</formula>
    </cfRule>
    <cfRule type="cellIs" dxfId="21" priority="3" operator="equal">
      <formula>"SUB STOCK"</formula>
    </cfRule>
    <cfRule type="cellIs" dxfId="20" priority="4" operator="equal">
      <formula>"NORMO STOCK"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2"/>
  <sheetViews>
    <sheetView topLeftCell="F1" workbookViewId="0">
      <selection activeCell="F2" sqref="F2"/>
    </sheetView>
  </sheetViews>
  <sheetFormatPr baseColWidth="10" defaultRowHeight="14.4" x14ac:dyDescent="0.3"/>
  <cols>
    <col min="1" max="1" width="17.5546875" customWidth="1"/>
    <col min="2" max="2" width="75.88671875" customWidth="1"/>
    <col min="3" max="3" width="38" customWidth="1"/>
    <col min="4" max="4" width="14.88671875" customWidth="1"/>
    <col min="5" max="5" width="22.44140625" customWidth="1"/>
    <col min="6" max="6" width="15.44140625" customWidth="1"/>
    <col min="7" max="359" width="6" customWidth="1"/>
    <col min="360" max="360" width="12.5546875" bestFit="1" customWidth="1"/>
  </cols>
  <sheetData>
    <row r="1" spans="1:6" ht="15" thickBot="1" x14ac:dyDescent="0.35">
      <c r="A1" s="18" t="s">
        <v>4</v>
      </c>
      <c r="B1" t="s">
        <v>1849</v>
      </c>
    </row>
    <row r="2" spans="1:6" ht="31.8" thickBot="1" x14ac:dyDescent="0.35">
      <c r="A2" s="67" t="s">
        <v>1850</v>
      </c>
      <c r="B2" s="68"/>
      <c r="C2" s="68"/>
      <c r="D2" s="69"/>
      <c r="E2" s="19" t="s">
        <v>1851</v>
      </c>
      <c r="F2" s="20">
        <f>((COUNTIF(F4:F600,"NORMO STOCK"))+(COUNTIF(F4:F600,"SOBRE STOCK")))/(((COUNTIF(F4:F600,"&lt;&gt;solid"))-(COUNTIF(F4:F600,"=No Rota"))-(COUNTBLANK(F4:F600))))</f>
        <v>0.64133738601823709</v>
      </c>
    </row>
    <row r="3" spans="1:6" x14ac:dyDescent="0.3">
      <c r="A3" s="18" t="s">
        <v>1847</v>
      </c>
      <c r="B3" s="18" t="s">
        <v>0</v>
      </c>
      <c r="C3" s="18" t="s">
        <v>1</v>
      </c>
      <c r="D3" s="18" t="s">
        <v>2</v>
      </c>
      <c r="E3" s="18" t="s">
        <v>3</v>
      </c>
      <c r="F3" s="18" t="s">
        <v>8</v>
      </c>
    </row>
    <row r="4" spans="1:6" x14ac:dyDescent="0.3">
      <c r="A4" t="s">
        <v>33</v>
      </c>
      <c r="B4" t="s">
        <v>937</v>
      </c>
      <c r="C4" t="s">
        <v>938</v>
      </c>
      <c r="D4" t="s">
        <v>929</v>
      </c>
      <c r="E4" t="s">
        <v>930</v>
      </c>
      <c r="F4" t="s">
        <v>931</v>
      </c>
    </row>
    <row r="5" spans="1:6" x14ac:dyDescent="0.3">
      <c r="A5" t="s">
        <v>36</v>
      </c>
      <c r="B5" t="s">
        <v>932</v>
      </c>
      <c r="C5" t="s">
        <v>933</v>
      </c>
      <c r="D5" t="s">
        <v>934</v>
      </c>
      <c r="E5" t="s">
        <v>935</v>
      </c>
      <c r="F5" t="s">
        <v>936</v>
      </c>
    </row>
    <row r="6" spans="1:6" x14ac:dyDescent="0.3">
      <c r="A6" t="s">
        <v>37</v>
      </c>
      <c r="B6" t="s">
        <v>927</v>
      </c>
      <c r="C6" t="s">
        <v>928</v>
      </c>
      <c r="D6" t="s">
        <v>929</v>
      </c>
      <c r="E6" t="s">
        <v>930</v>
      </c>
      <c r="F6" t="s">
        <v>931</v>
      </c>
    </row>
    <row r="7" spans="1:6" x14ac:dyDescent="0.3">
      <c r="A7" t="s">
        <v>38</v>
      </c>
      <c r="B7" t="s">
        <v>939</v>
      </c>
      <c r="C7" t="s">
        <v>940</v>
      </c>
      <c r="D7" t="s">
        <v>929</v>
      </c>
      <c r="E7" t="s">
        <v>930</v>
      </c>
      <c r="F7" t="s">
        <v>931</v>
      </c>
    </row>
    <row r="8" spans="1:6" x14ac:dyDescent="0.3">
      <c r="A8" t="s">
        <v>39</v>
      </c>
      <c r="B8" t="s">
        <v>944</v>
      </c>
      <c r="C8" t="s">
        <v>945</v>
      </c>
      <c r="D8" t="s">
        <v>934</v>
      </c>
      <c r="E8" t="s">
        <v>935</v>
      </c>
      <c r="F8" t="s">
        <v>946</v>
      </c>
    </row>
    <row r="9" spans="1:6" x14ac:dyDescent="0.3">
      <c r="A9" t="s">
        <v>40</v>
      </c>
      <c r="B9" t="s">
        <v>944</v>
      </c>
      <c r="C9" t="s">
        <v>933</v>
      </c>
      <c r="D9" t="s">
        <v>929</v>
      </c>
      <c r="E9" t="s">
        <v>930</v>
      </c>
      <c r="F9" t="s">
        <v>946</v>
      </c>
    </row>
    <row r="10" spans="1:6" x14ac:dyDescent="0.3">
      <c r="A10" t="s">
        <v>845</v>
      </c>
      <c r="B10" t="s">
        <v>947</v>
      </c>
      <c r="C10" t="s">
        <v>933</v>
      </c>
      <c r="D10" t="s">
        <v>929</v>
      </c>
      <c r="E10" t="s">
        <v>930</v>
      </c>
      <c r="F10" t="s">
        <v>936</v>
      </c>
    </row>
    <row r="11" spans="1:6" x14ac:dyDescent="0.3">
      <c r="A11" t="s">
        <v>41</v>
      </c>
      <c r="B11" t="s">
        <v>952</v>
      </c>
      <c r="C11" t="s">
        <v>953</v>
      </c>
      <c r="D11" t="s">
        <v>934</v>
      </c>
      <c r="E11" t="s">
        <v>954</v>
      </c>
      <c r="F11" t="s">
        <v>943</v>
      </c>
    </row>
    <row r="12" spans="1:6" x14ac:dyDescent="0.3">
      <c r="A12" t="s">
        <v>42</v>
      </c>
      <c r="B12" t="s">
        <v>974</v>
      </c>
      <c r="C12" t="s">
        <v>975</v>
      </c>
      <c r="D12" t="s">
        <v>976</v>
      </c>
      <c r="E12" t="s">
        <v>977</v>
      </c>
      <c r="F12" t="s">
        <v>958</v>
      </c>
    </row>
    <row r="13" spans="1:6" x14ac:dyDescent="0.3">
      <c r="A13" t="s">
        <v>43</v>
      </c>
      <c r="B13" t="s">
        <v>974</v>
      </c>
      <c r="C13" t="s">
        <v>928</v>
      </c>
      <c r="D13" t="s">
        <v>929</v>
      </c>
      <c r="E13" t="s">
        <v>930</v>
      </c>
      <c r="F13" t="s">
        <v>943</v>
      </c>
    </row>
    <row r="14" spans="1:6" x14ac:dyDescent="0.3">
      <c r="A14" t="s">
        <v>44</v>
      </c>
      <c r="B14" t="s">
        <v>978</v>
      </c>
      <c r="C14" t="s">
        <v>979</v>
      </c>
      <c r="D14" t="s">
        <v>934</v>
      </c>
      <c r="E14" t="s">
        <v>980</v>
      </c>
      <c r="F14" t="s">
        <v>946</v>
      </c>
    </row>
    <row r="15" spans="1:6" x14ac:dyDescent="0.3">
      <c r="A15" t="s">
        <v>45</v>
      </c>
      <c r="B15" t="s">
        <v>1000</v>
      </c>
      <c r="C15" t="s">
        <v>1001</v>
      </c>
      <c r="D15" t="s">
        <v>929</v>
      </c>
      <c r="E15" t="s">
        <v>930</v>
      </c>
      <c r="F15" t="s">
        <v>946</v>
      </c>
    </row>
    <row r="16" spans="1:6" x14ac:dyDescent="0.3">
      <c r="A16" t="s">
        <v>46</v>
      </c>
      <c r="B16" t="s">
        <v>1002</v>
      </c>
      <c r="C16" t="s">
        <v>1003</v>
      </c>
      <c r="D16" t="s">
        <v>934</v>
      </c>
      <c r="E16" t="s">
        <v>1004</v>
      </c>
      <c r="F16" t="s">
        <v>946</v>
      </c>
    </row>
    <row r="17" spans="1:6" x14ac:dyDescent="0.3">
      <c r="A17" t="s">
        <v>47</v>
      </c>
      <c r="B17" t="s">
        <v>1008</v>
      </c>
      <c r="C17" t="s">
        <v>1009</v>
      </c>
      <c r="D17" t="s">
        <v>934</v>
      </c>
      <c r="E17" t="s">
        <v>935</v>
      </c>
      <c r="F17" t="s">
        <v>943</v>
      </c>
    </row>
    <row r="18" spans="1:6" x14ac:dyDescent="0.3">
      <c r="A18" t="s">
        <v>49</v>
      </c>
      <c r="B18" t="s">
        <v>1010</v>
      </c>
      <c r="C18" t="s">
        <v>1012</v>
      </c>
      <c r="D18" t="s">
        <v>934</v>
      </c>
      <c r="E18" t="s">
        <v>954</v>
      </c>
      <c r="F18" t="s">
        <v>946</v>
      </c>
    </row>
    <row r="19" spans="1:6" x14ac:dyDescent="0.3">
      <c r="A19" t="s">
        <v>50</v>
      </c>
      <c r="B19" t="s">
        <v>1010</v>
      </c>
      <c r="C19" t="s">
        <v>1011</v>
      </c>
      <c r="D19" t="s">
        <v>934</v>
      </c>
      <c r="E19" t="s">
        <v>954</v>
      </c>
      <c r="F19" t="s">
        <v>943</v>
      </c>
    </row>
    <row r="20" spans="1:6" x14ac:dyDescent="0.3">
      <c r="A20" t="s">
        <v>1013</v>
      </c>
      <c r="B20" t="s">
        <v>1014</v>
      </c>
      <c r="C20" t="s">
        <v>1015</v>
      </c>
      <c r="D20" t="s">
        <v>934</v>
      </c>
      <c r="E20" t="s">
        <v>1016</v>
      </c>
      <c r="F20" t="s">
        <v>946</v>
      </c>
    </row>
    <row r="21" spans="1:6" x14ac:dyDescent="0.3">
      <c r="A21" t="s">
        <v>831</v>
      </c>
      <c r="B21" t="s">
        <v>1014</v>
      </c>
      <c r="C21" t="s">
        <v>1015</v>
      </c>
      <c r="D21" t="s">
        <v>934</v>
      </c>
      <c r="E21" t="s">
        <v>997</v>
      </c>
      <c r="F21" t="s">
        <v>946</v>
      </c>
    </row>
    <row r="22" spans="1:6" x14ac:dyDescent="0.3">
      <c r="A22" t="s">
        <v>51</v>
      </c>
      <c r="B22" t="s">
        <v>1017</v>
      </c>
      <c r="C22" t="s">
        <v>1018</v>
      </c>
      <c r="D22" t="s">
        <v>934</v>
      </c>
      <c r="E22" t="s">
        <v>935</v>
      </c>
      <c r="F22" t="s">
        <v>936</v>
      </c>
    </row>
    <row r="23" spans="1:6" x14ac:dyDescent="0.3">
      <c r="A23" t="s">
        <v>52</v>
      </c>
      <c r="B23" t="s">
        <v>1019</v>
      </c>
      <c r="C23" t="s">
        <v>1012</v>
      </c>
      <c r="D23" t="s">
        <v>934</v>
      </c>
      <c r="E23" t="s">
        <v>1020</v>
      </c>
      <c r="F23" t="s">
        <v>931</v>
      </c>
    </row>
    <row r="24" spans="1:6" x14ac:dyDescent="0.3">
      <c r="A24" t="s">
        <v>53</v>
      </c>
      <c r="B24" t="s">
        <v>1021</v>
      </c>
      <c r="C24" t="s">
        <v>1022</v>
      </c>
      <c r="D24" t="s">
        <v>929</v>
      </c>
      <c r="E24" t="s">
        <v>930</v>
      </c>
      <c r="F24" t="s">
        <v>946</v>
      </c>
    </row>
    <row r="25" spans="1:6" x14ac:dyDescent="0.3">
      <c r="A25" t="s">
        <v>54</v>
      </c>
      <c r="B25" t="s">
        <v>1021</v>
      </c>
      <c r="C25" t="s">
        <v>1023</v>
      </c>
      <c r="D25" t="s">
        <v>929</v>
      </c>
      <c r="E25" t="s">
        <v>930</v>
      </c>
      <c r="F25" t="s">
        <v>931</v>
      </c>
    </row>
    <row r="26" spans="1:6" x14ac:dyDescent="0.3">
      <c r="A26" t="s">
        <v>55</v>
      </c>
      <c r="B26" t="s">
        <v>1029</v>
      </c>
      <c r="C26" t="s">
        <v>1030</v>
      </c>
      <c r="D26" t="s">
        <v>976</v>
      </c>
      <c r="E26" t="s">
        <v>1027</v>
      </c>
      <c r="F26" t="s">
        <v>946</v>
      </c>
    </row>
    <row r="27" spans="1:6" x14ac:dyDescent="0.3">
      <c r="A27" t="s">
        <v>56</v>
      </c>
      <c r="B27" t="s">
        <v>1029</v>
      </c>
      <c r="C27" t="s">
        <v>1031</v>
      </c>
      <c r="D27" t="s">
        <v>929</v>
      </c>
      <c r="E27" t="s">
        <v>930</v>
      </c>
      <c r="F27" t="s">
        <v>946</v>
      </c>
    </row>
    <row r="28" spans="1:6" x14ac:dyDescent="0.3">
      <c r="A28" t="s">
        <v>693</v>
      </c>
      <c r="B28" t="s">
        <v>1024</v>
      </c>
      <c r="C28" t="s">
        <v>1025</v>
      </c>
      <c r="D28" t="s">
        <v>976</v>
      </c>
      <c r="E28" t="s">
        <v>1026</v>
      </c>
      <c r="F28" t="s">
        <v>943</v>
      </c>
    </row>
    <row r="29" spans="1:6" x14ac:dyDescent="0.3">
      <c r="A29" t="s">
        <v>57</v>
      </c>
      <c r="B29" t="s">
        <v>1024</v>
      </c>
      <c r="C29" t="s">
        <v>1025</v>
      </c>
      <c r="D29" t="s">
        <v>976</v>
      </c>
      <c r="E29" t="s">
        <v>1027</v>
      </c>
      <c r="F29" t="s">
        <v>943</v>
      </c>
    </row>
    <row r="30" spans="1:6" x14ac:dyDescent="0.3">
      <c r="A30" t="s">
        <v>58</v>
      </c>
      <c r="B30" t="s">
        <v>1024</v>
      </c>
      <c r="C30" t="s">
        <v>1028</v>
      </c>
      <c r="D30" t="s">
        <v>929</v>
      </c>
      <c r="E30" t="s">
        <v>930</v>
      </c>
      <c r="F30" t="s">
        <v>943</v>
      </c>
    </row>
    <row r="31" spans="1:6" x14ac:dyDescent="0.3">
      <c r="A31" t="s">
        <v>59</v>
      </c>
      <c r="B31" t="s">
        <v>1032</v>
      </c>
      <c r="C31" t="s">
        <v>1033</v>
      </c>
      <c r="D31" t="s">
        <v>934</v>
      </c>
      <c r="E31" t="s">
        <v>930</v>
      </c>
      <c r="F31" t="s">
        <v>943</v>
      </c>
    </row>
    <row r="32" spans="1:6" x14ac:dyDescent="0.3">
      <c r="A32" t="s">
        <v>60</v>
      </c>
      <c r="B32" t="s">
        <v>1034</v>
      </c>
      <c r="C32" t="s">
        <v>945</v>
      </c>
      <c r="D32" t="s">
        <v>934</v>
      </c>
      <c r="E32" t="s">
        <v>930</v>
      </c>
      <c r="F32" t="s">
        <v>943</v>
      </c>
    </row>
    <row r="33" spans="1:6" x14ac:dyDescent="0.3">
      <c r="A33" t="s">
        <v>61</v>
      </c>
      <c r="B33" t="s">
        <v>1053</v>
      </c>
      <c r="C33" t="s">
        <v>938</v>
      </c>
      <c r="D33" t="s">
        <v>929</v>
      </c>
      <c r="E33" t="s">
        <v>930</v>
      </c>
      <c r="F33" t="s">
        <v>943</v>
      </c>
    </row>
    <row r="34" spans="1:6" x14ac:dyDescent="0.3">
      <c r="A34" t="s">
        <v>1054</v>
      </c>
      <c r="B34" t="s">
        <v>1055</v>
      </c>
      <c r="C34" t="s">
        <v>1056</v>
      </c>
      <c r="D34" t="s">
        <v>929</v>
      </c>
      <c r="E34" t="s">
        <v>930</v>
      </c>
      <c r="F34" t="s">
        <v>931</v>
      </c>
    </row>
    <row r="35" spans="1:6" x14ac:dyDescent="0.3">
      <c r="A35" t="s">
        <v>1057</v>
      </c>
      <c r="B35" t="s">
        <v>1055</v>
      </c>
      <c r="C35" t="s">
        <v>1058</v>
      </c>
      <c r="D35" t="s">
        <v>929</v>
      </c>
      <c r="E35" t="s">
        <v>930</v>
      </c>
      <c r="F35" t="s">
        <v>931</v>
      </c>
    </row>
    <row r="36" spans="1:6" x14ac:dyDescent="0.3">
      <c r="A36" t="s">
        <v>62</v>
      </c>
      <c r="B36" t="s">
        <v>1060</v>
      </c>
      <c r="C36" t="s">
        <v>1062</v>
      </c>
      <c r="D36" t="s">
        <v>934</v>
      </c>
      <c r="E36" t="s">
        <v>1004</v>
      </c>
      <c r="F36" t="s">
        <v>943</v>
      </c>
    </row>
    <row r="37" spans="1:6" x14ac:dyDescent="0.3">
      <c r="A37" t="s">
        <v>1059</v>
      </c>
      <c r="B37" t="s">
        <v>1060</v>
      </c>
      <c r="C37" t="s">
        <v>1061</v>
      </c>
      <c r="D37" t="s">
        <v>934</v>
      </c>
      <c r="E37" t="s">
        <v>1004</v>
      </c>
      <c r="F37" t="s">
        <v>946</v>
      </c>
    </row>
    <row r="38" spans="1:6" x14ac:dyDescent="0.3">
      <c r="A38" t="s">
        <v>680</v>
      </c>
      <c r="B38" t="s">
        <v>1063</v>
      </c>
      <c r="C38" t="s">
        <v>1064</v>
      </c>
      <c r="D38" t="s">
        <v>950</v>
      </c>
      <c r="E38" t="s">
        <v>1065</v>
      </c>
      <c r="F38" t="s">
        <v>936</v>
      </c>
    </row>
    <row r="39" spans="1:6" x14ac:dyDescent="0.3">
      <c r="A39" t="s">
        <v>63</v>
      </c>
      <c r="B39" t="s">
        <v>1066</v>
      </c>
      <c r="C39" t="s">
        <v>1067</v>
      </c>
      <c r="D39" t="s">
        <v>976</v>
      </c>
      <c r="E39" t="s">
        <v>1027</v>
      </c>
      <c r="F39" t="s">
        <v>931</v>
      </c>
    </row>
    <row r="40" spans="1:6" x14ac:dyDescent="0.3">
      <c r="A40" t="s">
        <v>754</v>
      </c>
      <c r="B40" t="s">
        <v>1066</v>
      </c>
      <c r="C40" t="s">
        <v>933</v>
      </c>
      <c r="D40" t="s">
        <v>929</v>
      </c>
      <c r="E40" t="s">
        <v>930</v>
      </c>
      <c r="F40" t="s">
        <v>958</v>
      </c>
    </row>
    <row r="41" spans="1:6" x14ac:dyDescent="0.3">
      <c r="A41" t="s">
        <v>64</v>
      </c>
      <c r="B41" t="s">
        <v>1066</v>
      </c>
      <c r="C41" t="s">
        <v>1028</v>
      </c>
      <c r="D41" t="s">
        <v>929</v>
      </c>
      <c r="E41" t="s">
        <v>930</v>
      </c>
      <c r="F41" t="s">
        <v>931</v>
      </c>
    </row>
    <row r="42" spans="1:6" x14ac:dyDescent="0.3">
      <c r="A42" t="s">
        <v>712</v>
      </c>
      <c r="B42" t="s">
        <v>1068</v>
      </c>
      <c r="C42" t="s">
        <v>945</v>
      </c>
      <c r="D42" t="s">
        <v>934</v>
      </c>
      <c r="E42" t="s">
        <v>930</v>
      </c>
      <c r="F42" t="s">
        <v>936</v>
      </c>
    </row>
    <row r="43" spans="1:6" x14ac:dyDescent="0.3">
      <c r="A43" t="s">
        <v>65</v>
      </c>
      <c r="B43" t="s">
        <v>1069</v>
      </c>
      <c r="C43" t="s">
        <v>1022</v>
      </c>
      <c r="D43" t="s">
        <v>929</v>
      </c>
      <c r="E43" t="s">
        <v>930</v>
      </c>
      <c r="F43" t="s">
        <v>931</v>
      </c>
    </row>
    <row r="44" spans="1:6" x14ac:dyDescent="0.3">
      <c r="A44" t="s">
        <v>66</v>
      </c>
      <c r="B44" t="s">
        <v>1070</v>
      </c>
      <c r="C44" t="s">
        <v>1071</v>
      </c>
      <c r="D44" t="s">
        <v>1072</v>
      </c>
      <c r="E44" t="s">
        <v>1073</v>
      </c>
      <c r="F44" t="s">
        <v>943</v>
      </c>
    </row>
    <row r="45" spans="1:6" x14ac:dyDescent="0.3">
      <c r="A45" t="s">
        <v>703</v>
      </c>
      <c r="B45" t="s">
        <v>1078</v>
      </c>
      <c r="C45" t="s">
        <v>1079</v>
      </c>
      <c r="D45" t="s">
        <v>934</v>
      </c>
      <c r="E45" t="s">
        <v>930</v>
      </c>
      <c r="F45" t="s">
        <v>943</v>
      </c>
    </row>
    <row r="46" spans="1:6" x14ac:dyDescent="0.3">
      <c r="A46" t="s">
        <v>67</v>
      </c>
      <c r="B46" t="s">
        <v>1074</v>
      </c>
      <c r="C46" t="s">
        <v>1075</v>
      </c>
      <c r="D46" t="s">
        <v>934</v>
      </c>
      <c r="E46" t="s">
        <v>930</v>
      </c>
      <c r="F46" t="s">
        <v>931</v>
      </c>
    </row>
    <row r="47" spans="1:6" x14ac:dyDescent="0.3">
      <c r="A47" t="s">
        <v>68</v>
      </c>
      <c r="B47" t="s">
        <v>1082</v>
      </c>
      <c r="C47" t="s">
        <v>1083</v>
      </c>
      <c r="D47" t="s">
        <v>1084</v>
      </c>
      <c r="E47" t="s">
        <v>1026</v>
      </c>
      <c r="F47" t="s">
        <v>958</v>
      </c>
    </row>
    <row r="48" spans="1:6" x14ac:dyDescent="0.3">
      <c r="A48" t="s">
        <v>69</v>
      </c>
      <c r="B48" t="s">
        <v>1085</v>
      </c>
      <c r="C48" t="s">
        <v>1086</v>
      </c>
      <c r="D48" t="s">
        <v>1087</v>
      </c>
      <c r="E48" t="s">
        <v>1088</v>
      </c>
      <c r="F48" t="s">
        <v>958</v>
      </c>
    </row>
    <row r="49" spans="1:6" x14ac:dyDescent="0.3">
      <c r="A49" t="s">
        <v>70</v>
      </c>
      <c r="B49" t="s">
        <v>1089</v>
      </c>
      <c r="C49" t="s">
        <v>1090</v>
      </c>
      <c r="D49" t="s">
        <v>934</v>
      </c>
      <c r="E49" t="s">
        <v>1004</v>
      </c>
      <c r="F49" t="s">
        <v>946</v>
      </c>
    </row>
    <row r="50" spans="1:6" x14ac:dyDescent="0.3">
      <c r="A50" t="s">
        <v>71</v>
      </c>
      <c r="B50" t="s">
        <v>1094</v>
      </c>
      <c r="C50" t="s">
        <v>1095</v>
      </c>
      <c r="D50" t="s">
        <v>929</v>
      </c>
      <c r="E50" t="s">
        <v>930</v>
      </c>
      <c r="F50" t="s">
        <v>943</v>
      </c>
    </row>
    <row r="51" spans="1:6" x14ac:dyDescent="0.3">
      <c r="A51" t="s">
        <v>797</v>
      </c>
      <c r="B51" t="s">
        <v>1096</v>
      </c>
      <c r="C51" t="s">
        <v>1023</v>
      </c>
      <c r="D51" t="s">
        <v>929</v>
      </c>
      <c r="E51" t="s">
        <v>930</v>
      </c>
      <c r="F51" t="s">
        <v>936</v>
      </c>
    </row>
    <row r="52" spans="1:6" x14ac:dyDescent="0.3">
      <c r="A52" t="s">
        <v>73</v>
      </c>
      <c r="B52" t="s">
        <v>1118</v>
      </c>
      <c r="C52" t="s">
        <v>1119</v>
      </c>
      <c r="D52" t="s">
        <v>929</v>
      </c>
      <c r="E52" t="s">
        <v>930</v>
      </c>
      <c r="F52" t="s">
        <v>946</v>
      </c>
    </row>
    <row r="53" spans="1:6" x14ac:dyDescent="0.3">
      <c r="A53" t="s">
        <v>74</v>
      </c>
      <c r="B53" t="s">
        <v>1122</v>
      </c>
      <c r="C53" t="s">
        <v>1123</v>
      </c>
      <c r="D53" t="s">
        <v>934</v>
      </c>
      <c r="E53" t="s">
        <v>1065</v>
      </c>
      <c r="F53" t="s">
        <v>943</v>
      </c>
    </row>
    <row r="54" spans="1:6" x14ac:dyDescent="0.3">
      <c r="A54" t="s">
        <v>75</v>
      </c>
      <c r="B54" t="s">
        <v>1125</v>
      </c>
      <c r="C54" t="s">
        <v>1090</v>
      </c>
      <c r="D54" t="s">
        <v>934</v>
      </c>
      <c r="E54" t="s">
        <v>1004</v>
      </c>
      <c r="F54" t="s">
        <v>943</v>
      </c>
    </row>
    <row r="55" spans="1:6" x14ac:dyDescent="0.3">
      <c r="A55" t="s">
        <v>76</v>
      </c>
      <c r="B55" t="s">
        <v>1127</v>
      </c>
      <c r="C55" t="s">
        <v>1128</v>
      </c>
      <c r="D55" t="s">
        <v>1072</v>
      </c>
      <c r="E55" t="s">
        <v>1073</v>
      </c>
      <c r="F55" t="s">
        <v>946</v>
      </c>
    </row>
    <row r="56" spans="1:6" x14ac:dyDescent="0.3">
      <c r="A56" t="s">
        <v>77</v>
      </c>
      <c r="B56" t="s">
        <v>1129</v>
      </c>
      <c r="C56" t="s">
        <v>1130</v>
      </c>
      <c r="D56" t="s">
        <v>934</v>
      </c>
      <c r="E56" t="s">
        <v>977</v>
      </c>
      <c r="F56" t="s">
        <v>931</v>
      </c>
    </row>
    <row r="57" spans="1:6" x14ac:dyDescent="0.3">
      <c r="A57" t="s">
        <v>78</v>
      </c>
      <c r="B57" t="s">
        <v>1135</v>
      </c>
      <c r="C57" t="s">
        <v>940</v>
      </c>
      <c r="D57" t="s">
        <v>929</v>
      </c>
      <c r="E57" t="s">
        <v>930</v>
      </c>
      <c r="F57" t="s">
        <v>943</v>
      </c>
    </row>
    <row r="58" spans="1:6" x14ac:dyDescent="0.3">
      <c r="A58" t="s">
        <v>79</v>
      </c>
      <c r="B58" t="s">
        <v>1138</v>
      </c>
      <c r="C58" t="s">
        <v>1139</v>
      </c>
      <c r="D58" t="s">
        <v>934</v>
      </c>
      <c r="E58" t="s">
        <v>935</v>
      </c>
      <c r="F58" t="s">
        <v>931</v>
      </c>
    </row>
    <row r="59" spans="1:6" x14ac:dyDescent="0.3">
      <c r="A59" t="s">
        <v>80</v>
      </c>
      <c r="B59" t="s">
        <v>1150</v>
      </c>
      <c r="C59" t="s">
        <v>1151</v>
      </c>
      <c r="D59" t="s">
        <v>929</v>
      </c>
      <c r="E59" t="s">
        <v>930</v>
      </c>
      <c r="F59" t="s">
        <v>931</v>
      </c>
    </row>
    <row r="60" spans="1:6" x14ac:dyDescent="0.3">
      <c r="A60" t="s">
        <v>81</v>
      </c>
      <c r="B60" t="s">
        <v>1152</v>
      </c>
      <c r="C60" t="s">
        <v>928</v>
      </c>
      <c r="D60" t="s">
        <v>929</v>
      </c>
      <c r="E60" t="s">
        <v>930</v>
      </c>
      <c r="F60" t="s">
        <v>943</v>
      </c>
    </row>
    <row r="61" spans="1:6" x14ac:dyDescent="0.3">
      <c r="A61" t="s">
        <v>82</v>
      </c>
      <c r="B61" t="s">
        <v>1188</v>
      </c>
      <c r="C61" t="s">
        <v>1025</v>
      </c>
      <c r="D61" t="s">
        <v>976</v>
      </c>
      <c r="E61" t="s">
        <v>1027</v>
      </c>
      <c r="F61" t="s">
        <v>943</v>
      </c>
    </row>
    <row r="62" spans="1:6" x14ac:dyDescent="0.3">
      <c r="A62" t="s">
        <v>83</v>
      </c>
      <c r="B62" t="s">
        <v>1188</v>
      </c>
      <c r="C62" t="s">
        <v>1028</v>
      </c>
      <c r="D62" t="s">
        <v>929</v>
      </c>
      <c r="E62" t="s">
        <v>930</v>
      </c>
      <c r="F62" t="s">
        <v>943</v>
      </c>
    </row>
    <row r="63" spans="1:6" x14ac:dyDescent="0.3">
      <c r="A63" t="s">
        <v>84</v>
      </c>
      <c r="B63" t="s">
        <v>1189</v>
      </c>
      <c r="C63" t="s">
        <v>945</v>
      </c>
      <c r="D63" t="s">
        <v>934</v>
      </c>
      <c r="E63" t="s">
        <v>930</v>
      </c>
      <c r="F63" t="s">
        <v>946</v>
      </c>
    </row>
    <row r="64" spans="1:6" x14ac:dyDescent="0.3">
      <c r="A64" t="s">
        <v>85</v>
      </c>
      <c r="B64" t="s">
        <v>1190</v>
      </c>
      <c r="C64" t="s">
        <v>1028</v>
      </c>
      <c r="D64" t="s">
        <v>934</v>
      </c>
      <c r="E64" t="s">
        <v>930</v>
      </c>
      <c r="F64" t="s">
        <v>958</v>
      </c>
    </row>
    <row r="65" spans="1:6" x14ac:dyDescent="0.3">
      <c r="A65" t="s">
        <v>86</v>
      </c>
      <c r="B65" t="s">
        <v>1191</v>
      </c>
      <c r="C65" t="s">
        <v>945</v>
      </c>
      <c r="D65" t="s">
        <v>934</v>
      </c>
      <c r="E65" t="s">
        <v>930</v>
      </c>
      <c r="F65" t="s">
        <v>943</v>
      </c>
    </row>
    <row r="66" spans="1:6" x14ac:dyDescent="0.3">
      <c r="A66" t="s">
        <v>87</v>
      </c>
      <c r="B66" t="s">
        <v>1193</v>
      </c>
      <c r="C66" t="s">
        <v>945</v>
      </c>
      <c r="D66" t="s">
        <v>934</v>
      </c>
      <c r="E66" t="s">
        <v>930</v>
      </c>
      <c r="F66" t="s">
        <v>931</v>
      </c>
    </row>
    <row r="67" spans="1:6" x14ac:dyDescent="0.3">
      <c r="A67" t="s">
        <v>89</v>
      </c>
      <c r="B67" t="s">
        <v>1194</v>
      </c>
      <c r="C67" t="s">
        <v>1028</v>
      </c>
      <c r="D67" t="s">
        <v>929</v>
      </c>
      <c r="E67" t="s">
        <v>930</v>
      </c>
      <c r="F67" t="s">
        <v>943</v>
      </c>
    </row>
    <row r="68" spans="1:6" x14ac:dyDescent="0.3">
      <c r="A68" t="s">
        <v>90</v>
      </c>
      <c r="B68" t="s">
        <v>1201</v>
      </c>
      <c r="C68" t="s">
        <v>1202</v>
      </c>
      <c r="D68" t="s">
        <v>934</v>
      </c>
      <c r="E68" t="s">
        <v>930</v>
      </c>
      <c r="F68" t="s">
        <v>936</v>
      </c>
    </row>
    <row r="69" spans="1:6" x14ac:dyDescent="0.3">
      <c r="A69" t="s">
        <v>91</v>
      </c>
      <c r="B69" t="s">
        <v>1206</v>
      </c>
      <c r="C69" t="s">
        <v>1207</v>
      </c>
      <c r="D69" t="s">
        <v>934</v>
      </c>
      <c r="E69" t="s">
        <v>1208</v>
      </c>
      <c r="F69" t="s">
        <v>946</v>
      </c>
    </row>
    <row r="70" spans="1:6" x14ac:dyDescent="0.3">
      <c r="A70" t="s">
        <v>92</v>
      </c>
      <c r="B70" t="s">
        <v>1204</v>
      </c>
      <c r="C70" t="s">
        <v>1205</v>
      </c>
      <c r="D70" t="s">
        <v>950</v>
      </c>
      <c r="E70" t="s">
        <v>1065</v>
      </c>
      <c r="F70" t="s">
        <v>946</v>
      </c>
    </row>
    <row r="71" spans="1:6" x14ac:dyDescent="0.3">
      <c r="A71" t="s">
        <v>93</v>
      </c>
      <c r="B71" t="s">
        <v>1203</v>
      </c>
      <c r="C71" t="s">
        <v>1028</v>
      </c>
      <c r="D71" t="s">
        <v>929</v>
      </c>
      <c r="E71" t="s">
        <v>930</v>
      </c>
      <c r="F71" t="s">
        <v>931</v>
      </c>
    </row>
    <row r="72" spans="1:6" x14ac:dyDescent="0.3">
      <c r="A72" t="s">
        <v>694</v>
      </c>
      <c r="B72" t="s">
        <v>1211</v>
      </c>
      <c r="C72" t="s">
        <v>1028</v>
      </c>
      <c r="D72" t="s">
        <v>929</v>
      </c>
      <c r="E72" t="s">
        <v>930</v>
      </c>
      <c r="F72" t="s">
        <v>931</v>
      </c>
    </row>
    <row r="73" spans="1:6" x14ac:dyDescent="0.3">
      <c r="A73" t="s">
        <v>94</v>
      </c>
      <c r="B73" t="s">
        <v>1214</v>
      </c>
      <c r="C73" t="s">
        <v>1215</v>
      </c>
      <c r="D73" t="s">
        <v>934</v>
      </c>
      <c r="E73" t="s">
        <v>1133</v>
      </c>
      <c r="F73" t="s">
        <v>931</v>
      </c>
    </row>
    <row r="74" spans="1:6" x14ac:dyDescent="0.3">
      <c r="A74" t="s">
        <v>95</v>
      </c>
      <c r="B74" t="s">
        <v>1212</v>
      </c>
      <c r="C74" t="s">
        <v>1213</v>
      </c>
      <c r="D74" t="s">
        <v>929</v>
      </c>
      <c r="E74" t="s">
        <v>930</v>
      </c>
      <c r="F74" t="s">
        <v>931</v>
      </c>
    </row>
    <row r="75" spans="1:6" x14ac:dyDescent="0.3">
      <c r="A75" t="s">
        <v>96</v>
      </c>
      <c r="B75" t="s">
        <v>1218</v>
      </c>
      <c r="C75" t="s">
        <v>1001</v>
      </c>
      <c r="D75" t="s">
        <v>929</v>
      </c>
      <c r="E75" t="s">
        <v>930</v>
      </c>
      <c r="F75" t="s">
        <v>931</v>
      </c>
    </row>
    <row r="76" spans="1:6" x14ac:dyDescent="0.3">
      <c r="A76" t="s">
        <v>632</v>
      </c>
      <c r="B76" t="s">
        <v>1218</v>
      </c>
      <c r="C76" t="s">
        <v>1095</v>
      </c>
      <c r="D76" t="s">
        <v>929</v>
      </c>
      <c r="E76" t="s">
        <v>930</v>
      </c>
      <c r="F76" t="s">
        <v>931</v>
      </c>
    </row>
    <row r="77" spans="1:6" x14ac:dyDescent="0.3">
      <c r="A77" t="s">
        <v>99</v>
      </c>
      <c r="B77" t="s">
        <v>1219</v>
      </c>
      <c r="C77" t="s">
        <v>1123</v>
      </c>
      <c r="D77" t="s">
        <v>934</v>
      </c>
      <c r="E77" t="s">
        <v>1004</v>
      </c>
      <c r="F77" t="s">
        <v>931</v>
      </c>
    </row>
    <row r="78" spans="1:6" x14ac:dyDescent="0.3">
      <c r="A78" t="s">
        <v>100</v>
      </c>
      <c r="B78" t="s">
        <v>1219</v>
      </c>
      <c r="C78" t="s">
        <v>1220</v>
      </c>
      <c r="D78" t="s">
        <v>1221</v>
      </c>
      <c r="E78" t="s">
        <v>1026</v>
      </c>
      <c r="F78" t="s">
        <v>943</v>
      </c>
    </row>
    <row r="79" spans="1:6" x14ac:dyDescent="0.3">
      <c r="A79" t="s">
        <v>101</v>
      </c>
      <c r="B79" t="s">
        <v>1219</v>
      </c>
      <c r="C79" t="s">
        <v>1126</v>
      </c>
      <c r="D79" t="s">
        <v>929</v>
      </c>
      <c r="E79" t="s">
        <v>930</v>
      </c>
      <c r="F79" t="s">
        <v>946</v>
      </c>
    </row>
    <row r="80" spans="1:6" x14ac:dyDescent="0.3">
      <c r="A80" t="s">
        <v>102</v>
      </c>
      <c r="B80" t="s">
        <v>1222</v>
      </c>
      <c r="C80" t="s">
        <v>1223</v>
      </c>
      <c r="D80" t="s">
        <v>950</v>
      </c>
      <c r="E80" t="s">
        <v>1026</v>
      </c>
      <c r="F80" t="s">
        <v>931</v>
      </c>
    </row>
    <row r="81" spans="1:6" x14ac:dyDescent="0.3">
      <c r="A81" t="s">
        <v>103</v>
      </c>
      <c r="B81" t="s">
        <v>1226</v>
      </c>
      <c r="C81" t="s">
        <v>1012</v>
      </c>
      <c r="D81" t="s">
        <v>934</v>
      </c>
      <c r="E81" t="s">
        <v>935</v>
      </c>
      <c r="F81" t="s">
        <v>943</v>
      </c>
    </row>
    <row r="82" spans="1:6" x14ac:dyDescent="0.3">
      <c r="A82" t="s">
        <v>104</v>
      </c>
      <c r="B82" t="s">
        <v>1227</v>
      </c>
      <c r="C82" t="s">
        <v>1229</v>
      </c>
      <c r="D82" t="s">
        <v>950</v>
      </c>
      <c r="E82" t="s">
        <v>977</v>
      </c>
      <c r="F82" t="s">
        <v>943</v>
      </c>
    </row>
    <row r="83" spans="1:6" x14ac:dyDescent="0.3">
      <c r="A83" t="s">
        <v>105</v>
      </c>
      <c r="B83" t="s">
        <v>1227</v>
      </c>
      <c r="C83" t="s">
        <v>1228</v>
      </c>
      <c r="D83" t="s">
        <v>1087</v>
      </c>
      <c r="E83" t="s">
        <v>1088</v>
      </c>
      <c r="F83" t="s">
        <v>943</v>
      </c>
    </row>
    <row r="84" spans="1:6" x14ac:dyDescent="0.3">
      <c r="A84" t="s">
        <v>107</v>
      </c>
      <c r="B84" t="s">
        <v>1227</v>
      </c>
      <c r="C84" t="s">
        <v>1028</v>
      </c>
      <c r="D84" t="s">
        <v>1230</v>
      </c>
      <c r="E84" t="s">
        <v>930</v>
      </c>
      <c r="F84" t="s">
        <v>943</v>
      </c>
    </row>
    <row r="85" spans="1:6" x14ac:dyDescent="0.3">
      <c r="A85" t="s">
        <v>108</v>
      </c>
      <c r="B85" t="s">
        <v>1231</v>
      </c>
      <c r="C85" t="s">
        <v>1232</v>
      </c>
      <c r="D85" t="s">
        <v>934</v>
      </c>
      <c r="E85" t="s">
        <v>954</v>
      </c>
      <c r="F85" t="s">
        <v>936</v>
      </c>
    </row>
    <row r="86" spans="1:6" x14ac:dyDescent="0.3">
      <c r="A86" t="s">
        <v>1723</v>
      </c>
      <c r="B86" t="s">
        <v>1724</v>
      </c>
      <c r="C86" t="s">
        <v>930</v>
      </c>
      <c r="D86" t="s">
        <v>934</v>
      </c>
      <c r="E86" t="s">
        <v>962</v>
      </c>
      <c r="F86" t="s">
        <v>943</v>
      </c>
    </row>
    <row r="87" spans="1:6" x14ac:dyDescent="0.3">
      <c r="A87" t="s">
        <v>887</v>
      </c>
      <c r="B87" t="s">
        <v>1243</v>
      </c>
      <c r="C87" t="s">
        <v>928</v>
      </c>
      <c r="D87" t="s">
        <v>929</v>
      </c>
      <c r="E87" t="s">
        <v>930</v>
      </c>
      <c r="F87" t="s">
        <v>936</v>
      </c>
    </row>
    <row r="88" spans="1:6" x14ac:dyDescent="0.3">
      <c r="A88" t="s">
        <v>109</v>
      </c>
      <c r="B88" t="s">
        <v>1245</v>
      </c>
      <c r="C88" t="s">
        <v>1246</v>
      </c>
      <c r="D88" t="s">
        <v>934</v>
      </c>
      <c r="E88" t="s">
        <v>954</v>
      </c>
      <c r="F88" t="s">
        <v>946</v>
      </c>
    </row>
    <row r="89" spans="1:6" x14ac:dyDescent="0.3">
      <c r="A89" t="s">
        <v>110</v>
      </c>
      <c r="B89" t="s">
        <v>1244</v>
      </c>
      <c r="C89" t="s">
        <v>940</v>
      </c>
      <c r="D89" t="s">
        <v>929</v>
      </c>
      <c r="E89" t="s">
        <v>930</v>
      </c>
      <c r="F89" t="s">
        <v>946</v>
      </c>
    </row>
    <row r="90" spans="1:6" x14ac:dyDescent="0.3">
      <c r="A90" t="s">
        <v>903</v>
      </c>
      <c r="B90" t="s">
        <v>1249</v>
      </c>
      <c r="C90" t="s">
        <v>1154</v>
      </c>
      <c r="D90" t="s">
        <v>934</v>
      </c>
      <c r="E90" t="s">
        <v>954</v>
      </c>
      <c r="F90" t="s">
        <v>936</v>
      </c>
    </row>
    <row r="91" spans="1:6" x14ac:dyDescent="0.3">
      <c r="A91" t="s">
        <v>616</v>
      </c>
      <c r="B91" t="s">
        <v>1250</v>
      </c>
      <c r="C91" t="s">
        <v>1251</v>
      </c>
      <c r="D91" t="s">
        <v>1221</v>
      </c>
      <c r="E91" t="s">
        <v>1026</v>
      </c>
      <c r="F91" t="s">
        <v>943</v>
      </c>
    </row>
    <row r="92" spans="1:6" x14ac:dyDescent="0.3">
      <c r="A92" t="s">
        <v>111</v>
      </c>
      <c r="B92" t="s">
        <v>1257</v>
      </c>
      <c r="C92" t="s">
        <v>1258</v>
      </c>
      <c r="D92" t="s">
        <v>934</v>
      </c>
      <c r="E92" t="s">
        <v>954</v>
      </c>
      <c r="F92" t="s">
        <v>931</v>
      </c>
    </row>
    <row r="93" spans="1:6" x14ac:dyDescent="0.3">
      <c r="A93" t="s">
        <v>112</v>
      </c>
      <c r="B93" t="s">
        <v>1257</v>
      </c>
      <c r="C93" t="s">
        <v>1022</v>
      </c>
      <c r="D93" t="s">
        <v>929</v>
      </c>
      <c r="E93" t="s">
        <v>930</v>
      </c>
      <c r="F93" t="s">
        <v>931</v>
      </c>
    </row>
    <row r="94" spans="1:6" x14ac:dyDescent="0.3">
      <c r="A94" t="s">
        <v>113</v>
      </c>
      <c r="B94" t="s">
        <v>1259</v>
      </c>
      <c r="C94" t="s">
        <v>1018</v>
      </c>
      <c r="D94" t="s">
        <v>934</v>
      </c>
      <c r="E94" t="s">
        <v>1020</v>
      </c>
      <c r="F94" t="s">
        <v>931</v>
      </c>
    </row>
    <row r="95" spans="1:6" x14ac:dyDescent="0.3">
      <c r="A95" t="s">
        <v>115</v>
      </c>
      <c r="B95" t="s">
        <v>1260</v>
      </c>
      <c r="C95" t="s">
        <v>1025</v>
      </c>
      <c r="D95" t="s">
        <v>976</v>
      </c>
      <c r="E95" t="s">
        <v>1027</v>
      </c>
      <c r="F95" t="s">
        <v>943</v>
      </c>
    </row>
    <row r="96" spans="1:6" x14ac:dyDescent="0.3">
      <c r="A96" t="s">
        <v>116</v>
      </c>
      <c r="B96" t="s">
        <v>1260</v>
      </c>
      <c r="C96" t="s">
        <v>1028</v>
      </c>
      <c r="D96" t="s">
        <v>929</v>
      </c>
      <c r="E96" t="s">
        <v>930</v>
      </c>
      <c r="F96" t="s">
        <v>943</v>
      </c>
    </row>
    <row r="97" spans="1:6" x14ac:dyDescent="0.3">
      <c r="A97" t="s">
        <v>117</v>
      </c>
      <c r="B97" t="s">
        <v>1261</v>
      </c>
      <c r="C97" t="s">
        <v>1262</v>
      </c>
      <c r="D97" t="s">
        <v>929</v>
      </c>
      <c r="E97" t="s">
        <v>930</v>
      </c>
      <c r="F97" t="s">
        <v>936</v>
      </c>
    </row>
    <row r="98" spans="1:6" x14ac:dyDescent="0.3">
      <c r="A98" t="s">
        <v>118</v>
      </c>
      <c r="B98" t="s">
        <v>1263</v>
      </c>
      <c r="C98" t="s">
        <v>1009</v>
      </c>
      <c r="D98" t="s">
        <v>934</v>
      </c>
      <c r="E98" t="s">
        <v>1065</v>
      </c>
      <c r="F98" t="s">
        <v>931</v>
      </c>
    </row>
    <row r="99" spans="1:6" x14ac:dyDescent="0.3">
      <c r="A99" t="s">
        <v>119</v>
      </c>
      <c r="B99" t="s">
        <v>1263</v>
      </c>
      <c r="C99" t="s">
        <v>1009</v>
      </c>
      <c r="D99" t="s">
        <v>929</v>
      </c>
      <c r="E99" t="s">
        <v>930</v>
      </c>
      <c r="F99" t="s">
        <v>946</v>
      </c>
    </row>
    <row r="100" spans="1:6" x14ac:dyDescent="0.3">
      <c r="A100" t="s">
        <v>120</v>
      </c>
      <c r="B100" t="s">
        <v>1707</v>
      </c>
      <c r="C100" t="s">
        <v>1385</v>
      </c>
      <c r="D100" t="s">
        <v>976</v>
      </c>
      <c r="E100" t="s">
        <v>1332</v>
      </c>
      <c r="F100" t="s">
        <v>946</v>
      </c>
    </row>
    <row r="101" spans="1:6" x14ac:dyDescent="0.3">
      <c r="A101" t="s">
        <v>121</v>
      </c>
      <c r="B101" t="s">
        <v>1264</v>
      </c>
      <c r="C101" t="s">
        <v>1023</v>
      </c>
      <c r="D101" t="s">
        <v>929</v>
      </c>
      <c r="E101" t="s">
        <v>930</v>
      </c>
      <c r="F101" t="s">
        <v>946</v>
      </c>
    </row>
    <row r="102" spans="1:6" x14ac:dyDescent="0.3">
      <c r="A102" t="s">
        <v>122</v>
      </c>
      <c r="B102" t="s">
        <v>1268</v>
      </c>
      <c r="C102" t="s">
        <v>1269</v>
      </c>
      <c r="D102" t="s">
        <v>934</v>
      </c>
      <c r="E102" t="s">
        <v>977</v>
      </c>
      <c r="F102" t="s">
        <v>943</v>
      </c>
    </row>
    <row r="103" spans="1:6" x14ac:dyDescent="0.3">
      <c r="A103" t="s">
        <v>123</v>
      </c>
      <c r="B103" t="s">
        <v>1273</v>
      </c>
      <c r="C103" t="s">
        <v>1274</v>
      </c>
      <c r="D103" t="s">
        <v>934</v>
      </c>
      <c r="E103" t="s">
        <v>1065</v>
      </c>
      <c r="F103" t="s">
        <v>943</v>
      </c>
    </row>
    <row r="104" spans="1:6" x14ac:dyDescent="0.3">
      <c r="A104" t="s">
        <v>124</v>
      </c>
      <c r="B104" t="s">
        <v>1275</v>
      </c>
      <c r="C104" t="s">
        <v>938</v>
      </c>
      <c r="D104" t="s">
        <v>929</v>
      </c>
      <c r="E104" t="s">
        <v>930</v>
      </c>
      <c r="F104" t="s">
        <v>943</v>
      </c>
    </row>
    <row r="105" spans="1:6" x14ac:dyDescent="0.3">
      <c r="A105" t="s">
        <v>125</v>
      </c>
      <c r="B105" t="s">
        <v>1284</v>
      </c>
      <c r="C105" t="s">
        <v>1022</v>
      </c>
      <c r="D105" t="s">
        <v>929</v>
      </c>
      <c r="E105" t="s">
        <v>930</v>
      </c>
      <c r="F105" t="s">
        <v>946</v>
      </c>
    </row>
    <row r="106" spans="1:6" x14ac:dyDescent="0.3">
      <c r="A106" t="s">
        <v>126</v>
      </c>
      <c r="B106" t="s">
        <v>1284</v>
      </c>
      <c r="C106" t="s">
        <v>1056</v>
      </c>
      <c r="D106" t="s">
        <v>929</v>
      </c>
      <c r="E106" t="s">
        <v>930</v>
      </c>
      <c r="F106" t="s">
        <v>931</v>
      </c>
    </row>
    <row r="107" spans="1:6" x14ac:dyDescent="0.3">
      <c r="A107" t="s">
        <v>127</v>
      </c>
      <c r="B107" t="s">
        <v>1285</v>
      </c>
      <c r="C107" t="s">
        <v>1286</v>
      </c>
      <c r="D107" t="s">
        <v>934</v>
      </c>
      <c r="E107" t="s">
        <v>1287</v>
      </c>
      <c r="F107" t="s">
        <v>943</v>
      </c>
    </row>
    <row r="108" spans="1:6" x14ac:dyDescent="0.3">
      <c r="A108" t="s">
        <v>128</v>
      </c>
      <c r="B108" t="s">
        <v>1285</v>
      </c>
      <c r="C108" t="s">
        <v>1288</v>
      </c>
      <c r="D108" t="s">
        <v>934</v>
      </c>
      <c r="E108" t="s">
        <v>1289</v>
      </c>
      <c r="F108" t="s">
        <v>943</v>
      </c>
    </row>
    <row r="109" spans="1:6" x14ac:dyDescent="0.3">
      <c r="A109" t="s">
        <v>129</v>
      </c>
      <c r="B109" t="s">
        <v>1291</v>
      </c>
      <c r="C109" t="s">
        <v>1061</v>
      </c>
      <c r="D109" t="s">
        <v>934</v>
      </c>
      <c r="E109" t="s">
        <v>1004</v>
      </c>
      <c r="F109" t="s">
        <v>943</v>
      </c>
    </row>
    <row r="110" spans="1:6" x14ac:dyDescent="0.3">
      <c r="A110" t="s">
        <v>130</v>
      </c>
      <c r="B110" t="s">
        <v>1292</v>
      </c>
      <c r="C110" t="s">
        <v>1293</v>
      </c>
      <c r="D110" t="s">
        <v>934</v>
      </c>
      <c r="E110" t="s">
        <v>1004</v>
      </c>
      <c r="F110" t="s">
        <v>946</v>
      </c>
    </row>
    <row r="111" spans="1:6" x14ac:dyDescent="0.3">
      <c r="A111" t="s">
        <v>131</v>
      </c>
      <c r="B111" t="s">
        <v>1300</v>
      </c>
      <c r="C111" t="s">
        <v>1301</v>
      </c>
      <c r="D111" t="s">
        <v>934</v>
      </c>
      <c r="E111" t="s">
        <v>1004</v>
      </c>
      <c r="F111" t="s">
        <v>958</v>
      </c>
    </row>
    <row r="112" spans="1:6" x14ac:dyDescent="0.3">
      <c r="A112" t="s">
        <v>646</v>
      </c>
      <c r="B112" t="s">
        <v>1303</v>
      </c>
      <c r="C112" t="s">
        <v>1025</v>
      </c>
      <c r="D112" t="s">
        <v>976</v>
      </c>
      <c r="E112" t="s">
        <v>1026</v>
      </c>
      <c r="F112" t="s">
        <v>936</v>
      </c>
    </row>
    <row r="113" spans="1:6" x14ac:dyDescent="0.3">
      <c r="A113" t="s">
        <v>846</v>
      </c>
      <c r="B113" t="s">
        <v>1302</v>
      </c>
      <c r="C113" t="s">
        <v>1025</v>
      </c>
      <c r="D113" t="s">
        <v>976</v>
      </c>
      <c r="E113" t="s">
        <v>1027</v>
      </c>
      <c r="F113" t="s">
        <v>931</v>
      </c>
    </row>
    <row r="114" spans="1:6" x14ac:dyDescent="0.3">
      <c r="A114" t="s">
        <v>132</v>
      </c>
      <c r="B114" t="s">
        <v>1302</v>
      </c>
      <c r="C114" t="s">
        <v>1028</v>
      </c>
      <c r="D114" t="s">
        <v>929</v>
      </c>
      <c r="E114" t="s">
        <v>930</v>
      </c>
      <c r="F114" t="s">
        <v>946</v>
      </c>
    </row>
    <row r="115" spans="1:6" x14ac:dyDescent="0.3">
      <c r="A115" t="s">
        <v>133</v>
      </c>
      <c r="B115" t="s">
        <v>1304</v>
      </c>
      <c r="C115" t="s">
        <v>1137</v>
      </c>
      <c r="D115" t="s">
        <v>934</v>
      </c>
      <c r="E115" t="s">
        <v>1004</v>
      </c>
      <c r="F115" t="s">
        <v>946</v>
      </c>
    </row>
    <row r="116" spans="1:6" x14ac:dyDescent="0.3">
      <c r="A116" t="s">
        <v>134</v>
      </c>
      <c r="B116" t="s">
        <v>1304</v>
      </c>
      <c r="C116" t="s">
        <v>1022</v>
      </c>
      <c r="D116" t="s">
        <v>929</v>
      </c>
      <c r="E116" t="s">
        <v>930</v>
      </c>
      <c r="F116" t="s">
        <v>943</v>
      </c>
    </row>
    <row r="117" spans="1:6" x14ac:dyDescent="0.3">
      <c r="A117" t="s">
        <v>135</v>
      </c>
      <c r="B117" t="s">
        <v>1310</v>
      </c>
      <c r="C117" t="s">
        <v>1151</v>
      </c>
      <c r="D117" t="s">
        <v>929</v>
      </c>
      <c r="E117" t="s">
        <v>930</v>
      </c>
      <c r="F117" t="s">
        <v>931</v>
      </c>
    </row>
    <row r="118" spans="1:6" x14ac:dyDescent="0.3">
      <c r="A118" t="s">
        <v>136</v>
      </c>
      <c r="B118" t="s">
        <v>1312</v>
      </c>
      <c r="C118" t="s">
        <v>1313</v>
      </c>
      <c r="D118" t="s">
        <v>934</v>
      </c>
      <c r="E118" t="s">
        <v>1314</v>
      </c>
      <c r="F118" t="s">
        <v>931</v>
      </c>
    </row>
    <row r="119" spans="1:6" x14ac:dyDescent="0.3">
      <c r="A119" t="s">
        <v>137</v>
      </c>
      <c r="B119" t="s">
        <v>1315</v>
      </c>
      <c r="C119" t="s">
        <v>1316</v>
      </c>
      <c r="D119" t="s">
        <v>1087</v>
      </c>
      <c r="E119" t="s">
        <v>1317</v>
      </c>
      <c r="F119" t="s">
        <v>931</v>
      </c>
    </row>
    <row r="120" spans="1:6" x14ac:dyDescent="0.3">
      <c r="A120" t="s">
        <v>138</v>
      </c>
      <c r="B120" t="s">
        <v>1318</v>
      </c>
      <c r="C120" t="s">
        <v>1319</v>
      </c>
      <c r="D120" t="s">
        <v>929</v>
      </c>
      <c r="E120" t="s">
        <v>930</v>
      </c>
      <c r="F120" t="s">
        <v>931</v>
      </c>
    </row>
    <row r="121" spans="1:6" x14ac:dyDescent="0.3">
      <c r="A121" t="s">
        <v>139</v>
      </c>
      <c r="B121" t="s">
        <v>1320</v>
      </c>
      <c r="C121" t="s">
        <v>1123</v>
      </c>
      <c r="D121" t="s">
        <v>934</v>
      </c>
      <c r="E121" t="s">
        <v>1004</v>
      </c>
      <c r="F121" t="s">
        <v>946</v>
      </c>
    </row>
    <row r="122" spans="1:6" x14ac:dyDescent="0.3">
      <c r="A122" t="s">
        <v>140</v>
      </c>
      <c r="B122" t="s">
        <v>1324</v>
      </c>
      <c r="C122" t="s">
        <v>1325</v>
      </c>
      <c r="D122" t="s">
        <v>957</v>
      </c>
      <c r="E122" t="s">
        <v>930</v>
      </c>
      <c r="F122" t="s">
        <v>931</v>
      </c>
    </row>
    <row r="123" spans="1:6" x14ac:dyDescent="0.3">
      <c r="A123" t="s">
        <v>667</v>
      </c>
      <c r="B123" t="s">
        <v>1331</v>
      </c>
      <c r="C123" t="s">
        <v>1018</v>
      </c>
      <c r="D123" t="s">
        <v>950</v>
      </c>
      <c r="E123" t="s">
        <v>1332</v>
      </c>
      <c r="F123" t="s">
        <v>958</v>
      </c>
    </row>
    <row r="124" spans="1:6" x14ac:dyDescent="0.3">
      <c r="A124" t="s">
        <v>142</v>
      </c>
      <c r="B124" t="s">
        <v>1333</v>
      </c>
      <c r="C124" t="s">
        <v>1335</v>
      </c>
      <c r="D124" t="s">
        <v>934</v>
      </c>
      <c r="E124" t="s">
        <v>954</v>
      </c>
      <c r="F124" t="s">
        <v>946</v>
      </c>
    </row>
    <row r="125" spans="1:6" x14ac:dyDescent="0.3">
      <c r="A125" t="s">
        <v>143</v>
      </c>
      <c r="B125" t="s">
        <v>1333</v>
      </c>
      <c r="C125" t="s">
        <v>1334</v>
      </c>
      <c r="D125" t="s">
        <v>976</v>
      </c>
      <c r="E125" t="s">
        <v>1026</v>
      </c>
      <c r="F125" t="s">
        <v>943</v>
      </c>
    </row>
    <row r="126" spans="1:6" x14ac:dyDescent="0.3">
      <c r="A126" t="s">
        <v>633</v>
      </c>
      <c r="B126" t="s">
        <v>1333</v>
      </c>
      <c r="C126" t="s">
        <v>938</v>
      </c>
      <c r="D126" t="s">
        <v>929</v>
      </c>
      <c r="E126" t="s">
        <v>930</v>
      </c>
      <c r="F126" t="s">
        <v>946</v>
      </c>
    </row>
    <row r="127" spans="1:6" x14ac:dyDescent="0.3">
      <c r="A127" t="s">
        <v>144</v>
      </c>
      <c r="B127" t="s">
        <v>1337</v>
      </c>
      <c r="C127" t="s">
        <v>1338</v>
      </c>
      <c r="D127" t="s">
        <v>934</v>
      </c>
      <c r="E127" t="s">
        <v>954</v>
      </c>
      <c r="F127" t="s">
        <v>931</v>
      </c>
    </row>
    <row r="128" spans="1:6" x14ac:dyDescent="0.3">
      <c r="A128" t="s">
        <v>145</v>
      </c>
      <c r="B128" t="s">
        <v>1336</v>
      </c>
      <c r="C128" t="s">
        <v>938</v>
      </c>
      <c r="D128" t="s">
        <v>929</v>
      </c>
      <c r="E128" t="s">
        <v>930</v>
      </c>
      <c r="F128" t="s">
        <v>943</v>
      </c>
    </row>
    <row r="129" spans="1:6" x14ac:dyDescent="0.3">
      <c r="A129" t="s">
        <v>146</v>
      </c>
      <c r="B129" t="s">
        <v>1339</v>
      </c>
      <c r="C129" t="s">
        <v>1340</v>
      </c>
      <c r="D129" t="s">
        <v>934</v>
      </c>
      <c r="E129" t="s">
        <v>935</v>
      </c>
      <c r="F129" t="s">
        <v>943</v>
      </c>
    </row>
    <row r="130" spans="1:6" x14ac:dyDescent="0.3">
      <c r="A130" t="s">
        <v>147</v>
      </c>
      <c r="B130" t="s">
        <v>941</v>
      </c>
      <c r="C130" t="s">
        <v>942</v>
      </c>
      <c r="D130" t="s">
        <v>929</v>
      </c>
      <c r="E130" t="s">
        <v>930</v>
      </c>
      <c r="F130" t="s">
        <v>943</v>
      </c>
    </row>
    <row r="131" spans="1:6" x14ac:dyDescent="0.3">
      <c r="A131" t="s">
        <v>148</v>
      </c>
      <c r="B131" t="s">
        <v>1765</v>
      </c>
      <c r="C131" t="s">
        <v>1768</v>
      </c>
      <c r="D131" t="s">
        <v>929</v>
      </c>
      <c r="E131" t="s">
        <v>930</v>
      </c>
      <c r="F131" t="s">
        <v>931</v>
      </c>
    </row>
    <row r="132" spans="1:6" x14ac:dyDescent="0.3">
      <c r="A132" t="s">
        <v>149</v>
      </c>
      <c r="B132" t="s">
        <v>1341</v>
      </c>
      <c r="C132" t="s">
        <v>1342</v>
      </c>
      <c r="D132" t="s">
        <v>1221</v>
      </c>
      <c r="E132" t="s">
        <v>1343</v>
      </c>
      <c r="F132" t="s">
        <v>946</v>
      </c>
    </row>
    <row r="133" spans="1:6" x14ac:dyDescent="0.3">
      <c r="A133" t="s">
        <v>150</v>
      </c>
      <c r="B133" t="s">
        <v>1771</v>
      </c>
      <c r="C133" t="s">
        <v>1772</v>
      </c>
      <c r="D133" t="s">
        <v>929</v>
      </c>
      <c r="E133" t="s">
        <v>930</v>
      </c>
      <c r="F133" t="s">
        <v>943</v>
      </c>
    </row>
    <row r="134" spans="1:6" x14ac:dyDescent="0.3">
      <c r="A134" t="s">
        <v>151</v>
      </c>
      <c r="B134" t="s">
        <v>1348</v>
      </c>
      <c r="C134" t="s">
        <v>1123</v>
      </c>
      <c r="D134" t="s">
        <v>934</v>
      </c>
      <c r="E134" t="s">
        <v>1004</v>
      </c>
      <c r="F134" t="s">
        <v>943</v>
      </c>
    </row>
    <row r="135" spans="1:6" x14ac:dyDescent="0.3">
      <c r="A135" t="s">
        <v>1352</v>
      </c>
      <c r="B135" t="s">
        <v>1349</v>
      </c>
      <c r="C135" t="s">
        <v>1351</v>
      </c>
      <c r="D135" t="s">
        <v>934</v>
      </c>
      <c r="E135" t="s">
        <v>980</v>
      </c>
      <c r="F135" t="s">
        <v>958</v>
      </c>
    </row>
    <row r="136" spans="1:6" x14ac:dyDescent="0.3">
      <c r="A136" t="s">
        <v>152</v>
      </c>
      <c r="B136" t="s">
        <v>1349</v>
      </c>
      <c r="C136" t="s">
        <v>1351</v>
      </c>
      <c r="D136" t="s">
        <v>934</v>
      </c>
      <c r="E136" t="s">
        <v>1208</v>
      </c>
      <c r="F136" t="s">
        <v>936</v>
      </c>
    </row>
    <row r="137" spans="1:6" x14ac:dyDescent="0.3">
      <c r="A137" t="s">
        <v>153</v>
      </c>
      <c r="B137" t="s">
        <v>1349</v>
      </c>
      <c r="C137" t="s">
        <v>1350</v>
      </c>
      <c r="D137" t="s">
        <v>929</v>
      </c>
      <c r="E137" t="s">
        <v>930</v>
      </c>
      <c r="F137" t="s">
        <v>946</v>
      </c>
    </row>
    <row r="138" spans="1:6" x14ac:dyDescent="0.3">
      <c r="A138" t="s">
        <v>154</v>
      </c>
      <c r="B138" t="s">
        <v>1353</v>
      </c>
      <c r="C138" t="s">
        <v>1354</v>
      </c>
      <c r="D138" t="s">
        <v>934</v>
      </c>
      <c r="E138" t="s">
        <v>1065</v>
      </c>
      <c r="F138" t="s">
        <v>943</v>
      </c>
    </row>
    <row r="139" spans="1:6" x14ac:dyDescent="0.3">
      <c r="A139" t="s">
        <v>155</v>
      </c>
      <c r="B139" t="s">
        <v>1355</v>
      </c>
      <c r="C139" t="s">
        <v>1056</v>
      </c>
      <c r="D139" t="s">
        <v>929</v>
      </c>
      <c r="E139" t="s">
        <v>930</v>
      </c>
      <c r="F139" t="s">
        <v>931</v>
      </c>
    </row>
    <row r="140" spans="1:6" x14ac:dyDescent="0.3">
      <c r="A140" t="s">
        <v>156</v>
      </c>
      <c r="B140" t="s">
        <v>1371</v>
      </c>
      <c r="C140" t="s">
        <v>1372</v>
      </c>
      <c r="D140" t="s">
        <v>976</v>
      </c>
      <c r="E140" t="s">
        <v>1026</v>
      </c>
      <c r="F140" t="s">
        <v>946</v>
      </c>
    </row>
    <row r="141" spans="1:6" x14ac:dyDescent="0.3">
      <c r="A141" t="s">
        <v>157</v>
      </c>
      <c r="B141" t="s">
        <v>1371</v>
      </c>
      <c r="C141" t="s">
        <v>938</v>
      </c>
      <c r="D141" t="s">
        <v>929</v>
      </c>
      <c r="E141" t="s">
        <v>930</v>
      </c>
      <c r="F141" t="s">
        <v>958</v>
      </c>
    </row>
    <row r="142" spans="1:6" x14ac:dyDescent="0.3">
      <c r="A142" t="s">
        <v>158</v>
      </c>
      <c r="B142" t="s">
        <v>1373</v>
      </c>
      <c r="C142" t="s">
        <v>1123</v>
      </c>
      <c r="D142" t="s">
        <v>934</v>
      </c>
      <c r="E142" t="s">
        <v>954</v>
      </c>
      <c r="F142" t="s">
        <v>943</v>
      </c>
    </row>
    <row r="143" spans="1:6" x14ac:dyDescent="0.3">
      <c r="A143" t="s">
        <v>159</v>
      </c>
      <c r="B143" t="s">
        <v>1373</v>
      </c>
      <c r="C143" t="s">
        <v>1058</v>
      </c>
      <c r="D143" t="s">
        <v>929</v>
      </c>
      <c r="E143" t="s">
        <v>930</v>
      </c>
      <c r="F143" t="s">
        <v>943</v>
      </c>
    </row>
    <row r="144" spans="1:6" x14ac:dyDescent="0.3">
      <c r="A144" t="s">
        <v>160</v>
      </c>
      <c r="B144" t="s">
        <v>1374</v>
      </c>
      <c r="C144" t="s">
        <v>1213</v>
      </c>
      <c r="D144" t="s">
        <v>929</v>
      </c>
      <c r="E144" t="s">
        <v>930</v>
      </c>
      <c r="F144" t="s">
        <v>931</v>
      </c>
    </row>
    <row r="145" spans="1:6" x14ac:dyDescent="0.3">
      <c r="A145" t="s">
        <v>1375</v>
      </c>
      <c r="B145" t="s">
        <v>1376</v>
      </c>
      <c r="C145" t="s">
        <v>1028</v>
      </c>
      <c r="D145" t="s">
        <v>934</v>
      </c>
      <c r="E145" t="s">
        <v>930</v>
      </c>
      <c r="F145" t="s">
        <v>958</v>
      </c>
    </row>
    <row r="146" spans="1:6" x14ac:dyDescent="0.3">
      <c r="A146" t="s">
        <v>161</v>
      </c>
      <c r="B146" t="s">
        <v>1383</v>
      </c>
      <c r="C146" t="s">
        <v>1215</v>
      </c>
      <c r="D146" t="s">
        <v>929</v>
      </c>
      <c r="E146" t="s">
        <v>930</v>
      </c>
      <c r="F146" t="s">
        <v>943</v>
      </c>
    </row>
    <row r="147" spans="1:6" x14ac:dyDescent="0.3">
      <c r="A147" t="s">
        <v>162</v>
      </c>
      <c r="B147" t="s">
        <v>1384</v>
      </c>
      <c r="C147" t="s">
        <v>1385</v>
      </c>
      <c r="D147" t="s">
        <v>934</v>
      </c>
      <c r="E147" t="s">
        <v>954</v>
      </c>
      <c r="F147" t="s">
        <v>943</v>
      </c>
    </row>
    <row r="148" spans="1:6" x14ac:dyDescent="0.3">
      <c r="A148" t="s">
        <v>163</v>
      </c>
      <c r="B148" t="s">
        <v>1384</v>
      </c>
      <c r="C148" t="s">
        <v>1274</v>
      </c>
      <c r="D148" t="s">
        <v>934</v>
      </c>
      <c r="E148" t="s">
        <v>954</v>
      </c>
      <c r="F148" t="s">
        <v>931</v>
      </c>
    </row>
    <row r="149" spans="1:6" x14ac:dyDescent="0.3">
      <c r="A149" t="s">
        <v>164</v>
      </c>
      <c r="B149" t="s">
        <v>1386</v>
      </c>
      <c r="C149" t="s">
        <v>1023</v>
      </c>
      <c r="D149" t="s">
        <v>929</v>
      </c>
      <c r="E149" t="s">
        <v>930</v>
      </c>
      <c r="F149" t="s">
        <v>931</v>
      </c>
    </row>
    <row r="150" spans="1:6" x14ac:dyDescent="0.3">
      <c r="A150" t="s">
        <v>165</v>
      </c>
      <c r="B150" t="s">
        <v>1252</v>
      </c>
      <c r="C150" t="s">
        <v>1253</v>
      </c>
      <c r="D150" t="s">
        <v>934</v>
      </c>
      <c r="E150" t="s">
        <v>962</v>
      </c>
      <c r="F150" t="s">
        <v>946</v>
      </c>
    </row>
    <row r="151" spans="1:6" x14ac:dyDescent="0.3">
      <c r="A151" t="s">
        <v>166</v>
      </c>
      <c r="B151" t="s">
        <v>1252</v>
      </c>
      <c r="C151" t="s">
        <v>1254</v>
      </c>
      <c r="D151" t="s">
        <v>934</v>
      </c>
      <c r="E151" t="s">
        <v>977</v>
      </c>
      <c r="F151" t="s">
        <v>946</v>
      </c>
    </row>
    <row r="152" spans="1:6" x14ac:dyDescent="0.3">
      <c r="A152" t="s">
        <v>167</v>
      </c>
      <c r="B152" t="s">
        <v>1252</v>
      </c>
      <c r="C152" t="s">
        <v>1255</v>
      </c>
      <c r="D152" t="s">
        <v>934</v>
      </c>
      <c r="E152" t="s">
        <v>1208</v>
      </c>
      <c r="F152" t="s">
        <v>943</v>
      </c>
    </row>
    <row r="153" spans="1:6" x14ac:dyDescent="0.3">
      <c r="A153" t="s">
        <v>168</v>
      </c>
      <c r="B153" t="s">
        <v>1252</v>
      </c>
      <c r="C153" t="s">
        <v>1255</v>
      </c>
      <c r="D153" t="s">
        <v>934</v>
      </c>
      <c r="E153" t="s">
        <v>962</v>
      </c>
      <c r="F153" t="s">
        <v>931</v>
      </c>
    </row>
    <row r="154" spans="1:6" x14ac:dyDescent="0.3">
      <c r="A154" t="s">
        <v>169</v>
      </c>
      <c r="B154" t="s">
        <v>1252</v>
      </c>
      <c r="C154" t="s">
        <v>1256</v>
      </c>
      <c r="D154" t="s">
        <v>934</v>
      </c>
      <c r="E154" t="s">
        <v>962</v>
      </c>
      <c r="F154" t="s">
        <v>946</v>
      </c>
    </row>
    <row r="155" spans="1:6" x14ac:dyDescent="0.3">
      <c r="A155" t="s">
        <v>171</v>
      </c>
      <c r="B155" t="s">
        <v>1414</v>
      </c>
      <c r="C155" t="s">
        <v>1258</v>
      </c>
      <c r="D155" t="s">
        <v>934</v>
      </c>
      <c r="E155" t="s">
        <v>1004</v>
      </c>
      <c r="F155" t="s">
        <v>943</v>
      </c>
    </row>
    <row r="156" spans="1:6" x14ac:dyDescent="0.3">
      <c r="A156" t="s">
        <v>172</v>
      </c>
      <c r="B156" t="s">
        <v>1414</v>
      </c>
      <c r="C156" t="s">
        <v>1351</v>
      </c>
      <c r="D156" t="s">
        <v>950</v>
      </c>
      <c r="E156" t="s">
        <v>977</v>
      </c>
      <c r="F156" t="s">
        <v>943</v>
      </c>
    </row>
    <row r="157" spans="1:6" x14ac:dyDescent="0.3">
      <c r="A157" t="s">
        <v>1413</v>
      </c>
      <c r="B157" t="s">
        <v>1414</v>
      </c>
      <c r="C157" t="s">
        <v>1022</v>
      </c>
      <c r="D157" t="s">
        <v>929</v>
      </c>
      <c r="E157" t="s">
        <v>930</v>
      </c>
      <c r="F157" t="s">
        <v>943</v>
      </c>
    </row>
    <row r="158" spans="1:6" x14ac:dyDescent="0.3">
      <c r="A158" t="s">
        <v>1415</v>
      </c>
      <c r="B158" t="s">
        <v>1414</v>
      </c>
      <c r="C158" t="s">
        <v>1023</v>
      </c>
      <c r="D158" t="s">
        <v>929</v>
      </c>
      <c r="E158" t="s">
        <v>930</v>
      </c>
      <c r="F158" t="s">
        <v>936</v>
      </c>
    </row>
    <row r="159" spans="1:6" x14ac:dyDescent="0.3">
      <c r="A159" t="s">
        <v>173</v>
      </c>
      <c r="B159" t="s">
        <v>1416</v>
      </c>
      <c r="C159" t="s">
        <v>1417</v>
      </c>
      <c r="D159" t="s">
        <v>934</v>
      </c>
      <c r="E159" t="s">
        <v>1065</v>
      </c>
      <c r="F159" t="s">
        <v>943</v>
      </c>
    </row>
    <row r="160" spans="1:6" x14ac:dyDescent="0.3">
      <c r="A160" t="s">
        <v>174</v>
      </c>
      <c r="B160" t="s">
        <v>1418</v>
      </c>
      <c r="C160" t="s">
        <v>1151</v>
      </c>
      <c r="D160" t="s">
        <v>929</v>
      </c>
      <c r="E160" t="s">
        <v>930</v>
      </c>
      <c r="F160" t="s">
        <v>958</v>
      </c>
    </row>
    <row r="161" spans="1:6" x14ac:dyDescent="0.3">
      <c r="A161" t="s">
        <v>175</v>
      </c>
      <c r="B161" t="s">
        <v>1419</v>
      </c>
      <c r="C161" t="s">
        <v>1228</v>
      </c>
      <c r="D161" t="s">
        <v>1087</v>
      </c>
      <c r="E161" t="s">
        <v>1088</v>
      </c>
      <c r="F161" t="s">
        <v>931</v>
      </c>
    </row>
    <row r="162" spans="1:6" x14ac:dyDescent="0.3">
      <c r="A162" t="s">
        <v>725</v>
      </c>
      <c r="B162" t="s">
        <v>1769</v>
      </c>
      <c r="C162" t="s">
        <v>1770</v>
      </c>
      <c r="D162" t="s">
        <v>929</v>
      </c>
      <c r="E162" t="s">
        <v>930</v>
      </c>
      <c r="F162" t="s">
        <v>936</v>
      </c>
    </row>
    <row r="163" spans="1:6" x14ac:dyDescent="0.3">
      <c r="A163" t="s">
        <v>176</v>
      </c>
      <c r="B163" t="s">
        <v>1421</v>
      </c>
      <c r="C163" t="s">
        <v>1061</v>
      </c>
      <c r="D163" t="s">
        <v>934</v>
      </c>
      <c r="E163" t="s">
        <v>1004</v>
      </c>
      <c r="F163" t="s">
        <v>943</v>
      </c>
    </row>
    <row r="164" spans="1:6" x14ac:dyDescent="0.3">
      <c r="A164" t="s">
        <v>798</v>
      </c>
      <c r="B164" t="s">
        <v>1425</v>
      </c>
      <c r="C164" t="s">
        <v>1426</v>
      </c>
      <c r="D164" t="s">
        <v>950</v>
      </c>
      <c r="E164" t="s">
        <v>1332</v>
      </c>
      <c r="F164" t="s">
        <v>958</v>
      </c>
    </row>
    <row r="165" spans="1:6" x14ac:dyDescent="0.3">
      <c r="A165" t="s">
        <v>177</v>
      </c>
      <c r="B165" t="s">
        <v>1429</v>
      </c>
      <c r="C165" t="s">
        <v>975</v>
      </c>
      <c r="D165" t="s">
        <v>976</v>
      </c>
      <c r="E165" t="s">
        <v>1027</v>
      </c>
      <c r="F165" t="s">
        <v>943</v>
      </c>
    </row>
    <row r="166" spans="1:6" x14ac:dyDescent="0.3">
      <c r="A166" t="s">
        <v>178</v>
      </c>
      <c r="B166" t="s">
        <v>1429</v>
      </c>
      <c r="C166" t="s">
        <v>1319</v>
      </c>
      <c r="D166" t="s">
        <v>929</v>
      </c>
      <c r="E166" t="s">
        <v>930</v>
      </c>
      <c r="F166" t="s">
        <v>946</v>
      </c>
    </row>
    <row r="167" spans="1:6" x14ac:dyDescent="0.3">
      <c r="A167" t="s">
        <v>179</v>
      </c>
      <c r="B167" t="s">
        <v>1430</v>
      </c>
      <c r="C167" t="s">
        <v>1431</v>
      </c>
      <c r="D167" t="s">
        <v>934</v>
      </c>
      <c r="E167" t="s">
        <v>954</v>
      </c>
      <c r="F167" t="s">
        <v>943</v>
      </c>
    </row>
    <row r="168" spans="1:6" x14ac:dyDescent="0.3">
      <c r="A168" t="s">
        <v>181</v>
      </c>
      <c r="B168" t="s">
        <v>1438</v>
      </c>
      <c r="C168" t="s">
        <v>1439</v>
      </c>
      <c r="D168" t="s">
        <v>934</v>
      </c>
      <c r="E168" t="s">
        <v>935</v>
      </c>
      <c r="F168" t="s">
        <v>931</v>
      </c>
    </row>
    <row r="169" spans="1:6" x14ac:dyDescent="0.3">
      <c r="A169" t="s">
        <v>182</v>
      </c>
      <c r="B169" t="s">
        <v>1442</v>
      </c>
      <c r="C169" t="s">
        <v>1443</v>
      </c>
      <c r="D169" t="s">
        <v>934</v>
      </c>
      <c r="E169" t="s">
        <v>980</v>
      </c>
      <c r="F169" t="s">
        <v>946</v>
      </c>
    </row>
    <row r="170" spans="1:6" x14ac:dyDescent="0.3">
      <c r="A170" t="s">
        <v>183</v>
      </c>
      <c r="B170" t="s">
        <v>1444</v>
      </c>
      <c r="C170" t="s">
        <v>938</v>
      </c>
      <c r="D170" t="s">
        <v>929</v>
      </c>
      <c r="E170" t="s">
        <v>930</v>
      </c>
      <c r="F170" t="s">
        <v>943</v>
      </c>
    </row>
    <row r="171" spans="1:6" x14ac:dyDescent="0.3">
      <c r="A171" t="s">
        <v>185</v>
      </c>
      <c r="B171" t="s">
        <v>1445</v>
      </c>
      <c r="C171" t="s">
        <v>938</v>
      </c>
      <c r="D171" t="s">
        <v>929</v>
      </c>
      <c r="E171" t="s">
        <v>930</v>
      </c>
      <c r="F171" t="s">
        <v>931</v>
      </c>
    </row>
    <row r="172" spans="1:6" x14ac:dyDescent="0.3">
      <c r="A172" t="s">
        <v>186</v>
      </c>
      <c r="B172" t="s">
        <v>1464</v>
      </c>
      <c r="C172" t="s">
        <v>1012</v>
      </c>
      <c r="D172" t="s">
        <v>934</v>
      </c>
      <c r="E172" t="s">
        <v>935</v>
      </c>
      <c r="F172" t="s">
        <v>943</v>
      </c>
    </row>
    <row r="173" spans="1:6" x14ac:dyDescent="0.3">
      <c r="A173" t="s">
        <v>187</v>
      </c>
      <c r="B173" t="s">
        <v>1472</v>
      </c>
      <c r="C173" t="s">
        <v>1473</v>
      </c>
      <c r="D173" t="s">
        <v>950</v>
      </c>
      <c r="E173" t="s">
        <v>1343</v>
      </c>
      <c r="F173" t="s">
        <v>931</v>
      </c>
    </row>
    <row r="174" spans="1:6" x14ac:dyDescent="0.3">
      <c r="A174" t="s">
        <v>1474</v>
      </c>
      <c r="B174" t="s">
        <v>1475</v>
      </c>
      <c r="C174" t="s">
        <v>1476</v>
      </c>
      <c r="D174" t="s">
        <v>950</v>
      </c>
      <c r="E174" t="s">
        <v>1477</v>
      </c>
      <c r="F174" t="s">
        <v>946</v>
      </c>
    </row>
    <row r="175" spans="1:6" x14ac:dyDescent="0.3">
      <c r="A175" t="s">
        <v>1478</v>
      </c>
      <c r="B175" t="s">
        <v>1475</v>
      </c>
      <c r="C175" t="s">
        <v>1372</v>
      </c>
      <c r="D175" t="s">
        <v>950</v>
      </c>
      <c r="E175" t="s">
        <v>1477</v>
      </c>
      <c r="F175" t="s">
        <v>943</v>
      </c>
    </row>
    <row r="176" spans="1:6" x14ac:dyDescent="0.3">
      <c r="A176" t="s">
        <v>189</v>
      </c>
      <c r="B176" t="s">
        <v>1475</v>
      </c>
      <c r="C176" t="s">
        <v>1350</v>
      </c>
      <c r="D176" t="s">
        <v>929</v>
      </c>
      <c r="E176" t="s">
        <v>930</v>
      </c>
      <c r="F176" t="s">
        <v>936</v>
      </c>
    </row>
    <row r="177" spans="1:6" x14ac:dyDescent="0.3">
      <c r="A177" t="s">
        <v>190</v>
      </c>
      <c r="B177" t="s">
        <v>1479</v>
      </c>
      <c r="C177" t="s">
        <v>1480</v>
      </c>
      <c r="D177" t="s">
        <v>934</v>
      </c>
      <c r="E177" t="s">
        <v>954</v>
      </c>
      <c r="F177" t="s">
        <v>943</v>
      </c>
    </row>
    <row r="178" spans="1:6" x14ac:dyDescent="0.3">
      <c r="A178" t="s">
        <v>191</v>
      </c>
      <c r="B178" t="s">
        <v>1485</v>
      </c>
      <c r="C178" t="s">
        <v>1486</v>
      </c>
      <c r="D178" t="s">
        <v>934</v>
      </c>
      <c r="E178" t="s">
        <v>930</v>
      </c>
      <c r="F178" t="s">
        <v>931</v>
      </c>
    </row>
    <row r="179" spans="1:6" x14ac:dyDescent="0.3">
      <c r="A179" t="s">
        <v>647</v>
      </c>
      <c r="B179" t="s">
        <v>1490</v>
      </c>
      <c r="C179" t="s">
        <v>1028</v>
      </c>
      <c r="D179" t="s">
        <v>929</v>
      </c>
      <c r="E179" t="s">
        <v>930</v>
      </c>
      <c r="F179" t="s">
        <v>943</v>
      </c>
    </row>
    <row r="180" spans="1:6" x14ac:dyDescent="0.3">
      <c r="A180" t="s">
        <v>193</v>
      </c>
      <c r="B180" t="s">
        <v>1494</v>
      </c>
      <c r="C180" t="s">
        <v>1495</v>
      </c>
      <c r="D180" t="s">
        <v>929</v>
      </c>
      <c r="E180" t="s">
        <v>930</v>
      </c>
      <c r="F180" t="s">
        <v>946</v>
      </c>
    </row>
    <row r="181" spans="1:6" x14ac:dyDescent="0.3">
      <c r="A181" t="s">
        <v>194</v>
      </c>
      <c r="B181" t="s">
        <v>1504</v>
      </c>
      <c r="C181" t="s">
        <v>1505</v>
      </c>
      <c r="D181" t="s">
        <v>934</v>
      </c>
      <c r="E181" t="s">
        <v>977</v>
      </c>
      <c r="F181" t="s">
        <v>946</v>
      </c>
    </row>
    <row r="182" spans="1:6" x14ac:dyDescent="0.3">
      <c r="A182" t="s">
        <v>195</v>
      </c>
      <c r="B182" t="s">
        <v>1502</v>
      </c>
      <c r="C182" t="s">
        <v>1503</v>
      </c>
      <c r="D182" t="s">
        <v>934</v>
      </c>
      <c r="E182" t="s">
        <v>977</v>
      </c>
      <c r="F182" t="s">
        <v>946</v>
      </c>
    </row>
    <row r="183" spans="1:6" x14ac:dyDescent="0.3">
      <c r="A183" t="s">
        <v>696</v>
      </c>
      <c r="B183" t="s">
        <v>1496</v>
      </c>
      <c r="C183" t="s">
        <v>1497</v>
      </c>
      <c r="D183" t="s">
        <v>1157</v>
      </c>
      <c r="E183" t="s">
        <v>1498</v>
      </c>
      <c r="F183" t="s">
        <v>958</v>
      </c>
    </row>
    <row r="184" spans="1:6" x14ac:dyDescent="0.3">
      <c r="A184" t="s">
        <v>196</v>
      </c>
      <c r="B184" t="s">
        <v>1509</v>
      </c>
      <c r="C184" t="s">
        <v>1351</v>
      </c>
      <c r="D184" t="s">
        <v>934</v>
      </c>
      <c r="E184" t="s">
        <v>1489</v>
      </c>
      <c r="F184" t="s">
        <v>943</v>
      </c>
    </row>
    <row r="185" spans="1:6" x14ac:dyDescent="0.3">
      <c r="A185" t="s">
        <v>197</v>
      </c>
      <c r="B185" t="s">
        <v>1516</v>
      </c>
      <c r="C185" t="s">
        <v>1517</v>
      </c>
      <c r="D185" t="s">
        <v>1221</v>
      </c>
      <c r="E185" t="s">
        <v>1027</v>
      </c>
      <c r="F185" t="s">
        <v>943</v>
      </c>
    </row>
    <row r="186" spans="1:6" x14ac:dyDescent="0.3">
      <c r="A186" t="s">
        <v>198</v>
      </c>
      <c r="B186" t="s">
        <v>1516</v>
      </c>
      <c r="C186" t="s">
        <v>1022</v>
      </c>
      <c r="D186" t="s">
        <v>929</v>
      </c>
      <c r="E186" t="s">
        <v>930</v>
      </c>
      <c r="F186" t="s">
        <v>943</v>
      </c>
    </row>
    <row r="187" spans="1:6" x14ac:dyDescent="0.3">
      <c r="A187" t="s">
        <v>199</v>
      </c>
      <c r="B187" t="s">
        <v>1518</v>
      </c>
      <c r="C187" t="s">
        <v>1009</v>
      </c>
      <c r="D187" t="s">
        <v>929</v>
      </c>
      <c r="E187" t="s">
        <v>930</v>
      </c>
      <c r="F187" t="s">
        <v>958</v>
      </c>
    </row>
    <row r="188" spans="1:6" x14ac:dyDescent="0.3">
      <c r="A188" t="s">
        <v>200</v>
      </c>
      <c r="B188" t="s">
        <v>1519</v>
      </c>
      <c r="C188" t="s">
        <v>1520</v>
      </c>
      <c r="D188" t="s">
        <v>934</v>
      </c>
      <c r="E188" t="s">
        <v>935</v>
      </c>
      <c r="F188" t="s">
        <v>931</v>
      </c>
    </row>
    <row r="189" spans="1:6" x14ac:dyDescent="0.3">
      <c r="A189" t="s">
        <v>201</v>
      </c>
      <c r="B189" t="s">
        <v>1534</v>
      </c>
      <c r="C189" t="s">
        <v>1535</v>
      </c>
      <c r="D189" t="s">
        <v>934</v>
      </c>
      <c r="E189" t="s">
        <v>962</v>
      </c>
      <c r="F189" t="s">
        <v>943</v>
      </c>
    </row>
    <row r="190" spans="1:6" x14ac:dyDescent="0.3">
      <c r="A190" t="s">
        <v>202</v>
      </c>
      <c r="B190" t="s">
        <v>1550</v>
      </c>
      <c r="C190" t="s">
        <v>975</v>
      </c>
      <c r="D190" t="s">
        <v>976</v>
      </c>
      <c r="E190" t="s">
        <v>1551</v>
      </c>
      <c r="F190" t="s">
        <v>946</v>
      </c>
    </row>
    <row r="191" spans="1:6" x14ac:dyDescent="0.3">
      <c r="A191" t="s">
        <v>203</v>
      </c>
      <c r="B191" t="s">
        <v>1550</v>
      </c>
      <c r="C191" t="s">
        <v>938</v>
      </c>
      <c r="D191" t="s">
        <v>929</v>
      </c>
      <c r="E191" t="s">
        <v>930</v>
      </c>
      <c r="F191" t="s">
        <v>946</v>
      </c>
    </row>
    <row r="192" spans="1:6" x14ac:dyDescent="0.3">
      <c r="A192" t="s">
        <v>204</v>
      </c>
      <c r="B192" t="s">
        <v>1555</v>
      </c>
      <c r="C192" t="s">
        <v>1556</v>
      </c>
      <c r="D192" t="s">
        <v>934</v>
      </c>
      <c r="E192" t="s">
        <v>1004</v>
      </c>
      <c r="F192" t="s">
        <v>946</v>
      </c>
    </row>
    <row r="193" spans="1:6" x14ac:dyDescent="0.3">
      <c r="A193" t="s">
        <v>205</v>
      </c>
      <c r="B193" t="s">
        <v>1555</v>
      </c>
      <c r="C193" t="s">
        <v>1023</v>
      </c>
      <c r="D193" t="s">
        <v>929</v>
      </c>
      <c r="E193" t="s">
        <v>930</v>
      </c>
      <c r="F193" t="s">
        <v>943</v>
      </c>
    </row>
    <row r="194" spans="1:6" x14ac:dyDescent="0.3">
      <c r="A194" t="s">
        <v>206</v>
      </c>
      <c r="B194" t="s">
        <v>1557</v>
      </c>
      <c r="C194" t="s">
        <v>1558</v>
      </c>
      <c r="D194" t="s">
        <v>934</v>
      </c>
      <c r="E194" t="s">
        <v>930</v>
      </c>
      <c r="F194" t="s">
        <v>936</v>
      </c>
    </row>
    <row r="195" spans="1:6" x14ac:dyDescent="0.3">
      <c r="A195" t="s">
        <v>207</v>
      </c>
      <c r="B195" t="s">
        <v>1559</v>
      </c>
      <c r="C195" t="s">
        <v>1028</v>
      </c>
      <c r="D195" t="s">
        <v>934</v>
      </c>
      <c r="E195" t="s">
        <v>930</v>
      </c>
      <c r="F195" t="s">
        <v>943</v>
      </c>
    </row>
    <row r="196" spans="1:6" x14ac:dyDescent="0.3">
      <c r="A196" t="s">
        <v>208</v>
      </c>
      <c r="B196" t="s">
        <v>1560</v>
      </c>
      <c r="C196" t="s">
        <v>945</v>
      </c>
      <c r="D196" t="s">
        <v>934</v>
      </c>
      <c r="E196" t="s">
        <v>954</v>
      </c>
      <c r="F196" t="s">
        <v>931</v>
      </c>
    </row>
    <row r="197" spans="1:6" x14ac:dyDescent="0.3">
      <c r="A197" t="s">
        <v>209</v>
      </c>
      <c r="B197" t="s">
        <v>1561</v>
      </c>
      <c r="C197" t="s">
        <v>1562</v>
      </c>
      <c r="D197" t="s">
        <v>929</v>
      </c>
      <c r="E197" t="s">
        <v>930</v>
      </c>
      <c r="F197" t="s">
        <v>943</v>
      </c>
    </row>
    <row r="198" spans="1:6" x14ac:dyDescent="0.3">
      <c r="A198" t="s">
        <v>210</v>
      </c>
      <c r="B198" t="s">
        <v>1563</v>
      </c>
      <c r="C198" t="s">
        <v>933</v>
      </c>
      <c r="D198" t="s">
        <v>929</v>
      </c>
      <c r="E198" t="s">
        <v>930</v>
      </c>
      <c r="F198" t="s">
        <v>931</v>
      </c>
    </row>
    <row r="199" spans="1:6" x14ac:dyDescent="0.3">
      <c r="A199" t="s">
        <v>211</v>
      </c>
      <c r="B199" t="s">
        <v>1566</v>
      </c>
      <c r="C199" t="s">
        <v>1028</v>
      </c>
      <c r="D199" t="s">
        <v>934</v>
      </c>
      <c r="E199" t="s">
        <v>1133</v>
      </c>
      <c r="F199" t="s">
        <v>943</v>
      </c>
    </row>
    <row r="200" spans="1:6" x14ac:dyDescent="0.3">
      <c r="A200" t="s">
        <v>212</v>
      </c>
      <c r="B200" t="s">
        <v>1567</v>
      </c>
      <c r="C200" t="s">
        <v>1258</v>
      </c>
      <c r="D200" t="s">
        <v>934</v>
      </c>
      <c r="E200" t="s">
        <v>954</v>
      </c>
      <c r="F200" t="s">
        <v>946</v>
      </c>
    </row>
    <row r="201" spans="1:6" x14ac:dyDescent="0.3">
      <c r="A201" t="s">
        <v>213</v>
      </c>
      <c r="B201" t="s">
        <v>1567</v>
      </c>
      <c r="C201" t="s">
        <v>1022</v>
      </c>
      <c r="D201" t="s">
        <v>929</v>
      </c>
      <c r="E201" t="s">
        <v>930</v>
      </c>
      <c r="F201" t="s">
        <v>946</v>
      </c>
    </row>
    <row r="202" spans="1:6" x14ac:dyDescent="0.3">
      <c r="A202" t="s">
        <v>214</v>
      </c>
      <c r="B202" t="s">
        <v>1568</v>
      </c>
      <c r="C202" t="s">
        <v>1009</v>
      </c>
      <c r="D202" t="s">
        <v>934</v>
      </c>
      <c r="E202" t="s">
        <v>954</v>
      </c>
      <c r="F202" t="s">
        <v>931</v>
      </c>
    </row>
    <row r="203" spans="1:6" x14ac:dyDescent="0.3">
      <c r="A203" t="s">
        <v>216</v>
      </c>
      <c r="B203" t="s">
        <v>1569</v>
      </c>
      <c r="C203" t="s">
        <v>1028</v>
      </c>
      <c r="D203" t="s">
        <v>934</v>
      </c>
      <c r="E203" t="s">
        <v>1208</v>
      </c>
      <c r="F203" t="s">
        <v>943</v>
      </c>
    </row>
    <row r="204" spans="1:6" x14ac:dyDescent="0.3">
      <c r="A204" t="s">
        <v>217</v>
      </c>
      <c r="B204" t="s">
        <v>1569</v>
      </c>
      <c r="C204" t="s">
        <v>1025</v>
      </c>
      <c r="D204" t="s">
        <v>976</v>
      </c>
      <c r="E204" t="s">
        <v>1026</v>
      </c>
      <c r="F204" t="s">
        <v>931</v>
      </c>
    </row>
    <row r="205" spans="1:6" x14ac:dyDescent="0.3">
      <c r="A205" t="s">
        <v>218</v>
      </c>
      <c r="B205" t="s">
        <v>1569</v>
      </c>
      <c r="C205" t="s">
        <v>1028</v>
      </c>
      <c r="D205" t="s">
        <v>929</v>
      </c>
      <c r="E205" t="s">
        <v>930</v>
      </c>
      <c r="F205" t="s">
        <v>931</v>
      </c>
    </row>
    <row r="206" spans="1:6" x14ac:dyDescent="0.3">
      <c r="A206" t="s">
        <v>1570</v>
      </c>
      <c r="B206" t="s">
        <v>1571</v>
      </c>
      <c r="C206" t="s">
        <v>1572</v>
      </c>
      <c r="D206" t="s">
        <v>1230</v>
      </c>
      <c r="E206" t="s">
        <v>930</v>
      </c>
      <c r="F206" t="s">
        <v>943</v>
      </c>
    </row>
    <row r="207" spans="1:6" x14ac:dyDescent="0.3">
      <c r="A207" t="s">
        <v>220</v>
      </c>
      <c r="B207" t="s">
        <v>1574</v>
      </c>
      <c r="C207" t="s">
        <v>1023</v>
      </c>
      <c r="D207" t="s">
        <v>934</v>
      </c>
      <c r="E207" t="s">
        <v>1065</v>
      </c>
      <c r="F207" t="s">
        <v>943</v>
      </c>
    </row>
    <row r="208" spans="1:6" x14ac:dyDescent="0.3">
      <c r="A208" t="s">
        <v>1575</v>
      </c>
      <c r="B208" t="s">
        <v>1576</v>
      </c>
      <c r="C208" t="s">
        <v>1577</v>
      </c>
      <c r="D208" t="s">
        <v>934</v>
      </c>
      <c r="E208" t="s">
        <v>935</v>
      </c>
      <c r="F208" t="s">
        <v>936</v>
      </c>
    </row>
    <row r="209" spans="1:6" x14ac:dyDescent="0.3">
      <c r="A209" t="s">
        <v>1580</v>
      </c>
      <c r="B209" t="s">
        <v>1581</v>
      </c>
      <c r="C209" t="s">
        <v>1582</v>
      </c>
      <c r="D209" t="s">
        <v>929</v>
      </c>
      <c r="E209" t="s">
        <v>930</v>
      </c>
      <c r="F209" t="s">
        <v>936</v>
      </c>
    </row>
    <row r="210" spans="1:6" x14ac:dyDescent="0.3">
      <c r="A210" t="s">
        <v>221</v>
      </c>
      <c r="B210" t="s">
        <v>1583</v>
      </c>
      <c r="C210" t="s">
        <v>1584</v>
      </c>
      <c r="D210" t="s">
        <v>929</v>
      </c>
      <c r="E210" t="s">
        <v>930</v>
      </c>
      <c r="F210" t="s">
        <v>943</v>
      </c>
    </row>
    <row r="211" spans="1:6" x14ac:dyDescent="0.3">
      <c r="A211" t="s">
        <v>222</v>
      </c>
      <c r="B211" t="s">
        <v>1585</v>
      </c>
      <c r="C211" t="s">
        <v>1022</v>
      </c>
      <c r="D211" t="s">
        <v>934</v>
      </c>
      <c r="E211" t="s">
        <v>1004</v>
      </c>
      <c r="F211" t="s">
        <v>931</v>
      </c>
    </row>
    <row r="212" spans="1:6" x14ac:dyDescent="0.3">
      <c r="A212" t="s">
        <v>223</v>
      </c>
      <c r="B212" t="s">
        <v>1587</v>
      </c>
      <c r="C212" t="s">
        <v>1588</v>
      </c>
      <c r="D212" t="s">
        <v>1087</v>
      </c>
      <c r="E212" t="s">
        <v>1317</v>
      </c>
      <c r="F212" t="s">
        <v>958</v>
      </c>
    </row>
    <row r="213" spans="1:6" x14ac:dyDescent="0.3">
      <c r="A213" t="s">
        <v>224</v>
      </c>
      <c r="B213" t="s">
        <v>1589</v>
      </c>
      <c r="C213" t="s">
        <v>1028</v>
      </c>
      <c r="D213" t="s">
        <v>929</v>
      </c>
      <c r="E213" t="s">
        <v>930</v>
      </c>
      <c r="F213" t="s">
        <v>931</v>
      </c>
    </row>
    <row r="214" spans="1:6" x14ac:dyDescent="0.3">
      <c r="A214" t="s">
        <v>225</v>
      </c>
      <c r="B214" t="s">
        <v>1590</v>
      </c>
      <c r="C214" t="s">
        <v>1003</v>
      </c>
      <c r="D214" t="s">
        <v>934</v>
      </c>
      <c r="E214" t="s">
        <v>1004</v>
      </c>
      <c r="F214" t="s">
        <v>931</v>
      </c>
    </row>
    <row r="215" spans="1:6" x14ac:dyDescent="0.3">
      <c r="A215" t="s">
        <v>226</v>
      </c>
      <c r="B215" t="s">
        <v>1592</v>
      </c>
      <c r="C215" t="s">
        <v>1022</v>
      </c>
      <c r="D215" t="s">
        <v>929</v>
      </c>
      <c r="E215" t="s">
        <v>930</v>
      </c>
      <c r="F215" t="s">
        <v>946</v>
      </c>
    </row>
    <row r="216" spans="1:6" x14ac:dyDescent="0.3">
      <c r="A216" t="s">
        <v>1593</v>
      </c>
      <c r="B216" t="s">
        <v>1594</v>
      </c>
      <c r="C216" t="s">
        <v>1582</v>
      </c>
      <c r="D216" t="s">
        <v>929</v>
      </c>
      <c r="E216" t="s">
        <v>930</v>
      </c>
      <c r="F216" t="s">
        <v>946</v>
      </c>
    </row>
    <row r="217" spans="1:6" x14ac:dyDescent="0.3">
      <c r="A217" t="s">
        <v>1595</v>
      </c>
      <c r="B217" t="s">
        <v>1596</v>
      </c>
      <c r="C217" t="s">
        <v>1597</v>
      </c>
      <c r="D217" t="s">
        <v>976</v>
      </c>
      <c r="E217" t="s">
        <v>1598</v>
      </c>
      <c r="F217" t="s">
        <v>931</v>
      </c>
    </row>
    <row r="218" spans="1:6" x14ac:dyDescent="0.3">
      <c r="A218" t="s">
        <v>227</v>
      </c>
      <c r="B218" t="s">
        <v>1599</v>
      </c>
      <c r="C218" t="s">
        <v>938</v>
      </c>
      <c r="D218" t="s">
        <v>929</v>
      </c>
      <c r="E218" t="s">
        <v>930</v>
      </c>
      <c r="F218" t="s">
        <v>946</v>
      </c>
    </row>
    <row r="219" spans="1:6" x14ac:dyDescent="0.3">
      <c r="A219" t="s">
        <v>783</v>
      </c>
      <c r="B219" t="s">
        <v>1600</v>
      </c>
      <c r="C219" t="s">
        <v>1258</v>
      </c>
      <c r="D219" t="s">
        <v>934</v>
      </c>
      <c r="E219" t="s">
        <v>1065</v>
      </c>
      <c r="F219" t="s">
        <v>958</v>
      </c>
    </row>
    <row r="220" spans="1:6" x14ac:dyDescent="0.3">
      <c r="A220" t="s">
        <v>229</v>
      </c>
      <c r="B220" t="s">
        <v>1601</v>
      </c>
      <c r="C220" t="s">
        <v>1061</v>
      </c>
      <c r="D220" t="s">
        <v>934</v>
      </c>
      <c r="E220" t="s">
        <v>1133</v>
      </c>
      <c r="F220" t="s">
        <v>943</v>
      </c>
    </row>
    <row r="221" spans="1:6" x14ac:dyDescent="0.3">
      <c r="A221" t="s">
        <v>230</v>
      </c>
      <c r="B221" t="s">
        <v>1608</v>
      </c>
      <c r="C221" t="s">
        <v>1058</v>
      </c>
      <c r="D221" t="s">
        <v>934</v>
      </c>
      <c r="E221" t="s">
        <v>930</v>
      </c>
      <c r="F221" t="s">
        <v>931</v>
      </c>
    </row>
    <row r="222" spans="1:6" x14ac:dyDescent="0.3">
      <c r="A222" t="s">
        <v>231</v>
      </c>
      <c r="B222" t="s">
        <v>1610</v>
      </c>
      <c r="C222" t="s">
        <v>1351</v>
      </c>
      <c r="D222" t="s">
        <v>934</v>
      </c>
      <c r="E222" t="s">
        <v>1133</v>
      </c>
      <c r="F222" t="s">
        <v>931</v>
      </c>
    </row>
    <row r="223" spans="1:6" x14ac:dyDescent="0.3">
      <c r="A223" t="s">
        <v>232</v>
      </c>
      <c r="B223" t="s">
        <v>1611</v>
      </c>
      <c r="C223" t="s">
        <v>1232</v>
      </c>
      <c r="D223" t="s">
        <v>934</v>
      </c>
      <c r="E223" t="s">
        <v>954</v>
      </c>
      <c r="F223" t="s">
        <v>943</v>
      </c>
    </row>
    <row r="224" spans="1:6" x14ac:dyDescent="0.3">
      <c r="A224" t="s">
        <v>233</v>
      </c>
      <c r="B224" t="s">
        <v>1611</v>
      </c>
      <c r="C224" t="s">
        <v>938</v>
      </c>
      <c r="D224" t="s">
        <v>929</v>
      </c>
      <c r="E224" t="s">
        <v>930</v>
      </c>
      <c r="F224" t="s">
        <v>958</v>
      </c>
    </row>
    <row r="225" spans="1:6" x14ac:dyDescent="0.3">
      <c r="A225" t="s">
        <v>234</v>
      </c>
      <c r="B225" t="s">
        <v>1612</v>
      </c>
      <c r="C225" t="s">
        <v>1613</v>
      </c>
      <c r="D225" t="s">
        <v>929</v>
      </c>
      <c r="E225" t="s">
        <v>930</v>
      </c>
      <c r="F225" t="s">
        <v>958</v>
      </c>
    </row>
    <row r="226" spans="1:6" x14ac:dyDescent="0.3">
      <c r="A226" t="s">
        <v>235</v>
      </c>
      <c r="B226" t="s">
        <v>1614</v>
      </c>
      <c r="C226" t="s">
        <v>945</v>
      </c>
      <c r="D226" t="s">
        <v>934</v>
      </c>
      <c r="E226" t="s">
        <v>930</v>
      </c>
      <c r="F226" t="s">
        <v>931</v>
      </c>
    </row>
    <row r="227" spans="1:6" x14ac:dyDescent="0.3">
      <c r="A227" t="s">
        <v>236</v>
      </c>
      <c r="B227" t="s">
        <v>1614</v>
      </c>
      <c r="C227" t="s">
        <v>1028</v>
      </c>
      <c r="D227" t="s">
        <v>934</v>
      </c>
      <c r="E227" t="s">
        <v>930</v>
      </c>
      <c r="F227" t="s">
        <v>931</v>
      </c>
    </row>
    <row r="228" spans="1:6" x14ac:dyDescent="0.3">
      <c r="A228" t="s">
        <v>237</v>
      </c>
      <c r="B228" t="s">
        <v>1621</v>
      </c>
      <c r="C228" t="s">
        <v>1622</v>
      </c>
      <c r="D228" t="s">
        <v>934</v>
      </c>
      <c r="E228" t="s">
        <v>1004</v>
      </c>
      <c r="F228" t="s">
        <v>946</v>
      </c>
    </row>
    <row r="229" spans="1:6" x14ac:dyDescent="0.3">
      <c r="A229" t="s">
        <v>239</v>
      </c>
      <c r="B229" t="s">
        <v>1634</v>
      </c>
      <c r="C229" t="s">
        <v>1338</v>
      </c>
      <c r="D229" t="s">
        <v>950</v>
      </c>
      <c r="E229" t="s">
        <v>935</v>
      </c>
      <c r="F229" t="s">
        <v>946</v>
      </c>
    </row>
    <row r="230" spans="1:6" x14ac:dyDescent="0.3">
      <c r="A230" t="s">
        <v>240</v>
      </c>
      <c r="B230" t="s">
        <v>1634</v>
      </c>
      <c r="C230" t="s">
        <v>1635</v>
      </c>
      <c r="D230" t="s">
        <v>1221</v>
      </c>
      <c r="E230" t="s">
        <v>1027</v>
      </c>
      <c r="F230" t="s">
        <v>931</v>
      </c>
    </row>
    <row r="231" spans="1:6" x14ac:dyDescent="0.3">
      <c r="A231" t="s">
        <v>241</v>
      </c>
      <c r="B231" t="s">
        <v>1634</v>
      </c>
      <c r="C231" t="s">
        <v>1028</v>
      </c>
      <c r="D231" t="s">
        <v>929</v>
      </c>
      <c r="E231" t="s">
        <v>930</v>
      </c>
      <c r="F231" t="s">
        <v>946</v>
      </c>
    </row>
    <row r="232" spans="1:6" x14ac:dyDescent="0.3">
      <c r="A232" t="s">
        <v>242</v>
      </c>
      <c r="B232" t="s">
        <v>1642</v>
      </c>
      <c r="C232" t="s">
        <v>1012</v>
      </c>
      <c r="D232" t="s">
        <v>934</v>
      </c>
      <c r="E232" t="s">
        <v>954</v>
      </c>
      <c r="F232" t="s">
        <v>931</v>
      </c>
    </row>
    <row r="233" spans="1:6" x14ac:dyDescent="0.3">
      <c r="A233" t="s">
        <v>243</v>
      </c>
      <c r="B233" t="s">
        <v>1643</v>
      </c>
      <c r="C233" t="s">
        <v>1644</v>
      </c>
      <c r="D233" t="s">
        <v>934</v>
      </c>
      <c r="E233" t="s">
        <v>930</v>
      </c>
      <c r="F233" t="s">
        <v>931</v>
      </c>
    </row>
    <row r="234" spans="1:6" x14ac:dyDescent="0.3">
      <c r="A234" t="s">
        <v>244</v>
      </c>
      <c r="B234" t="s">
        <v>1645</v>
      </c>
      <c r="C234" t="s">
        <v>1028</v>
      </c>
      <c r="D234" t="s">
        <v>929</v>
      </c>
      <c r="E234" t="s">
        <v>930</v>
      </c>
      <c r="F234" t="s">
        <v>946</v>
      </c>
    </row>
    <row r="235" spans="1:6" x14ac:dyDescent="0.3">
      <c r="A235" t="s">
        <v>246</v>
      </c>
      <c r="B235" t="s">
        <v>1646</v>
      </c>
      <c r="C235" t="s">
        <v>1009</v>
      </c>
      <c r="D235" t="s">
        <v>929</v>
      </c>
      <c r="E235" t="s">
        <v>930</v>
      </c>
      <c r="F235" t="s">
        <v>943</v>
      </c>
    </row>
    <row r="236" spans="1:6" x14ac:dyDescent="0.3">
      <c r="A236" t="s">
        <v>247</v>
      </c>
      <c r="B236" t="s">
        <v>1649</v>
      </c>
      <c r="C236" t="s">
        <v>1650</v>
      </c>
      <c r="D236" t="s">
        <v>934</v>
      </c>
      <c r="E236" t="s">
        <v>997</v>
      </c>
      <c r="F236" t="s">
        <v>946</v>
      </c>
    </row>
    <row r="237" spans="1:6" x14ac:dyDescent="0.3">
      <c r="A237" t="s">
        <v>637</v>
      </c>
      <c r="B237" t="s">
        <v>1586</v>
      </c>
      <c r="C237" t="s">
        <v>930</v>
      </c>
      <c r="D237" t="s">
        <v>934</v>
      </c>
      <c r="E237" t="s">
        <v>1065</v>
      </c>
      <c r="F237" t="s">
        <v>946</v>
      </c>
    </row>
    <row r="238" spans="1:6" x14ac:dyDescent="0.3">
      <c r="A238" t="s">
        <v>248</v>
      </c>
      <c r="B238" t="s">
        <v>1652</v>
      </c>
      <c r="C238" t="s">
        <v>1653</v>
      </c>
      <c r="D238" t="s">
        <v>934</v>
      </c>
      <c r="E238" t="s">
        <v>935</v>
      </c>
      <c r="F238" t="s">
        <v>931</v>
      </c>
    </row>
    <row r="239" spans="1:6" x14ac:dyDescent="0.3">
      <c r="A239" t="s">
        <v>249</v>
      </c>
      <c r="B239" t="s">
        <v>1656</v>
      </c>
      <c r="C239" t="s">
        <v>1517</v>
      </c>
      <c r="D239" t="s">
        <v>1221</v>
      </c>
      <c r="E239" t="s">
        <v>1026</v>
      </c>
      <c r="F239" t="s">
        <v>946</v>
      </c>
    </row>
    <row r="240" spans="1:6" x14ac:dyDescent="0.3">
      <c r="A240" t="s">
        <v>250</v>
      </c>
      <c r="B240" t="s">
        <v>1656</v>
      </c>
      <c r="C240" t="s">
        <v>1056</v>
      </c>
      <c r="D240" t="s">
        <v>929</v>
      </c>
      <c r="E240" t="s">
        <v>930</v>
      </c>
      <c r="F240" t="s">
        <v>943</v>
      </c>
    </row>
    <row r="241" spans="1:6" x14ac:dyDescent="0.3">
      <c r="A241" t="s">
        <v>251</v>
      </c>
      <c r="B241" t="s">
        <v>1656</v>
      </c>
      <c r="C241" t="s">
        <v>1023</v>
      </c>
      <c r="D241" t="s">
        <v>929</v>
      </c>
      <c r="E241" t="s">
        <v>930</v>
      </c>
      <c r="F241" t="s">
        <v>931</v>
      </c>
    </row>
    <row r="242" spans="1:6" x14ac:dyDescent="0.3">
      <c r="A242" t="s">
        <v>252</v>
      </c>
      <c r="B242" t="s">
        <v>1656</v>
      </c>
      <c r="C242" t="s">
        <v>1009</v>
      </c>
      <c r="D242" t="s">
        <v>929</v>
      </c>
      <c r="E242" t="s">
        <v>930</v>
      </c>
      <c r="F242" t="s">
        <v>943</v>
      </c>
    </row>
    <row r="243" spans="1:6" x14ac:dyDescent="0.3">
      <c r="A243" t="s">
        <v>253</v>
      </c>
      <c r="B243" t="s">
        <v>1721</v>
      </c>
      <c r="C243" t="s">
        <v>930</v>
      </c>
      <c r="D243" t="s">
        <v>950</v>
      </c>
      <c r="E243" t="s">
        <v>962</v>
      </c>
      <c r="F243" t="s">
        <v>931</v>
      </c>
    </row>
    <row r="244" spans="1:6" x14ac:dyDescent="0.3">
      <c r="A244" t="s">
        <v>254</v>
      </c>
      <c r="B244" t="s">
        <v>1660</v>
      </c>
      <c r="C244" t="s">
        <v>1064</v>
      </c>
      <c r="D244" t="s">
        <v>934</v>
      </c>
      <c r="E244" t="s">
        <v>977</v>
      </c>
      <c r="F244" t="s">
        <v>943</v>
      </c>
    </row>
    <row r="245" spans="1:6" x14ac:dyDescent="0.3">
      <c r="A245" t="s">
        <v>256</v>
      </c>
      <c r="B245" t="s">
        <v>1661</v>
      </c>
      <c r="C245" t="s">
        <v>1058</v>
      </c>
      <c r="D245" t="s">
        <v>929</v>
      </c>
      <c r="E245" t="s">
        <v>930</v>
      </c>
      <c r="F245" t="s">
        <v>943</v>
      </c>
    </row>
    <row r="246" spans="1:6" x14ac:dyDescent="0.3">
      <c r="A246" t="s">
        <v>856</v>
      </c>
      <c r="B246" t="s">
        <v>1680</v>
      </c>
      <c r="C246" t="s">
        <v>938</v>
      </c>
      <c r="D246" t="s">
        <v>929</v>
      </c>
      <c r="E246" t="s">
        <v>930</v>
      </c>
      <c r="F246" t="s">
        <v>936</v>
      </c>
    </row>
    <row r="247" spans="1:6" x14ac:dyDescent="0.3">
      <c r="A247" t="s">
        <v>257</v>
      </c>
      <c r="B247" t="s">
        <v>1680</v>
      </c>
      <c r="C247" t="s">
        <v>928</v>
      </c>
      <c r="D247" t="s">
        <v>929</v>
      </c>
      <c r="E247" t="s">
        <v>930</v>
      </c>
      <c r="F247" t="s">
        <v>931</v>
      </c>
    </row>
    <row r="248" spans="1:6" x14ac:dyDescent="0.3">
      <c r="A248" t="s">
        <v>258</v>
      </c>
      <c r="B248" t="s">
        <v>1682</v>
      </c>
      <c r="C248" t="s">
        <v>1018</v>
      </c>
      <c r="D248" t="s">
        <v>934</v>
      </c>
      <c r="E248" t="s">
        <v>954</v>
      </c>
      <c r="F248" t="s">
        <v>943</v>
      </c>
    </row>
    <row r="249" spans="1:6" x14ac:dyDescent="0.3">
      <c r="A249" t="s">
        <v>259</v>
      </c>
      <c r="B249" t="s">
        <v>1682</v>
      </c>
      <c r="C249" t="s">
        <v>1350</v>
      </c>
      <c r="D249" t="s">
        <v>929</v>
      </c>
      <c r="E249" t="s">
        <v>930</v>
      </c>
      <c r="F249" t="s">
        <v>958</v>
      </c>
    </row>
    <row r="250" spans="1:6" x14ac:dyDescent="0.3">
      <c r="A250" t="s">
        <v>260</v>
      </c>
      <c r="B250" t="s">
        <v>1682</v>
      </c>
      <c r="C250" t="s">
        <v>1213</v>
      </c>
      <c r="D250" t="s">
        <v>929</v>
      </c>
      <c r="E250" t="s">
        <v>930</v>
      </c>
      <c r="F250" t="s">
        <v>958</v>
      </c>
    </row>
    <row r="251" spans="1:6" x14ac:dyDescent="0.3">
      <c r="A251" t="s">
        <v>261</v>
      </c>
      <c r="B251" t="s">
        <v>1687</v>
      </c>
      <c r="C251" t="s">
        <v>1213</v>
      </c>
      <c r="D251" t="s">
        <v>929</v>
      </c>
      <c r="E251" t="s">
        <v>930</v>
      </c>
      <c r="F251" t="s">
        <v>958</v>
      </c>
    </row>
    <row r="252" spans="1:6" x14ac:dyDescent="0.3">
      <c r="A252" t="s">
        <v>262</v>
      </c>
      <c r="B252" t="s">
        <v>1688</v>
      </c>
      <c r="C252" t="s">
        <v>1095</v>
      </c>
      <c r="D252" t="s">
        <v>929</v>
      </c>
      <c r="E252" t="s">
        <v>930</v>
      </c>
      <c r="F252" t="s">
        <v>931</v>
      </c>
    </row>
    <row r="253" spans="1:6" x14ac:dyDescent="0.3">
      <c r="A253" t="s">
        <v>263</v>
      </c>
      <c r="B253" t="s">
        <v>1689</v>
      </c>
      <c r="C253" t="s">
        <v>1690</v>
      </c>
      <c r="D253" t="s">
        <v>1072</v>
      </c>
      <c r="E253" t="s">
        <v>1073</v>
      </c>
      <c r="F253" t="s">
        <v>931</v>
      </c>
    </row>
    <row r="254" spans="1:6" x14ac:dyDescent="0.3">
      <c r="A254" t="s">
        <v>264</v>
      </c>
      <c r="B254" t="s">
        <v>1694</v>
      </c>
      <c r="C254" t="s">
        <v>1009</v>
      </c>
      <c r="D254" t="s">
        <v>929</v>
      </c>
      <c r="E254" t="s">
        <v>930</v>
      </c>
      <c r="F254" t="s">
        <v>943</v>
      </c>
    </row>
    <row r="255" spans="1:6" x14ac:dyDescent="0.3">
      <c r="A255" t="s">
        <v>265</v>
      </c>
      <c r="B255" t="s">
        <v>1705</v>
      </c>
      <c r="C255" t="s">
        <v>1706</v>
      </c>
      <c r="D255" t="s">
        <v>950</v>
      </c>
      <c r="E255" t="s">
        <v>1016</v>
      </c>
      <c r="F255" t="s">
        <v>946</v>
      </c>
    </row>
    <row r="256" spans="1:6" x14ac:dyDescent="0.3">
      <c r="A256" t="s">
        <v>266</v>
      </c>
      <c r="B256" t="s">
        <v>1708</v>
      </c>
      <c r="C256" t="s">
        <v>1056</v>
      </c>
      <c r="D256" t="s">
        <v>929</v>
      </c>
      <c r="E256" t="s">
        <v>930</v>
      </c>
      <c r="F256" t="s">
        <v>931</v>
      </c>
    </row>
    <row r="257" spans="1:6" x14ac:dyDescent="0.3">
      <c r="A257" t="s">
        <v>267</v>
      </c>
      <c r="B257" t="s">
        <v>1713</v>
      </c>
      <c r="C257" t="s">
        <v>1714</v>
      </c>
      <c r="D257" t="s">
        <v>934</v>
      </c>
      <c r="E257" t="s">
        <v>977</v>
      </c>
      <c r="F257" t="s">
        <v>946</v>
      </c>
    </row>
    <row r="258" spans="1:6" x14ac:dyDescent="0.3">
      <c r="A258" t="s">
        <v>268</v>
      </c>
      <c r="B258" t="s">
        <v>1715</v>
      </c>
      <c r="C258" t="s">
        <v>1716</v>
      </c>
      <c r="D258" t="s">
        <v>934</v>
      </c>
      <c r="E258" t="s">
        <v>1208</v>
      </c>
      <c r="F258" t="s">
        <v>946</v>
      </c>
    </row>
    <row r="259" spans="1:6" x14ac:dyDescent="0.3">
      <c r="A259" t="s">
        <v>269</v>
      </c>
      <c r="B259" t="s">
        <v>1715</v>
      </c>
      <c r="C259" t="s">
        <v>1716</v>
      </c>
      <c r="D259" t="s">
        <v>934</v>
      </c>
      <c r="E259" t="s">
        <v>962</v>
      </c>
      <c r="F259" t="s">
        <v>946</v>
      </c>
    </row>
    <row r="260" spans="1:6" x14ac:dyDescent="0.3">
      <c r="A260" t="s">
        <v>270</v>
      </c>
      <c r="B260" t="s">
        <v>1715</v>
      </c>
      <c r="C260" t="s">
        <v>1716</v>
      </c>
      <c r="D260" t="s">
        <v>934</v>
      </c>
      <c r="E260" t="s">
        <v>1016</v>
      </c>
      <c r="F260" t="s">
        <v>946</v>
      </c>
    </row>
    <row r="261" spans="1:6" x14ac:dyDescent="0.3">
      <c r="A261" t="s">
        <v>271</v>
      </c>
      <c r="B261" t="s">
        <v>1715</v>
      </c>
      <c r="C261" t="s">
        <v>1716</v>
      </c>
      <c r="D261" t="s">
        <v>934</v>
      </c>
      <c r="E261" t="s">
        <v>997</v>
      </c>
      <c r="F261" t="s">
        <v>943</v>
      </c>
    </row>
    <row r="262" spans="1:6" x14ac:dyDescent="0.3">
      <c r="A262" t="s">
        <v>272</v>
      </c>
      <c r="B262" t="s">
        <v>1715</v>
      </c>
      <c r="C262" t="s">
        <v>1535</v>
      </c>
      <c r="D262" t="s">
        <v>934</v>
      </c>
      <c r="E262" t="s">
        <v>977</v>
      </c>
      <c r="F262" t="s">
        <v>931</v>
      </c>
    </row>
    <row r="263" spans="1:6" x14ac:dyDescent="0.3">
      <c r="A263" t="s">
        <v>273</v>
      </c>
      <c r="B263" t="s">
        <v>1717</v>
      </c>
      <c r="C263" t="s">
        <v>1718</v>
      </c>
      <c r="D263" t="s">
        <v>950</v>
      </c>
      <c r="E263" t="s">
        <v>1719</v>
      </c>
      <c r="F263" t="s">
        <v>958</v>
      </c>
    </row>
    <row r="264" spans="1:6" x14ac:dyDescent="0.3">
      <c r="A264" t="s">
        <v>728</v>
      </c>
      <c r="B264" t="s">
        <v>1722</v>
      </c>
      <c r="C264" t="s">
        <v>930</v>
      </c>
      <c r="D264" t="s">
        <v>934</v>
      </c>
      <c r="E264" t="s">
        <v>930</v>
      </c>
      <c r="F264" t="s">
        <v>936</v>
      </c>
    </row>
    <row r="265" spans="1:6" x14ac:dyDescent="0.3">
      <c r="A265" t="s">
        <v>275</v>
      </c>
      <c r="B265" t="s">
        <v>1763</v>
      </c>
      <c r="C265" t="s">
        <v>1764</v>
      </c>
      <c r="D265" t="s">
        <v>1087</v>
      </c>
      <c r="E265" t="s">
        <v>994</v>
      </c>
      <c r="F265" t="s">
        <v>931</v>
      </c>
    </row>
    <row r="266" spans="1:6" x14ac:dyDescent="0.3">
      <c r="A266" t="s">
        <v>648</v>
      </c>
      <c r="B266" t="s">
        <v>1765</v>
      </c>
      <c r="C266" t="s">
        <v>1767</v>
      </c>
      <c r="D266" t="s">
        <v>934</v>
      </c>
      <c r="E266" t="s">
        <v>1065</v>
      </c>
      <c r="F266" t="s">
        <v>936</v>
      </c>
    </row>
    <row r="267" spans="1:6" x14ac:dyDescent="0.3">
      <c r="A267" t="s">
        <v>276</v>
      </c>
      <c r="B267" t="s">
        <v>1765</v>
      </c>
      <c r="C267" t="s">
        <v>1766</v>
      </c>
      <c r="D267" t="s">
        <v>976</v>
      </c>
      <c r="E267" t="s">
        <v>1027</v>
      </c>
      <c r="F267" t="s">
        <v>946</v>
      </c>
    </row>
    <row r="268" spans="1:6" x14ac:dyDescent="0.3">
      <c r="A268" t="s">
        <v>617</v>
      </c>
      <c r="B268" t="s">
        <v>1805</v>
      </c>
      <c r="C268" t="s">
        <v>938</v>
      </c>
      <c r="D268" t="s">
        <v>929</v>
      </c>
      <c r="E268" t="s">
        <v>930</v>
      </c>
      <c r="F268" t="s">
        <v>943</v>
      </c>
    </row>
    <row r="269" spans="1:6" x14ac:dyDescent="0.3">
      <c r="A269" t="s">
        <v>278</v>
      </c>
      <c r="B269" t="s">
        <v>1807</v>
      </c>
      <c r="C269" t="s">
        <v>945</v>
      </c>
      <c r="D269" t="s">
        <v>934</v>
      </c>
      <c r="E269" t="s">
        <v>930</v>
      </c>
      <c r="F269" t="s">
        <v>958</v>
      </c>
    </row>
    <row r="270" spans="1:6" x14ac:dyDescent="0.3">
      <c r="A270" t="s">
        <v>279</v>
      </c>
      <c r="B270" t="s">
        <v>1809</v>
      </c>
      <c r="C270" t="s">
        <v>1012</v>
      </c>
      <c r="D270" t="s">
        <v>934</v>
      </c>
      <c r="E270" t="s">
        <v>1004</v>
      </c>
      <c r="F270" t="s">
        <v>931</v>
      </c>
    </row>
    <row r="271" spans="1:6" x14ac:dyDescent="0.3">
      <c r="A271" t="s">
        <v>280</v>
      </c>
      <c r="B271" t="s">
        <v>1809</v>
      </c>
      <c r="C271" t="s">
        <v>1009</v>
      </c>
      <c r="D271" t="s">
        <v>929</v>
      </c>
      <c r="E271" t="s">
        <v>930</v>
      </c>
      <c r="F271" t="s">
        <v>943</v>
      </c>
    </row>
    <row r="272" spans="1:6" x14ac:dyDescent="0.3">
      <c r="A272" t="s">
        <v>281</v>
      </c>
      <c r="B272" t="s">
        <v>1810</v>
      </c>
      <c r="C272" t="s">
        <v>1064</v>
      </c>
      <c r="D272" t="s">
        <v>950</v>
      </c>
      <c r="E272" t="s">
        <v>1332</v>
      </c>
      <c r="F272" t="s">
        <v>931</v>
      </c>
    </row>
    <row r="273" spans="1:6" x14ac:dyDescent="0.3">
      <c r="A273" t="s">
        <v>292</v>
      </c>
      <c r="B273" t="s">
        <v>1832</v>
      </c>
      <c r="C273" t="s">
        <v>1028</v>
      </c>
      <c r="D273" t="s">
        <v>929</v>
      </c>
      <c r="E273" t="s">
        <v>930</v>
      </c>
      <c r="F273" t="s">
        <v>946</v>
      </c>
    </row>
    <row r="274" spans="1:6" x14ac:dyDescent="0.3">
      <c r="A274" t="s">
        <v>293</v>
      </c>
      <c r="B274" t="s">
        <v>1833</v>
      </c>
      <c r="C274" t="s">
        <v>1028</v>
      </c>
      <c r="D274" t="s">
        <v>934</v>
      </c>
      <c r="E274" t="s">
        <v>930</v>
      </c>
      <c r="F274" t="s">
        <v>943</v>
      </c>
    </row>
    <row r="275" spans="1:6" x14ac:dyDescent="0.3">
      <c r="A275" t="s">
        <v>294</v>
      </c>
      <c r="B275" t="s">
        <v>1838</v>
      </c>
      <c r="C275" t="s">
        <v>1839</v>
      </c>
      <c r="D275" t="s">
        <v>929</v>
      </c>
      <c r="E275" t="s">
        <v>930</v>
      </c>
      <c r="F275" t="s">
        <v>943</v>
      </c>
    </row>
    <row r="276" spans="1:6" x14ac:dyDescent="0.3">
      <c r="A276" t="s">
        <v>295</v>
      </c>
      <c r="B276" t="s">
        <v>1840</v>
      </c>
      <c r="C276" t="s">
        <v>1023</v>
      </c>
      <c r="D276" t="s">
        <v>929</v>
      </c>
      <c r="E276" t="s">
        <v>930</v>
      </c>
      <c r="F276" t="s">
        <v>931</v>
      </c>
    </row>
    <row r="277" spans="1:6" x14ac:dyDescent="0.3">
      <c r="A277" t="s">
        <v>296</v>
      </c>
      <c r="B277" t="s">
        <v>1841</v>
      </c>
      <c r="C277" t="s">
        <v>1842</v>
      </c>
      <c r="D277" t="s">
        <v>950</v>
      </c>
      <c r="E277" t="s">
        <v>1026</v>
      </c>
      <c r="F277" t="s">
        <v>943</v>
      </c>
    </row>
    <row r="278" spans="1:6" x14ac:dyDescent="0.3">
      <c r="A278" t="s">
        <v>618</v>
      </c>
      <c r="B278" t="s">
        <v>1843</v>
      </c>
      <c r="C278" t="s">
        <v>1123</v>
      </c>
      <c r="D278" t="s">
        <v>934</v>
      </c>
      <c r="E278" t="s">
        <v>977</v>
      </c>
      <c r="F278" t="s">
        <v>958</v>
      </c>
    </row>
    <row r="279" spans="1:6" x14ac:dyDescent="0.3">
      <c r="A279" t="s">
        <v>297</v>
      </c>
      <c r="B279" t="s">
        <v>1843</v>
      </c>
      <c r="C279" t="s">
        <v>1372</v>
      </c>
      <c r="D279" t="s">
        <v>1221</v>
      </c>
      <c r="E279" t="s">
        <v>1477</v>
      </c>
      <c r="F279" t="s">
        <v>931</v>
      </c>
    </row>
    <row r="280" spans="1:6" x14ac:dyDescent="0.3">
      <c r="A280" t="s">
        <v>1844</v>
      </c>
      <c r="B280" t="s">
        <v>1843</v>
      </c>
      <c r="C280" t="s">
        <v>1213</v>
      </c>
      <c r="D280" t="s">
        <v>929</v>
      </c>
      <c r="E280" t="s">
        <v>930</v>
      </c>
      <c r="F280" t="s">
        <v>943</v>
      </c>
    </row>
    <row r="281" spans="1:6" x14ac:dyDescent="0.3">
      <c r="A281" t="s">
        <v>298</v>
      </c>
      <c r="B281" t="s">
        <v>1845</v>
      </c>
      <c r="C281" t="s">
        <v>1022</v>
      </c>
      <c r="D281" t="s">
        <v>929</v>
      </c>
      <c r="E281" t="s">
        <v>930</v>
      </c>
      <c r="F281" t="s">
        <v>946</v>
      </c>
    </row>
    <row r="282" spans="1:6" x14ac:dyDescent="0.3">
      <c r="A282" t="s">
        <v>299</v>
      </c>
      <c r="B282" t="s">
        <v>961</v>
      </c>
      <c r="C282" t="s">
        <v>930</v>
      </c>
      <c r="D282" t="s">
        <v>934</v>
      </c>
      <c r="E282" t="s">
        <v>962</v>
      </c>
      <c r="F282" t="s">
        <v>931</v>
      </c>
    </row>
    <row r="283" spans="1:6" x14ac:dyDescent="0.3">
      <c r="A283" t="s">
        <v>302</v>
      </c>
      <c r="B283" t="s">
        <v>1510</v>
      </c>
      <c r="C283" t="s">
        <v>979</v>
      </c>
      <c r="D283" t="s">
        <v>934</v>
      </c>
      <c r="E283" t="s">
        <v>997</v>
      </c>
      <c r="F283" t="s">
        <v>931</v>
      </c>
    </row>
    <row r="284" spans="1:6" x14ac:dyDescent="0.3">
      <c r="A284" t="s">
        <v>869</v>
      </c>
      <c r="B284" t="s">
        <v>1604</v>
      </c>
      <c r="C284" t="s">
        <v>1605</v>
      </c>
      <c r="D284" t="s">
        <v>934</v>
      </c>
      <c r="E284" t="s">
        <v>930</v>
      </c>
      <c r="F284" t="s">
        <v>936</v>
      </c>
    </row>
    <row r="285" spans="1:6" x14ac:dyDescent="0.3">
      <c r="A285" t="s">
        <v>894</v>
      </c>
      <c r="B285" t="s">
        <v>1615</v>
      </c>
      <c r="C285" t="s">
        <v>1616</v>
      </c>
      <c r="D285" t="s">
        <v>1617</v>
      </c>
      <c r="E285" t="s">
        <v>1618</v>
      </c>
      <c r="F285" t="s">
        <v>958</v>
      </c>
    </row>
    <row r="286" spans="1:6" x14ac:dyDescent="0.3">
      <c r="A286" t="s">
        <v>308</v>
      </c>
      <c r="B286" t="s">
        <v>982</v>
      </c>
      <c r="C286" t="s">
        <v>990</v>
      </c>
      <c r="D286" t="s">
        <v>950</v>
      </c>
      <c r="E286" t="s">
        <v>962</v>
      </c>
      <c r="F286" t="s">
        <v>931</v>
      </c>
    </row>
    <row r="287" spans="1:6" x14ac:dyDescent="0.3">
      <c r="A287" t="s">
        <v>360</v>
      </c>
      <c r="B287" t="s">
        <v>1640</v>
      </c>
      <c r="C287" t="s">
        <v>1641</v>
      </c>
      <c r="D287" t="s">
        <v>950</v>
      </c>
      <c r="E287" t="s">
        <v>962</v>
      </c>
      <c r="F287" t="s">
        <v>943</v>
      </c>
    </row>
    <row r="288" spans="1:6" x14ac:dyDescent="0.3">
      <c r="A288" t="s">
        <v>370</v>
      </c>
      <c r="B288" t="s">
        <v>1834</v>
      </c>
      <c r="C288" t="s">
        <v>1835</v>
      </c>
      <c r="D288" t="s">
        <v>934</v>
      </c>
      <c r="E288" t="s">
        <v>1004</v>
      </c>
      <c r="F288" t="s">
        <v>931</v>
      </c>
    </row>
    <row r="289" spans="1:6" x14ac:dyDescent="0.3">
      <c r="A289" t="s">
        <v>371</v>
      </c>
      <c r="B289" t="s">
        <v>1276</v>
      </c>
      <c r="C289" t="s">
        <v>1215</v>
      </c>
      <c r="D289" t="s">
        <v>929</v>
      </c>
      <c r="E289" t="s">
        <v>930</v>
      </c>
      <c r="F289" t="s">
        <v>958</v>
      </c>
    </row>
    <row r="290" spans="1:6" x14ac:dyDescent="0.3">
      <c r="A290" t="s">
        <v>373</v>
      </c>
      <c r="B290" t="s">
        <v>1591</v>
      </c>
      <c r="C290" t="s">
        <v>1372</v>
      </c>
      <c r="D290" t="s">
        <v>976</v>
      </c>
      <c r="E290" t="s">
        <v>1208</v>
      </c>
      <c r="F290" t="s">
        <v>946</v>
      </c>
    </row>
    <row r="291" spans="1:6" x14ac:dyDescent="0.3">
      <c r="A291" t="s">
        <v>376</v>
      </c>
      <c r="B291" t="s">
        <v>1803</v>
      </c>
      <c r="C291" t="s">
        <v>1213</v>
      </c>
      <c r="D291" t="s">
        <v>929</v>
      </c>
      <c r="E291" t="s">
        <v>930</v>
      </c>
      <c r="F291" t="s">
        <v>943</v>
      </c>
    </row>
    <row r="292" spans="1:6" x14ac:dyDescent="0.3">
      <c r="A292" t="s">
        <v>377</v>
      </c>
      <c r="B292" t="s">
        <v>1832</v>
      </c>
      <c r="C292" t="s">
        <v>1025</v>
      </c>
      <c r="D292" t="s">
        <v>1221</v>
      </c>
      <c r="E292" t="s">
        <v>1026</v>
      </c>
      <c r="F292" t="s">
        <v>931</v>
      </c>
    </row>
    <row r="293" spans="1:6" x14ac:dyDescent="0.3">
      <c r="A293" t="s">
        <v>378</v>
      </c>
      <c r="B293" t="s">
        <v>1076</v>
      </c>
      <c r="C293" t="s">
        <v>1077</v>
      </c>
      <c r="D293" t="s">
        <v>934</v>
      </c>
      <c r="E293" t="s">
        <v>930</v>
      </c>
      <c r="F293" t="s">
        <v>931</v>
      </c>
    </row>
    <row r="294" spans="1:6" x14ac:dyDescent="0.3">
      <c r="A294" t="s">
        <v>379</v>
      </c>
      <c r="B294" t="s">
        <v>1654</v>
      </c>
      <c r="C294" t="s">
        <v>1655</v>
      </c>
      <c r="D294" t="s">
        <v>934</v>
      </c>
      <c r="E294" t="s">
        <v>977</v>
      </c>
      <c r="F294" t="s">
        <v>958</v>
      </c>
    </row>
    <row r="295" spans="1:6" x14ac:dyDescent="0.3">
      <c r="A295" t="s">
        <v>759</v>
      </c>
      <c r="B295" t="s">
        <v>1446</v>
      </c>
      <c r="C295" t="s">
        <v>1447</v>
      </c>
      <c r="D295" t="s">
        <v>950</v>
      </c>
      <c r="E295" t="s">
        <v>1065</v>
      </c>
      <c r="F295" t="s">
        <v>943</v>
      </c>
    </row>
    <row r="296" spans="1:6" x14ac:dyDescent="0.3">
      <c r="A296" t="s">
        <v>380</v>
      </c>
      <c r="B296" t="s">
        <v>1005</v>
      </c>
      <c r="C296" t="s">
        <v>1006</v>
      </c>
      <c r="D296" t="s">
        <v>976</v>
      </c>
      <c r="E296" t="s">
        <v>1007</v>
      </c>
      <c r="F296" t="s">
        <v>946</v>
      </c>
    </row>
    <row r="297" spans="1:6" x14ac:dyDescent="0.3">
      <c r="A297" t="s">
        <v>381</v>
      </c>
      <c r="B297" t="s">
        <v>1321</v>
      </c>
      <c r="C297" t="s">
        <v>1322</v>
      </c>
      <c r="D297" t="s">
        <v>929</v>
      </c>
      <c r="E297" t="s">
        <v>1323</v>
      </c>
      <c r="F297" t="s">
        <v>958</v>
      </c>
    </row>
    <row r="298" spans="1:6" x14ac:dyDescent="0.3">
      <c r="A298" t="s">
        <v>382</v>
      </c>
      <c r="B298" t="s">
        <v>1192</v>
      </c>
      <c r="C298" t="s">
        <v>945</v>
      </c>
      <c r="D298" t="s">
        <v>934</v>
      </c>
      <c r="E298" t="s">
        <v>930</v>
      </c>
      <c r="F298" t="s">
        <v>943</v>
      </c>
    </row>
    <row r="299" spans="1:6" x14ac:dyDescent="0.3">
      <c r="A299" t="s">
        <v>1091</v>
      </c>
      <c r="B299" t="s">
        <v>1092</v>
      </c>
      <c r="C299" t="s">
        <v>1093</v>
      </c>
      <c r="D299" t="s">
        <v>1087</v>
      </c>
      <c r="E299" t="s">
        <v>1088</v>
      </c>
      <c r="F299" t="s">
        <v>946</v>
      </c>
    </row>
    <row r="300" spans="1:6" x14ac:dyDescent="0.3">
      <c r="A300" t="s">
        <v>384</v>
      </c>
      <c r="B300" t="s">
        <v>1080</v>
      </c>
      <c r="C300" t="s">
        <v>1079</v>
      </c>
      <c r="D300" t="s">
        <v>934</v>
      </c>
      <c r="E300" t="s">
        <v>930</v>
      </c>
      <c r="F300" t="s">
        <v>936</v>
      </c>
    </row>
    <row r="301" spans="1:6" x14ac:dyDescent="0.3">
      <c r="A301" t="s">
        <v>388</v>
      </c>
      <c r="B301" t="s">
        <v>1574</v>
      </c>
      <c r="C301" t="s">
        <v>1009</v>
      </c>
      <c r="D301" t="s">
        <v>934</v>
      </c>
      <c r="E301" t="s">
        <v>935</v>
      </c>
      <c r="F301" t="s">
        <v>943</v>
      </c>
    </row>
    <row r="302" spans="1:6" x14ac:dyDescent="0.3">
      <c r="A302" t="s">
        <v>390</v>
      </c>
      <c r="B302" t="s">
        <v>1514</v>
      </c>
      <c r="C302" t="s">
        <v>1515</v>
      </c>
      <c r="D302" t="s">
        <v>929</v>
      </c>
      <c r="E302" t="s">
        <v>930</v>
      </c>
      <c r="F302" t="s">
        <v>931</v>
      </c>
    </row>
    <row r="303" spans="1:6" x14ac:dyDescent="0.3">
      <c r="A303" t="s">
        <v>762</v>
      </c>
      <c r="B303" t="s">
        <v>1683</v>
      </c>
      <c r="C303" t="s">
        <v>1095</v>
      </c>
      <c r="D303" t="s">
        <v>934</v>
      </c>
      <c r="E303" t="s">
        <v>930</v>
      </c>
      <c r="F303" t="s">
        <v>931</v>
      </c>
    </row>
    <row r="304" spans="1:6" x14ac:dyDescent="0.3">
      <c r="A304" t="s">
        <v>1658</v>
      </c>
      <c r="B304" t="s">
        <v>1659</v>
      </c>
      <c r="C304" t="s">
        <v>928</v>
      </c>
      <c r="D304" t="s">
        <v>929</v>
      </c>
      <c r="E304" t="s">
        <v>930</v>
      </c>
      <c r="F304" t="s">
        <v>943</v>
      </c>
    </row>
    <row r="305" spans="1:6" x14ac:dyDescent="0.3">
      <c r="A305" t="s">
        <v>393</v>
      </c>
      <c r="B305" t="s">
        <v>1606</v>
      </c>
      <c r="C305" t="s">
        <v>930</v>
      </c>
      <c r="D305" t="s">
        <v>934</v>
      </c>
      <c r="E305" t="s">
        <v>935</v>
      </c>
      <c r="F305" t="s">
        <v>936</v>
      </c>
    </row>
    <row r="306" spans="1:6" x14ac:dyDescent="0.3">
      <c r="A306" t="s">
        <v>1381</v>
      </c>
      <c r="B306" t="s">
        <v>1382</v>
      </c>
      <c r="C306" t="s">
        <v>1223</v>
      </c>
      <c r="D306" t="s">
        <v>934</v>
      </c>
      <c r="E306" t="s">
        <v>997</v>
      </c>
      <c r="F306" t="s">
        <v>931</v>
      </c>
    </row>
    <row r="307" spans="1:6" x14ac:dyDescent="0.3">
      <c r="A307" t="s">
        <v>727</v>
      </c>
      <c r="B307" t="s">
        <v>1564</v>
      </c>
      <c r="C307" t="s">
        <v>1028</v>
      </c>
      <c r="D307" t="s">
        <v>934</v>
      </c>
      <c r="E307" t="s">
        <v>1565</v>
      </c>
      <c r="F307" t="s">
        <v>931</v>
      </c>
    </row>
    <row r="308" spans="1:6" x14ac:dyDescent="0.3">
      <c r="A308" t="s">
        <v>397</v>
      </c>
      <c r="B308" t="s">
        <v>1422</v>
      </c>
      <c r="C308" t="s">
        <v>1423</v>
      </c>
      <c r="D308" t="s">
        <v>934</v>
      </c>
      <c r="E308" t="s">
        <v>1065</v>
      </c>
      <c r="F308" t="s">
        <v>946</v>
      </c>
    </row>
    <row r="309" spans="1:6" x14ac:dyDescent="0.3">
      <c r="A309" t="s">
        <v>398</v>
      </c>
      <c r="B309" t="s">
        <v>1131</v>
      </c>
      <c r="C309" t="s">
        <v>1132</v>
      </c>
      <c r="D309" t="s">
        <v>934</v>
      </c>
      <c r="E309" t="s">
        <v>1133</v>
      </c>
      <c r="F309" t="s">
        <v>931</v>
      </c>
    </row>
    <row r="310" spans="1:6" x14ac:dyDescent="0.3">
      <c r="A310" t="s">
        <v>775</v>
      </c>
      <c r="B310" t="s">
        <v>1367</v>
      </c>
      <c r="C310" t="s">
        <v>930</v>
      </c>
      <c r="D310" t="s">
        <v>950</v>
      </c>
      <c r="E310" t="s">
        <v>962</v>
      </c>
      <c r="F310" t="s">
        <v>931</v>
      </c>
    </row>
    <row r="311" spans="1:6" x14ac:dyDescent="0.3">
      <c r="A311" t="s">
        <v>896</v>
      </c>
      <c r="B311" t="s">
        <v>1806</v>
      </c>
      <c r="C311" t="s">
        <v>1009</v>
      </c>
      <c r="D311" t="s">
        <v>934</v>
      </c>
      <c r="E311" t="s">
        <v>930</v>
      </c>
      <c r="F311" t="s">
        <v>931</v>
      </c>
    </row>
    <row r="312" spans="1:6" x14ac:dyDescent="0.3">
      <c r="A312" t="s">
        <v>681</v>
      </c>
      <c r="B312" t="s">
        <v>1830</v>
      </c>
      <c r="C312" t="s">
        <v>1831</v>
      </c>
      <c r="D312" t="s">
        <v>929</v>
      </c>
      <c r="E312" t="s">
        <v>930</v>
      </c>
      <c r="F312" t="s">
        <v>958</v>
      </c>
    </row>
    <row r="313" spans="1:6" x14ac:dyDescent="0.3">
      <c r="A313" t="s">
        <v>405</v>
      </c>
      <c r="B313" t="s">
        <v>1488</v>
      </c>
      <c r="C313" t="s">
        <v>1028</v>
      </c>
      <c r="D313" t="s">
        <v>929</v>
      </c>
      <c r="E313" t="s">
        <v>930</v>
      </c>
      <c r="F313" t="s">
        <v>931</v>
      </c>
    </row>
    <row r="314" spans="1:6" x14ac:dyDescent="0.3">
      <c r="A314" t="s">
        <v>1487</v>
      </c>
      <c r="B314" t="s">
        <v>1488</v>
      </c>
      <c r="C314" t="s">
        <v>1338</v>
      </c>
      <c r="D314" t="s">
        <v>950</v>
      </c>
      <c r="E314" t="s">
        <v>1489</v>
      </c>
      <c r="F314" t="s">
        <v>943</v>
      </c>
    </row>
    <row r="315" spans="1:6" x14ac:dyDescent="0.3">
      <c r="A315" t="s">
        <v>410</v>
      </c>
      <c r="B315" t="s">
        <v>1153</v>
      </c>
      <c r="C315" t="s">
        <v>1154</v>
      </c>
      <c r="D315" t="s">
        <v>934</v>
      </c>
      <c r="E315" t="s">
        <v>1004</v>
      </c>
      <c r="F315" t="s">
        <v>936</v>
      </c>
    </row>
    <row r="316" spans="1:6" x14ac:dyDescent="0.3">
      <c r="A316" t="s">
        <v>412</v>
      </c>
      <c r="B316" t="s">
        <v>1689</v>
      </c>
      <c r="C316" t="s">
        <v>1258</v>
      </c>
      <c r="D316" t="s">
        <v>950</v>
      </c>
      <c r="E316" t="s">
        <v>935</v>
      </c>
      <c r="F316" t="s">
        <v>943</v>
      </c>
    </row>
    <row r="317" spans="1:6" x14ac:dyDescent="0.3">
      <c r="A317" t="s">
        <v>418</v>
      </c>
      <c r="B317" t="s">
        <v>1691</v>
      </c>
      <c r="C317" t="s">
        <v>930</v>
      </c>
      <c r="D317" t="s">
        <v>1360</v>
      </c>
      <c r="E317" t="s">
        <v>1692</v>
      </c>
      <c r="F317" t="s">
        <v>931</v>
      </c>
    </row>
    <row r="318" spans="1:6" x14ac:dyDescent="0.3">
      <c r="A318" t="s">
        <v>423</v>
      </c>
      <c r="B318" t="s">
        <v>1120</v>
      </c>
      <c r="C318" t="s">
        <v>1121</v>
      </c>
      <c r="D318" t="s">
        <v>1072</v>
      </c>
      <c r="E318" t="s">
        <v>1073</v>
      </c>
      <c r="F318" t="s">
        <v>943</v>
      </c>
    </row>
    <row r="319" spans="1:6" x14ac:dyDescent="0.3">
      <c r="A319" t="s">
        <v>424</v>
      </c>
      <c r="B319" t="s">
        <v>1159</v>
      </c>
      <c r="C319" t="s">
        <v>1160</v>
      </c>
      <c r="D319" t="s">
        <v>929</v>
      </c>
      <c r="E319" t="s">
        <v>930</v>
      </c>
      <c r="F319" t="s">
        <v>931</v>
      </c>
    </row>
    <row r="320" spans="1:6" x14ac:dyDescent="0.3">
      <c r="A320" t="s">
        <v>430</v>
      </c>
      <c r="B320" t="s">
        <v>1681</v>
      </c>
      <c r="C320" t="s">
        <v>1319</v>
      </c>
      <c r="D320" t="s">
        <v>929</v>
      </c>
      <c r="E320" t="s">
        <v>930</v>
      </c>
      <c r="F320" t="s">
        <v>931</v>
      </c>
    </row>
    <row r="321" spans="1:6" x14ac:dyDescent="0.3">
      <c r="A321" t="s">
        <v>432</v>
      </c>
      <c r="B321" t="s">
        <v>1760</v>
      </c>
      <c r="C321" t="s">
        <v>1338</v>
      </c>
      <c r="D321" t="s">
        <v>934</v>
      </c>
      <c r="E321" t="s">
        <v>954</v>
      </c>
      <c r="F321" t="s">
        <v>946</v>
      </c>
    </row>
    <row r="322" spans="1:6" x14ac:dyDescent="0.3">
      <c r="A322" t="s">
        <v>758</v>
      </c>
      <c r="B322" t="s">
        <v>1155</v>
      </c>
      <c r="C322" t="s">
        <v>1156</v>
      </c>
      <c r="D322" t="s">
        <v>1157</v>
      </c>
      <c r="E322" t="s">
        <v>1158</v>
      </c>
      <c r="F322" t="s">
        <v>958</v>
      </c>
    </row>
    <row r="323" spans="1:6" x14ac:dyDescent="0.3">
      <c r="A323" t="s">
        <v>434</v>
      </c>
      <c r="B323" t="s">
        <v>1774</v>
      </c>
      <c r="C323" t="s">
        <v>1018</v>
      </c>
      <c r="D323" t="s">
        <v>934</v>
      </c>
      <c r="E323" t="s">
        <v>1565</v>
      </c>
      <c r="F323" t="s">
        <v>931</v>
      </c>
    </row>
    <row r="324" spans="1:6" x14ac:dyDescent="0.3">
      <c r="A324" t="s">
        <v>439</v>
      </c>
      <c r="B324" t="s">
        <v>1440</v>
      </c>
      <c r="C324" t="s">
        <v>1441</v>
      </c>
      <c r="D324" t="s">
        <v>934</v>
      </c>
      <c r="E324" t="s">
        <v>935</v>
      </c>
      <c r="F324" t="s">
        <v>931</v>
      </c>
    </row>
    <row r="325" spans="1:6" x14ac:dyDescent="0.3">
      <c r="A325" t="s">
        <v>441</v>
      </c>
      <c r="B325" t="s">
        <v>1619</v>
      </c>
      <c r="C325" t="s">
        <v>1616</v>
      </c>
      <c r="D325" t="s">
        <v>1620</v>
      </c>
      <c r="E325" t="s">
        <v>1618</v>
      </c>
      <c r="F325" t="s">
        <v>958</v>
      </c>
    </row>
    <row r="326" spans="1:6" x14ac:dyDescent="0.3">
      <c r="A326" t="s">
        <v>463</v>
      </c>
      <c r="B326" t="s">
        <v>1499</v>
      </c>
      <c r="C326" t="s">
        <v>1500</v>
      </c>
      <c r="D326" t="s">
        <v>934</v>
      </c>
      <c r="E326" t="s">
        <v>1501</v>
      </c>
      <c r="F326" t="s">
        <v>958</v>
      </c>
    </row>
    <row r="327" spans="1:6" x14ac:dyDescent="0.3">
      <c r="A327" t="s">
        <v>1247</v>
      </c>
      <c r="B327" t="s">
        <v>1248</v>
      </c>
      <c r="C327" t="s">
        <v>1018</v>
      </c>
      <c r="D327" t="s">
        <v>934</v>
      </c>
      <c r="E327" t="s">
        <v>954</v>
      </c>
      <c r="F327" t="s">
        <v>931</v>
      </c>
    </row>
    <row r="328" spans="1:6" x14ac:dyDescent="0.3">
      <c r="A328" t="s">
        <v>483</v>
      </c>
      <c r="B328" t="s">
        <v>1774</v>
      </c>
      <c r="C328" t="s">
        <v>1385</v>
      </c>
      <c r="D328" t="s">
        <v>934</v>
      </c>
      <c r="E328" t="s">
        <v>1020</v>
      </c>
      <c r="F328" t="s">
        <v>946</v>
      </c>
    </row>
    <row r="329" spans="1:6" x14ac:dyDescent="0.3">
      <c r="A329" t="s">
        <v>503</v>
      </c>
      <c r="B329" t="s">
        <v>1161</v>
      </c>
      <c r="C329" t="s">
        <v>1012</v>
      </c>
      <c r="D329" t="s">
        <v>934</v>
      </c>
      <c r="E329" t="s">
        <v>935</v>
      </c>
      <c r="F329" t="s">
        <v>958</v>
      </c>
    </row>
    <row r="330" spans="1:6" x14ac:dyDescent="0.3">
      <c r="A330" t="s">
        <v>1636</v>
      </c>
      <c r="B330" t="s">
        <v>1637</v>
      </c>
      <c r="C330" t="s">
        <v>1638</v>
      </c>
      <c r="D330" t="s">
        <v>1157</v>
      </c>
      <c r="E330" t="s">
        <v>1639</v>
      </c>
      <c r="F330" t="s">
        <v>931</v>
      </c>
    </row>
    <row r="331" spans="1:6" x14ac:dyDescent="0.3">
      <c r="A331" t="s">
        <v>1124</v>
      </c>
      <c r="B331" t="s">
        <v>1125</v>
      </c>
      <c r="C331" t="s">
        <v>1126</v>
      </c>
      <c r="D331" t="s">
        <v>934</v>
      </c>
      <c r="E331" t="s">
        <v>930</v>
      </c>
      <c r="F331" t="s">
        <v>943</v>
      </c>
    </row>
    <row r="332" spans="1:6" x14ac:dyDescent="0.3">
      <c r="A332" t="s">
        <v>505</v>
      </c>
      <c r="B332" t="s">
        <v>1420</v>
      </c>
      <c r="C332" t="s">
        <v>938</v>
      </c>
      <c r="D332" t="s">
        <v>934</v>
      </c>
      <c r="E332" t="s">
        <v>930</v>
      </c>
      <c r="F332" t="s">
        <v>931</v>
      </c>
    </row>
    <row r="333" spans="1:6" x14ac:dyDescent="0.3">
      <c r="A333" t="s">
        <v>663</v>
      </c>
      <c r="B333" t="s">
        <v>1607</v>
      </c>
      <c r="C333" t="s">
        <v>930</v>
      </c>
      <c r="D333" t="s">
        <v>934</v>
      </c>
      <c r="E333" t="s">
        <v>935</v>
      </c>
      <c r="F333" t="s">
        <v>931</v>
      </c>
    </row>
    <row r="334" spans="1:6" x14ac:dyDescent="0.3">
      <c r="A334" t="s">
        <v>652</v>
      </c>
      <c r="B334" t="s">
        <v>1436</v>
      </c>
      <c r="C334" t="s">
        <v>1437</v>
      </c>
      <c r="D334" t="s">
        <v>934</v>
      </c>
      <c r="E334" t="s">
        <v>1020</v>
      </c>
      <c r="F334" t="s">
        <v>958</v>
      </c>
    </row>
    <row r="335" spans="1:6" x14ac:dyDescent="0.3">
      <c r="A335" t="s">
        <v>684</v>
      </c>
      <c r="B335" t="s">
        <v>1424</v>
      </c>
      <c r="C335" t="s">
        <v>1012</v>
      </c>
      <c r="D335" t="s">
        <v>950</v>
      </c>
      <c r="E335" t="s">
        <v>977</v>
      </c>
      <c r="F335" t="s">
        <v>958</v>
      </c>
    </row>
    <row r="336" spans="1:6" x14ac:dyDescent="0.3">
      <c r="A336" t="s">
        <v>514</v>
      </c>
      <c r="B336" t="s">
        <v>1234</v>
      </c>
      <c r="C336" t="s">
        <v>1235</v>
      </c>
      <c r="D336" t="s">
        <v>934</v>
      </c>
      <c r="E336" t="s">
        <v>930</v>
      </c>
      <c r="F336" t="s">
        <v>931</v>
      </c>
    </row>
    <row r="337" spans="1:6" x14ac:dyDescent="0.3">
      <c r="A337" t="s">
        <v>523</v>
      </c>
      <c r="B337" t="s">
        <v>1136</v>
      </c>
      <c r="C337" t="s">
        <v>1137</v>
      </c>
      <c r="D337" t="s">
        <v>934</v>
      </c>
      <c r="E337" t="s">
        <v>1004</v>
      </c>
      <c r="F337" t="s">
        <v>946</v>
      </c>
    </row>
    <row r="338" spans="1:6" x14ac:dyDescent="0.3">
      <c r="A338" t="s">
        <v>527</v>
      </c>
      <c r="B338" t="s">
        <v>1432</v>
      </c>
      <c r="C338" t="s">
        <v>1433</v>
      </c>
      <c r="D338" t="s">
        <v>934</v>
      </c>
      <c r="E338" t="s">
        <v>1004</v>
      </c>
      <c r="F338" t="s">
        <v>931</v>
      </c>
    </row>
    <row r="339" spans="1:6" x14ac:dyDescent="0.3">
      <c r="A339" t="s">
        <v>532</v>
      </c>
      <c r="B339" t="s">
        <v>1362</v>
      </c>
      <c r="C339" t="s">
        <v>930</v>
      </c>
      <c r="D339" t="s">
        <v>1360</v>
      </c>
      <c r="E339" t="s">
        <v>1361</v>
      </c>
      <c r="F339" t="s">
        <v>958</v>
      </c>
    </row>
    <row r="340" spans="1:6" x14ac:dyDescent="0.3">
      <c r="A340" t="s">
        <v>807</v>
      </c>
      <c r="B340" t="s">
        <v>1429</v>
      </c>
      <c r="C340" t="s">
        <v>1258</v>
      </c>
      <c r="D340" t="s">
        <v>934</v>
      </c>
      <c r="E340" t="s">
        <v>954</v>
      </c>
      <c r="F340" t="s">
        <v>958</v>
      </c>
    </row>
    <row r="341" spans="1:6" x14ac:dyDescent="0.3">
      <c r="A341" t="s">
        <v>677</v>
      </c>
      <c r="B341" t="s">
        <v>1282</v>
      </c>
      <c r="C341" t="s">
        <v>1283</v>
      </c>
      <c r="D341" t="s">
        <v>929</v>
      </c>
      <c r="E341" t="s">
        <v>930</v>
      </c>
      <c r="F341" t="s">
        <v>931</v>
      </c>
    </row>
    <row r="342" spans="1:6" x14ac:dyDescent="0.3">
      <c r="A342" t="s">
        <v>1358</v>
      </c>
      <c r="B342" t="s">
        <v>1359</v>
      </c>
      <c r="C342" t="s">
        <v>930</v>
      </c>
      <c r="D342" t="s">
        <v>1360</v>
      </c>
      <c r="E342" t="s">
        <v>1361</v>
      </c>
      <c r="F342" t="s">
        <v>943</v>
      </c>
    </row>
    <row r="343" spans="1:6" x14ac:dyDescent="0.3">
      <c r="A343" t="s">
        <v>559</v>
      </c>
      <c r="B343" t="s">
        <v>1265</v>
      </c>
      <c r="C343" t="s">
        <v>930</v>
      </c>
      <c r="D343" t="s">
        <v>1266</v>
      </c>
      <c r="E343" t="s">
        <v>930</v>
      </c>
      <c r="F343" t="s">
        <v>943</v>
      </c>
    </row>
    <row r="344" spans="1:6" x14ac:dyDescent="0.3">
      <c r="A344" t="s">
        <v>572</v>
      </c>
      <c r="B344" t="s">
        <v>1634</v>
      </c>
      <c r="C344" t="s">
        <v>1123</v>
      </c>
      <c r="D344" t="s">
        <v>934</v>
      </c>
      <c r="E344" t="s">
        <v>1208</v>
      </c>
      <c r="F344" t="s">
        <v>931</v>
      </c>
    </row>
    <row r="345" spans="1:6" x14ac:dyDescent="0.3">
      <c r="A345" t="s">
        <v>574</v>
      </c>
      <c r="B345" t="s">
        <v>1609</v>
      </c>
      <c r="C345" t="s">
        <v>1056</v>
      </c>
      <c r="D345" t="s">
        <v>929</v>
      </c>
      <c r="E345" t="s">
        <v>930</v>
      </c>
      <c r="F345" t="s">
        <v>943</v>
      </c>
    </row>
    <row r="346" spans="1:6" x14ac:dyDescent="0.3">
      <c r="A346" t="s">
        <v>577</v>
      </c>
      <c r="B346" t="s">
        <v>1759</v>
      </c>
      <c r="C346" t="s">
        <v>930</v>
      </c>
      <c r="D346" t="s">
        <v>950</v>
      </c>
      <c r="E346" t="s">
        <v>1757</v>
      </c>
      <c r="F346" t="s">
        <v>946</v>
      </c>
    </row>
    <row r="347" spans="1:6" x14ac:dyDescent="0.3">
      <c r="A347" t="s">
        <v>588</v>
      </c>
      <c r="B347" t="s">
        <v>1224</v>
      </c>
      <c r="C347" t="s">
        <v>1225</v>
      </c>
      <c r="D347" t="s">
        <v>950</v>
      </c>
      <c r="E347" t="s">
        <v>1208</v>
      </c>
      <c r="F347" t="s">
        <v>946</v>
      </c>
    </row>
    <row r="348" spans="1:6" x14ac:dyDescent="0.3">
      <c r="A348" t="s">
        <v>837</v>
      </c>
      <c r="B348" t="s">
        <v>1051</v>
      </c>
      <c r="C348" t="s">
        <v>1052</v>
      </c>
      <c r="D348" t="s">
        <v>929</v>
      </c>
      <c r="E348" t="s">
        <v>930</v>
      </c>
      <c r="F348" t="s">
        <v>936</v>
      </c>
    </row>
    <row r="349" spans="1:6" x14ac:dyDescent="0.3">
      <c r="A349" t="s">
        <v>1236</v>
      </c>
      <c r="B349" t="s">
        <v>1237</v>
      </c>
      <c r="C349" t="s">
        <v>1238</v>
      </c>
      <c r="D349" t="s">
        <v>934</v>
      </c>
      <c r="E349" t="s">
        <v>930</v>
      </c>
      <c r="F349" t="s">
        <v>943</v>
      </c>
    </row>
    <row r="350" spans="1:6" x14ac:dyDescent="0.3">
      <c r="A350" t="s">
        <v>597</v>
      </c>
      <c r="B350" t="s">
        <v>1470</v>
      </c>
      <c r="C350" t="s">
        <v>1471</v>
      </c>
      <c r="D350" t="s">
        <v>934</v>
      </c>
      <c r="E350" t="s">
        <v>977</v>
      </c>
      <c r="F350" t="s">
        <v>943</v>
      </c>
    </row>
    <row r="351" spans="1:6" x14ac:dyDescent="0.3">
      <c r="A351" t="s">
        <v>867</v>
      </c>
      <c r="B351" t="s">
        <v>1491</v>
      </c>
      <c r="C351" t="s">
        <v>1492</v>
      </c>
      <c r="D351" t="s">
        <v>929</v>
      </c>
      <c r="E351" t="s">
        <v>1493</v>
      </c>
      <c r="F351" t="s">
        <v>943</v>
      </c>
    </row>
    <row r="352" spans="1:6" x14ac:dyDescent="0.3">
      <c r="A352" t="s">
        <v>916</v>
      </c>
      <c r="B352" t="s">
        <v>1365</v>
      </c>
      <c r="C352" t="s">
        <v>930</v>
      </c>
      <c r="D352" t="s">
        <v>1360</v>
      </c>
      <c r="E352" t="s">
        <v>1366</v>
      </c>
      <c r="F352" t="s">
        <v>936</v>
      </c>
    </row>
    <row r="353" spans="1:6" x14ac:dyDescent="0.3">
      <c r="A353" t="s">
        <v>606</v>
      </c>
      <c r="B353" t="s">
        <v>1368</v>
      </c>
      <c r="C353" t="s">
        <v>930</v>
      </c>
      <c r="D353" t="s">
        <v>957</v>
      </c>
      <c r="E353" t="s">
        <v>1369</v>
      </c>
      <c r="F353" t="s">
        <v>946</v>
      </c>
    </row>
    <row r="354" spans="1:6" x14ac:dyDescent="0.3">
      <c r="A354" t="s">
        <v>1270</v>
      </c>
      <c r="B354" t="s">
        <v>1271</v>
      </c>
      <c r="C354" t="s">
        <v>1272</v>
      </c>
      <c r="D354" t="s">
        <v>929</v>
      </c>
      <c r="E354" t="s">
        <v>930</v>
      </c>
      <c r="F354" t="s">
        <v>946</v>
      </c>
    </row>
    <row r="355" spans="1:6" x14ac:dyDescent="0.3">
      <c r="A355" t="s">
        <v>880</v>
      </c>
      <c r="B355" t="s">
        <v>1356</v>
      </c>
      <c r="C355" t="s">
        <v>930</v>
      </c>
      <c r="D355" t="s">
        <v>957</v>
      </c>
      <c r="E355" t="s">
        <v>1357</v>
      </c>
      <c r="F355" t="s">
        <v>931</v>
      </c>
    </row>
    <row r="356" spans="1:6" x14ac:dyDescent="0.3">
      <c r="A356" t="s">
        <v>902</v>
      </c>
      <c r="B356" t="s">
        <v>1602</v>
      </c>
      <c r="C356" t="s">
        <v>930</v>
      </c>
      <c r="D356" t="s">
        <v>1360</v>
      </c>
      <c r="E356" t="s">
        <v>1603</v>
      </c>
      <c r="F356" t="s">
        <v>936</v>
      </c>
    </row>
    <row r="357" spans="1:6" x14ac:dyDescent="0.3">
      <c r="A357" t="s">
        <v>763</v>
      </c>
      <c r="B357" t="s">
        <v>1720</v>
      </c>
      <c r="C357" t="s">
        <v>930</v>
      </c>
      <c r="D357" t="s">
        <v>934</v>
      </c>
      <c r="E357" t="s">
        <v>962</v>
      </c>
      <c r="F357" t="s">
        <v>946</v>
      </c>
    </row>
    <row r="358" spans="1:6" x14ac:dyDescent="0.3">
      <c r="A358" t="s">
        <v>843</v>
      </c>
      <c r="B358" t="s">
        <v>1277</v>
      </c>
      <c r="C358" t="s">
        <v>1278</v>
      </c>
      <c r="D358" t="s">
        <v>929</v>
      </c>
      <c r="E358" t="s">
        <v>930</v>
      </c>
      <c r="F358" t="s">
        <v>946</v>
      </c>
    </row>
    <row r="359" spans="1:6" x14ac:dyDescent="0.3">
      <c r="A359" t="s">
        <v>981</v>
      </c>
      <c r="B359" t="s">
        <v>982</v>
      </c>
      <c r="C359" t="s">
        <v>983</v>
      </c>
      <c r="D359" t="s">
        <v>950</v>
      </c>
      <c r="E359" t="s">
        <v>984</v>
      </c>
      <c r="F359" t="s">
        <v>958</v>
      </c>
    </row>
    <row r="360" spans="1:6" x14ac:dyDescent="0.3">
      <c r="A360" t="s">
        <v>921</v>
      </c>
      <c r="B360" t="s">
        <v>1363</v>
      </c>
      <c r="C360" t="s">
        <v>930</v>
      </c>
      <c r="D360" t="s">
        <v>957</v>
      </c>
      <c r="E360" t="s">
        <v>1364</v>
      </c>
      <c r="F360" t="s">
        <v>958</v>
      </c>
    </row>
    <row r="361" spans="1:6" x14ac:dyDescent="0.3">
      <c r="A361" t="s">
        <v>922</v>
      </c>
      <c r="B361" t="s">
        <v>996</v>
      </c>
      <c r="C361" t="s">
        <v>930</v>
      </c>
      <c r="D361" t="s">
        <v>957</v>
      </c>
      <c r="E361" t="s">
        <v>997</v>
      </c>
      <c r="F361" t="s">
        <v>931</v>
      </c>
    </row>
    <row r="362" spans="1:6" x14ac:dyDescent="0.3">
      <c r="A362" t="s">
        <v>1848</v>
      </c>
    </row>
  </sheetData>
  <mergeCells count="1"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24"/>
  <sheetViews>
    <sheetView topLeftCell="C1" workbookViewId="0">
      <selection activeCell="F3" sqref="F3"/>
    </sheetView>
  </sheetViews>
  <sheetFormatPr baseColWidth="10" defaultColWidth="11.44140625" defaultRowHeight="14.4" x14ac:dyDescent="0.3"/>
  <cols>
    <col min="1" max="1" width="17.5546875" customWidth="1"/>
    <col min="2" max="2" width="79" customWidth="1"/>
    <col min="3" max="3" width="41.33203125" customWidth="1"/>
    <col min="4" max="4" width="14.88671875" customWidth="1"/>
    <col min="5" max="5" width="24.33203125" customWidth="1"/>
    <col min="6" max="6" width="15.44140625" customWidth="1"/>
    <col min="7" max="359" width="6" customWidth="1"/>
    <col min="360" max="360" width="12.5546875" bestFit="1" customWidth="1"/>
  </cols>
  <sheetData>
    <row r="1" spans="1:6" ht="15" thickBot="1" x14ac:dyDescent="0.35">
      <c r="A1" s="18" t="s">
        <v>4</v>
      </c>
      <c r="B1" t="s">
        <v>1849</v>
      </c>
    </row>
    <row r="2" spans="1:6" ht="31.8" thickBot="1" x14ac:dyDescent="0.35">
      <c r="A2" s="67" t="s">
        <v>1850</v>
      </c>
      <c r="B2" s="68"/>
      <c r="C2" s="68"/>
      <c r="D2" s="69"/>
      <c r="E2" s="19" t="s">
        <v>1851</v>
      </c>
      <c r="F2" s="20">
        <f>((COUNTIF(F4:F600,"NORMO STOCK"))+(COUNTIF(F4:F600,"SOBRE STOCK")))/(((COUNTIF(F4:F600,"&lt;&gt;solid"))-(COUNTIF(F4:F600,"=No Rota"))-(COUNTBLANK(F4:F600))))</f>
        <v>0.60649819494584833</v>
      </c>
    </row>
    <row r="3" spans="1:6" x14ac:dyDescent="0.3">
      <c r="A3" s="18" t="s">
        <v>1847</v>
      </c>
      <c r="B3" s="18" t="s">
        <v>0</v>
      </c>
      <c r="C3" s="18" t="s">
        <v>1</v>
      </c>
      <c r="D3" s="18" t="s">
        <v>2</v>
      </c>
      <c r="E3" s="18" t="s">
        <v>3</v>
      </c>
      <c r="F3" s="18" t="s">
        <v>8</v>
      </c>
    </row>
    <row r="4" spans="1:6" x14ac:dyDescent="0.3">
      <c r="A4" t="s">
        <v>300</v>
      </c>
      <c r="B4" t="s">
        <v>1657</v>
      </c>
      <c r="C4" t="s">
        <v>930</v>
      </c>
      <c r="D4" t="s">
        <v>957</v>
      </c>
      <c r="E4" t="s">
        <v>930</v>
      </c>
      <c r="F4" t="s">
        <v>931</v>
      </c>
    </row>
    <row r="5" spans="1:6" x14ac:dyDescent="0.3">
      <c r="A5" t="s">
        <v>301</v>
      </c>
      <c r="B5" t="s">
        <v>1267</v>
      </c>
      <c r="C5" t="s">
        <v>930</v>
      </c>
      <c r="D5" t="s">
        <v>957</v>
      </c>
      <c r="E5" t="s">
        <v>930</v>
      </c>
      <c r="F5" t="s">
        <v>943</v>
      </c>
    </row>
    <row r="6" spans="1:6" x14ac:dyDescent="0.3">
      <c r="A6" t="s">
        <v>305</v>
      </c>
      <c r="B6" t="s">
        <v>968</v>
      </c>
      <c r="C6" t="s">
        <v>930</v>
      </c>
      <c r="D6" t="s">
        <v>957</v>
      </c>
      <c r="E6" t="s">
        <v>930</v>
      </c>
      <c r="F6" t="s">
        <v>931</v>
      </c>
    </row>
    <row r="7" spans="1:6" x14ac:dyDescent="0.3">
      <c r="A7" t="s">
        <v>306</v>
      </c>
      <c r="B7" t="s">
        <v>969</v>
      </c>
      <c r="C7" t="s">
        <v>930</v>
      </c>
      <c r="D7" t="s">
        <v>957</v>
      </c>
      <c r="E7" t="s">
        <v>930</v>
      </c>
      <c r="F7" t="s">
        <v>946</v>
      </c>
    </row>
    <row r="8" spans="1:6" x14ac:dyDescent="0.3">
      <c r="A8" t="s">
        <v>307</v>
      </c>
      <c r="B8" t="s">
        <v>970</v>
      </c>
      <c r="C8" t="s">
        <v>930</v>
      </c>
      <c r="D8" t="s">
        <v>957</v>
      </c>
      <c r="E8" t="s">
        <v>930</v>
      </c>
      <c r="F8" t="s">
        <v>946</v>
      </c>
    </row>
    <row r="9" spans="1:6" x14ac:dyDescent="0.3">
      <c r="A9" t="s">
        <v>309</v>
      </c>
      <c r="B9" t="s">
        <v>985</v>
      </c>
      <c r="C9" t="s">
        <v>986</v>
      </c>
      <c r="D9" t="s">
        <v>950</v>
      </c>
      <c r="E9" t="s">
        <v>962</v>
      </c>
      <c r="F9" t="s">
        <v>943</v>
      </c>
    </row>
    <row r="10" spans="1:6" x14ac:dyDescent="0.3">
      <c r="A10" t="s">
        <v>310</v>
      </c>
      <c r="B10" t="s">
        <v>991</v>
      </c>
      <c r="C10" t="s">
        <v>930</v>
      </c>
      <c r="D10" t="s">
        <v>957</v>
      </c>
      <c r="E10" t="s">
        <v>992</v>
      </c>
      <c r="F10" t="s">
        <v>931</v>
      </c>
    </row>
    <row r="11" spans="1:6" x14ac:dyDescent="0.3">
      <c r="A11" t="s">
        <v>713</v>
      </c>
      <c r="B11" t="s">
        <v>991</v>
      </c>
      <c r="C11" t="s">
        <v>930</v>
      </c>
      <c r="D11" t="s">
        <v>957</v>
      </c>
      <c r="E11" t="s">
        <v>993</v>
      </c>
      <c r="F11" t="s">
        <v>943</v>
      </c>
    </row>
    <row r="12" spans="1:6" x14ac:dyDescent="0.3">
      <c r="A12" t="s">
        <v>655</v>
      </c>
      <c r="B12" t="s">
        <v>991</v>
      </c>
      <c r="C12" t="s">
        <v>930</v>
      </c>
      <c r="D12" t="s">
        <v>957</v>
      </c>
      <c r="E12" t="s">
        <v>994</v>
      </c>
      <c r="F12" t="s">
        <v>943</v>
      </c>
    </row>
    <row r="13" spans="1:6" x14ac:dyDescent="0.3">
      <c r="A13" t="s">
        <v>847</v>
      </c>
      <c r="B13" t="s">
        <v>991</v>
      </c>
      <c r="C13" t="s">
        <v>930</v>
      </c>
      <c r="D13" t="s">
        <v>957</v>
      </c>
      <c r="E13" t="s">
        <v>995</v>
      </c>
      <c r="F13" t="s">
        <v>931</v>
      </c>
    </row>
    <row r="14" spans="1:6" x14ac:dyDescent="0.3">
      <c r="A14" t="s">
        <v>998</v>
      </c>
      <c r="B14" t="s">
        <v>999</v>
      </c>
      <c r="C14" t="s">
        <v>930</v>
      </c>
      <c r="D14" t="s">
        <v>957</v>
      </c>
      <c r="E14" t="s">
        <v>930</v>
      </c>
      <c r="F14" t="s">
        <v>931</v>
      </c>
    </row>
    <row r="15" spans="1:6" x14ac:dyDescent="0.3">
      <c r="A15" t="s">
        <v>1046</v>
      </c>
      <c r="B15" t="s">
        <v>1047</v>
      </c>
      <c r="C15" t="s">
        <v>930</v>
      </c>
      <c r="D15" t="s">
        <v>957</v>
      </c>
      <c r="E15" t="s">
        <v>930</v>
      </c>
      <c r="F15" t="s">
        <v>958</v>
      </c>
    </row>
    <row r="16" spans="1:6" x14ac:dyDescent="0.3">
      <c r="A16" t="s">
        <v>312</v>
      </c>
      <c r="B16" t="s">
        <v>1049</v>
      </c>
      <c r="C16" t="s">
        <v>930</v>
      </c>
      <c r="D16" t="s">
        <v>957</v>
      </c>
      <c r="E16" t="s">
        <v>930</v>
      </c>
      <c r="F16" t="s">
        <v>946</v>
      </c>
    </row>
    <row r="17" spans="1:6" x14ac:dyDescent="0.3">
      <c r="A17" t="s">
        <v>313</v>
      </c>
      <c r="B17" t="s">
        <v>1098</v>
      </c>
      <c r="C17" t="s">
        <v>930</v>
      </c>
      <c r="D17" t="s">
        <v>957</v>
      </c>
      <c r="E17" t="s">
        <v>930</v>
      </c>
      <c r="F17" t="s">
        <v>943</v>
      </c>
    </row>
    <row r="18" spans="1:6" x14ac:dyDescent="0.3">
      <c r="A18" t="s">
        <v>314</v>
      </c>
      <c r="B18" t="s">
        <v>1099</v>
      </c>
      <c r="C18" t="s">
        <v>930</v>
      </c>
      <c r="D18" t="s">
        <v>957</v>
      </c>
      <c r="E18" t="s">
        <v>930</v>
      </c>
      <c r="F18" t="s">
        <v>946</v>
      </c>
    </row>
    <row r="19" spans="1:6" x14ac:dyDescent="0.3">
      <c r="A19" t="s">
        <v>315</v>
      </c>
      <c r="B19" t="s">
        <v>1101</v>
      </c>
      <c r="C19" t="s">
        <v>930</v>
      </c>
      <c r="D19" t="s">
        <v>957</v>
      </c>
      <c r="E19" t="s">
        <v>930</v>
      </c>
      <c r="F19" t="s">
        <v>943</v>
      </c>
    </row>
    <row r="20" spans="1:6" x14ac:dyDescent="0.3">
      <c r="A20" t="s">
        <v>316</v>
      </c>
      <c r="B20" t="s">
        <v>1103</v>
      </c>
      <c r="C20" t="s">
        <v>930</v>
      </c>
      <c r="D20" t="s">
        <v>957</v>
      </c>
      <c r="E20" t="s">
        <v>930</v>
      </c>
      <c r="F20" t="s">
        <v>943</v>
      </c>
    </row>
    <row r="21" spans="1:6" x14ac:dyDescent="0.3">
      <c r="A21" t="s">
        <v>833</v>
      </c>
      <c r="B21" t="s">
        <v>1108</v>
      </c>
      <c r="C21" t="s">
        <v>930</v>
      </c>
      <c r="D21" t="s">
        <v>957</v>
      </c>
      <c r="E21" t="s">
        <v>930</v>
      </c>
      <c r="F21" t="s">
        <v>936</v>
      </c>
    </row>
    <row r="22" spans="1:6" x14ac:dyDescent="0.3">
      <c r="A22" t="s">
        <v>317</v>
      </c>
      <c r="B22" t="s">
        <v>1097</v>
      </c>
      <c r="C22" t="s">
        <v>930</v>
      </c>
      <c r="D22" t="s">
        <v>957</v>
      </c>
      <c r="E22" t="s">
        <v>930</v>
      </c>
      <c r="F22" t="s">
        <v>931</v>
      </c>
    </row>
    <row r="23" spans="1:6" x14ac:dyDescent="0.3">
      <c r="A23" t="s">
        <v>318</v>
      </c>
      <c r="B23" t="s">
        <v>1117</v>
      </c>
      <c r="C23" t="s">
        <v>930</v>
      </c>
      <c r="D23" t="s">
        <v>957</v>
      </c>
      <c r="E23" t="s">
        <v>930</v>
      </c>
      <c r="F23" t="s">
        <v>931</v>
      </c>
    </row>
    <row r="24" spans="1:6" x14ac:dyDescent="0.3">
      <c r="A24" t="s">
        <v>319</v>
      </c>
      <c r="B24" t="s">
        <v>1144</v>
      </c>
      <c r="C24" t="s">
        <v>930</v>
      </c>
      <c r="D24" t="s">
        <v>957</v>
      </c>
      <c r="E24" t="s">
        <v>930</v>
      </c>
      <c r="F24" t="s">
        <v>931</v>
      </c>
    </row>
    <row r="25" spans="1:6" x14ac:dyDescent="0.3">
      <c r="A25" t="s">
        <v>625</v>
      </c>
      <c r="B25" t="s">
        <v>1149</v>
      </c>
      <c r="C25" t="s">
        <v>930</v>
      </c>
      <c r="D25" t="s">
        <v>957</v>
      </c>
      <c r="E25" t="s">
        <v>930</v>
      </c>
      <c r="F25" t="s">
        <v>936</v>
      </c>
    </row>
    <row r="26" spans="1:6" x14ac:dyDescent="0.3">
      <c r="A26" t="s">
        <v>320</v>
      </c>
      <c r="B26" t="s">
        <v>1210</v>
      </c>
      <c r="C26" t="s">
        <v>930</v>
      </c>
      <c r="D26" t="s">
        <v>957</v>
      </c>
      <c r="E26" t="s">
        <v>930</v>
      </c>
      <c r="F26" t="s">
        <v>931</v>
      </c>
    </row>
    <row r="27" spans="1:6" x14ac:dyDescent="0.3">
      <c r="A27" t="s">
        <v>321</v>
      </c>
      <c r="B27" t="s">
        <v>1294</v>
      </c>
      <c r="C27" t="s">
        <v>930</v>
      </c>
      <c r="D27" t="s">
        <v>957</v>
      </c>
      <c r="E27" t="s">
        <v>930</v>
      </c>
      <c r="F27" t="s">
        <v>943</v>
      </c>
    </row>
    <row r="28" spans="1:6" x14ac:dyDescent="0.3">
      <c r="A28" t="s">
        <v>322</v>
      </c>
      <c r="B28" t="s">
        <v>1296</v>
      </c>
      <c r="C28" t="s">
        <v>930</v>
      </c>
      <c r="D28" t="s">
        <v>957</v>
      </c>
      <c r="E28" t="s">
        <v>930</v>
      </c>
      <c r="F28" t="s">
        <v>931</v>
      </c>
    </row>
    <row r="29" spans="1:6" x14ac:dyDescent="0.3">
      <c r="A29" t="s">
        <v>323</v>
      </c>
      <c r="B29" t="s">
        <v>1297</v>
      </c>
      <c r="C29" t="s">
        <v>930</v>
      </c>
      <c r="D29" t="s">
        <v>957</v>
      </c>
      <c r="E29" t="s">
        <v>930</v>
      </c>
      <c r="F29" t="s">
        <v>931</v>
      </c>
    </row>
    <row r="30" spans="1:6" x14ac:dyDescent="0.3">
      <c r="A30" t="s">
        <v>324</v>
      </c>
      <c r="B30" t="s">
        <v>1298</v>
      </c>
      <c r="C30" t="s">
        <v>930</v>
      </c>
      <c r="D30" t="s">
        <v>957</v>
      </c>
      <c r="E30" t="s">
        <v>930</v>
      </c>
      <c r="F30" t="s">
        <v>943</v>
      </c>
    </row>
    <row r="31" spans="1:6" x14ac:dyDescent="0.3">
      <c r="A31" t="s">
        <v>327</v>
      </c>
      <c r="B31" t="s">
        <v>1449</v>
      </c>
      <c r="C31" t="s">
        <v>930</v>
      </c>
      <c r="D31" t="s">
        <v>957</v>
      </c>
      <c r="E31" t="s">
        <v>930</v>
      </c>
      <c r="F31" t="s">
        <v>943</v>
      </c>
    </row>
    <row r="32" spans="1:6" x14ac:dyDescent="0.3">
      <c r="A32" t="s">
        <v>328</v>
      </c>
      <c r="B32" t="s">
        <v>1451</v>
      </c>
      <c r="C32" t="s">
        <v>930</v>
      </c>
      <c r="D32" t="s">
        <v>957</v>
      </c>
      <c r="E32" t="s">
        <v>930</v>
      </c>
      <c r="F32" t="s">
        <v>946</v>
      </c>
    </row>
    <row r="33" spans="1:6" x14ac:dyDescent="0.3">
      <c r="A33" t="s">
        <v>329</v>
      </c>
      <c r="B33" t="s">
        <v>1454</v>
      </c>
      <c r="C33" t="s">
        <v>930</v>
      </c>
      <c r="D33" t="s">
        <v>957</v>
      </c>
      <c r="E33" t="s">
        <v>930</v>
      </c>
      <c r="F33" t="s">
        <v>943</v>
      </c>
    </row>
    <row r="34" spans="1:6" x14ac:dyDescent="0.3">
      <c r="A34" t="s">
        <v>331</v>
      </c>
      <c r="B34" t="s">
        <v>1546</v>
      </c>
      <c r="C34" t="s">
        <v>930</v>
      </c>
      <c r="D34" t="s">
        <v>957</v>
      </c>
      <c r="E34" t="s">
        <v>930</v>
      </c>
      <c r="F34" t="s">
        <v>943</v>
      </c>
    </row>
    <row r="35" spans="1:6" x14ac:dyDescent="0.3">
      <c r="A35" t="s">
        <v>332</v>
      </c>
      <c r="B35" t="s">
        <v>1737</v>
      </c>
      <c r="C35" t="s">
        <v>930</v>
      </c>
      <c r="D35" t="s">
        <v>957</v>
      </c>
      <c r="E35" t="s">
        <v>930</v>
      </c>
      <c r="F35" t="s">
        <v>931</v>
      </c>
    </row>
    <row r="36" spans="1:6" x14ac:dyDescent="0.3">
      <c r="A36" t="s">
        <v>333</v>
      </c>
      <c r="B36" t="s">
        <v>1738</v>
      </c>
      <c r="C36" t="s">
        <v>930</v>
      </c>
      <c r="D36" t="s">
        <v>957</v>
      </c>
      <c r="E36" t="s">
        <v>930</v>
      </c>
      <c r="F36" t="s">
        <v>943</v>
      </c>
    </row>
    <row r="37" spans="1:6" x14ac:dyDescent="0.3">
      <c r="A37" t="s">
        <v>334</v>
      </c>
      <c r="B37" t="s">
        <v>1736</v>
      </c>
      <c r="C37" t="s">
        <v>930</v>
      </c>
      <c r="D37" t="s">
        <v>957</v>
      </c>
      <c r="E37" t="s">
        <v>930</v>
      </c>
      <c r="F37" t="s">
        <v>943</v>
      </c>
    </row>
    <row r="38" spans="1:6" x14ac:dyDescent="0.3">
      <c r="A38" t="s">
        <v>335</v>
      </c>
      <c r="B38" t="s">
        <v>1739</v>
      </c>
      <c r="C38" t="s">
        <v>930</v>
      </c>
      <c r="D38" t="s">
        <v>957</v>
      </c>
      <c r="E38" t="s">
        <v>930</v>
      </c>
      <c r="F38" t="s">
        <v>931</v>
      </c>
    </row>
    <row r="39" spans="1:6" x14ac:dyDescent="0.3">
      <c r="A39" t="s">
        <v>711</v>
      </c>
      <c r="B39" t="s">
        <v>1782</v>
      </c>
      <c r="C39" t="s">
        <v>930</v>
      </c>
      <c r="D39" t="s">
        <v>957</v>
      </c>
      <c r="E39" t="s">
        <v>930</v>
      </c>
      <c r="F39" t="s">
        <v>936</v>
      </c>
    </row>
    <row r="40" spans="1:6" x14ac:dyDescent="0.3">
      <c r="A40" t="s">
        <v>698</v>
      </c>
      <c r="B40" t="s">
        <v>1785</v>
      </c>
      <c r="C40" t="s">
        <v>930</v>
      </c>
      <c r="D40" t="s">
        <v>957</v>
      </c>
      <c r="E40" t="s">
        <v>930</v>
      </c>
      <c r="F40" t="s">
        <v>943</v>
      </c>
    </row>
    <row r="41" spans="1:6" x14ac:dyDescent="0.3">
      <c r="A41" t="s">
        <v>337</v>
      </c>
      <c r="B41" t="s">
        <v>1784</v>
      </c>
      <c r="C41" t="s">
        <v>930</v>
      </c>
      <c r="D41" t="s">
        <v>957</v>
      </c>
      <c r="E41" t="s">
        <v>930</v>
      </c>
      <c r="F41" t="s">
        <v>943</v>
      </c>
    </row>
    <row r="42" spans="1:6" x14ac:dyDescent="0.3">
      <c r="A42" t="s">
        <v>718</v>
      </c>
      <c r="B42" t="s">
        <v>1799</v>
      </c>
      <c r="C42" t="s">
        <v>930</v>
      </c>
      <c r="D42" t="s">
        <v>957</v>
      </c>
      <c r="E42" t="s">
        <v>930</v>
      </c>
      <c r="F42" t="s">
        <v>936</v>
      </c>
    </row>
    <row r="43" spans="1:6" x14ac:dyDescent="0.3">
      <c r="A43" t="s">
        <v>338</v>
      </c>
      <c r="B43" t="s">
        <v>1836</v>
      </c>
      <c r="C43" t="s">
        <v>930</v>
      </c>
      <c r="D43" t="s">
        <v>957</v>
      </c>
      <c r="E43" t="s">
        <v>930</v>
      </c>
      <c r="F43" t="s">
        <v>943</v>
      </c>
    </row>
    <row r="44" spans="1:6" x14ac:dyDescent="0.3">
      <c r="A44" t="s">
        <v>339</v>
      </c>
      <c r="B44" t="s">
        <v>1837</v>
      </c>
      <c r="C44" t="s">
        <v>930</v>
      </c>
      <c r="D44" t="s">
        <v>957</v>
      </c>
      <c r="E44" t="s">
        <v>930</v>
      </c>
      <c r="F44" t="s">
        <v>943</v>
      </c>
    </row>
    <row r="45" spans="1:6" x14ac:dyDescent="0.3">
      <c r="A45" t="s">
        <v>342</v>
      </c>
      <c r="B45" t="s">
        <v>1042</v>
      </c>
      <c r="C45" t="s">
        <v>930</v>
      </c>
      <c r="D45" t="s">
        <v>957</v>
      </c>
      <c r="E45" t="s">
        <v>930</v>
      </c>
      <c r="F45" t="s">
        <v>936</v>
      </c>
    </row>
    <row r="46" spans="1:6" x14ac:dyDescent="0.3">
      <c r="A46" t="s">
        <v>857</v>
      </c>
      <c r="B46" t="s">
        <v>1043</v>
      </c>
      <c r="C46" t="s">
        <v>930</v>
      </c>
      <c r="D46" t="s">
        <v>957</v>
      </c>
      <c r="E46" t="s">
        <v>930</v>
      </c>
      <c r="F46" t="s">
        <v>958</v>
      </c>
    </row>
    <row r="47" spans="1:6" x14ac:dyDescent="0.3">
      <c r="A47" t="s">
        <v>343</v>
      </c>
      <c r="B47" t="s">
        <v>1111</v>
      </c>
      <c r="C47" t="s">
        <v>930</v>
      </c>
      <c r="D47" t="s">
        <v>957</v>
      </c>
      <c r="E47" t="s">
        <v>930</v>
      </c>
      <c r="F47" t="s">
        <v>946</v>
      </c>
    </row>
    <row r="48" spans="1:6" x14ac:dyDescent="0.3">
      <c r="A48" t="s">
        <v>755</v>
      </c>
      <c r="B48" t="s">
        <v>1116</v>
      </c>
      <c r="C48" t="s">
        <v>930</v>
      </c>
      <c r="D48" t="s">
        <v>957</v>
      </c>
      <c r="E48" t="s">
        <v>930</v>
      </c>
      <c r="F48" t="s">
        <v>936</v>
      </c>
    </row>
    <row r="49" spans="1:6" x14ac:dyDescent="0.3">
      <c r="A49" t="s">
        <v>344</v>
      </c>
      <c r="B49" t="s">
        <v>1142</v>
      </c>
      <c r="C49" t="s">
        <v>930</v>
      </c>
      <c r="D49" t="s">
        <v>957</v>
      </c>
      <c r="E49" t="s">
        <v>930</v>
      </c>
      <c r="F49" t="s">
        <v>946</v>
      </c>
    </row>
    <row r="50" spans="1:6" x14ac:dyDescent="0.3">
      <c r="A50" t="s">
        <v>345</v>
      </c>
      <c r="B50" t="s">
        <v>1143</v>
      </c>
      <c r="C50" t="s">
        <v>930</v>
      </c>
      <c r="D50" t="s">
        <v>957</v>
      </c>
      <c r="E50" t="s">
        <v>930</v>
      </c>
      <c r="F50" t="s">
        <v>943</v>
      </c>
    </row>
    <row r="51" spans="1:6" x14ac:dyDescent="0.3">
      <c r="A51" t="s">
        <v>346</v>
      </c>
      <c r="B51" t="s">
        <v>1165</v>
      </c>
      <c r="C51" t="s">
        <v>930</v>
      </c>
      <c r="D51" t="s">
        <v>957</v>
      </c>
      <c r="E51" t="s">
        <v>930</v>
      </c>
      <c r="F51" t="s">
        <v>943</v>
      </c>
    </row>
    <row r="52" spans="1:6" x14ac:dyDescent="0.3">
      <c r="A52" t="s">
        <v>349</v>
      </c>
      <c r="B52" t="s">
        <v>1405</v>
      </c>
      <c r="C52" t="s">
        <v>930</v>
      </c>
      <c r="D52" t="s">
        <v>1113</v>
      </c>
      <c r="E52" t="s">
        <v>930</v>
      </c>
      <c r="F52" t="s">
        <v>946</v>
      </c>
    </row>
    <row r="53" spans="1:6" x14ac:dyDescent="0.3">
      <c r="A53" t="s">
        <v>350</v>
      </c>
      <c r="B53" t="s">
        <v>1406</v>
      </c>
      <c r="C53" t="s">
        <v>930</v>
      </c>
      <c r="D53" t="s">
        <v>1113</v>
      </c>
      <c r="E53" t="s">
        <v>930</v>
      </c>
      <c r="F53" t="s">
        <v>946</v>
      </c>
    </row>
    <row r="54" spans="1:6" x14ac:dyDescent="0.3">
      <c r="A54" t="s">
        <v>351</v>
      </c>
      <c r="B54" t="s">
        <v>1407</v>
      </c>
      <c r="C54" t="s">
        <v>930</v>
      </c>
      <c r="D54" t="s">
        <v>1113</v>
      </c>
      <c r="E54" t="s">
        <v>930</v>
      </c>
      <c r="F54" t="s">
        <v>946</v>
      </c>
    </row>
    <row r="55" spans="1:6" x14ac:dyDescent="0.3">
      <c r="A55" t="s">
        <v>1408</v>
      </c>
      <c r="B55" t="s">
        <v>1409</v>
      </c>
      <c r="C55" t="s">
        <v>930</v>
      </c>
      <c r="D55" t="s">
        <v>1113</v>
      </c>
      <c r="E55" t="s">
        <v>930</v>
      </c>
      <c r="F55" t="s">
        <v>943</v>
      </c>
    </row>
    <row r="56" spans="1:6" x14ac:dyDescent="0.3">
      <c r="A56" t="s">
        <v>352</v>
      </c>
      <c r="B56" t="s">
        <v>1427</v>
      </c>
      <c r="C56" t="s">
        <v>930</v>
      </c>
      <c r="D56" t="s">
        <v>957</v>
      </c>
      <c r="E56" t="s">
        <v>930</v>
      </c>
      <c r="F56" t="s">
        <v>943</v>
      </c>
    </row>
    <row r="57" spans="1:6" x14ac:dyDescent="0.3">
      <c r="A57" t="s">
        <v>353</v>
      </c>
      <c r="B57" t="s">
        <v>1428</v>
      </c>
      <c r="C57" t="s">
        <v>930</v>
      </c>
      <c r="D57" t="s">
        <v>957</v>
      </c>
      <c r="E57" t="s">
        <v>930</v>
      </c>
      <c r="F57" t="s">
        <v>943</v>
      </c>
    </row>
    <row r="58" spans="1:6" x14ac:dyDescent="0.3">
      <c r="A58" t="s">
        <v>354</v>
      </c>
      <c r="B58" t="s">
        <v>1448</v>
      </c>
      <c r="C58" t="s">
        <v>930</v>
      </c>
      <c r="D58" t="s">
        <v>957</v>
      </c>
      <c r="E58" t="s">
        <v>930</v>
      </c>
      <c r="F58" t="s">
        <v>931</v>
      </c>
    </row>
    <row r="59" spans="1:6" x14ac:dyDescent="0.3">
      <c r="A59" t="s">
        <v>355</v>
      </c>
      <c r="B59" t="s">
        <v>1452</v>
      </c>
      <c r="C59" t="s">
        <v>930</v>
      </c>
      <c r="D59" t="s">
        <v>957</v>
      </c>
      <c r="E59" t="s">
        <v>930</v>
      </c>
      <c r="F59" t="s">
        <v>943</v>
      </c>
    </row>
    <row r="60" spans="1:6" x14ac:dyDescent="0.3">
      <c r="A60" t="s">
        <v>356</v>
      </c>
      <c r="B60" t="s">
        <v>1513</v>
      </c>
      <c r="C60" t="s">
        <v>930</v>
      </c>
      <c r="D60" t="s">
        <v>957</v>
      </c>
      <c r="E60" t="s">
        <v>930</v>
      </c>
      <c r="F60" t="s">
        <v>931</v>
      </c>
    </row>
    <row r="61" spans="1:6" x14ac:dyDescent="0.3">
      <c r="A61" t="s">
        <v>358</v>
      </c>
      <c r="B61" t="s">
        <v>1545</v>
      </c>
      <c r="C61" t="s">
        <v>930</v>
      </c>
      <c r="D61" t="s">
        <v>957</v>
      </c>
      <c r="E61" t="s">
        <v>930</v>
      </c>
      <c r="F61" t="s">
        <v>943</v>
      </c>
    </row>
    <row r="62" spans="1:6" x14ac:dyDescent="0.3">
      <c r="A62" t="s">
        <v>1624</v>
      </c>
      <c r="B62" t="s">
        <v>1625</v>
      </c>
      <c r="C62" t="s">
        <v>930</v>
      </c>
      <c r="D62" t="s">
        <v>957</v>
      </c>
      <c r="E62" t="s">
        <v>930</v>
      </c>
      <c r="F62" t="s">
        <v>946</v>
      </c>
    </row>
    <row r="63" spans="1:6" x14ac:dyDescent="0.3">
      <c r="A63" t="s">
        <v>895</v>
      </c>
      <c r="B63" t="s">
        <v>1626</v>
      </c>
      <c r="C63" t="s">
        <v>930</v>
      </c>
      <c r="D63" t="s">
        <v>957</v>
      </c>
      <c r="E63" t="s">
        <v>930</v>
      </c>
      <c r="F63" t="s">
        <v>936</v>
      </c>
    </row>
    <row r="64" spans="1:6" x14ac:dyDescent="0.3">
      <c r="A64" t="s">
        <v>361</v>
      </c>
      <c r="B64" t="s">
        <v>1735</v>
      </c>
      <c r="C64" t="s">
        <v>930</v>
      </c>
      <c r="D64" t="s">
        <v>957</v>
      </c>
      <c r="E64" t="s">
        <v>930</v>
      </c>
      <c r="F64" t="s">
        <v>931</v>
      </c>
    </row>
    <row r="65" spans="1:6" x14ac:dyDescent="0.3">
      <c r="A65" t="s">
        <v>1730</v>
      </c>
      <c r="B65" t="s">
        <v>1731</v>
      </c>
      <c r="C65" t="s">
        <v>930</v>
      </c>
      <c r="D65" t="s">
        <v>957</v>
      </c>
      <c r="E65" t="s">
        <v>930</v>
      </c>
      <c r="F65" t="s">
        <v>958</v>
      </c>
    </row>
    <row r="66" spans="1:6" x14ac:dyDescent="0.3">
      <c r="A66" t="s">
        <v>1732</v>
      </c>
      <c r="B66" t="s">
        <v>1733</v>
      </c>
      <c r="C66" t="s">
        <v>930</v>
      </c>
      <c r="D66" t="s">
        <v>957</v>
      </c>
      <c r="E66" t="s">
        <v>930</v>
      </c>
      <c r="F66" t="s">
        <v>931</v>
      </c>
    </row>
    <row r="67" spans="1:6" x14ac:dyDescent="0.3">
      <c r="A67" t="s">
        <v>362</v>
      </c>
      <c r="B67" t="s">
        <v>1734</v>
      </c>
      <c r="C67" t="s">
        <v>930</v>
      </c>
      <c r="D67" t="s">
        <v>957</v>
      </c>
      <c r="E67" t="s">
        <v>930</v>
      </c>
      <c r="F67" t="s">
        <v>946</v>
      </c>
    </row>
    <row r="68" spans="1:6" x14ac:dyDescent="0.3">
      <c r="A68" t="s">
        <v>364</v>
      </c>
      <c r="B68" t="s">
        <v>1748</v>
      </c>
      <c r="C68" t="s">
        <v>1744</v>
      </c>
      <c r="D68" t="s">
        <v>957</v>
      </c>
      <c r="E68" t="s">
        <v>1749</v>
      </c>
      <c r="F68" t="s">
        <v>931</v>
      </c>
    </row>
    <row r="69" spans="1:6" x14ac:dyDescent="0.3">
      <c r="A69" t="s">
        <v>365</v>
      </c>
      <c r="B69" t="s">
        <v>1743</v>
      </c>
      <c r="C69" t="s">
        <v>1744</v>
      </c>
      <c r="D69" t="s">
        <v>957</v>
      </c>
      <c r="E69" t="s">
        <v>1745</v>
      </c>
      <c r="F69" t="s">
        <v>931</v>
      </c>
    </row>
    <row r="70" spans="1:6" x14ac:dyDescent="0.3">
      <c r="A70" t="s">
        <v>626</v>
      </c>
      <c r="B70" t="s">
        <v>1743</v>
      </c>
      <c r="C70" t="s">
        <v>1746</v>
      </c>
      <c r="D70" t="s">
        <v>957</v>
      </c>
      <c r="E70" t="s">
        <v>1745</v>
      </c>
      <c r="F70" t="s">
        <v>943</v>
      </c>
    </row>
    <row r="71" spans="1:6" x14ac:dyDescent="0.3">
      <c r="A71" t="s">
        <v>858</v>
      </c>
      <c r="B71" t="s">
        <v>1743</v>
      </c>
      <c r="C71" t="s">
        <v>1746</v>
      </c>
      <c r="D71" t="s">
        <v>957</v>
      </c>
      <c r="E71" t="s">
        <v>1747</v>
      </c>
      <c r="F71" t="s">
        <v>936</v>
      </c>
    </row>
    <row r="72" spans="1:6" x14ac:dyDescent="0.3">
      <c r="A72" t="s">
        <v>366</v>
      </c>
      <c r="B72" t="s">
        <v>1741</v>
      </c>
      <c r="C72" t="s">
        <v>930</v>
      </c>
      <c r="D72" t="s">
        <v>957</v>
      </c>
      <c r="E72" t="s">
        <v>930</v>
      </c>
      <c r="F72" t="s">
        <v>943</v>
      </c>
    </row>
    <row r="73" spans="1:6" x14ac:dyDescent="0.3">
      <c r="A73" t="s">
        <v>367</v>
      </c>
      <c r="B73" t="s">
        <v>1742</v>
      </c>
      <c r="C73" t="s">
        <v>930</v>
      </c>
      <c r="D73" t="s">
        <v>957</v>
      </c>
      <c r="E73" t="s">
        <v>930</v>
      </c>
      <c r="F73" t="s">
        <v>943</v>
      </c>
    </row>
    <row r="74" spans="1:6" x14ac:dyDescent="0.3">
      <c r="A74" t="s">
        <v>368</v>
      </c>
      <c r="B74" t="s">
        <v>1752</v>
      </c>
      <c r="C74" t="s">
        <v>930</v>
      </c>
      <c r="D74" t="s">
        <v>957</v>
      </c>
      <c r="E74" t="s">
        <v>1753</v>
      </c>
      <c r="F74" t="s">
        <v>946</v>
      </c>
    </row>
    <row r="75" spans="1:6" x14ac:dyDescent="0.3">
      <c r="A75" t="s">
        <v>369</v>
      </c>
      <c r="B75" t="s">
        <v>1752</v>
      </c>
      <c r="C75" t="s">
        <v>930</v>
      </c>
      <c r="D75" t="s">
        <v>957</v>
      </c>
      <c r="E75" t="s">
        <v>1754</v>
      </c>
      <c r="F75" t="s">
        <v>943</v>
      </c>
    </row>
    <row r="76" spans="1:6" x14ac:dyDescent="0.3">
      <c r="A76" t="s">
        <v>383</v>
      </c>
      <c r="B76" t="s">
        <v>1299</v>
      </c>
      <c r="C76" t="s">
        <v>930</v>
      </c>
      <c r="D76" t="s">
        <v>957</v>
      </c>
      <c r="E76" t="s">
        <v>930</v>
      </c>
      <c r="F76" t="s">
        <v>958</v>
      </c>
    </row>
    <row r="77" spans="1:6" x14ac:dyDescent="0.3">
      <c r="A77" t="s">
        <v>1104</v>
      </c>
      <c r="B77" t="s">
        <v>1105</v>
      </c>
      <c r="C77" t="s">
        <v>930</v>
      </c>
      <c r="D77" t="s">
        <v>957</v>
      </c>
      <c r="E77" t="s">
        <v>930</v>
      </c>
      <c r="F77" t="s">
        <v>946</v>
      </c>
    </row>
    <row r="78" spans="1:6" x14ac:dyDescent="0.3">
      <c r="A78" t="s">
        <v>385</v>
      </c>
      <c r="B78" t="s">
        <v>1109</v>
      </c>
      <c r="C78" t="s">
        <v>930</v>
      </c>
      <c r="D78" t="s">
        <v>957</v>
      </c>
      <c r="E78" t="s">
        <v>930</v>
      </c>
      <c r="F78" t="s">
        <v>943</v>
      </c>
    </row>
    <row r="79" spans="1:6" x14ac:dyDescent="0.3">
      <c r="A79" t="s">
        <v>387</v>
      </c>
      <c r="B79" t="s">
        <v>1038</v>
      </c>
      <c r="C79" t="s">
        <v>930</v>
      </c>
      <c r="D79" t="s">
        <v>957</v>
      </c>
      <c r="E79" t="s">
        <v>930</v>
      </c>
      <c r="F79" t="s">
        <v>943</v>
      </c>
    </row>
    <row r="80" spans="1:6" x14ac:dyDescent="0.3">
      <c r="A80" t="s">
        <v>389</v>
      </c>
      <c r="B80" t="s">
        <v>1037</v>
      </c>
      <c r="C80" t="s">
        <v>930</v>
      </c>
      <c r="D80" t="s">
        <v>957</v>
      </c>
      <c r="E80" t="s">
        <v>930</v>
      </c>
      <c r="F80" t="s">
        <v>943</v>
      </c>
    </row>
    <row r="81" spans="1:6" x14ac:dyDescent="0.3">
      <c r="A81" t="s">
        <v>392</v>
      </c>
      <c r="B81" t="s">
        <v>1239</v>
      </c>
      <c r="C81" t="s">
        <v>930</v>
      </c>
      <c r="D81" t="s">
        <v>957</v>
      </c>
      <c r="E81" t="s">
        <v>930</v>
      </c>
      <c r="F81" t="s">
        <v>946</v>
      </c>
    </row>
    <row r="82" spans="1:6" x14ac:dyDescent="0.3">
      <c r="A82" t="s">
        <v>1434</v>
      </c>
      <c r="B82" t="s">
        <v>1435</v>
      </c>
      <c r="C82" t="s">
        <v>930</v>
      </c>
      <c r="D82" t="s">
        <v>957</v>
      </c>
      <c r="E82" t="s">
        <v>930</v>
      </c>
      <c r="F82" t="s">
        <v>958</v>
      </c>
    </row>
    <row r="83" spans="1:6" x14ac:dyDescent="0.3">
      <c r="A83" t="s">
        <v>1541</v>
      </c>
      <c r="B83" t="s">
        <v>1542</v>
      </c>
      <c r="C83" t="s">
        <v>930</v>
      </c>
      <c r="D83" t="s">
        <v>957</v>
      </c>
      <c r="E83" t="s">
        <v>930</v>
      </c>
      <c r="F83" t="s">
        <v>931</v>
      </c>
    </row>
    <row r="84" spans="1:6" x14ac:dyDescent="0.3">
      <c r="A84" t="s">
        <v>394</v>
      </c>
      <c r="B84" t="s">
        <v>1801</v>
      </c>
      <c r="C84" t="s">
        <v>930</v>
      </c>
      <c r="D84" t="s">
        <v>957</v>
      </c>
      <c r="E84" t="s">
        <v>930</v>
      </c>
      <c r="F84" t="s">
        <v>958</v>
      </c>
    </row>
    <row r="85" spans="1:6" x14ac:dyDescent="0.3">
      <c r="A85" t="s">
        <v>395</v>
      </c>
      <c r="B85" t="s">
        <v>1798</v>
      </c>
      <c r="C85" t="s">
        <v>930</v>
      </c>
      <c r="D85" t="s">
        <v>957</v>
      </c>
      <c r="E85" t="s">
        <v>930</v>
      </c>
      <c r="F85" t="s">
        <v>958</v>
      </c>
    </row>
    <row r="86" spans="1:6" x14ac:dyDescent="0.3">
      <c r="A86" t="s">
        <v>396</v>
      </c>
      <c r="B86" t="s">
        <v>1802</v>
      </c>
      <c r="C86" t="s">
        <v>930</v>
      </c>
      <c r="D86" t="s">
        <v>957</v>
      </c>
      <c r="E86" t="s">
        <v>930</v>
      </c>
      <c r="F86" t="s">
        <v>931</v>
      </c>
    </row>
    <row r="87" spans="1:6" x14ac:dyDescent="0.3">
      <c r="A87" t="s">
        <v>399</v>
      </c>
      <c r="B87" t="s">
        <v>1170</v>
      </c>
      <c r="C87" t="s">
        <v>930</v>
      </c>
      <c r="D87" t="s">
        <v>957</v>
      </c>
      <c r="E87" t="s">
        <v>930</v>
      </c>
      <c r="F87" t="s">
        <v>943</v>
      </c>
    </row>
    <row r="88" spans="1:6" x14ac:dyDescent="0.3">
      <c r="A88" t="s">
        <v>400</v>
      </c>
      <c r="B88" t="s">
        <v>1177</v>
      </c>
      <c r="C88" t="s">
        <v>930</v>
      </c>
      <c r="D88" t="s">
        <v>957</v>
      </c>
      <c r="E88" t="s">
        <v>930</v>
      </c>
      <c r="F88" t="s">
        <v>946</v>
      </c>
    </row>
    <row r="89" spans="1:6" x14ac:dyDescent="0.3">
      <c r="A89" t="s">
        <v>402</v>
      </c>
      <c r="B89" t="s">
        <v>1780</v>
      </c>
      <c r="C89" t="s">
        <v>930</v>
      </c>
      <c r="D89" t="s">
        <v>957</v>
      </c>
      <c r="E89" t="s">
        <v>930</v>
      </c>
      <c r="F89" t="s">
        <v>943</v>
      </c>
    </row>
    <row r="90" spans="1:6" x14ac:dyDescent="0.3">
      <c r="A90" t="s">
        <v>403</v>
      </c>
      <c r="B90" t="s">
        <v>1779</v>
      </c>
      <c r="C90" t="s">
        <v>930</v>
      </c>
      <c r="D90" t="s">
        <v>957</v>
      </c>
      <c r="E90" t="s">
        <v>930</v>
      </c>
      <c r="F90" t="s">
        <v>946</v>
      </c>
    </row>
    <row r="91" spans="1:6" x14ac:dyDescent="0.3">
      <c r="A91" t="s">
        <v>404</v>
      </c>
      <c r="B91" t="s">
        <v>1786</v>
      </c>
      <c r="C91" t="s">
        <v>930</v>
      </c>
      <c r="D91" t="s">
        <v>957</v>
      </c>
      <c r="E91" t="s">
        <v>930</v>
      </c>
      <c r="F91" t="s">
        <v>946</v>
      </c>
    </row>
    <row r="92" spans="1:6" x14ac:dyDescent="0.3">
      <c r="A92" t="s">
        <v>619</v>
      </c>
      <c r="B92" t="s">
        <v>1693</v>
      </c>
      <c r="C92" t="s">
        <v>930</v>
      </c>
      <c r="D92" t="s">
        <v>957</v>
      </c>
      <c r="E92" t="s">
        <v>930</v>
      </c>
      <c r="F92" t="s">
        <v>931</v>
      </c>
    </row>
    <row r="93" spans="1:6" x14ac:dyDescent="0.3">
      <c r="A93" t="s">
        <v>406</v>
      </c>
      <c r="B93" t="s">
        <v>1171</v>
      </c>
      <c r="C93" t="s">
        <v>930</v>
      </c>
      <c r="D93" t="s">
        <v>957</v>
      </c>
      <c r="E93" t="s">
        <v>930</v>
      </c>
      <c r="F93" t="s">
        <v>946</v>
      </c>
    </row>
    <row r="94" spans="1:6" x14ac:dyDescent="0.3">
      <c r="A94" t="s">
        <v>407</v>
      </c>
      <c r="B94" t="s">
        <v>1712</v>
      </c>
      <c r="C94" t="s">
        <v>930</v>
      </c>
      <c r="D94" t="s">
        <v>957</v>
      </c>
      <c r="E94" t="s">
        <v>930</v>
      </c>
      <c r="F94" t="s">
        <v>936</v>
      </c>
    </row>
    <row r="95" spans="1:6" x14ac:dyDescent="0.3">
      <c r="A95" t="s">
        <v>785</v>
      </c>
      <c r="B95" t="s">
        <v>1530</v>
      </c>
      <c r="C95" t="s">
        <v>930</v>
      </c>
      <c r="D95" t="s">
        <v>957</v>
      </c>
      <c r="E95" t="s">
        <v>930</v>
      </c>
      <c r="F95" t="s">
        <v>936</v>
      </c>
    </row>
    <row r="96" spans="1:6" x14ac:dyDescent="0.3">
      <c r="A96" t="s">
        <v>408</v>
      </c>
      <c r="B96" t="s">
        <v>1679</v>
      </c>
      <c r="C96" t="s">
        <v>930</v>
      </c>
      <c r="D96" t="s">
        <v>957</v>
      </c>
      <c r="E96" t="s">
        <v>930</v>
      </c>
      <c r="F96" t="s">
        <v>946</v>
      </c>
    </row>
    <row r="97" spans="1:6" x14ac:dyDescent="0.3">
      <c r="A97" t="s">
        <v>620</v>
      </c>
      <c r="B97" t="s">
        <v>1176</v>
      </c>
      <c r="C97" t="s">
        <v>930</v>
      </c>
      <c r="D97" t="s">
        <v>957</v>
      </c>
      <c r="E97" t="s">
        <v>930</v>
      </c>
      <c r="F97" t="s">
        <v>946</v>
      </c>
    </row>
    <row r="98" spans="1:6" x14ac:dyDescent="0.3">
      <c r="A98" t="s">
        <v>409</v>
      </c>
      <c r="B98" t="s">
        <v>1178</v>
      </c>
      <c r="C98" t="s">
        <v>1180</v>
      </c>
      <c r="D98" t="s">
        <v>957</v>
      </c>
      <c r="E98" t="s">
        <v>930</v>
      </c>
      <c r="F98" t="s">
        <v>958</v>
      </c>
    </row>
    <row r="99" spans="1:6" x14ac:dyDescent="0.3">
      <c r="A99" t="s">
        <v>411</v>
      </c>
      <c r="B99" t="s">
        <v>1174</v>
      </c>
      <c r="C99" t="s">
        <v>930</v>
      </c>
      <c r="D99" t="s">
        <v>957</v>
      </c>
      <c r="E99" t="s">
        <v>930</v>
      </c>
      <c r="F99" t="s">
        <v>946</v>
      </c>
    </row>
    <row r="100" spans="1:6" x14ac:dyDescent="0.3">
      <c r="A100" t="s">
        <v>413</v>
      </c>
      <c r="B100" t="s">
        <v>1326</v>
      </c>
      <c r="C100" t="s">
        <v>930</v>
      </c>
      <c r="D100" t="s">
        <v>957</v>
      </c>
      <c r="E100" t="s">
        <v>930</v>
      </c>
      <c r="F100" t="s">
        <v>946</v>
      </c>
    </row>
    <row r="101" spans="1:6" x14ac:dyDescent="0.3">
      <c r="A101" t="s">
        <v>416</v>
      </c>
      <c r="B101" t="s">
        <v>1169</v>
      </c>
      <c r="C101" t="s">
        <v>930</v>
      </c>
      <c r="D101" t="s">
        <v>957</v>
      </c>
      <c r="E101" t="s">
        <v>930</v>
      </c>
      <c r="F101" t="s">
        <v>943</v>
      </c>
    </row>
    <row r="102" spans="1:6" x14ac:dyDescent="0.3">
      <c r="A102" t="s">
        <v>1457</v>
      </c>
      <c r="B102" t="s">
        <v>1458</v>
      </c>
      <c r="C102" t="s">
        <v>930</v>
      </c>
      <c r="D102" t="s">
        <v>957</v>
      </c>
      <c r="E102" t="s">
        <v>930</v>
      </c>
      <c r="F102" t="s">
        <v>958</v>
      </c>
    </row>
    <row r="103" spans="1:6" x14ac:dyDescent="0.3">
      <c r="A103" t="s">
        <v>419</v>
      </c>
      <c r="B103" t="s">
        <v>1240</v>
      </c>
      <c r="C103" t="s">
        <v>930</v>
      </c>
      <c r="D103" t="s">
        <v>957</v>
      </c>
      <c r="E103" t="s">
        <v>930</v>
      </c>
      <c r="F103" t="s">
        <v>943</v>
      </c>
    </row>
    <row r="104" spans="1:6" x14ac:dyDescent="0.3">
      <c r="A104" t="s">
        <v>420</v>
      </c>
      <c r="B104" t="s">
        <v>1740</v>
      </c>
      <c r="C104" t="s">
        <v>930</v>
      </c>
      <c r="D104" t="s">
        <v>957</v>
      </c>
      <c r="E104" t="s">
        <v>930</v>
      </c>
      <c r="F104" t="s">
        <v>931</v>
      </c>
    </row>
    <row r="105" spans="1:6" x14ac:dyDescent="0.3">
      <c r="A105" t="s">
        <v>658</v>
      </c>
      <c r="B105" t="s">
        <v>1102</v>
      </c>
      <c r="C105" t="s">
        <v>930</v>
      </c>
      <c r="D105" t="s">
        <v>957</v>
      </c>
      <c r="E105" t="s">
        <v>930</v>
      </c>
      <c r="F105" t="s">
        <v>931</v>
      </c>
    </row>
    <row r="106" spans="1:6" x14ac:dyDescent="0.3">
      <c r="A106" t="s">
        <v>421</v>
      </c>
      <c r="B106" t="s">
        <v>1512</v>
      </c>
      <c r="C106" t="s">
        <v>930</v>
      </c>
      <c r="D106" t="s">
        <v>957</v>
      </c>
      <c r="E106" t="s">
        <v>930</v>
      </c>
      <c r="F106" t="s">
        <v>931</v>
      </c>
    </row>
    <row r="107" spans="1:6" x14ac:dyDescent="0.3">
      <c r="A107" t="s">
        <v>422</v>
      </c>
      <c r="B107" t="s">
        <v>1787</v>
      </c>
      <c r="C107" t="s">
        <v>930</v>
      </c>
      <c r="D107" t="s">
        <v>957</v>
      </c>
      <c r="E107" t="s">
        <v>930</v>
      </c>
      <c r="F107" t="s">
        <v>946</v>
      </c>
    </row>
    <row r="108" spans="1:6" x14ac:dyDescent="0.3">
      <c r="A108" t="s">
        <v>425</v>
      </c>
      <c r="B108" t="s">
        <v>1147</v>
      </c>
      <c r="C108" t="s">
        <v>930</v>
      </c>
      <c r="D108" t="s">
        <v>957</v>
      </c>
      <c r="E108" t="s">
        <v>930</v>
      </c>
      <c r="F108" t="s">
        <v>958</v>
      </c>
    </row>
    <row r="109" spans="1:6" x14ac:dyDescent="0.3">
      <c r="A109" t="s">
        <v>801</v>
      </c>
      <c r="B109" t="s">
        <v>1812</v>
      </c>
      <c r="C109" t="s">
        <v>930</v>
      </c>
      <c r="D109" t="s">
        <v>957</v>
      </c>
      <c r="E109" t="s">
        <v>930</v>
      </c>
      <c r="F109" t="s">
        <v>936</v>
      </c>
    </row>
    <row r="110" spans="1:6" x14ac:dyDescent="0.3">
      <c r="A110" t="s">
        <v>426</v>
      </c>
      <c r="B110" t="s">
        <v>1178</v>
      </c>
      <c r="C110" t="s">
        <v>1179</v>
      </c>
      <c r="D110" t="s">
        <v>957</v>
      </c>
      <c r="E110" t="s">
        <v>930</v>
      </c>
      <c r="F110" t="s">
        <v>958</v>
      </c>
    </row>
    <row r="111" spans="1:6" x14ac:dyDescent="0.3">
      <c r="A111" t="s">
        <v>427</v>
      </c>
      <c r="B111" t="s">
        <v>1048</v>
      </c>
      <c r="C111" t="s">
        <v>930</v>
      </c>
      <c r="D111" t="s">
        <v>957</v>
      </c>
      <c r="E111" t="s">
        <v>930</v>
      </c>
      <c r="F111" t="s">
        <v>931</v>
      </c>
    </row>
    <row r="112" spans="1:6" x14ac:dyDescent="0.3">
      <c r="A112" t="s">
        <v>428</v>
      </c>
      <c r="B112" t="s">
        <v>1081</v>
      </c>
      <c r="C112" t="s">
        <v>930</v>
      </c>
      <c r="D112" t="s">
        <v>950</v>
      </c>
      <c r="E112" t="s">
        <v>962</v>
      </c>
      <c r="F112" t="s">
        <v>943</v>
      </c>
    </row>
    <row r="113" spans="1:6" x14ac:dyDescent="0.3">
      <c r="A113" t="s">
        <v>429</v>
      </c>
      <c r="B113" t="s">
        <v>1811</v>
      </c>
      <c r="C113" t="s">
        <v>930</v>
      </c>
      <c r="D113" t="s">
        <v>957</v>
      </c>
      <c r="E113" t="s">
        <v>930</v>
      </c>
      <c r="F113" t="s">
        <v>936</v>
      </c>
    </row>
    <row r="114" spans="1:6" x14ac:dyDescent="0.3">
      <c r="A114" t="s">
        <v>431</v>
      </c>
      <c r="B114" t="s">
        <v>1100</v>
      </c>
      <c r="C114" t="s">
        <v>930</v>
      </c>
      <c r="D114" t="s">
        <v>957</v>
      </c>
      <c r="E114" t="s">
        <v>930</v>
      </c>
      <c r="F114" t="s">
        <v>946</v>
      </c>
    </row>
    <row r="115" spans="1:6" x14ac:dyDescent="0.3">
      <c r="A115" t="s">
        <v>629</v>
      </c>
      <c r="B115" t="s">
        <v>1781</v>
      </c>
      <c r="C115" t="s">
        <v>930</v>
      </c>
      <c r="D115" t="s">
        <v>957</v>
      </c>
      <c r="E115" t="s">
        <v>930</v>
      </c>
      <c r="F115" t="s">
        <v>958</v>
      </c>
    </row>
    <row r="116" spans="1:6" x14ac:dyDescent="0.3">
      <c r="A116" t="s">
        <v>436</v>
      </c>
      <c r="B116" t="s">
        <v>1630</v>
      </c>
      <c r="C116" t="s">
        <v>930</v>
      </c>
      <c r="D116" t="s">
        <v>957</v>
      </c>
      <c r="E116" t="s">
        <v>930</v>
      </c>
      <c r="F116" t="s">
        <v>936</v>
      </c>
    </row>
    <row r="117" spans="1:6" x14ac:dyDescent="0.3">
      <c r="A117" t="s">
        <v>639</v>
      </c>
      <c r="B117" t="s">
        <v>1674</v>
      </c>
      <c r="C117" t="s">
        <v>930</v>
      </c>
      <c r="D117" t="s">
        <v>1670</v>
      </c>
      <c r="E117" t="s">
        <v>1676</v>
      </c>
      <c r="F117" t="s">
        <v>936</v>
      </c>
    </row>
    <row r="118" spans="1:6" x14ac:dyDescent="0.3">
      <c r="A118" t="s">
        <v>440</v>
      </c>
      <c r="B118" t="s">
        <v>1829</v>
      </c>
      <c r="C118" t="s">
        <v>930</v>
      </c>
      <c r="D118" t="s">
        <v>957</v>
      </c>
      <c r="E118" t="s">
        <v>930</v>
      </c>
      <c r="F118" t="s">
        <v>943</v>
      </c>
    </row>
    <row r="119" spans="1:6" x14ac:dyDescent="0.3">
      <c r="A119" t="s">
        <v>1044</v>
      </c>
      <c r="B119" t="s">
        <v>1045</v>
      </c>
      <c r="C119" t="s">
        <v>930</v>
      </c>
      <c r="D119" t="s">
        <v>957</v>
      </c>
      <c r="E119" t="s">
        <v>930</v>
      </c>
      <c r="F119" t="s">
        <v>943</v>
      </c>
    </row>
    <row r="120" spans="1:6" x14ac:dyDescent="0.3">
      <c r="A120" t="s">
        <v>442</v>
      </c>
      <c r="B120" t="s">
        <v>1827</v>
      </c>
      <c r="C120" t="s">
        <v>930</v>
      </c>
      <c r="D120" t="s">
        <v>957</v>
      </c>
      <c r="E120" t="s">
        <v>930</v>
      </c>
      <c r="F120" t="s">
        <v>943</v>
      </c>
    </row>
    <row r="121" spans="1:6" x14ac:dyDescent="0.3">
      <c r="A121" t="s">
        <v>443</v>
      </c>
      <c r="B121" t="s">
        <v>1826</v>
      </c>
      <c r="C121" t="s">
        <v>930</v>
      </c>
      <c r="D121" t="s">
        <v>957</v>
      </c>
      <c r="E121" t="s">
        <v>930</v>
      </c>
      <c r="F121" t="s">
        <v>936</v>
      </c>
    </row>
    <row r="122" spans="1:6" x14ac:dyDescent="0.3">
      <c r="A122" t="s">
        <v>444</v>
      </c>
      <c r="B122" t="s">
        <v>1828</v>
      </c>
      <c r="C122" t="s">
        <v>930</v>
      </c>
      <c r="D122" t="s">
        <v>957</v>
      </c>
      <c r="E122" t="s">
        <v>930</v>
      </c>
      <c r="F122" t="s">
        <v>931</v>
      </c>
    </row>
    <row r="123" spans="1:6" x14ac:dyDescent="0.3">
      <c r="A123" t="s">
        <v>446</v>
      </c>
      <c r="B123" t="s">
        <v>1290</v>
      </c>
      <c r="C123" t="s">
        <v>930</v>
      </c>
      <c r="D123" t="s">
        <v>957</v>
      </c>
      <c r="E123" t="s">
        <v>930</v>
      </c>
      <c r="F123" t="s">
        <v>931</v>
      </c>
    </row>
    <row r="124" spans="1:6" x14ac:dyDescent="0.3">
      <c r="A124" t="s">
        <v>448</v>
      </c>
      <c r="B124" t="s">
        <v>1788</v>
      </c>
      <c r="C124" t="s">
        <v>930</v>
      </c>
      <c r="D124" t="s">
        <v>957</v>
      </c>
      <c r="E124" t="s">
        <v>930</v>
      </c>
      <c r="F124" t="s">
        <v>943</v>
      </c>
    </row>
    <row r="125" spans="1:6" x14ac:dyDescent="0.3">
      <c r="A125" t="s">
        <v>872</v>
      </c>
      <c r="B125" t="s">
        <v>1453</v>
      </c>
      <c r="C125" t="s">
        <v>930</v>
      </c>
      <c r="D125" t="s">
        <v>957</v>
      </c>
      <c r="E125" t="s">
        <v>930</v>
      </c>
      <c r="F125" t="s">
        <v>931</v>
      </c>
    </row>
    <row r="126" spans="1:6" x14ac:dyDescent="0.3">
      <c r="A126" t="s">
        <v>449</v>
      </c>
      <c r="B126" t="s">
        <v>1762</v>
      </c>
      <c r="C126" t="s">
        <v>930</v>
      </c>
      <c r="D126" t="s">
        <v>957</v>
      </c>
      <c r="E126" t="s">
        <v>930</v>
      </c>
      <c r="F126" t="s">
        <v>958</v>
      </c>
    </row>
    <row r="127" spans="1:6" x14ac:dyDescent="0.3">
      <c r="A127" t="s">
        <v>451</v>
      </c>
      <c r="B127" t="s">
        <v>1344</v>
      </c>
      <c r="C127" t="s">
        <v>930</v>
      </c>
      <c r="D127" t="s">
        <v>957</v>
      </c>
      <c r="E127" t="s">
        <v>930</v>
      </c>
      <c r="F127" t="s">
        <v>943</v>
      </c>
    </row>
    <row r="128" spans="1:6" x14ac:dyDescent="0.3">
      <c r="A128" t="s">
        <v>452</v>
      </c>
      <c r="B128" t="s">
        <v>1777</v>
      </c>
      <c r="C128" t="s">
        <v>930</v>
      </c>
      <c r="D128" t="s">
        <v>957</v>
      </c>
      <c r="E128" t="s">
        <v>930</v>
      </c>
      <c r="F128" t="s">
        <v>943</v>
      </c>
    </row>
    <row r="129" spans="1:6" x14ac:dyDescent="0.3">
      <c r="A129" t="s">
        <v>453</v>
      </c>
      <c r="B129" t="s">
        <v>1790</v>
      </c>
      <c r="C129" t="s">
        <v>930</v>
      </c>
      <c r="D129" t="s">
        <v>957</v>
      </c>
      <c r="E129" t="s">
        <v>930</v>
      </c>
      <c r="F129" t="s">
        <v>936</v>
      </c>
    </row>
    <row r="130" spans="1:6" x14ac:dyDescent="0.3">
      <c r="A130" t="s">
        <v>454</v>
      </c>
      <c r="B130" t="s">
        <v>1305</v>
      </c>
      <c r="C130" t="s">
        <v>930</v>
      </c>
      <c r="D130" t="s">
        <v>957</v>
      </c>
      <c r="E130" t="s">
        <v>930</v>
      </c>
      <c r="F130" t="s">
        <v>943</v>
      </c>
    </row>
    <row r="131" spans="1:6" x14ac:dyDescent="0.3">
      <c r="A131" t="s">
        <v>455</v>
      </c>
      <c r="B131" t="s">
        <v>1819</v>
      </c>
      <c r="C131" t="s">
        <v>930</v>
      </c>
      <c r="D131" t="s">
        <v>957</v>
      </c>
      <c r="E131" t="s">
        <v>930</v>
      </c>
      <c r="F131" t="s">
        <v>943</v>
      </c>
    </row>
    <row r="132" spans="1:6" x14ac:dyDescent="0.3">
      <c r="A132" t="s">
        <v>456</v>
      </c>
      <c r="B132" t="s">
        <v>1631</v>
      </c>
      <c r="C132" t="s">
        <v>930</v>
      </c>
      <c r="D132" t="s">
        <v>957</v>
      </c>
      <c r="E132" t="s">
        <v>930</v>
      </c>
      <c r="F132" t="s">
        <v>943</v>
      </c>
    </row>
    <row r="133" spans="1:6" x14ac:dyDescent="0.3">
      <c r="A133" t="s">
        <v>457</v>
      </c>
      <c r="B133" t="s">
        <v>1775</v>
      </c>
      <c r="C133" t="s">
        <v>930</v>
      </c>
      <c r="D133" t="s">
        <v>957</v>
      </c>
      <c r="E133" t="s">
        <v>930</v>
      </c>
      <c r="F133" t="s">
        <v>931</v>
      </c>
    </row>
    <row r="134" spans="1:6" x14ac:dyDescent="0.3">
      <c r="A134" t="s">
        <v>459</v>
      </c>
      <c r="B134" t="s">
        <v>1455</v>
      </c>
      <c r="C134" t="s">
        <v>930</v>
      </c>
      <c r="D134" t="s">
        <v>957</v>
      </c>
      <c r="E134" t="s">
        <v>930</v>
      </c>
      <c r="F134" t="s">
        <v>946</v>
      </c>
    </row>
    <row r="135" spans="1:6" x14ac:dyDescent="0.3">
      <c r="A135" t="s">
        <v>460</v>
      </c>
      <c r="B135" t="s">
        <v>1460</v>
      </c>
      <c r="C135" t="s">
        <v>930</v>
      </c>
      <c r="D135" t="s">
        <v>957</v>
      </c>
      <c r="E135" t="s">
        <v>930</v>
      </c>
      <c r="F135" t="s">
        <v>946</v>
      </c>
    </row>
    <row r="136" spans="1:6" x14ac:dyDescent="0.3">
      <c r="A136" t="s">
        <v>803</v>
      </c>
      <c r="B136" t="s">
        <v>1403</v>
      </c>
      <c r="C136" t="s">
        <v>930</v>
      </c>
      <c r="D136" t="s">
        <v>957</v>
      </c>
      <c r="E136" t="s">
        <v>930</v>
      </c>
      <c r="F136" t="s">
        <v>931</v>
      </c>
    </row>
    <row r="137" spans="1:6" x14ac:dyDescent="0.3">
      <c r="A137" t="s">
        <v>461</v>
      </c>
      <c r="B137" t="s">
        <v>1662</v>
      </c>
      <c r="C137" t="s">
        <v>930</v>
      </c>
      <c r="D137" t="s">
        <v>1072</v>
      </c>
      <c r="E137" t="s">
        <v>1663</v>
      </c>
      <c r="F137" t="s">
        <v>946</v>
      </c>
    </row>
    <row r="138" spans="1:6" x14ac:dyDescent="0.3">
      <c r="A138" t="s">
        <v>661</v>
      </c>
      <c r="B138" t="s">
        <v>1533</v>
      </c>
      <c r="C138" t="s">
        <v>930</v>
      </c>
      <c r="D138" t="s">
        <v>957</v>
      </c>
      <c r="E138" t="s">
        <v>930</v>
      </c>
      <c r="F138" t="s">
        <v>946</v>
      </c>
    </row>
    <row r="139" spans="1:6" x14ac:dyDescent="0.3">
      <c r="A139" t="s">
        <v>735</v>
      </c>
      <c r="B139" t="s">
        <v>1548</v>
      </c>
      <c r="C139" t="s">
        <v>930</v>
      </c>
      <c r="D139" t="s">
        <v>957</v>
      </c>
      <c r="E139" t="s">
        <v>930</v>
      </c>
      <c r="F139" t="s">
        <v>931</v>
      </c>
    </row>
    <row r="140" spans="1:6" x14ac:dyDescent="0.3">
      <c r="A140" t="s">
        <v>724</v>
      </c>
      <c r="B140" t="s">
        <v>1182</v>
      </c>
      <c r="C140" t="s">
        <v>930</v>
      </c>
      <c r="D140" t="s">
        <v>957</v>
      </c>
      <c r="E140" t="s">
        <v>930</v>
      </c>
      <c r="F140" t="s">
        <v>946</v>
      </c>
    </row>
    <row r="141" spans="1:6" x14ac:dyDescent="0.3">
      <c r="A141" t="s">
        <v>462</v>
      </c>
      <c r="B141" t="s">
        <v>1633</v>
      </c>
      <c r="C141" t="s">
        <v>930</v>
      </c>
      <c r="D141" t="s">
        <v>957</v>
      </c>
      <c r="E141" t="s">
        <v>930</v>
      </c>
      <c r="F141" t="s">
        <v>936</v>
      </c>
    </row>
    <row r="142" spans="1:6" x14ac:dyDescent="0.3">
      <c r="A142" t="s">
        <v>465</v>
      </c>
      <c r="B142" t="s">
        <v>965</v>
      </c>
      <c r="C142" t="s">
        <v>930</v>
      </c>
      <c r="D142" t="s">
        <v>957</v>
      </c>
      <c r="E142" t="s">
        <v>930</v>
      </c>
      <c r="F142" t="s">
        <v>946</v>
      </c>
    </row>
    <row r="143" spans="1:6" x14ac:dyDescent="0.3">
      <c r="A143" t="s">
        <v>466</v>
      </c>
      <c r="B143" t="s">
        <v>1217</v>
      </c>
      <c r="C143" t="s">
        <v>930</v>
      </c>
      <c r="D143" t="s">
        <v>957</v>
      </c>
      <c r="E143" t="s">
        <v>930</v>
      </c>
      <c r="F143" t="s">
        <v>931</v>
      </c>
    </row>
    <row r="144" spans="1:6" x14ac:dyDescent="0.3">
      <c r="A144" t="s">
        <v>1184</v>
      </c>
      <c r="B144" t="s">
        <v>1185</v>
      </c>
      <c r="C144" t="s">
        <v>930</v>
      </c>
      <c r="D144" t="s">
        <v>957</v>
      </c>
      <c r="E144" t="s">
        <v>930</v>
      </c>
      <c r="F144" t="s">
        <v>943</v>
      </c>
    </row>
    <row r="145" spans="1:6" x14ac:dyDescent="0.3">
      <c r="A145" t="s">
        <v>467</v>
      </c>
      <c r="B145" t="s">
        <v>1173</v>
      </c>
      <c r="C145" t="s">
        <v>930</v>
      </c>
      <c r="D145" t="s">
        <v>957</v>
      </c>
      <c r="E145" t="s">
        <v>930</v>
      </c>
      <c r="F145" t="s">
        <v>958</v>
      </c>
    </row>
    <row r="146" spans="1:6" x14ac:dyDescent="0.3">
      <c r="A146" t="s">
        <v>468</v>
      </c>
      <c r="B146" t="s">
        <v>1778</v>
      </c>
      <c r="C146" t="s">
        <v>930</v>
      </c>
      <c r="D146" t="s">
        <v>957</v>
      </c>
      <c r="E146" t="s">
        <v>930</v>
      </c>
      <c r="F146" t="s">
        <v>946</v>
      </c>
    </row>
    <row r="147" spans="1:6" x14ac:dyDescent="0.3">
      <c r="A147" t="s">
        <v>469</v>
      </c>
      <c r="B147" t="s">
        <v>966</v>
      </c>
      <c r="C147" t="s">
        <v>930</v>
      </c>
      <c r="D147" t="s">
        <v>957</v>
      </c>
      <c r="E147" t="s">
        <v>930</v>
      </c>
      <c r="F147" t="s">
        <v>946</v>
      </c>
    </row>
    <row r="148" spans="1:6" x14ac:dyDescent="0.3">
      <c r="A148" t="s">
        <v>471</v>
      </c>
      <c r="B148" t="s">
        <v>1776</v>
      </c>
      <c r="C148" t="s">
        <v>930</v>
      </c>
      <c r="D148" t="s">
        <v>957</v>
      </c>
      <c r="E148" t="s">
        <v>930</v>
      </c>
      <c r="F148" t="s">
        <v>931</v>
      </c>
    </row>
    <row r="149" spans="1:6" x14ac:dyDescent="0.3">
      <c r="A149" t="s">
        <v>897</v>
      </c>
      <c r="B149" t="s">
        <v>1800</v>
      </c>
      <c r="C149" t="s">
        <v>930</v>
      </c>
      <c r="D149" t="s">
        <v>957</v>
      </c>
      <c r="E149" t="s">
        <v>930</v>
      </c>
      <c r="F149" t="s">
        <v>943</v>
      </c>
    </row>
    <row r="150" spans="1:6" x14ac:dyDescent="0.3">
      <c r="A150" t="s">
        <v>474</v>
      </c>
      <c r="B150" t="s">
        <v>1795</v>
      </c>
      <c r="C150" t="s">
        <v>930</v>
      </c>
      <c r="D150" t="s">
        <v>957</v>
      </c>
      <c r="E150" t="s">
        <v>930</v>
      </c>
      <c r="F150" t="s">
        <v>943</v>
      </c>
    </row>
    <row r="151" spans="1:6" x14ac:dyDescent="0.3">
      <c r="A151" t="s">
        <v>475</v>
      </c>
      <c r="B151" t="s">
        <v>1794</v>
      </c>
      <c r="C151" t="s">
        <v>930</v>
      </c>
      <c r="D151" t="s">
        <v>957</v>
      </c>
      <c r="E151" t="s">
        <v>930</v>
      </c>
      <c r="F151" t="s">
        <v>931</v>
      </c>
    </row>
    <row r="152" spans="1:6" x14ac:dyDescent="0.3">
      <c r="A152" t="s">
        <v>477</v>
      </c>
      <c r="B152" t="s">
        <v>1377</v>
      </c>
      <c r="C152" t="s">
        <v>930</v>
      </c>
      <c r="D152" t="s">
        <v>957</v>
      </c>
      <c r="E152" t="s">
        <v>930</v>
      </c>
      <c r="F152" t="s">
        <v>958</v>
      </c>
    </row>
    <row r="153" spans="1:6" x14ac:dyDescent="0.3">
      <c r="A153" t="s">
        <v>478</v>
      </c>
      <c r="B153" t="s">
        <v>1483</v>
      </c>
      <c r="C153" t="s">
        <v>930</v>
      </c>
      <c r="D153" t="s">
        <v>957</v>
      </c>
      <c r="E153" t="s">
        <v>930</v>
      </c>
      <c r="F153" t="s">
        <v>946</v>
      </c>
    </row>
    <row r="154" spans="1:6" x14ac:dyDescent="0.3">
      <c r="A154" t="s">
        <v>621</v>
      </c>
      <c r="B154" t="s">
        <v>1187</v>
      </c>
      <c r="C154" t="s">
        <v>930</v>
      </c>
      <c r="D154" t="s">
        <v>957</v>
      </c>
      <c r="E154" t="s">
        <v>930</v>
      </c>
      <c r="F154" t="s">
        <v>936</v>
      </c>
    </row>
    <row r="155" spans="1:6" x14ac:dyDescent="0.3">
      <c r="A155" t="s">
        <v>479</v>
      </c>
      <c r="B155" t="s">
        <v>1370</v>
      </c>
      <c r="C155" t="s">
        <v>930</v>
      </c>
      <c r="D155" t="s">
        <v>957</v>
      </c>
      <c r="E155" t="s">
        <v>930</v>
      </c>
      <c r="F155" t="s">
        <v>946</v>
      </c>
    </row>
    <row r="156" spans="1:6" x14ac:dyDescent="0.3">
      <c r="A156" t="s">
        <v>480</v>
      </c>
      <c r="B156" t="s">
        <v>1506</v>
      </c>
      <c r="C156" t="s">
        <v>930</v>
      </c>
      <c r="D156" t="s">
        <v>957</v>
      </c>
      <c r="E156" t="s">
        <v>930</v>
      </c>
      <c r="F156" t="s">
        <v>946</v>
      </c>
    </row>
    <row r="157" spans="1:6" x14ac:dyDescent="0.3">
      <c r="A157" t="s">
        <v>796</v>
      </c>
      <c r="B157" t="s">
        <v>1791</v>
      </c>
      <c r="C157" t="s">
        <v>930</v>
      </c>
      <c r="D157" t="s">
        <v>957</v>
      </c>
      <c r="E157" t="s">
        <v>930</v>
      </c>
      <c r="F157" t="s">
        <v>958</v>
      </c>
    </row>
    <row r="158" spans="1:6" x14ac:dyDescent="0.3">
      <c r="A158" t="s">
        <v>482</v>
      </c>
      <c r="B158" t="s">
        <v>1511</v>
      </c>
      <c r="C158" t="s">
        <v>930</v>
      </c>
      <c r="D158" t="s">
        <v>957</v>
      </c>
      <c r="E158" t="s">
        <v>930</v>
      </c>
      <c r="F158" t="s">
        <v>943</v>
      </c>
    </row>
    <row r="159" spans="1:6" x14ac:dyDescent="0.3">
      <c r="A159" t="s">
        <v>484</v>
      </c>
      <c r="B159" t="s">
        <v>1295</v>
      </c>
      <c r="C159" t="s">
        <v>930</v>
      </c>
      <c r="D159" t="s">
        <v>957</v>
      </c>
      <c r="E159" t="s">
        <v>930</v>
      </c>
      <c r="F159" t="s">
        <v>931</v>
      </c>
    </row>
    <row r="160" spans="1:6" x14ac:dyDescent="0.3">
      <c r="A160" t="s">
        <v>485</v>
      </c>
      <c r="B160" t="s">
        <v>1816</v>
      </c>
      <c r="C160" t="s">
        <v>930</v>
      </c>
      <c r="D160" t="s">
        <v>957</v>
      </c>
      <c r="E160" t="s">
        <v>930</v>
      </c>
      <c r="F160" t="s">
        <v>943</v>
      </c>
    </row>
    <row r="161" spans="1:6" x14ac:dyDescent="0.3">
      <c r="A161" t="s">
        <v>883</v>
      </c>
      <c r="B161" t="s">
        <v>1404</v>
      </c>
      <c r="C161" t="s">
        <v>930</v>
      </c>
      <c r="D161" t="s">
        <v>957</v>
      </c>
      <c r="E161" t="s">
        <v>930</v>
      </c>
      <c r="F161" t="s">
        <v>931</v>
      </c>
    </row>
    <row r="162" spans="1:6" x14ac:dyDescent="0.3">
      <c r="A162" t="s">
        <v>486</v>
      </c>
      <c r="B162" t="s">
        <v>1402</v>
      </c>
      <c r="C162" t="s">
        <v>930</v>
      </c>
      <c r="D162" t="s">
        <v>957</v>
      </c>
      <c r="E162" t="s">
        <v>930</v>
      </c>
      <c r="F162" t="s">
        <v>931</v>
      </c>
    </row>
    <row r="163" spans="1:6" x14ac:dyDescent="0.3">
      <c r="A163" t="s">
        <v>487</v>
      </c>
      <c r="B163" t="s">
        <v>1306</v>
      </c>
      <c r="C163" t="s">
        <v>930</v>
      </c>
      <c r="D163" t="s">
        <v>957</v>
      </c>
      <c r="E163" t="s">
        <v>930</v>
      </c>
      <c r="F163" t="s">
        <v>946</v>
      </c>
    </row>
    <row r="164" spans="1:6" x14ac:dyDescent="0.3">
      <c r="A164" t="s">
        <v>488</v>
      </c>
      <c r="B164" t="s">
        <v>1450</v>
      </c>
      <c r="C164" t="s">
        <v>930</v>
      </c>
      <c r="D164" t="s">
        <v>957</v>
      </c>
      <c r="E164" t="s">
        <v>930</v>
      </c>
      <c r="F164" t="s">
        <v>958</v>
      </c>
    </row>
    <row r="165" spans="1:6" x14ac:dyDescent="0.3">
      <c r="A165" t="s">
        <v>489</v>
      </c>
      <c r="B165" t="s">
        <v>1107</v>
      </c>
      <c r="C165" t="s">
        <v>930</v>
      </c>
      <c r="D165" t="s">
        <v>957</v>
      </c>
      <c r="E165" t="s">
        <v>930</v>
      </c>
      <c r="F165" t="s">
        <v>936</v>
      </c>
    </row>
    <row r="166" spans="1:6" x14ac:dyDescent="0.3">
      <c r="A166" t="s">
        <v>490</v>
      </c>
      <c r="B166" t="s">
        <v>1106</v>
      </c>
      <c r="C166" t="s">
        <v>930</v>
      </c>
      <c r="D166" t="s">
        <v>957</v>
      </c>
      <c r="E166" t="s">
        <v>930</v>
      </c>
      <c r="F166" t="s">
        <v>931</v>
      </c>
    </row>
    <row r="167" spans="1:6" x14ac:dyDescent="0.3">
      <c r="A167" t="s">
        <v>659</v>
      </c>
      <c r="B167" t="s">
        <v>1825</v>
      </c>
      <c r="C167" t="s">
        <v>930</v>
      </c>
      <c r="D167" t="s">
        <v>957</v>
      </c>
      <c r="E167" t="s">
        <v>930</v>
      </c>
      <c r="F167" t="s">
        <v>931</v>
      </c>
    </row>
    <row r="168" spans="1:6" x14ac:dyDescent="0.3">
      <c r="A168" t="s">
        <v>492</v>
      </c>
      <c r="B168" t="s">
        <v>1710</v>
      </c>
      <c r="C168" t="s">
        <v>930</v>
      </c>
      <c r="D168" t="s">
        <v>957</v>
      </c>
      <c r="E168" t="s">
        <v>930</v>
      </c>
      <c r="F168" t="s">
        <v>931</v>
      </c>
    </row>
    <row r="169" spans="1:6" x14ac:dyDescent="0.3">
      <c r="A169" t="s">
        <v>493</v>
      </c>
      <c r="B169" t="s">
        <v>1711</v>
      </c>
      <c r="C169" t="s">
        <v>930</v>
      </c>
      <c r="D169" t="s">
        <v>957</v>
      </c>
      <c r="E169" t="s">
        <v>930</v>
      </c>
      <c r="F169" t="s">
        <v>958</v>
      </c>
    </row>
    <row r="170" spans="1:6" x14ac:dyDescent="0.3">
      <c r="A170" t="s">
        <v>662</v>
      </c>
      <c r="B170" t="s">
        <v>1703</v>
      </c>
      <c r="C170" t="s">
        <v>930</v>
      </c>
      <c r="D170" t="s">
        <v>957</v>
      </c>
      <c r="E170" t="s">
        <v>930</v>
      </c>
      <c r="F170" t="s">
        <v>936</v>
      </c>
    </row>
    <row r="171" spans="1:6" x14ac:dyDescent="0.3">
      <c r="A171" t="s">
        <v>496</v>
      </c>
      <c r="B171" t="s">
        <v>1167</v>
      </c>
      <c r="C171" t="s">
        <v>930</v>
      </c>
      <c r="D171" t="s">
        <v>957</v>
      </c>
      <c r="E171" t="s">
        <v>930</v>
      </c>
      <c r="F171" t="s">
        <v>931</v>
      </c>
    </row>
    <row r="172" spans="1:6" x14ac:dyDescent="0.3">
      <c r="A172" t="s">
        <v>497</v>
      </c>
      <c r="B172" t="s">
        <v>963</v>
      </c>
      <c r="C172" t="s">
        <v>930</v>
      </c>
      <c r="D172" t="s">
        <v>957</v>
      </c>
      <c r="E172" t="s">
        <v>930</v>
      </c>
      <c r="F172" t="s">
        <v>931</v>
      </c>
    </row>
    <row r="173" spans="1:6" x14ac:dyDescent="0.3">
      <c r="A173" t="s">
        <v>1346</v>
      </c>
      <c r="B173" t="s">
        <v>1347</v>
      </c>
      <c r="C173" t="s">
        <v>930</v>
      </c>
      <c r="D173" t="s">
        <v>957</v>
      </c>
      <c r="E173" t="s">
        <v>930</v>
      </c>
      <c r="F173" t="s">
        <v>931</v>
      </c>
    </row>
    <row r="174" spans="1:6" x14ac:dyDescent="0.3">
      <c r="A174" t="s">
        <v>498</v>
      </c>
      <c r="B174" t="s">
        <v>1820</v>
      </c>
      <c r="C174" t="s">
        <v>930</v>
      </c>
      <c r="D174" t="s">
        <v>957</v>
      </c>
      <c r="E174" t="s">
        <v>930</v>
      </c>
      <c r="F174" t="s">
        <v>931</v>
      </c>
    </row>
    <row r="175" spans="1:6" x14ac:dyDescent="0.3">
      <c r="A175" t="s">
        <v>499</v>
      </c>
      <c r="B175" t="s">
        <v>1821</v>
      </c>
      <c r="C175" t="s">
        <v>930</v>
      </c>
      <c r="D175" t="s">
        <v>957</v>
      </c>
      <c r="E175" t="s">
        <v>930</v>
      </c>
      <c r="F175" t="s">
        <v>931</v>
      </c>
    </row>
    <row r="176" spans="1:6" x14ac:dyDescent="0.3">
      <c r="A176" t="s">
        <v>500</v>
      </c>
      <c r="B176" t="s">
        <v>1817</v>
      </c>
      <c r="C176" t="s">
        <v>930</v>
      </c>
      <c r="D176" t="s">
        <v>957</v>
      </c>
      <c r="E176" t="s">
        <v>930</v>
      </c>
      <c r="F176" t="s">
        <v>943</v>
      </c>
    </row>
    <row r="177" spans="1:6" x14ac:dyDescent="0.3">
      <c r="A177" t="s">
        <v>675</v>
      </c>
      <c r="B177" t="s">
        <v>1818</v>
      </c>
      <c r="C177" t="s">
        <v>930</v>
      </c>
      <c r="D177" t="s">
        <v>957</v>
      </c>
      <c r="E177" t="s">
        <v>930</v>
      </c>
      <c r="F177" t="s">
        <v>936</v>
      </c>
    </row>
    <row r="178" spans="1:6" x14ac:dyDescent="0.3">
      <c r="A178" t="s">
        <v>898</v>
      </c>
      <c r="B178" t="s">
        <v>1789</v>
      </c>
      <c r="C178" t="s">
        <v>930</v>
      </c>
      <c r="D178" t="s">
        <v>957</v>
      </c>
      <c r="E178" t="s">
        <v>930</v>
      </c>
      <c r="F178" t="s">
        <v>958</v>
      </c>
    </row>
    <row r="179" spans="1:6" x14ac:dyDescent="0.3">
      <c r="A179" t="s">
        <v>501</v>
      </c>
      <c r="B179" t="s">
        <v>1543</v>
      </c>
      <c r="C179" t="s">
        <v>930</v>
      </c>
      <c r="D179" t="s">
        <v>957</v>
      </c>
      <c r="E179" t="s">
        <v>930</v>
      </c>
      <c r="F179" t="s">
        <v>943</v>
      </c>
    </row>
    <row r="180" spans="1:6" x14ac:dyDescent="0.3">
      <c r="A180" t="s">
        <v>818</v>
      </c>
      <c r="B180" t="s">
        <v>1822</v>
      </c>
      <c r="C180" t="s">
        <v>930</v>
      </c>
      <c r="D180" t="s">
        <v>957</v>
      </c>
      <c r="E180" t="s">
        <v>930</v>
      </c>
      <c r="F180" t="s">
        <v>931</v>
      </c>
    </row>
    <row r="181" spans="1:6" x14ac:dyDescent="0.3">
      <c r="A181" t="s">
        <v>502</v>
      </c>
      <c r="B181" t="s">
        <v>1823</v>
      </c>
      <c r="C181" t="s">
        <v>930</v>
      </c>
      <c r="D181" t="s">
        <v>957</v>
      </c>
      <c r="E181" t="s">
        <v>930</v>
      </c>
      <c r="F181" t="s">
        <v>931</v>
      </c>
    </row>
    <row r="182" spans="1:6" x14ac:dyDescent="0.3">
      <c r="A182" t="s">
        <v>873</v>
      </c>
      <c r="B182" t="s">
        <v>1198</v>
      </c>
      <c r="C182" t="s">
        <v>930</v>
      </c>
      <c r="D182" t="s">
        <v>957</v>
      </c>
      <c r="E182" t="s">
        <v>930</v>
      </c>
      <c r="F182" t="s">
        <v>931</v>
      </c>
    </row>
    <row r="183" spans="1:6" x14ac:dyDescent="0.3">
      <c r="A183" t="s">
        <v>874</v>
      </c>
      <c r="B183" t="s">
        <v>1199</v>
      </c>
      <c r="C183" t="s">
        <v>930</v>
      </c>
      <c r="D183" t="s">
        <v>957</v>
      </c>
      <c r="E183" t="s">
        <v>930</v>
      </c>
      <c r="F183" t="s">
        <v>943</v>
      </c>
    </row>
    <row r="184" spans="1:6" x14ac:dyDescent="0.3">
      <c r="A184" t="s">
        <v>504</v>
      </c>
      <c r="B184" t="s">
        <v>1701</v>
      </c>
      <c r="C184" t="s">
        <v>930</v>
      </c>
      <c r="D184" t="s">
        <v>957</v>
      </c>
      <c r="E184" t="s">
        <v>930</v>
      </c>
      <c r="F184" t="s">
        <v>946</v>
      </c>
    </row>
    <row r="185" spans="1:6" x14ac:dyDescent="0.3">
      <c r="A185" t="s">
        <v>623</v>
      </c>
      <c r="B185" t="s">
        <v>1465</v>
      </c>
      <c r="C185" t="s">
        <v>930</v>
      </c>
      <c r="D185" t="s">
        <v>957</v>
      </c>
      <c r="E185" t="s">
        <v>930</v>
      </c>
      <c r="F185" t="s">
        <v>931</v>
      </c>
    </row>
    <row r="186" spans="1:6" x14ac:dyDescent="0.3">
      <c r="A186" t="s">
        <v>1307</v>
      </c>
      <c r="B186" t="s">
        <v>1308</v>
      </c>
      <c r="C186" t="s">
        <v>930</v>
      </c>
      <c r="D186" t="s">
        <v>957</v>
      </c>
      <c r="E186" t="s">
        <v>930</v>
      </c>
      <c r="F186" t="s">
        <v>943</v>
      </c>
    </row>
    <row r="187" spans="1:6" x14ac:dyDescent="0.3">
      <c r="A187" t="s">
        <v>506</v>
      </c>
      <c r="B187" t="s">
        <v>1709</v>
      </c>
      <c r="C187" t="s">
        <v>930</v>
      </c>
      <c r="D187" t="s">
        <v>957</v>
      </c>
      <c r="E187" t="s">
        <v>930</v>
      </c>
      <c r="F187" t="s">
        <v>936</v>
      </c>
    </row>
    <row r="188" spans="1:6" x14ac:dyDescent="0.3">
      <c r="A188" t="s">
        <v>1578</v>
      </c>
      <c r="B188" t="s">
        <v>1579</v>
      </c>
      <c r="C188" t="s">
        <v>930</v>
      </c>
      <c r="D188" t="s">
        <v>957</v>
      </c>
      <c r="E188" t="s">
        <v>930</v>
      </c>
      <c r="F188" t="s">
        <v>946</v>
      </c>
    </row>
    <row r="189" spans="1:6" x14ac:dyDescent="0.3">
      <c r="A189" t="s">
        <v>510</v>
      </c>
      <c r="B189" t="s">
        <v>1698</v>
      </c>
      <c r="C189" t="s">
        <v>930</v>
      </c>
      <c r="D189" t="s">
        <v>957</v>
      </c>
      <c r="E189" t="s">
        <v>930</v>
      </c>
      <c r="F189" t="s">
        <v>943</v>
      </c>
    </row>
    <row r="190" spans="1:6" x14ac:dyDescent="0.3">
      <c r="A190" t="s">
        <v>702</v>
      </c>
      <c r="B190" t="s">
        <v>1824</v>
      </c>
      <c r="C190" t="s">
        <v>930</v>
      </c>
      <c r="D190" t="s">
        <v>957</v>
      </c>
      <c r="E190" t="s">
        <v>930</v>
      </c>
      <c r="F190" t="s">
        <v>946</v>
      </c>
    </row>
    <row r="191" spans="1:6" x14ac:dyDescent="0.3">
      <c r="A191" t="s">
        <v>511</v>
      </c>
      <c r="B191" t="s">
        <v>1468</v>
      </c>
      <c r="C191" t="s">
        <v>930</v>
      </c>
      <c r="D191" t="s">
        <v>957</v>
      </c>
      <c r="E191" t="s">
        <v>930</v>
      </c>
      <c r="F191" t="s">
        <v>958</v>
      </c>
    </row>
    <row r="192" spans="1:6" x14ac:dyDescent="0.3">
      <c r="A192" t="s">
        <v>877</v>
      </c>
      <c r="B192" t="s">
        <v>1200</v>
      </c>
      <c r="C192" t="s">
        <v>930</v>
      </c>
      <c r="D192" t="s">
        <v>957</v>
      </c>
      <c r="E192" t="s">
        <v>930</v>
      </c>
      <c r="F192" t="s">
        <v>943</v>
      </c>
    </row>
    <row r="193" spans="1:6" x14ac:dyDescent="0.3">
      <c r="A193" t="s">
        <v>512</v>
      </c>
      <c r="B193" t="s">
        <v>1050</v>
      </c>
      <c r="C193" t="s">
        <v>930</v>
      </c>
      <c r="D193" t="s">
        <v>957</v>
      </c>
      <c r="E193" t="s">
        <v>930</v>
      </c>
      <c r="F193" t="s">
        <v>946</v>
      </c>
    </row>
    <row r="194" spans="1:6" x14ac:dyDescent="0.3">
      <c r="A194" t="s">
        <v>515</v>
      </c>
      <c r="B194" t="s">
        <v>1164</v>
      </c>
      <c r="C194" t="s">
        <v>930</v>
      </c>
      <c r="D194" t="s">
        <v>957</v>
      </c>
      <c r="E194" t="s">
        <v>930</v>
      </c>
      <c r="F194" t="s">
        <v>936</v>
      </c>
    </row>
    <row r="195" spans="1:6" x14ac:dyDescent="0.3">
      <c r="A195" t="s">
        <v>516</v>
      </c>
      <c r="B195" t="s">
        <v>1677</v>
      </c>
      <c r="C195" t="s">
        <v>930</v>
      </c>
      <c r="D195" t="s">
        <v>1670</v>
      </c>
      <c r="E195" t="s">
        <v>1678</v>
      </c>
      <c r="F195" t="s">
        <v>946</v>
      </c>
    </row>
    <row r="196" spans="1:6" x14ac:dyDescent="0.3">
      <c r="A196" t="s">
        <v>517</v>
      </c>
      <c r="B196" t="s">
        <v>1573</v>
      </c>
      <c r="C196" t="s">
        <v>930</v>
      </c>
      <c r="D196" t="s">
        <v>957</v>
      </c>
      <c r="E196" t="s">
        <v>930</v>
      </c>
      <c r="F196" t="s">
        <v>931</v>
      </c>
    </row>
    <row r="197" spans="1:6" x14ac:dyDescent="0.3">
      <c r="A197" t="s">
        <v>526</v>
      </c>
      <c r="B197" t="s">
        <v>1459</v>
      </c>
      <c r="C197" t="s">
        <v>930</v>
      </c>
      <c r="D197" t="s">
        <v>957</v>
      </c>
      <c r="E197" t="s">
        <v>930</v>
      </c>
      <c r="F197" t="s">
        <v>946</v>
      </c>
    </row>
    <row r="198" spans="1:6" x14ac:dyDescent="0.3">
      <c r="A198" t="s">
        <v>1792</v>
      </c>
      <c r="B198" t="s">
        <v>1793</v>
      </c>
      <c r="C198" t="s">
        <v>930</v>
      </c>
      <c r="D198" t="s">
        <v>957</v>
      </c>
      <c r="E198" t="s">
        <v>930</v>
      </c>
      <c r="F198" t="s">
        <v>943</v>
      </c>
    </row>
    <row r="199" spans="1:6" x14ac:dyDescent="0.3">
      <c r="A199" t="s">
        <v>529</v>
      </c>
      <c r="B199" t="s">
        <v>1544</v>
      </c>
      <c r="C199" t="s">
        <v>930</v>
      </c>
      <c r="D199" t="s">
        <v>957</v>
      </c>
      <c r="E199" t="s">
        <v>930</v>
      </c>
      <c r="F199" t="s">
        <v>943</v>
      </c>
    </row>
    <row r="200" spans="1:6" x14ac:dyDescent="0.3">
      <c r="A200" t="s">
        <v>530</v>
      </c>
      <c r="B200" t="s">
        <v>1648</v>
      </c>
      <c r="C200" t="s">
        <v>930</v>
      </c>
      <c r="D200" t="s">
        <v>957</v>
      </c>
      <c r="E200" t="s">
        <v>930</v>
      </c>
      <c r="F200" t="s">
        <v>943</v>
      </c>
    </row>
    <row r="201" spans="1:6" x14ac:dyDescent="0.3">
      <c r="A201" t="s">
        <v>531</v>
      </c>
      <c r="B201" t="s">
        <v>1183</v>
      </c>
      <c r="C201" t="s">
        <v>930</v>
      </c>
      <c r="D201" t="s">
        <v>957</v>
      </c>
      <c r="E201" t="s">
        <v>930</v>
      </c>
      <c r="F201" t="s">
        <v>958</v>
      </c>
    </row>
    <row r="202" spans="1:6" x14ac:dyDescent="0.3">
      <c r="A202" t="s">
        <v>760</v>
      </c>
      <c r="B202" t="s">
        <v>1627</v>
      </c>
      <c r="C202" t="s">
        <v>930</v>
      </c>
      <c r="D202" t="s">
        <v>957</v>
      </c>
      <c r="E202" t="s">
        <v>930</v>
      </c>
      <c r="F202" t="s">
        <v>936</v>
      </c>
    </row>
    <row r="203" spans="1:6" x14ac:dyDescent="0.3">
      <c r="A203" t="s">
        <v>738</v>
      </c>
      <c r="B203" t="s">
        <v>1521</v>
      </c>
      <c r="C203" t="s">
        <v>930</v>
      </c>
      <c r="D203" t="s">
        <v>957</v>
      </c>
      <c r="E203" t="s">
        <v>930</v>
      </c>
      <c r="F203" t="s">
        <v>946</v>
      </c>
    </row>
    <row r="204" spans="1:6" x14ac:dyDescent="0.3">
      <c r="A204" t="s">
        <v>767</v>
      </c>
      <c r="B204" t="s">
        <v>1549</v>
      </c>
      <c r="C204" t="s">
        <v>930</v>
      </c>
      <c r="D204" t="s">
        <v>957</v>
      </c>
      <c r="E204" t="s">
        <v>930</v>
      </c>
      <c r="F204" t="s">
        <v>946</v>
      </c>
    </row>
    <row r="205" spans="1:6" x14ac:dyDescent="0.3">
      <c r="A205" t="s">
        <v>741</v>
      </c>
      <c r="B205" t="s">
        <v>1484</v>
      </c>
      <c r="C205" t="s">
        <v>930</v>
      </c>
      <c r="D205" t="s">
        <v>957</v>
      </c>
      <c r="E205" t="s">
        <v>930</v>
      </c>
      <c r="F205" t="s">
        <v>943</v>
      </c>
    </row>
    <row r="206" spans="1:6" x14ac:dyDescent="0.3">
      <c r="A206" t="s">
        <v>778</v>
      </c>
      <c r="B206" t="s">
        <v>1547</v>
      </c>
      <c r="C206" t="s">
        <v>930</v>
      </c>
      <c r="D206" t="s">
        <v>957</v>
      </c>
      <c r="E206" t="s">
        <v>930</v>
      </c>
      <c r="F206" t="s">
        <v>936</v>
      </c>
    </row>
    <row r="207" spans="1:6" x14ac:dyDescent="0.3">
      <c r="A207" t="s">
        <v>742</v>
      </c>
      <c r="B207" t="s">
        <v>1523</v>
      </c>
      <c r="C207" t="s">
        <v>930</v>
      </c>
      <c r="D207" t="s">
        <v>957</v>
      </c>
      <c r="E207" t="s">
        <v>1328</v>
      </c>
      <c r="F207" t="s">
        <v>946</v>
      </c>
    </row>
    <row r="208" spans="1:6" x14ac:dyDescent="0.3">
      <c r="A208" t="s">
        <v>743</v>
      </c>
      <c r="B208" t="s">
        <v>1523</v>
      </c>
      <c r="C208" t="s">
        <v>930</v>
      </c>
      <c r="D208" t="s">
        <v>957</v>
      </c>
      <c r="E208" t="s">
        <v>1329</v>
      </c>
      <c r="F208" t="s">
        <v>958</v>
      </c>
    </row>
    <row r="209" spans="1:6" x14ac:dyDescent="0.3">
      <c r="A209" t="s">
        <v>1524</v>
      </c>
      <c r="B209" t="s">
        <v>1523</v>
      </c>
      <c r="C209" t="s">
        <v>930</v>
      </c>
      <c r="D209" t="s">
        <v>957</v>
      </c>
      <c r="E209" t="s">
        <v>1330</v>
      </c>
      <c r="F209" t="s">
        <v>931</v>
      </c>
    </row>
    <row r="210" spans="1:6" x14ac:dyDescent="0.3">
      <c r="A210" t="s">
        <v>910</v>
      </c>
      <c r="B210" t="s">
        <v>1755</v>
      </c>
      <c r="C210" t="s">
        <v>930</v>
      </c>
      <c r="D210" t="s">
        <v>1360</v>
      </c>
      <c r="E210" t="s">
        <v>1361</v>
      </c>
      <c r="F210" t="s">
        <v>931</v>
      </c>
    </row>
    <row r="211" spans="1:6" x14ac:dyDescent="0.3">
      <c r="A211" t="s">
        <v>779</v>
      </c>
      <c r="B211" t="s">
        <v>1665</v>
      </c>
      <c r="C211" t="s">
        <v>930</v>
      </c>
      <c r="D211" t="s">
        <v>957</v>
      </c>
      <c r="E211" t="s">
        <v>930</v>
      </c>
      <c r="F211" t="s">
        <v>936</v>
      </c>
    </row>
    <row r="212" spans="1:6" x14ac:dyDescent="0.3">
      <c r="A212" t="s">
        <v>1539</v>
      </c>
      <c r="B212" t="s">
        <v>1540</v>
      </c>
      <c r="C212" t="s">
        <v>930</v>
      </c>
      <c r="D212" t="s">
        <v>957</v>
      </c>
      <c r="E212" t="s">
        <v>930</v>
      </c>
      <c r="F212" t="s">
        <v>943</v>
      </c>
    </row>
    <row r="213" spans="1:6" x14ac:dyDescent="0.3">
      <c r="A213" t="s">
        <v>533</v>
      </c>
      <c r="B213" t="s">
        <v>1378</v>
      </c>
      <c r="C213" t="s">
        <v>930</v>
      </c>
      <c r="D213" t="s">
        <v>957</v>
      </c>
      <c r="E213" t="s">
        <v>930</v>
      </c>
      <c r="F213" t="s">
        <v>931</v>
      </c>
    </row>
    <row r="214" spans="1:6" x14ac:dyDescent="0.3">
      <c r="A214" t="s">
        <v>534</v>
      </c>
      <c r="B214" t="s">
        <v>1233</v>
      </c>
      <c r="C214" t="s">
        <v>930</v>
      </c>
      <c r="D214" t="s">
        <v>957</v>
      </c>
      <c r="E214" t="s">
        <v>930</v>
      </c>
      <c r="F214" t="s">
        <v>943</v>
      </c>
    </row>
    <row r="215" spans="1:6" x14ac:dyDescent="0.3">
      <c r="A215" t="s">
        <v>536</v>
      </c>
      <c r="B215" t="s">
        <v>1756</v>
      </c>
      <c r="C215" t="s">
        <v>930</v>
      </c>
      <c r="D215" t="s">
        <v>950</v>
      </c>
      <c r="E215" t="s">
        <v>1757</v>
      </c>
      <c r="F215" t="s">
        <v>946</v>
      </c>
    </row>
    <row r="216" spans="1:6" x14ac:dyDescent="0.3">
      <c r="A216" t="s">
        <v>768</v>
      </c>
      <c r="B216" t="s">
        <v>1379</v>
      </c>
      <c r="C216" t="s">
        <v>930</v>
      </c>
      <c r="D216" t="s">
        <v>957</v>
      </c>
      <c r="E216" t="s">
        <v>1380</v>
      </c>
      <c r="F216" t="s">
        <v>936</v>
      </c>
    </row>
    <row r="217" spans="1:6" x14ac:dyDescent="0.3">
      <c r="A217" t="s">
        <v>972</v>
      </c>
      <c r="B217" t="s">
        <v>973</v>
      </c>
      <c r="C217" t="s">
        <v>930</v>
      </c>
      <c r="D217" t="s">
        <v>957</v>
      </c>
      <c r="E217" t="s">
        <v>930</v>
      </c>
      <c r="F217" t="s">
        <v>943</v>
      </c>
    </row>
    <row r="218" spans="1:6" x14ac:dyDescent="0.3">
      <c r="A218" t="s">
        <v>537</v>
      </c>
      <c r="B218" t="s">
        <v>971</v>
      </c>
      <c r="C218" t="s">
        <v>930</v>
      </c>
      <c r="D218" t="s">
        <v>957</v>
      </c>
      <c r="E218" t="s">
        <v>930</v>
      </c>
      <c r="F218" t="s">
        <v>931</v>
      </c>
    </row>
    <row r="219" spans="1:6" x14ac:dyDescent="0.3">
      <c r="A219" t="s">
        <v>538</v>
      </c>
      <c r="B219" t="s">
        <v>1808</v>
      </c>
      <c r="C219" t="s">
        <v>930</v>
      </c>
      <c r="D219" t="s">
        <v>957</v>
      </c>
      <c r="E219" t="s">
        <v>930</v>
      </c>
      <c r="F219" t="s">
        <v>946</v>
      </c>
    </row>
    <row r="220" spans="1:6" x14ac:dyDescent="0.3">
      <c r="A220" t="s">
        <v>911</v>
      </c>
      <c r="B220" t="s">
        <v>964</v>
      </c>
      <c r="C220" t="s">
        <v>930</v>
      </c>
      <c r="D220" t="s">
        <v>957</v>
      </c>
      <c r="E220" t="s">
        <v>930</v>
      </c>
      <c r="F220" t="s">
        <v>958</v>
      </c>
    </row>
    <row r="221" spans="1:6" x14ac:dyDescent="0.3">
      <c r="A221" t="s">
        <v>539</v>
      </c>
      <c r="B221" t="s">
        <v>1175</v>
      </c>
      <c r="C221" t="s">
        <v>930</v>
      </c>
      <c r="D221" t="s">
        <v>957</v>
      </c>
      <c r="E221" t="s">
        <v>930</v>
      </c>
      <c r="F221" t="s">
        <v>931</v>
      </c>
    </row>
    <row r="222" spans="1:6" x14ac:dyDescent="0.3">
      <c r="A222" t="s">
        <v>543</v>
      </c>
      <c r="B222" t="s">
        <v>1647</v>
      </c>
      <c r="C222" t="s">
        <v>930</v>
      </c>
      <c r="D222" t="s">
        <v>957</v>
      </c>
      <c r="E222" t="s">
        <v>930</v>
      </c>
      <c r="F222" t="s">
        <v>946</v>
      </c>
    </row>
    <row r="223" spans="1:6" x14ac:dyDescent="0.3">
      <c r="A223" t="s">
        <v>544</v>
      </c>
      <c r="B223" t="s">
        <v>967</v>
      </c>
      <c r="C223" t="s">
        <v>930</v>
      </c>
      <c r="D223" t="s">
        <v>957</v>
      </c>
      <c r="E223" t="s">
        <v>930</v>
      </c>
      <c r="F223" t="s">
        <v>943</v>
      </c>
    </row>
    <row r="224" spans="1:6" x14ac:dyDescent="0.3">
      <c r="A224" t="s">
        <v>545</v>
      </c>
      <c r="B224" t="s">
        <v>1804</v>
      </c>
      <c r="C224" t="s">
        <v>930</v>
      </c>
      <c r="D224" t="s">
        <v>957</v>
      </c>
      <c r="E224" t="s">
        <v>930</v>
      </c>
      <c r="F224" t="s">
        <v>958</v>
      </c>
    </row>
    <row r="225" spans="1:6" x14ac:dyDescent="0.3">
      <c r="A225" t="s">
        <v>546</v>
      </c>
      <c r="B225" t="s">
        <v>1186</v>
      </c>
      <c r="C225" t="s">
        <v>930</v>
      </c>
      <c r="D225" t="s">
        <v>957</v>
      </c>
      <c r="E225" t="s">
        <v>930</v>
      </c>
      <c r="F225" t="s">
        <v>958</v>
      </c>
    </row>
    <row r="226" spans="1:6" x14ac:dyDescent="0.3">
      <c r="A226" t="s">
        <v>955</v>
      </c>
      <c r="B226" t="s">
        <v>956</v>
      </c>
      <c r="C226" t="s">
        <v>930</v>
      </c>
      <c r="D226" t="s">
        <v>957</v>
      </c>
      <c r="E226" t="s">
        <v>930</v>
      </c>
      <c r="F226" t="s">
        <v>958</v>
      </c>
    </row>
    <row r="227" spans="1:6" x14ac:dyDescent="0.3">
      <c r="A227" t="s">
        <v>745</v>
      </c>
      <c r="B227" t="s">
        <v>1112</v>
      </c>
      <c r="C227" t="s">
        <v>930</v>
      </c>
      <c r="D227" t="s">
        <v>1113</v>
      </c>
      <c r="E227" t="s">
        <v>930</v>
      </c>
      <c r="F227" t="s">
        <v>943</v>
      </c>
    </row>
    <row r="228" spans="1:6" x14ac:dyDescent="0.3">
      <c r="A228" t="s">
        <v>549</v>
      </c>
      <c r="B228" t="s">
        <v>1241</v>
      </c>
      <c r="C228" t="s">
        <v>930</v>
      </c>
      <c r="D228" t="s">
        <v>957</v>
      </c>
      <c r="E228" t="s">
        <v>930</v>
      </c>
      <c r="F228" t="s">
        <v>936</v>
      </c>
    </row>
    <row r="229" spans="1:6" x14ac:dyDescent="0.3">
      <c r="A229" t="s">
        <v>710</v>
      </c>
      <c r="B229" t="s">
        <v>1651</v>
      </c>
      <c r="C229" t="s">
        <v>930</v>
      </c>
      <c r="D229" t="s">
        <v>957</v>
      </c>
      <c r="E229" t="s">
        <v>930</v>
      </c>
      <c r="F229" t="s">
        <v>943</v>
      </c>
    </row>
    <row r="230" spans="1:6" x14ac:dyDescent="0.3">
      <c r="A230" t="s">
        <v>551</v>
      </c>
      <c r="B230" t="s">
        <v>1168</v>
      </c>
      <c r="C230" t="s">
        <v>930</v>
      </c>
      <c r="D230" t="s">
        <v>957</v>
      </c>
      <c r="E230" t="s">
        <v>930</v>
      </c>
      <c r="F230" t="s">
        <v>931</v>
      </c>
    </row>
    <row r="231" spans="1:6" x14ac:dyDescent="0.3">
      <c r="A231" t="s">
        <v>865</v>
      </c>
      <c r="B231" t="s">
        <v>1216</v>
      </c>
      <c r="C231" t="s">
        <v>930</v>
      </c>
      <c r="D231" t="s">
        <v>957</v>
      </c>
      <c r="E231" t="s">
        <v>930</v>
      </c>
      <c r="F231" t="s">
        <v>943</v>
      </c>
    </row>
    <row r="232" spans="1:6" x14ac:dyDescent="0.3">
      <c r="A232" t="s">
        <v>553</v>
      </c>
      <c r="B232" t="s">
        <v>1664</v>
      </c>
      <c r="C232" t="s">
        <v>930</v>
      </c>
      <c r="D232" t="s">
        <v>957</v>
      </c>
      <c r="E232" t="s">
        <v>930</v>
      </c>
      <c r="F232" t="s">
        <v>931</v>
      </c>
    </row>
    <row r="233" spans="1:6" x14ac:dyDescent="0.3">
      <c r="A233" t="s">
        <v>554</v>
      </c>
      <c r="B233" t="s">
        <v>1309</v>
      </c>
      <c r="C233" t="s">
        <v>930</v>
      </c>
      <c r="D233" t="s">
        <v>957</v>
      </c>
      <c r="E233" t="s">
        <v>930</v>
      </c>
      <c r="F233" t="s">
        <v>936</v>
      </c>
    </row>
    <row r="234" spans="1:6" x14ac:dyDescent="0.3">
      <c r="A234" t="s">
        <v>747</v>
      </c>
      <c r="B234" t="s">
        <v>1195</v>
      </c>
      <c r="C234" t="s">
        <v>930</v>
      </c>
      <c r="D234" t="s">
        <v>957</v>
      </c>
      <c r="E234" t="s">
        <v>930</v>
      </c>
      <c r="F234" t="s">
        <v>936</v>
      </c>
    </row>
    <row r="235" spans="1:6" x14ac:dyDescent="0.3">
      <c r="A235" t="s">
        <v>1035</v>
      </c>
      <c r="B235" t="s">
        <v>1036</v>
      </c>
      <c r="C235" t="s">
        <v>930</v>
      </c>
      <c r="D235" t="s">
        <v>957</v>
      </c>
      <c r="E235" t="s">
        <v>930</v>
      </c>
      <c r="F235" t="s">
        <v>946</v>
      </c>
    </row>
    <row r="236" spans="1:6" x14ac:dyDescent="0.3">
      <c r="A236" t="s">
        <v>556</v>
      </c>
      <c r="B236" t="s">
        <v>1632</v>
      </c>
      <c r="C236" t="s">
        <v>930</v>
      </c>
      <c r="D236" t="s">
        <v>957</v>
      </c>
      <c r="E236" t="s">
        <v>930</v>
      </c>
      <c r="F236" t="s">
        <v>958</v>
      </c>
    </row>
    <row r="237" spans="1:6" x14ac:dyDescent="0.3">
      <c r="A237" t="s">
        <v>558</v>
      </c>
      <c r="B237" t="s">
        <v>1758</v>
      </c>
      <c r="C237" t="s">
        <v>930</v>
      </c>
      <c r="D237" t="s">
        <v>1360</v>
      </c>
      <c r="E237" t="s">
        <v>1361</v>
      </c>
      <c r="F237" t="s">
        <v>936</v>
      </c>
    </row>
    <row r="238" spans="1:6" x14ac:dyDescent="0.3">
      <c r="A238" t="s">
        <v>560</v>
      </c>
      <c r="B238" t="s">
        <v>1172</v>
      </c>
      <c r="C238" t="s">
        <v>930</v>
      </c>
      <c r="D238" t="s">
        <v>957</v>
      </c>
      <c r="E238" t="s">
        <v>930</v>
      </c>
      <c r="F238" t="s">
        <v>931</v>
      </c>
    </row>
    <row r="239" spans="1:6" x14ac:dyDescent="0.3">
      <c r="A239" t="s">
        <v>645</v>
      </c>
      <c r="B239" t="s">
        <v>1702</v>
      </c>
      <c r="C239" t="s">
        <v>930</v>
      </c>
      <c r="D239" t="s">
        <v>957</v>
      </c>
      <c r="E239" t="s">
        <v>930</v>
      </c>
      <c r="F239" t="s">
        <v>931</v>
      </c>
    </row>
    <row r="240" spans="1:6" x14ac:dyDescent="0.3">
      <c r="A240" t="s">
        <v>1114</v>
      </c>
      <c r="B240" t="s">
        <v>1115</v>
      </c>
      <c r="C240" t="s">
        <v>930</v>
      </c>
      <c r="D240" t="s">
        <v>1113</v>
      </c>
      <c r="E240" t="s">
        <v>930</v>
      </c>
      <c r="F240" t="s">
        <v>946</v>
      </c>
    </row>
    <row r="241" spans="1:6" x14ac:dyDescent="0.3">
      <c r="A241" t="s">
        <v>565</v>
      </c>
      <c r="B241" t="s">
        <v>1466</v>
      </c>
      <c r="C241" t="s">
        <v>930</v>
      </c>
      <c r="D241" t="s">
        <v>957</v>
      </c>
      <c r="E241" t="s">
        <v>930</v>
      </c>
      <c r="F241" t="s">
        <v>958</v>
      </c>
    </row>
    <row r="242" spans="1:6" x14ac:dyDescent="0.3">
      <c r="A242" t="s">
        <v>566</v>
      </c>
      <c r="B242" t="s">
        <v>1467</v>
      </c>
      <c r="C242" t="s">
        <v>930</v>
      </c>
      <c r="D242" t="s">
        <v>957</v>
      </c>
      <c r="E242" t="s">
        <v>930</v>
      </c>
      <c r="F242" t="s">
        <v>958</v>
      </c>
    </row>
    <row r="243" spans="1:6" x14ac:dyDescent="0.3">
      <c r="A243" t="s">
        <v>567</v>
      </c>
      <c r="B243" t="s">
        <v>1311</v>
      </c>
      <c r="C243" t="s">
        <v>930</v>
      </c>
      <c r="D243" t="s">
        <v>957</v>
      </c>
      <c r="E243" t="s">
        <v>930</v>
      </c>
      <c r="F243" t="s">
        <v>931</v>
      </c>
    </row>
    <row r="244" spans="1:6" x14ac:dyDescent="0.3">
      <c r="A244" t="s">
        <v>1507</v>
      </c>
      <c r="B244" t="s">
        <v>1508</v>
      </c>
      <c r="C244" t="s">
        <v>930</v>
      </c>
      <c r="D244" t="s">
        <v>957</v>
      </c>
      <c r="E244" t="s">
        <v>930</v>
      </c>
      <c r="F244" t="s">
        <v>943</v>
      </c>
    </row>
    <row r="245" spans="1:6" x14ac:dyDescent="0.3">
      <c r="A245" t="s">
        <v>717</v>
      </c>
      <c r="B245" t="s">
        <v>1815</v>
      </c>
      <c r="C245" t="s">
        <v>930</v>
      </c>
      <c r="D245" t="s">
        <v>957</v>
      </c>
      <c r="E245" t="s">
        <v>930</v>
      </c>
      <c r="F245" t="s">
        <v>931</v>
      </c>
    </row>
    <row r="246" spans="1:6" x14ac:dyDescent="0.3">
      <c r="A246" t="s">
        <v>835</v>
      </c>
      <c r="B246" t="s">
        <v>1209</v>
      </c>
      <c r="C246" t="s">
        <v>930</v>
      </c>
      <c r="D246" t="s">
        <v>957</v>
      </c>
      <c r="E246" t="s">
        <v>930</v>
      </c>
      <c r="F246" t="s">
        <v>943</v>
      </c>
    </row>
    <row r="247" spans="1:6" x14ac:dyDescent="0.3">
      <c r="A247" t="s">
        <v>571</v>
      </c>
      <c r="B247" t="s">
        <v>1163</v>
      </c>
      <c r="C247" t="s">
        <v>930</v>
      </c>
      <c r="D247" t="s">
        <v>957</v>
      </c>
      <c r="E247" t="s">
        <v>930</v>
      </c>
      <c r="F247" t="s">
        <v>946</v>
      </c>
    </row>
    <row r="248" spans="1:6" x14ac:dyDescent="0.3">
      <c r="A248" t="s">
        <v>576</v>
      </c>
      <c r="B248" t="s">
        <v>1461</v>
      </c>
      <c r="C248" t="s">
        <v>930</v>
      </c>
      <c r="D248" t="s">
        <v>957</v>
      </c>
      <c r="E248" t="s">
        <v>930</v>
      </c>
      <c r="F248" t="s">
        <v>946</v>
      </c>
    </row>
    <row r="249" spans="1:6" x14ac:dyDescent="0.3">
      <c r="A249" t="s">
        <v>790</v>
      </c>
      <c r="B249" t="s">
        <v>1525</v>
      </c>
      <c r="C249" t="s">
        <v>930</v>
      </c>
      <c r="D249" t="s">
        <v>957</v>
      </c>
      <c r="E249" t="s">
        <v>1526</v>
      </c>
      <c r="F249" t="s">
        <v>931</v>
      </c>
    </row>
    <row r="250" spans="1:6" x14ac:dyDescent="0.3">
      <c r="A250" t="s">
        <v>749</v>
      </c>
      <c r="B250" t="s">
        <v>1522</v>
      </c>
      <c r="C250" t="s">
        <v>930</v>
      </c>
      <c r="D250" t="s">
        <v>957</v>
      </c>
      <c r="E250" t="s">
        <v>930</v>
      </c>
      <c r="F250" t="s">
        <v>943</v>
      </c>
    </row>
    <row r="251" spans="1:6" x14ac:dyDescent="0.3">
      <c r="A251" t="s">
        <v>578</v>
      </c>
      <c r="B251" t="s">
        <v>1134</v>
      </c>
      <c r="C251" t="s">
        <v>930</v>
      </c>
      <c r="D251" t="s">
        <v>957</v>
      </c>
      <c r="E251" t="s">
        <v>930</v>
      </c>
      <c r="F251" t="s">
        <v>931</v>
      </c>
    </row>
    <row r="252" spans="1:6" x14ac:dyDescent="0.3">
      <c r="A252" t="s">
        <v>579</v>
      </c>
      <c r="B252" t="s">
        <v>1469</v>
      </c>
      <c r="C252" t="s">
        <v>930</v>
      </c>
      <c r="D252" t="s">
        <v>957</v>
      </c>
      <c r="E252" t="s">
        <v>930</v>
      </c>
      <c r="F252" t="s">
        <v>958</v>
      </c>
    </row>
    <row r="253" spans="1:6" x14ac:dyDescent="0.3">
      <c r="A253" t="s">
        <v>1628</v>
      </c>
      <c r="B253" t="s">
        <v>1629</v>
      </c>
      <c r="C253" t="s">
        <v>930</v>
      </c>
      <c r="D253" t="s">
        <v>957</v>
      </c>
      <c r="E253" t="s">
        <v>930</v>
      </c>
      <c r="F253" t="s">
        <v>943</v>
      </c>
    </row>
    <row r="254" spans="1:6" x14ac:dyDescent="0.3">
      <c r="A254" t="s">
        <v>581</v>
      </c>
      <c r="B254" t="s">
        <v>959</v>
      </c>
      <c r="C254" t="s">
        <v>930</v>
      </c>
      <c r="D254" t="s">
        <v>957</v>
      </c>
      <c r="E254" t="s">
        <v>930</v>
      </c>
      <c r="F254" t="s">
        <v>943</v>
      </c>
    </row>
    <row r="255" spans="1:6" x14ac:dyDescent="0.3">
      <c r="A255" t="s">
        <v>914</v>
      </c>
      <c r="B255" t="s">
        <v>960</v>
      </c>
      <c r="C255" t="s">
        <v>930</v>
      </c>
      <c r="D255" t="s">
        <v>957</v>
      </c>
      <c r="E255" t="s">
        <v>930</v>
      </c>
      <c r="F255" t="s">
        <v>931</v>
      </c>
    </row>
    <row r="256" spans="1:6" x14ac:dyDescent="0.3">
      <c r="A256" t="s">
        <v>585</v>
      </c>
      <c r="B256" t="s">
        <v>1695</v>
      </c>
      <c r="C256" t="s">
        <v>930</v>
      </c>
      <c r="D256" t="s">
        <v>1696</v>
      </c>
      <c r="E256" t="s">
        <v>930</v>
      </c>
      <c r="F256" t="s">
        <v>958</v>
      </c>
    </row>
    <row r="257" spans="1:6" x14ac:dyDescent="0.3">
      <c r="A257" t="s">
        <v>586</v>
      </c>
      <c r="B257" t="s">
        <v>1538</v>
      </c>
      <c r="C257" t="s">
        <v>930</v>
      </c>
      <c r="D257" t="s">
        <v>957</v>
      </c>
      <c r="E257" t="s">
        <v>930</v>
      </c>
      <c r="F257" t="s">
        <v>936</v>
      </c>
    </row>
    <row r="258" spans="1:6" x14ac:dyDescent="0.3">
      <c r="A258" t="s">
        <v>853</v>
      </c>
      <c r="B258" t="s">
        <v>1387</v>
      </c>
      <c r="C258" t="s">
        <v>930</v>
      </c>
      <c r="D258" t="s">
        <v>957</v>
      </c>
      <c r="E258" t="s">
        <v>930</v>
      </c>
      <c r="F258" t="s">
        <v>946</v>
      </c>
    </row>
    <row r="259" spans="1:6" x14ac:dyDescent="0.3">
      <c r="A259" t="s">
        <v>587</v>
      </c>
      <c r="B259" t="s">
        <v>1181</v>
      </c>
      <c r="C259" t="s">
        <v>930</v>
      </c>
      <c r="D259" t="s">
        <v>957</v>
      </c>
      <c r="E259" t="s">
        <v>930</v>
      </c>
      <c r="F259" t="s">
        <v>958</v>
      </c>
    </row>
    <row r="260" spans="1:6" x14ac:dyDescent="0.3">
      <c r="A260" t="s">
        <v>589</v>
      </c>
      <c r="B260" t="s">
        <v>1279</v>
      </c>
      <c r="C260" t="s">
        <v>930</v>
      </c>
      <c r="D260" t="s">
        <v>957</v>
      </c>
      <c r="E260" t="s">
        <v>930</v>
      </c>
      <c r="F260" t="s">
        <v>931</v>
      </c>
    </row>
    <row r="261" spans="1:6" x14ac:dyDescent="0.3">
      <c r="A261" t="s">
        <v>590</v>
      </c>
      <c r="B261" t="s">
        <v>1146</v>
      </c>
      <c r="C261" t="s">
        <v>930</v>
      </c>
      <c r="D261" t="s">
        <v>957</v>
      </c>
      <c r="E261" t="s">
        <v>930</v>
      </c>
      <c r="F261" t="s">
        <v>931</v>
      </c>
    </row>
    <row r="262" spans="1:6" x14ac:dyDescent="0.3">
      <c r="A262" t="s">
        <v>591</v>
      </c>
      <c r="B262" t="s">
        <v>1145</v>
      </c>
      <c r="C262" t="s">
        <v>930</v>
      </c>
      <c r="D262" t="s">
        <v>957</v>
      </c>
      <c r="E262" t="s">
        <v>930</v>
      </c>
      <c r="F262" t="s">
        <v>936</v>
      </c>
    </row>
    <row r="263" spans="1:6" x14ac:dyDescent="0.3">
      <c r="A263" t="s">
        <v>593</v>
      </c>
      <c r="B263" t="s">
        <v>1704</v>
      </c>
      <c r="C263" t="s">
        <v>930</v>
      </c>
      <c r="D263" t="s">
        <v>957</v>
      </c>
      <c r="E263" t="s">
        <v>930</v>
      </c>
      <c r="F263" t="s">
        <v>931</v>
      </c>
    </row>
    <row r="264" spans="1:6" x14ac:dyDescent="0.3">
      <c r="A264" t="s">
        <v>596</v>
      </c>
      <c r="B264" t="s">
        <v>1748</v>
      </c>
      <c r="C264" t="s">
        <v>1750</v>
      </c>
      <c r="D264" t="s">
        <v>957</v>
      </c>
      <c r="E264" t="s">
        <v>1751</v>
      </c>
      <c r="F264" t="s">
        <v>943</v>
      </c>
    </row>
    <row r="265" spans="1:6" x14ac:dyDescent="0.3">
      <c r="A265" t="s">
        <v>598</v>
      </c>
      <c r="B265" t="s">
        <v>1552</v>
      </c>
      <c r="C265" t="s">
        <v>930</v>
      </c>
      <c r="D265" t="s">
        <v>1113</v>
      </c>
      <c r="E265" t="s">
        <v>930</v>
      </c>
      <c r="F265" t="s">
        <v>946</v>
      </c>
    </row>
    <row r="266" spans="1:6" x14ac:dyDescent="0.3">
      <c r="A266" t="s">
        <v>599</v>
      </c>
      <c r="B266" t="s">
        <v>1553</v>
      </c>
      <c r="C266" t="s">
        <v>930</v>
      </c>
      <c r="D266" t="s">
        <v>1113</v>
      </c>
      <c r="E266" t="s">
        <v>930</v>
      </c>
      <c r="F266" t="s">
        <v>946</v>
      </c>
    </row>
    <row r="267" spans="1:6" x14ac:dyDescent="0.3">
      <c r="A267" t="s">
        <v>600</v>
      </c>
      <c r="B267" t="s">
        <v>1148</v>
      </c>
      <c r="C267" t="s">
        <v>930</v>
      </c>
      <c r="D267" t="s">
        <v>957</v>
      </c>
      <c r="E267" t="s">
        <v>930</v>
      </c>
      <c r="F267" t="s">
        <v>958</v>
      </c>
    </row>
    <row r="268" spans="1:6" x14ac:dyDescent="0.3">
      <c r="A268" t="s">
        <v>769</v>
      </c>
      <c r="B268" t="s">
        <v>1528</v>
      </c>
      <c r="C268" t="s">
        <v>930</v>
      </c>
      <c r="D268" t="s">
        <v>957</v>
      </c>
      <c r="E268" t="s">
        <v>1529</v>
      </c>
      <c r="F268" t="s">
        <v>946</v>
      </c>
    </row>
    <row r="269" spans="1:6" x14ac:dyDescent="0.3">
      <c r="A269" t="s">
        <v>1280</v>
      </c>
      <c r="B269" t="s">
        <v>1281</v>
      </c>
      <c r="C269" t="s">
        <v>930</v>
      </c>
      <c r="D269" t="s">
        <v>957</v>
      </c>
      <c r="E269" t="s">
        <v>930</v>
      </c>
      <c r="F269" t="s">
        <v>958</v>
      </c>
    </row>
    <row r="270" spans="1:6" x14ac:dyDescent="0.3">
      <c r="A270" t="s">
        <v>601</v>
      </c>
      <c r="B270" t="s">
        <v>1726</v>
      </c>
      <c r="C270" t="s">
        <v>930</v>
      </c>
      <c r="D270" t="s">
        <v>957</v>
      </c>
      <c r="E270" t="s">
        <v>930</v>
      </c>
      <c r="F270" t="s">
        <v>943</v>
      </c>
    </row>
    <row r="271" spans="1:6" x14ac:dyDescent="0.3">
      <c r="A271" t="s">
        <v>602</v>
      </c>
      <c r="B271" t="s">
        <v>1727</v>
      </c>
      <c r="C271" t="s">
        <v>930</v>
      </c>
      <c r="D271" t="s">
        <v>957</v>
      </c>
      <c r="E271" t="s">
        <v>930</v>
      </c>
      <c r="F271" t="s">
        <v>931</v>
      </c>
    </row>
    <row r="272" spans="1:6" x14ac:dyDescent="0.3">
      <c r="A272" t="s">
        <v>603</v>
      </c>
      <c r="B272" t="s">
        <v>1728</v>
      </c>
      <c r="C272" t="s">
        <v>930</v>
      </c>
      <c r="D272" t="s">
        <v>957</v>
      </c>
      <c r="E272" t="s">
        <v>930</v>
      </c>
      <c r="F272" t="s">
        <v>931</v>
      </c>
    </row>
    <row r="273" spans="1:6" x14ac:dyDescent="0.3">
      <c r="A273" t="s">
        <v>604</v>
      </c>
      <c r="B273" t="s">
        <v>1729</v>
      </c>
      <c r="C273" t="s">
        <v>930</v>
      </c>
      <c r="D273" t="s">
        <v>957</v>
      </c>
      <c r="E273" t="s">
        <v>930</v>
      </c>
      <c r="F273" t="s">
        <v>931</v>
      </c>
    </row>
    <row r="274" spans="1:6" x14ac:dyDescent="0.3">
      <c r="A274" t="s">
        <v>605</v>
      </c>
      <c r="B274" t="s">
        <v>1725</v>
      </c>
      <c r="C274" t="s">
        <v>930</v>
      </c>
      <c r="D274" t="s">
        <v>957</v>
      </c>
      <c r="E274" t="s">
        <v>930</v>
      </c>
      <c r="F274" t="s">
        <v>943</v>
      </c>
    </row>
    <row r="275" spans="1:6" x14ac:dyDescent="0.3">
      <c r="A275" t="s">
        <v>654</v>
      </c>
      <c r="B275" t="s">
        <v>1456</v>
      </c>
      <c r="C275" t="s">
        <v>930</v>
      </c>
      <c r="D275" t="s">
        <v>957</v>
      </c>
      <c r="E275" t="s">
        <v>930</v>
      </c>
      <c r="F275" t="s">
        <v>958</v>
      </c>
    </row>
    <row r="276" spans="1:6" x14ac:dyDescent="0.3">
      <c r="A276" t="s">
        <v>917</v>
      </c>
      <c r="B276" t="s">
        <v>1674</v>
      </c>
      <c r="C276" t="s">
        <v>930</v>
      </c>
      <c r="D276" t="s">
        <v>1670</v>
      </c>
      <c r="E276" t="s">
        <v>1675</v>
      </c>
      <c r="F276" t="s">
        <v>946</v>
      </c>
    </row>
    <row r="277" spans="1:6" x14ac:dyDescent="0.3">
      <c r="A277" t="s">
        <v>827</v>
      </c>
      <c r="B277" t="s">
        <v>1697</v>
      </c>
      <c r="C277" t="s">
        <v>930</v>
      </c>
      <c r="D277" t="s">
        <v>1696</v>
      </c>
      <c r="E277" t="s">
        <v>930</v>
      </c>
      <c r="F277" t="s">
        <v>943</v>
      </c>
    </row>
    <row r="278" spans="1:6" x14ac:dyDescent="0.3">
      <c r="A278" t="s">
        <v>610</v>
      </c>
      <c r="B278" t="s">
        <v>1110</v>
      </c>
      <c r="C278" t="s">
        <v>930</v>
      </c>
      <c r="D278" t="s">
        <v>957</v>
      </c>
      <c r="E278" t="s">
        <v>930</v>
      </c>
      <c r="F278" t="s">
        <v>936</v>
      </c>
    </row>
    <row r="279" spans="1:6" x14ac:dyDescent="0.3">
      <c r="A279" t="s">
        <v>611</v>
      </c>
      <c r="B279" t="s">
        <v>1140</v>
      </c>
      <c r="C279" t="s">
        <v>930</v>
      </c>
      <c r="D279" t="s">
        <v>957</v>
      </c>
      <c r="E279" t="s">
        <v>930</v>
      </c>
      <c r="F279" t="s">
        <v>943</v>
      </c>
    </row>
    <row r="280" spans="1:6" x14ac:dyDescent="0.3">
      <c r="A280" t="s">
        <v>641</v>
      </c>
      <c r="B280" t="s">
        <v>1166</v>
      </c>
      <c r="C280" t="s">
        <v>930</v>
      </c>
      <c r="D280" t="s">
        <v>957</v>
      </c>
      <c r="E280" t="s">
        <v>930</v>
      </c>
      <c r="F280" t="s">
        <v>931</v>
      </c>
    </row>
    <row r="281" spans="1:6" x14ac:dyDescent="0.3">
      <c r="A281" t="s">
        <v>613</v>
      </c>
      <c r="B281" t="s">
        <v>1700</v>
      </c>
      <c r="C281" t="s">
        <v>930</v>
      </c>
      <c r="D281" t="s">
        <v>1696</v>
      </c>
      <c r="E281" t="s">
        <v>930</v>
      </c>
      <c r="F281" t="s">
        <v>946</v>
      </c>
    </row>
    <row r="282" spans="1:6" x14ac:dyDescent="0.3">
      <c r="A282" t="s">
        <v>614</v>
      </c>
      <c r="B282" t="s">
        <v>1761</v>
      </c>
      <c r="C282" t="s">
        <v>930</v>
      </c>
      <c r="D282" t="s">
        <v>957</v>
      </c>
      <c r="E282" t="s">
        <v>930</v>
      </c>
      <c r="F282" t="s">
        <v>943</v>
      </c>
    </row>
    <row r="283" spans="1:6" x14ac:dyDescent="0.3">
      <c r="A283" t="s">
        <v>615</v>
      </c>
      <c r="B283" t="s">
        <v>1554</v>
      </c>
      <c r="C283" t="s">
        <v>930</v>
      </c>
      <c r="D283" t="s">
        <v>957</v>
      </c>
      <c r="E283" t="s">
        <v>930</v>
      </c>
      <c r="F283" t="s">
        <v>943</v>
      </c>
    </row>
    <row r="284" spans="1:6" x14ac:dyDescent="0.3">
      <c r="A284" t="s">
        <v>918</v>
      </c>
      <c r="B284" t="s">
        <v>1391</v>
      </c>
      <c r="C284" t="s">
        <v>930</v>
      </c>
      <c r="D284" t="s">
        <v>957</v>
      </c>
      <c r="E284" t="s">
        <v>1392</v>
      </c>
      <c r="F284" t="s">
        <v>946</v>
      </c>
    </row>
    <row r="285" spans="1:6" x14ac:dyDescent="0.3">
      <c r="A285" t="s">
        <v>1395</v>
      </c>
      <c r="B285" t="s">
        <v>1396</v>
      </c>
      <c r="C285" t="s">
        <v>930</v>
      </c>
      <c r="D285" t="s">
        <v>957</v>
      </c>
      <c r="E285" t="s">
        <v>1397</v>
      </c>
      <c r="F285" t="s">
        <v>958</v>
      </c>
    </row>
    <row r="286" spans="1:6" x14ac:dyDescent="0.3">
      <c r="A286" t="s">
        <v>1398</v>
      </c>
      <c r="B286" t="s">
        <v>1399</v>
      </c>
      <c r="C286" t="s">
        <v>930</v>
      </c>
      <c r="D286" t="s">
        <v>957</v>
      </c>
      <c r="E286" t="s">
        <v>930</v>
      </c>
      <c r="F286" t="s">
        <v>946</v>
      </c>
    </row>
    <row r="287" spans="1:6" x14ac:dyDescent="0.3">
      <c r="A287" t="s">
        <v>1388</v>
      </c>
      <c r="B287" t="s">
        <v>1389</v>
      </c>
      <c r="C287" t="s">
        <v>930</v>
      </c>
      <c r="D287" t="s">
        <v>957</v>
      </c>
      <c r="E287" t="s">
        <v>930</v>
      </c>
      <c r="F287" t="s">
        <v>943</v>
      </c>
    </row>
    <row r="288" spans="1:6" x14ac:dyDescent="0.3">
      <c r="A288" t="s">
        <v>900</v>
      </c>
      <c r="B288" t="s">
        <v>1390</v>
      </c>
      <c r="C288" t="s">
        <v>930</v>
      </c>
      <c r="D288" t="s">
        <v>957</v>
      </c>
      <c r="E288" t="s">
        <v>930</v>
      </c>
      <c r="F288" t="s">
        <v>946</v>
      </c>
    </row>
    <row r="289" spans="1:6" x14ac:dyDescent="0.3">
      <c r="A289" t="s">
        <v>1393</v>
      </c>
      <c r="B289" t="s">
        <v>1394</v>
      </c>
      <c r="C289" t="s">
        <v>930</v>
      </c>
      <c r="D289" t="s">
        <v>957</v>
      </c>
      <c r="E289" t="s">
        <v>930</v>
      </c>
      <c r="F289" t="s">
        <v>946</v>
      </c>
    </row>
    <row r="290" spans="1:6" x14ac:dyDescent="0.3">
      <c r="A290" t="s">
        <v>1400</v>
      </c>
      <c r="B290" t="s">
        <v>1401</v>
      </c>
      <c r="C290" t="s">
        <v>930</v>
      </c>
      <c r="D290" t="s">
        <v>957</v>
      </c>
      <c r="E290" t="s">
        <v>930</v>
      </c>
      <c r="F290" t="s">
        <v>958</v>
      </c>
    </row>
    <row r="291" spans="1:6" x14ac:dyDescent="0.3">
      <c r="A291" t="s">
        <v>1039</v>
      </c>
      <c r="B291" t="s">
        <v>1040</v>
      </c>
      <c r="C291" t="s">
        <v>930</v>
      </c>
      <c r="D291" t="s">
        <v>957</v>
      </c>
      <c r="E291" t="s">
        <v>1041</v>
      </c>
      <c r="F291" t="s">
        <v>931</v>
      </c>
    </row>
    <row r="292" spans="1:6" x14ac:dyDescent="0.3">
      <c r="A292" t="s">
        <v>770</v>
      </c>
      <c r="B292" t="s">
        <v>1481</v>
      </c>
      <c r="C292" t="s">
        <v>930</v>
      </c>
      <c r="D292" t="s">
        <v>957</v>
      </c>
      <c r="E292" t="s">
        <v>930</v>
      </c>
      <c r="F292" t="s">
        <v>936</v>
      </c>
    </row>
    <row r="293" spans="1:6" x14ac:dyDescent="0.3">
      <c r="A293" t="s">
        <v>771</v>
      </c>
      <c r="B293" t="s">
        <v>1482</v>
      </c>
      <c r="C293" t="s">
        <v>930</v>
      </c>
      <c r="D293" t="s">
        <v>957</v>
      </c>
      <c r="E293" t="s">
        <v>930</v>
      </c>
      <c r="F293" t="s">
        <v>936</v>
      </c>
    </row>
    <row r="294" spans="1:6" x14ac:dyDescent="0.3">
      <c r="A294" t="s">
        <v>901</v>
      </c>
      <c r="B294" t="s">
        <v>1345</v>
      </c>
      <c r="C294" t="s">
        <v>930</v>
      </c>
      <c r="D294" t="s">
        <v>957</v>
      </c>
      <c r="E294" t="s">
        <v>930</v>
      </c>
      <c r="F294" t="s">
        <v>943</v>
      </c>
    </row>
    <row r="295" spans="1:6" x14ac:dyDescent="0.3">
      <c r="A295" t="s">
        <v>1796</v>
      </c>
      <c r="B295" t="s">
        <v>1797</v>
      </c>
      <c r="C295" t="s">
        <v>930</v>
      </c>
      <c r="D295" t="s">
        <v>957</v>
      </c>
      <c r="E295" t="s">
        <v>930</v>
      </c>
      <c r="F295" t="s">
        <v>946</v>
      </c>
    </row>
    <row r="296" spans="1:6" x14ac:dyDescent="0.3">
      <c r="A296" t="s">
        <v>879</v>
      </c>
      <c r="B296" t="s">
        <v>1141</v>
      </c>
      <c r="C296" t="s">
        <v>930</v>
      </c>
      <c r="D296" t="s">
        <v>957</v>
      </c>
      <c r="E296" t="s">
        <v>930</v>
      </c>
      <c r="F296" t="s">
        <v>958</v>
      </c>
    </row>
    <row r="297" spans="1:6" x14ac:dyDescent="0.3">
      <c r="A297" t="s">
        <v>706</v>
      </c>
      <c r="B297" t="s">
        <v>1686</v>
      </c>
      <c r="C297" t="s">
        <v>930</v>
      </c>
      <c r="D297" t="s">
        <v>957</v>
      </c>
      <c r="E297" t="s">
        <v>930</v>
      </c>
      <c r="F297" t="s">
        <v>936</v>
      </c>
    </row>
    <row r="298" spans="1:6" x14ac:dyDescent="0.3">
      <c r="A298" t="s">
        <v>707</v>
      </c>
      <c r="B298" t="s">
        <v>1462</v>
      </c>
      <c r="C298" t="s">
        <v>930</v>
      </c>
      <c r="D298" t="s">
        <v>957</v>
      </c>
      <c r="E298" t="s">
        <v>1463</v>
      </c>
      <c r="F298" t="s">
        <v>931</v>
      </c>
    </row>
    <row r="299" spans="1:6" x14ac:dyDescent="0.3">
      <c r="A299" t="s">
        <v>840</v>
      </c>
      <c r="B299" t="s">
        <v>1668</v>
      </c>
      <c r="C299" t="s">
        <v>930</v>
      </c>
      <c r="D299" t="s">
        <v>957</v>
      </c>
      <c r="E299" t="s">
        <v>930</v>
      </c>
      <c r="F299" t="s">
        <v>931</v>
      </c>
    </row>
    <row r="300" spans="1:6" x14ac:dyDescent="0.3">
      <c r="A300" t="s">
        <v>841</v>
      </c>
      <c r="B300" t="s">
        <v>1667</v>
      </c>
      <c r="C300" t="s">
        <v>930</v>
      </c>
      <c r="D300" t="s">
        <v>957</v>
      </c>
      <c r="E300" t="s">
        <v>930</v>
      </c>
      <c r="F300" t="s">
        <v>943</v>
      </c>
    </row>
    <row r="301" spans="1:6" x14ac:dyDescent="0.3">
      <c r="A301" t="s">
        <v>948</v>
      </c>
      <c r="B301" t="s">
        <v>949</v>
      </c>
      <c r="C301" t="s">
        <v>930</v>
      </c>
      <c r="D301" t="s">
        <v>950</v>
      </c>
      <c r="E301" t="s">
        <v>951</v>
      </c>
      <c r="F301" t="s">
        <v>931</v>
      </c>
    </row>
    <row r="302" spans="1:6" x14ac:dyDescent="0.3">
      <c r="A302" t="s">
        <v>1531</v>
      </c>
      <c r="B302" t="s">
        <v>1532</v>
      </c>
      <c r="C302" t="s">
        <v>930</v>
      </c>
      <c r="D302" t="s">
        <v>957</v>
      </c>
      <c r="E302" t="s">
        <v>930</v>
      </c>
      <c r="F302" t="s">
        <v>943</v>
      </c>
    </row>
    <row r="303" spans="1:6" x14ac:dyDescent="0.3">
      <c r="A303" t="s">
        <v>781</v>
      </c>
      <c r="B303" t="s">
        <v>1162</v>
      </c>
      <c r="C303" t="s">
        <v>930</v>
      </c>
      <c r="D303" t="s">
        <v>957</v>
      </c>
      <c r="E303" t="s">
        <v>957</v>
      </c>
      <c r="F303" t="s">
        <v>931</v>
      </c>
    </row>
    <row r="304" spans="1:6" x14ac:dyDescent="0.3">
      <c r="A304" t="s">
        <v>751</v>
      </c>
      <c r="B304" t="s">
        <v>1669</v>
      </c>
      <c r="C304" t="s">
        <v>930</v>
      </c>
      <c r="D304" t="s">
        <v>1670</v>
      </c>
      <c r="E304" t="s">
        <v>1671</v>
      </c>
      <c r="F304" t="s">
        <v>936</v>
      </c>
    </row>
    <row r="305" spans="1:6" x14ac:dyDescent="0.3">
      <c r="A305" t="s">
        <v>752</v>
      </c>
      <c r="B305" t="s">
        <v>1196</v>
      </c>
      <c r="C305" t="s">
        <v>930</v>
      </c>
      <c r="D305" t="s">
        <v>957</v>
      </c>
      <c r="E305" t="s">
        <v>930</v>
      </c>
      <c r="F305" t="s">
        <v>936</v>
      </c>
    </row>
    <row r="306" spans="1:6" x14ac:dyDescent="0.3">
      <c r="A306" t="s">
        <v>773</v>
      </c>
      <c r="B306" t="s">
        <v>1242</v>
      </c>
      <c r="C306" t="s">
        <v>930</v>
      </c>
      <c r="D306" t="s">
        <v>957</v>
      </c>
      <c r="E306" t="s">
        <v>930</v>
      </c>
      <c r="F306" t="s">
        <v>943</v>
      </c>
    </row>
    <row r="307" spans="1:6" x14ac:dyDescent="0.3">
      <c r="A307" t="s">
        <v>774</v>
      </c>
      <c r="B307" t="s">
        <v>1197</v>
      </c>
      <c r="C307" t="s">
        <v>930</v>
      </c>
      <c r="D307" t="s">
        <v>957</v>
      </c>
      <c r="E307" t="s">
        <v>930</v>
      </c>
      <c r="F307" t="s">
        <v>936</v>
      </c>
    </row>
    <row r="308" spans="1:6" x14ac:dyDescent="0.3">
      <c r="A308" t="s">
        <v>753</v>
      </c>
      <c r="B308" t="s">
        <v>1623</v>
      </c>
      <c r="C308" t="s">
        <v>930</v>
      </c>
      <c r="D308" t="s">
        <v>957</v>
      </c>
      <c r="E308" t="s">
        <v>930</v>
      </c>
      <c r="F308" t="s">
        <v>936</v>
      </c>
    </row>
    <row r="309" spans="1:6" x14ac:dyDescent="0.3">
      <c r="A309" t="s">
        <v>987</v>
      </c>
      <c r="B309" t="s">
        <v>982</v>
      </c>
      <c r="C309" t="s">
        <v>988</v>
      </c>
      <c r="D309" t="s">
        <v>957</v>
      </c>
      <c r="E309" t="s">
        <v>989</v>
      </c>
      <c r="F309" t="s">
        <v>946</v>
      </c>
    </row>
    <row r="310" spans="1:6" x14ac:dyDescent="0.3">
      <c r="A310" t="s">
        <v>828</v>
      </c>
      <c r="B310" t="s">
        <v>1525</v>
      </c>
      <c r="C310" t="s">
        <v>930</v>
      </c>
      <c r="D310" t="s">
        <v>957</v>
      </c>
      <c r="E310" t="s">
        <v>1527</v>
      </c>
      <c r="F310" t="s">
        <v>946</v>
      </c>
    </row>
    <row r="311" spans="1:6" x14ac:dyDescent="0.3">
      <c r="A311" t="s">
        <v>794</v>
      </c>
      <c r="B311" t="s">
        <v>1773</v>
      </c>
      <c r="C311" t="s">
        <v>930</v>
      </c>
      <c r="D311" t="s">
        <v>957</v>
      </c>
      <c r="E311" t="s">
        <v>995</v>
      </c>
      <c r="F311" t="s">
        <v>931</v>
      </c>
    </row>
    <row r="312" spans="1:6" x14ac:dyDescent="0.3">
      <c r="A312" t="s">
        <v>795</v>
      </c>
      <c r="B312" t="s">
        <v>1699</v>
      </c>
      <c r="C312" t="s">
        <v>930</v>
      </c>
      <c r="D312" t="s">
        <v>1696</v>
      </c>
      <c r="E312" t="s">
        <v>930</v>
      </c>
      <c r="F312" t="s">
        <v>943</v>
      </c>
    </row>
    <row r="313" spans="1:6" x14ac:dyDescent="0.3">
      <c r="A313" t="s">
        <v>1813</v>
      </c>
      <c r="B313" t="s">
        <v>1814</v>
      </c>
      <c r="C313" t="s">
        <v>930</v>
      </c>
      <c r="D313" t="s">
        <v>957</v>
      </c>
      <c r="E313" t="s">
        <v>930</v>
      </c>
      <c r="F313" t="s">
        <v>958</v>
      </c>
    </row>
    <row r="314" spans="1:6" x14ac:dyDescent="0.3">
      <c r="A314" t="s">
        <v>829</v>
      </c>
      <c r="B314" t="s">
        <v>1536</v>
      </c>
      <c r="C314" t="s">
        <v>930</v>
      </c>
      <c r="D314" t="s">
        <v>957</v>
      </c>
      <c r="E314" t="s">
        <v>930</v>
      </c>
      <c r="F314" t="s">
        <v>946</v>
      </c>
    </row>
    <row r="315" spans="1:6" x14ac:dyDescent="0.3">
      <c r="A315" t="s">
        <v>830</v>
      </c>
      <c r="B315" t="s">
        <v>1537</v>
      </c>
      <c r="C315" t="s">
        <v>930</v>
      </c>
      <c r="D315" t="s">
        <v>957</v>
      </c>
      <c r="E315" t="s">
        <v>930</v>
      </c>
      <c r="F315" t="s">
        <v>943</v>
      </c>
    </row>
    <row r="316" spans="1:6" x14ac:dyDescent="0.3">
      <c r="A316" t="s">
        <v>842</v>
      </c>
      <c r="B316" t="s">
        <v>1666</v>
      </c>
      <c r="C316" t="s">
        <v>930</v>
      </c>
      <c r="D316" t="s">
        <v>957</v>
      </c>
      <c r="E316" t="s">
        <v>930</v>
      </c>
      <c r="F316" t="s">
        <v>931</v>
      </c>
    </row>
    <row r="317" spans="1:6" x14ac:dyDescent="0.3">
      <c r="A317" t="s">
        <v>844</v>
      </c>
      <c r="B317" t="s">
        <v>1783</v>
      </c>
      <c r="C317" t="s">
        <v>930</v>
      </c>
      <c r="D317" t="s">
        <v>957</v>
      </c>
      <c r="E317" t="s">
        <v>930</v>
      </c>
      <c r="F317" t="s">
        <v>946</v>
      </c>
    </row>
    <row r="318" spans="1:6" x14ac:dyDescent="0.3">
      <c r="A318" t="s">
        <v>855</v>
      </c>
      <c r="B318" t="s">
        <v>1672</v>
      </c>
      <c r="C318" t="s">
        <v>930</v>
      </c>
      <c r="D318" t="s">
        <v>957</v>
      </c>
      <c r="E318" t="s">
        <v>1673</v>
      </c>
      <c r="F318" t="s">
        <v>931</v>
      </c>
    </row>
    <row r="319" spans="1:6" x14ac:dyDescent="0.3">
      <c r="A319" t="s">
        <v>923</v>
      </c>
      <c r="B319" t="s">
        <v>1327</v>
      </c>
      <c r="C319" t="s">
        <v>930</v>
      </c>
      <c r="D319" t="s">
        <v>957</v>
      </c>
      <c r="E319" t="s">
        <v>1328</v>
      </c>
      <c r="F319" t="s">
        <v>936</v>
      </c>
    </row>
    <row r="320" spans="1:6" x14ac:dyDescent="0.3">
      <c r="A320" t="s">
        <v>924</v>
      </c>
      <c r="B320" t="s">
        <v>1327</v>
      </c>
      <c r="C320" t="s">
        <v>930</v>
      </c>
      <c r="D320" t="s">
        <v>957</v>
      </c>
      <c r="E320" t="s">
        <v>1329</v>
      </c>
      <c r="F320" t="s">
        <v>936</v>
      </c>
    </row>
    <row r="321" spans="1:6" x14ac:dyDescent="0.3">
      <c r="A321" t="s">
        <v>925</v>
      </c>
      <c r="B321" t="s">
        <v>1327</v>
      </c>
      <c r="C321" t="s">
        <v>930</v>
      </c>
      <c r="D321" t="s">
        <v>957</v>
      </c>
      <c r="E321" t="s">
        <v>1330</v>
      </c>
      <c r="F321" t="s">
        <v>946</v>
      </c>
    </row>
    <row r="322" spans="1:6" x14ac:dyDescent="0.3">
      <c r="A322" t="s">
        <v>1684</v>
      </c>
      <c r="B322" t="s">
        <v>1685</v>
      </c>
      <c r="C322" t="s">
        <v>930</v>
      </c>
      <c r="D322" t="s">
        <v>957</v>
      </c>
      <c r="E322" t="s">
        <v>930</v>
      </c>
      <c r="F322" t="s">
        <v>946</v>
      </c>
    </row>
    <row r="323" spans="1:6" x14ac:dyDescent="0.3">
      <c r="A323" t="s">
        <v>1410</v>
      </c>
      <c r="B323" t="s">
        <v>1411</v>
      </c>
      <c r="C323" t="s">
        <v>1412</v>
      </c>
      <c r="D323" t="s">
        <v>957</v>
      </c>
      <c r="E323" t="s">
        <v>1412</v>
      </c>
      <c r="F323" t="s">
        <v>943</v>
      </c>
    </row>
    <row r="324" spans="1:6" x14ac:dyDescent="0.3">
      <c r="A324" t="s">
        <v>1848</v>
      </c>
    </row>
  </sheetData>
  <mergeCells count="1"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workbookViewId="0">
      <selection activeCell="F1" sqref="F1"/>
    </sheetView>
  </sheetViews>
  <sheetFormatPr baseColWidth="10" defaultRowHeight="14.4" x14ac:dyDescent="0.3"/>
  <cols>
    <col min="2" max="2" width="46" bestFit="1" customWidth="1"/>
    <col min="3" max="3" width="21.33203125" bestFit="1" customWidth="1"/>
    <col min="4" max="4" width="14.5546875" bestFit="1" customWidth="1"/>
    <col min="5" max="5" width="25.88671875" bestFit="1" customWidth="1"/>
    <col min="6" max="6" width="15.44140625" bestFit="1" customWidth="1"/>
  </cols>
  <sheetData>
    <row r="1" spans="1:6" ht="39" customHeight="1" thickBot="1" x14ac:dyDescent="0.35">
      <c r="A1" s="67" t="s">
        <v>1852</v>
      </c>
      <c r="B1" s="68"/>
      <c r="C1" s="68"/>
      <c r="D1" s="69"/>
      <c r="E1" s="21" t="s">
        <v>1853</v>
      </c>
      <c r="F1" s="22" t="e">
        <f>((COUNTIF(F3:F33,"SOBRE STOCK"))+(COUNTIF(F3:F33,"NORMO STOCK")))/(COUNTIF(F3:F33,"&lt;&gt;solid")-(COUNTIF(F3:F33,"No Rota"))-(COUNTIF(F3:F33,"No Manejado")))</f>
        <v>#DIV/0!</v>
      </c>
    </row>
    <row r="2" spans="1:6" x14ac:dyDescent="0.3">
      <c r="A2" s="23" t="s">
        <v>28</v>
      </c>
      <c r="B2" s="24" t="s">
        <v>1854</v>
      </c>
      <c r="C2" s="24" t="s">
        <v>1855</v>
      </c>
      <c r="D2" s="24" t="s">
        <v>1856</v>
      </c>
      <c r="E2" s="24" t="s">
        <v>1857</v>
      </c>
      <c r="F2" s="25" t="s">
        <v>1858</v>
      </c>
    </row>
    <row r="3" spans="1:6" x14ac:dyDescent="0.3">
      <c r="A3" s="26" t="s">
        <v>39</v>
      </c>
      <c r="B3" s="27" t="s">
        <v>944</v>
      </c>
      <c r="C3" s="27" t="s">
        <v>945</v>
      </c>
      <c r="D3" s="27" t="s">
        <v>934</v>
      </c>
      <c r="E3" s="27" t="s">
        <v>935</v>
      </c>
      <c r="F3" s="28" t="str">
        <f>IFERROR(VLOOKUP(A3,TblDisponibilidad[],23,FALSE),"No Manejado")</f>
        <v>No Manejado</v>
      </c>
    </row>
    <row r="4" spans="1:6" x14ac:dyDescent="0.3">
      <c r="A4" s="26" t="s">
        <v>62</v>
      </c>
      <c r="B4" s="27" t="s">
        <v>1060</v>
      </c>
      <c r="C4" s="27" t="s">
        <v>1062</v>
      </c>
      <c r="D4" s="27" t="s">
        <v>934</v>
      </c>
      <c r="E4" s="27" t="s">
        <v>1004</v>
      </c>
      <c r="F4" s="28" t="str">
        <f>IFERROR(VLOOKUP(A4,TblDisponibilidad[],23,FALSE),"No Manejado")</f>
        <v>No Manejado</v>
      </c>
    </row>
    <row r="5" spans="1:6" x14ac:dyDescent="0.3">
      <c r="A5" s="26" t="s">
        <v>74</v>
      </c>
      <c r="B5" s="27" t="s">
        <v>1122</v>
      </c>
      <c r="C5" s="27" t="s">
        <v>1123</v>
      </c>
      <c r="D5" s="27" t="s">
        <v>934</v>
      </c>
      <c r="E5" s="27" t="s">
        <v>1065</v>
      </c>
      <c r="F5" s="28" t="str">
        <f>IFERROR(VLOOKUP(A5,TblDisponibilidad[],23,FALSE),"No Manejado")</f>
        <v>No Manejado</v>
      </c>
    </row>
    <row r="6" spans="1:6" x14ac:dyDescent="0.3">
      <c r="A6" s="26" t="s">
        <v>77</v>
      </c>
      <c r="B6" s="27" t="s">
        <v>1129</v>
      </c>
      <c r="C6" s="27" t="s">
        <v>1130</v>
      </c>
      <c r="D6" s="27" t="s">
        <v>934</v>
      </c>
      <c r="E6" s="27" t="s">
        <v>977</v>
      </c>
      <c r="F6" s="28" t="str">
        <f>IFERROR(VLOOKUP(A6,TblDisponibilidad[],23,FALSE),"No Manejado")</f>
        <v>No Manejado</v>
      </c>
    </row>
    <row r="7" spans="1:6" x14ac:dyDescent="0.3">
      <c r="A7" s="26" t="s">
        <v>398</v>
      </c>
      <c r="B7" s="27" t="s">
        <v>1131</v>
      </c>
      <c r="C7" s="27" t="s">
        <v>1132</v>
      </c>
      <c r="D7" s="27" t="s">
        <v>934</v>
      </c>
      <c r="E7" s="27" t="s">
        <v>1133</v>
      </c>
      <c r="F7" s="28" t="str">
        <f>IFERROR(VLOOKUP(A7,TblDisponibilidad[],23,FALSE),"No Manejado")</f>
        <v>No Manejado</v>
      </c>
    </row>
    <row r="8" spans="1:6" x14ac:dyDescent="0.3">
      <c r="A8" s="26" t="s">
        <v>84</v>
      </c>
      <c r="B8" s="27" t="s">
        <v>1189</v>
      </c>
      <c r="C8" s="27" t="s">
        <v>945</v>
      </c>
      <c r="D8" s="27" t="s">
        <v>934</v>
      </c>
      <c r="E8" s="27" t="s">
        <v>930</v>
      </c>
      <c r="F8" s="28" t="str">
        <f>IFERROR(VLOOKUP(A8,TblDisponibilidad[],23,FALSE),"No Manejado")</f>
        <v>No Manejado</v>
      </c>
    </row>
    <row r="9" spans="1:6" x14ac:dyDescent="0.3">
      <c r="A9" s="26" t="s">
        <v>87</v>
      </c>
      <c r="B9" s="27" t="s">
        <v>1193</v>
      </c>
      <c r="C9" s="27" t="s">
        <v>945</v>
      </c>
      <c r="D9" s="27" t="s">
        <v>934</v>
      </c>
      <c r="E9" s="27" t="s">
        <v>930</v>
      </c>
      <c r="F9" s="28" t="str">
        <f>IFERROR(VLOOKUP(A9,TblDisponibilidad[],23,FALSE),"No Manejado")</f>
        <v>No Manejado</v>
      </c>
    </row>
    <row r="10" spans="1:6" x14ac:dyDescent="0.3">
      <c r="A10" s="26" t="s">
        <v>103</v>
      </c>
      <c r="B10" s="27" t="s">
        <v>1226</v>
      </c>
      <c r="C10" s="27" t="s">
        <v>1012</v>
      </c>
      <c r="D10" s="27" t="s">
        <v>934</v>
      </c>
      <c r="E10" s="27" t="s">
        <v>935</v>
      </c>
      <c r="F10" s="28" t="str">
        <f>IFERROR(VLOOKUP(A10,TblDisponibilidad[],23,FALSE),"No Manejado")</f>
        <v>No Manejado</v>
      </c>
    </row>
    <row r="11" spans="1:6" x14ac:dyDescent="0.3">
      <c r="A11" s="26" t="s">
        <v>109</v>
      </c>
      <c r="B11" s="27" t="s">
        <v>1245</v>
      </c>
      <c r="C11" s="27" t="s">
        <v>1246</v>
      </c>
      <c r="D11" s="27" t="s">
        <v>934</v>
      </c>
      <c r="E11" s="27" t="s">
        <v>954</v>
      </c>
      <c r="F11" s="28" t="str">
        <f>IFERROR(VLOOKUP(A11,TblDisponibilidad[],23,FALSE),"No Manejado")</f>
        <v>No Manejado</v>
      </c>
    </row>
    <row r="12" spans="1:6" x14ac:dyDescent="0.3">
      <c r="A12" s="26" t="s">
        <v>131</v>
      </c>
      <c r="B12" s="27" t="s">
        <v>1300</v>
      </c>
      <c r="C12" s="27" t="s">
        <v>1301</v>
      </c>
      <c r="D12" s="27" t="s">
        <v>934</v>
      </c>
      <c r="E12" s="27" t="s">
        <v>1004</v>
      </c>
      <c r="F12" s="28" t="str">
        <f>IFERROR(VLOOKUP(A12,TblDisponibilidad[],23,FALSE),"No Manejado")</f>
        <v>No Manejado</v>
      </c>
    </row>
    <row r="13" spans="1:6" x14ac:dyDescent="0.3">
      <c r="A13" s="26" t="s">
        <v>139</v>
      </c>
      <c r="B13" s="27" t="s">
        <v>1320</v>
      </c>
      <c r="C13" s="27" t="s">
        <v>1123</v>
      </c>
      <c r="D13" s="27" t="s">
        <v>934</v>
      </c>
      <c r="E13" s="27" t="s">
        <v>1004</v>
      </c>
      <c r="F13" s="28" t="str">
        <f>IFERROR(VLOOKUP(A13,TblDisponibilidad[],23,FALSE),"No Manejado")</f>
        <v>No Manejado</v>
      </c>
    </row>
    <row r="14" spans="1:6" x14ac:dyDescent="0.3">
      <c r="A14" s="26" t="s">
        <v>146</v>
      </c>
      <c r="B14" s="27" t="s">
        <v>1339</v>
      </c>
      <c r="C14" s="27" t="s">
        <v>1340</v>
      </c>
      <c r="D14" s="27" t="s">
        <v>934</v>
      </c>
      <c r="E14" s="27" t="s">
        <v>935</v>
      </c>
      <c r="F14" s="28" t="str">
        <f>IFERROR(VLOOKUP(A14,TblDisponibilidad[],23,FALSE),"No Manejado")</f>
        <v>No Manejado</v>
      </c>
    </row>
    <row r="15" spans="1:6" x14ac:dyDescent="0.3">
      <c r="A15" s="26" t="s">
        <v>505</v>
      </c>
      <c r="B15" s="27" t="s">
        <v>1420</v>
      </c>
      <c r="C15" s="27" t="s">
        <v>938</v>
      </c>
      <c r="D15" s="27" t="s">
        <v>934</v>
      </c>
      <c r="E15" s="27" t="s">
        <v>930</v>
      </c>
      <c r="F15" s="28" t="str">
        <f>IFERROR(VLOOKUP(A15,TblDisponibilidad[],23,FALSE),"No Manejado")</f>
        <v>No Manejado</v>
      </c>
    </row>
    <row r="16" spans="1:6" x14ac:dyDescent="0.3">
      <c r="A16" s="26" t="s">
        <v>186</v>
      </c>
      <c r="B16" s="27" t="s">
        <v>1464</v>
      </c>
      <c r="C16" s="27" t="s">
        <v>1012</v>
      </c>
      <c r="D16" s="27" t="s">
        <v>934</v>
      </c>
      <c r="E16" s="27" t="s">
        <v>935</v>
      </c>
      <c r="F16" s="28" t="str">
        <f>IFERROR(VLOOKUP(A16,TblDisponibilidad[],23,FALSE),"No Manejado")</f>
        <v>No Manejado</v>
      </c>
    </row>
    <row r="17" spans="1:6" x14ac:dyDescent="0.3">
      <c r="A17" s="26" t="s">
        <v>195</v>
      </c>
      <c r="B17" s="27" t="s">
        <v>1502</v>
      </c>
      <c r="C17" s="27" t="s">
        <v>1503</v>
      </c>
      <c r="D17" s="27" t="s">
        <v>934</v>
      </c>
      <c r="E17" s="27" t="s">
        <v>977</v>
      </c>
      <c r="F17" s="28" t="str">
        <f>IFERROR(VLOOKUP(A17,TblDisponibilidad[],23,FALSE),"No Manejado")</f>
        <v>No Manejado</v>
      </c>
    </row>
    <row r="18" spans="1:6" x14ac:dyDescent="0.3">
      <c r="A18" s="26" t="s">
        <v>194</v>
      </c>
      <c r="B18" s="27" t="s">
        <v>1504</v>
      </c>
      <c r="C18" s="27" t="s">
        <v>1505</v>
      </c>
      <c r="D18" s="27" t="s">
        <v>934</v>
      </c>
      <c r="E18" s="27" t="s">
        <v>977</v>
      </c>
      <c r="F18" s="28" t="str">
        <f>IFERROR(VLOOKUP(A18,TblDisponibilidad[],23,FALSE),"No Manejado")</f>
        <v>No Manejado</v>
      </c>
    </row>
    <row r="19" spans="1:6" x14ac:dyDescent="0.3">
      <c r="A19" s="26" t="s">
        <v>208</v>
      </c>
      <c r="B19" s="27" t="s">
        <v>1560</v>
      </c>
      <c r="C19" s="27" t="s">
        <v>945</v>
      </c>
      <c r="D19" s="27" t="s">
        <v>934</v>
      </c>
      <c r="E19" s="27" t="s">
        <v>954</v>
      </c>
      <c r="F19" s="28" t="str">
        <f>IFERROR(VLOOKUP(A19,TblDisponibilidad[],23,FALSE),"No Manejado")</f>
        <v>No Manejado</v>
      </c>
    </row>
    <row r="20" spans="1:6" x14ac:dyDescent="0.3">
      <c r="A20" s="26" t="s">
        <v>212</v>
      </c>
      <c r="B20" s="27" t="s">
        <v>1567</v>
      </c>
      <c r="C20" s="27" t="s">
        <v>1258</v>
      </c>
      <c r="D20" s="27" t="s">
        <v>934</v>
      </c>
      <c r="E20" s="27" t="s">
        <v>954</v>
      </c>
      <c r="F20" s="28" t="str">
        <f>IFERROR(VLOOKUP(A20,TblDisponibilidad[],23,FALSE),"No Manejado")</f>
        <v>No Manejado</v>
      </c>
    </row>
    <row r="21" spans="1:6" x14ac:dyDescent="0.3">
      <c r="A21" s="26" t="s">
        <v>220</v>
      </c>
      <c r="B21" s="27" t="s">
        <v>1574</v>
      </c>
      <c r="C21" s="27" t="s">
        <v>1023</v>
      </c>
      <c r="D21" s="27" t="s">
        <v>934</v>
      </c>
      <c r="E21" s="27" t="s">
        <v>1065</v>
      </c>
      <c r="F21" s="28" t="str">
        <f>IFERROR(VLOOKUP(A21,TblDisponibilidad[],23,FALSE),"No Manejado")</f>
        <v>No Manejado</v>
      </c>
    </row>
    <row r="22" spans="1:6" x14ac:dyDescent="0.3">
      <c r="A22" s="26" t="s">
        <v>221</v>
      </c>
      <c r="B22" s="27" t="s">
        <v>1583</v>
      </c>
      <c r="C22" s="27" t="s">
        <v>1584</v>
      </c>
      <c r="D22" s="27" t="s">
        <v>929</v>
      </c>
      <c r="E22" s="27" t="s">
        <v>930</v>
      </c>
      <c r="F22" s="28" t="str">
        <f>IFERROR(VLOOKUP(A22,TblDisponibilidad[],23,FALSE),"No Manejado")</f>
        <v>No Manejado</v>
      </c>
    </row>
    <row r="23" spans="1:6" x14ac:dyDescent="0.3">
      <c r="A23" s="26" t="s">
        <v>222</v>
      </c>
      <c r="B23" s="27" t="s">
        <v>1585</v>
      </c>
      <c r="C23" s="27" t="s">
        <v>1022</v>
      </c>
      <c r="D23" s="27" t="s">
        <v>934</v>
      </c>
      <c r="E23" s="27" t="s">
        <v>1004</v>
      </c>
      <c r="F23" s="28" t="str">
        <f>IFERROR(VLOOKUP(A23,TblDisponibilidad[],23,FALSE),"No Manejado")</f>
        <v>No Manejado</v>
      </c>
    </row>
    <row r="24" spans="1:6" x14ac:dyDescent="0.3">
      <c r="A24" s="26" t="s">
        <v>225</v>
      </c>
      <c r="B24" s="27" t="s">
        <v>1590</v>
      </c>
      <c r="C24" s="27" t="s">
        <v>1003</v>
      </c>
      <c r="D24" s="27" t="s">
        <v>934</v>
      </c>
      <c r="E24" s="27" t="s">
        <v>1004</v>
      </c>
      <c r="F24" s="28" t="str">
        <f>IFERROR(VLOOKUP(A24,TblDisponibilidad[],23,FALSE),"No Manejado")</f>
        <v>No Manejado</v>
      </c>
    </row>
    <row r="25" spans="1:6" x14ac:dyDescent="0.3">
      <c r="A25" s="26" t="s">
        <v>231</v>
      </c>
      <c r="B25" s="27" t="s">
        <v>1610</v>
      </c>
      <c r="C25" s="27" t="s">
        <v>1351</v>
      </c>
      <c r="D25" s="27" t="s">
        <v>934</v>
      </c>
      <c r="E25" s="27" t="s">
        <v>1133</v>
      </c>
      <c r="F25" s="28" t="str">
        <f>IFERROR(VLOOKUP(A25,TblDisponibilidad[],23,FALSE),"No Manejado")</f>
        <v>No Manejado</v>
      </c>
    </row>
    <row r="26" spans="1:6" x14ac:dyDescent="0.3">
      <c r="A26" s="26" t="s">
        <v>237</v>
      </c>
      <c r="B26" s="27" t="s">
        <v>1621</v>
      </c>
      <c r="C26" s="27" t="s">
        <v>1622</v>
      </c>
      <c r="D26" s="27" t="s">
        <v>934</v>
      </c>
      <c r="E26" s="27" t="s">
        <v>1004</v>
      </c>
      <c r="F26" s="28" t="str">
        <f>IFERROR(VLOOKUP(A26,TblDisponibilidad[],23,FALSE),"No Manejado")</f>
        <v>No Manejado</v>
      </c>
    </row>
    <row r="27" spans="1:6" x14ac:dyDescent="0.3">
      <c r="A27" s="26" t="s">
        <v>242</v>
      </c>
      <c r="B27" s="27" t="s">
        <v>1642</v>
      </c>
      <c r="C27" s="27" t="s">
        <v>1012</v>
      </c>
      <c r="D27" s="27" t="s">
        <v>934</v>
      </c>
      <c r="E27" s="27" t="s">
        <v>954</v>
      </c>
      <c r="F27" s="28" t="str">
        <f>IFERROR(VLOOKUP(A27,TblDisponibilidad[],23,FALSE),"No Manejado")</f>
        <v>No Manejado</v>
      </c>
    </row>
    <row r="28" spans="1:6" x14ac:dyDescent="0.3">
      <c r="A28" s="26" t="s">
        <v>1381</v>
      </c>
      <c r="B28" s="27" t="s">
        <v>1859</v>
      </c>
      <c r="C28" s="27" t="s">
        <v>1223</v>
      </c>
      <c r="D28" s="27" t="s">
        <v>934</v>
      </c>
      <c r="E28" s="27" t="s">
        <v>997</v>
      </c>
      <c r="F28" s="28" t="str">
        <f>IFERROR(VLOOKUP(A28,TblDisponibilidad[],23,FALSE),"No Manejado")</f>
        <v>No Manejado</v>
      </c>
    </row>
    <row r="29" spans="1:6" x14ac:dyDescent="0.3">
      <c r="A29" s="26" t="s">
        <v>254</v>
      </c>
      <c r="B29" s="27" t="s">
        <v>1660</v>
      </c>
      <c r="C29" s="27" t="s">
        <v>1064</v>
      </c>
      <c r="D29" s="27" t="s">
        <v>934</v>
      </c>
      <c r="E29" s="27" t="s">
        <v>977</v>
      </c>
      <c r="F29" s="28" t="str">
        <f>IFERROR(VLOOKUP(A29,TblDisponibilidad[],23,FALSE),"No Manejado")</f>
        <v>No Manejado</v>
      </c>
    </row>
    <row r="30" spans="1:6" x14ac:dyDescent="0.3">
      <c r="A30" s="26" t="s">
        <v>258</v>
      </c>
      <c r="B30" s="27" t="s">
        <v>1682</v>
      </c>
      <c r="C30" s="27" t="s">
        <v>1018</v>
      </c>
      <c r="D30" s="27" t="s">
        <v>934</v>
      </c>
      <c r="E30" s="27" t="s">
        <v>954</v>
      </c>
      <c r="F30" s="28" t="str">
        <f>IFERROR(VLOOKUP(A30,TblDisponibilidad[],23,FALSE),"No Manejado")</f>
        <v>No Manejado</v>
      </c>
    </row>
    <row r="31" spans="1:6" x14ac:dyDescent="0.3">
      <c r="A31" s="26" t="s">
        <v>265</v>
      </c>
      <c r="B31" s="27" t="s">
        <v>1705</v>
      </c>
      <c r="C31" s="27" t="s">
        <v>1706</v>
      </c>
      <c r="D31" s="27" t="s">
        <v>950</v>
      </c>
      <c r="E31" s="27" t="s">
        <v>1016</v>
      </c>
      <c r="F31" s="28" t="str">
        <f>IFERROR(VLOOKUP(A31,TblDisponibilidad[],23,FALSE),"No Manejado")</f>
        <v>No Manejado</v>
      </c>
    </row>
    <row r="32" spans="1:6" x14ac:dyDescent="0.3">
      <c r="A32" s="26" t="s">
        <v>269</v>
      </c>
      <c r="B32" s="27" t="s">
        <v>1715</v>
      </c>
      <c r="C32" s="27" t="s">
        <v>1716</v>
      </c>
      <c r="D32" s="27" t="s">
        <v>934</v>
      </c>
      <c r="E32" s="27" t="s">
        <v>962</v>
      </c>
      <c r="F32" s="28" t="str">
        <f>IFERROR(VLOOKUP(A32,TblDisponibilidad[],23,FALSE),"No Manejado")</f>
        <v>No Manejado</v>
      </c>
    </row>
    <row r="33" spans="1:6" ht="15" thickBot="1" x14ac:dyDescent="0.35">
      <c r="A33" s="29" t="s">
        <v>279</v>
      </c>
      <c r="B33" s="30" t="s">
        <v>1809</v>
      </c>
      <c r="C33" s="30" t="s">
        <v>1012</v>
      </c>
      <c r="D33" s="30" t="s">
        <v>934</v>
      </c>
      <c r="E33" s="30" t="s">
        <v>1004</v>
      </c>
      <c r="F33" s="28" t="str">
        <f>IFERROR(VLOOKUP(A33,TblDisponibilidad[],23,FALSE),"No Manejado")</f>
        <v>No Manejado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9"/>
  <sheetViews>
    <sheetView workbookViewId="0">
      <selection activeCell="F2" sqref="F2"/>
    </sheetView>
  </sheetViews>
  <sheetFormatPr baseColWidth="10" defaultRowHeight="14.4" x14ac:dyDescent="0.3"/>
  <cols>
    <col min="1" max="1" width="7.6640625" bestFit="1" customWidth="1"/>
    <col min="2" max="2" width="43.109375" bestFit="1" customWidth="1"/>
    <col min="3" max="3" width="23.88671875" bestFit="1" customWidth="1"/>
    <col min="4" max="4" width="14.5546875" bestFit="1" customWidth="1"/>
    <col min="5" max="5" width="33.6640625" customWidth="1"/>
    <col min="6" max="6" width="15.44140625" bestFit="1" customWidth="1"/>
  </cols>
  <sheetData>
    <row r="1" spans="1:6" ht="27.75" customHeight="1" thickBot="1" x14ac:dyDescent="0.35">
      <c r="A1" s="67" t="s">
        <v>1860</v>
      </c>
      <c r="B1" s="68"/>
      <c r="C1" s="68"/>
      <c r="D1" s="69"/>
      <c r="E1" s="19" t="s">
        <v>1853</v>
      </c>
      <c r="F1" s="20" t="e">
        <f>((COUNTIF(F3:F29,"SOBRE STOCK"))+(COUNTIF(F3:F29,"NORMO STOCK")))/(COUNTIF(F3:F29,"&lt;&gt;solid")-(COUNTIF(F3:F29,"No Rota"))-(COUNTIF(F3:F29,"No Manejado")))</f>
        <v>#DIV/0!</v>
      </c>
    </row>
    <row r="2" spans="1:6" x14ac:dyDescent="0.3">
      <c r="A2" s="32" t="s">
        <v>28</v>
      </c>
      <c r="B2" s="33" t="s">
        <v>1854</v>
      </c>
      <c r="C2" s="33" t="s">
        <v>1855</v>
      </c>
      <c r="D2" s="33" t="s">
        <v>1856</v>
      </c>
      <c r="E2" s="33" t="s">
        <v>1857</v>
      </c>
      <c r="F2" s="34" t="s">
        <v>1858</v>
      </c>
    </row>
    <row r="3" spans="1:6" x14ac:dyDescent="0.3">
      <c r="A3" s="35" t="s">
        <v>837</v>
      </c>
      <c r="B3" s="36" t="s">
        <v>1051</v>
      </c>
      <c r="C3" s="36" t="s">
        <v>1052</v>
      </c>
      <c r="D3" s="36" t="s">
        <v>930</v>
      </c>
      <c r="E3" s="36" t="s">
        <v>929</v>
      </c>
      <c r="F3" s="37" t="str">
        <f>IFERROR(VLOOKUP(A3,TblDisponibilidad[],23,FALSE),"No Manejado")</f>
        <v>No Manejado</v>
      </c>
    </row>
    <row r="4" spans="1:6" x14ac:dyDescent="0.3">
      <c r="A4" s="35" t="s">
        <v>1270</v>
      </c>
      <c r="B4" s="36" t="s">
        <v>1271</v>
      </c>
      <c r="C4" s="36" t="s">
        <v>1272</v>
      </c>
      <c r="D4" s="36" t="s">
        <v>930</v>
      </c>
      <c r="E4" s="36" t="s">
        <v>929</v>
      </c>
      <c r="F4" s="37" t="str">
        <f>IFERROR(VLOOKUP(A4,TblDisponibilidad[],23,FALSE),"No Manejado")</f>
        <v>No Manejado</v>
      </c>
    </row>
    <row r="5" spans="1:6" x14ac:dyDescent="0.3">
      <c r="A5" s="35" t="s">
        <v>371</v>
      </c>
      <c r="B5" s="36" t="s">
        <v>1276</v>
      </c>
      <c r="C5" s="36" t="s">
        <v>1215</v>
      </c>
      <c r="D5" s="36" t="s">
        <v>930</v>
      </c>
      <c r="E5" s="36" t="s">
        <v>929</v>
      </c>
      <c r="F5" s="37" t="str">
        <f>IFERROR(VLOOKUP(A5,TblDisponibilidad[],23,FALSE),"No Manejado")</f>
        <v>No Manejado</v>
      </c>
    </row>
    <row r="6" spans="1:6" x14ac:dyDescent="0.3">
      <c r="A6" s="35" t="s">
        <v>843</v>
      </c>
      <c r="B6" s="36" t="s">
        <v>1277</v>
      </c>
      <c r="C6" s="36" t="s">
        <v>1278</v>
      </c>
      <c r="D6" s="36" t="s">
        <v>930</v>
      </c>
      <c r="E6" s="36" t="s">
        <v>929</v>
      </c>
      <c r="F6" s="37" t="str">
        <f>IFERROR(VLOOKUP(A6,TblDisponibilidad[],23,FALSE),"No Manejado")</f>
        <v>No Manejado</v>
      </c>
    </row>
    <row r="7" spans="1:6" x14ac:dyDescent="0.3">
      <c r="A7" s="35" t="s">
        <v>677</v>
      </c>
      <c r="B7" s="36" t="s">
        <v>1282</v>
      </c>
      <c r="C7" s="36" t="s">
        <v>1283</v>
      </c>
      <c r="D7" s="36" t="s">
        <v>977</v>
      </c>
      <c r="E7" s="36" t="s">
        <v>929</v>
      </c>
      <c r="F7" s="37" t="str">
        <f>IFERROR(VLOOKUP(A7,TblDisponibilidad[],23,FALSE),"No Manejado")</f>
        <v>No Manejado</v>
      </c>
    </row>
    <row r="8" spans="1:6" x14ac:dyDescent="0.3">
      <c r="A8" s="35" t="s">
        <v>138</v>
      </c>
      <c r="B8" s="36" t="s">
        <v>1318</v>
      </c>
      <c r="C8" s="36" t="s">
        <v>1319</v>
      </c>
      <c r="D8" s="36" t="s">
        <v>1020</v>
      </c>
      <c r="E8" s="36" t="s">
        <v>929</v>
      </c>
      <c r="F8" s="37" t="str">
        <f>IFERROR(VLOOKUP(A8,TblDisponibilidad[],23,FALSE),"No Manejado")</f>
        <v>No Manejado</v>
      </c>
    </row>
    <row r="9" spans="1:6" x14ac:dyDescent="0.3">
      <c r="A9" s="35" t="s">
        <v>381</v>
      </c>
      <c r="B9" s="36" t="s">
        <v>1321</v>
      </c>
      <c r="C9" s="36" t="s">
        <v>1322</v>
      </c>
      <c r="D9" s="36" t="s">
        <v>930</v>
      </c>
      <c r="E9" s="36" t="s">
        <v>929</v>
      </c>
      <c r="F9" s="37" t="str">
        <f>IFERROR(VLOOKUP(A9,TblDisponibilidad[],23,FALSE),"No Manejado")</f>
        <v>No Manejado</v>
      </c>
    </row>
    <row r="10" spans="1:6" x14ac:dyDescent="0.3">
      <c r="A10" s="35" t="s">
        <v>140</v>
      </c>
      <c r="B10" s="36" t="s">
        <v>1324</v>
      </c>
      <c r="C10" s="36" t="s">
        <v>1325</v>
      </c>
      <c r="D10" s="36" t="s">
        <v>930</v>
      </c>
      <c r="E10" s="36" t="s">
        <v>957</v>
      </c>
      <c r="F10" s="37" t="str">
        <f>IFERROR(VLOOKUP(A10,TblDisponibilidad[],23,FALSE),"No Manejado")</f>
        <v>No Manejado</v>
      </c>
    </row>
    <row r="11" spans="1:6" x14ac:dyDescent="0.3">
      <c r="A11" s="35" t="s">
        <v>684</v>
      </c>
      <c r="B11" s="36" t="s">
        <v>1424</v>
      </c>
      <c r="C11" s="36" t="s">
        <v>1012</v>
      </c>
      <c r="D11" s="36"/>
      <c r="E11" s="36" t="s">
        <v>950</v>
      </c>
      <c r="F11" s="37" t="str">
        <f>IFERROR(VLOOKUP(A11,TblDisponibilidad[],23,FALSE),"No Manejado")</f>
        <v>No Manejado</v>
      </c>
    </row>
    <row r="12" spans="1:6" x14ac:dyDescent="0.3">
      <c r="A12" s="35" t="s">
        <v>527</v>
      </c>
      <c r="B12" s="36" t="s">
        <v>1432</v>
      </c>
      <c r="C12" s="36" t="s">
        <v>1433</v>
      </c>
      <c r="D12" s="36"/>
      <c r="E12" s="36" t="s">
        <v>934</v>
      </c>
      <c r="F12" s="37" t="str">
        <f>IFERROR(VLOOKUP(A12,TblDisponibilidad[],23,FALSE),"No Manejado")</f>
        <v>No Manejado</v>
      </c>
    </row>
    <row r="13" spans="1:6" x14ac:dyDescent="0.3">
      <c r="A13" s="35" t="s">
        <v>183</v>
      </c>
      <c r="B13" s="36" t="s">
        <v>1444</v>
      </c>
      <c r="C13" s="36" t="s">
        <v>938</v>
      </c>
      <c r="D13" s="36"/>
      <c r="E13" s="36" t="s">
        <v>929</v>
      </c>
      <c r="F13" s="37" t="str">
        <f>IFERROR(VLOOKUP(A13,TblDisponibilidad[],23,FALSE),"No Manejado")</f>
        <v>No Manejado</v>
      </c>
    </row>
    <row r="14" spans="1:6" x14ac:dyDescent="0.3">
      <c r="A14" s="35" t="s">
        <v>185</v>
      </c>
      <c r="B14" s="36" t="s">
        <v>1445</v>
      </c>
      <c r="C14" s="36" t="s">
        <v>938</v>
      </c>
      <c r="D14" s="36"/>
      <c r="E14" s="36" t="s">
        <v>929</v>
      </c>
      <c r="F14" s="37" t="str">
        <f>IFERROR(VLOOKUP(A14,TblDisponibilidad[],23,FALSE),"No Manejado")</f>
        <v>No Manejado</v>
      </c>
    </row>
    <row r="15" spans="1:6" x14ac:dyDescent="0.3">
      <c r="A15" s="35" t="s">
        <v>1474</v>
      </c>
      <c r="B15" s="36" t="s">
        <v>1475</v>
      </c>
      <c r="C15" s="36" t="s">
        <v>1476</v>
      </c>
      <c r="D15" s="36"/>
      <c r="E15" s="36" t="s">
        <v>950</v>
      </c>
      <c r="F15" s="37" t="str">
        <f>IFERROR(VLOOKUP(A15,TblDisponibilidad[],23,FALSE),"No Manejado")</f>
        <v>No Manejado</v>
      </c>
    </row>
    <row r="16" spans="1:6" x14ac:dyDescent="0.3">
      <c r="A16" s="35" t="s">
        <v>189</v>
      </c>
      <c r="B16" s="36" t="s">
        <v>1475</v>
      </c>
      <c r="C16" s="36" t="s">
        <v>1350</v>
      </c>
      <c r="D16" s="36"/>
      <c r="E16" s="36" t="s">
        <v>929</v>
      </c>
      <c r="F16" s="37" t="str">
        <f>IFERROR(VLOOKUP(A16,TblDisponibilidad[],23,FALSE),"No Manejado")</f>
        <v>No Manejado</v>
      </c>
    </row>
    <row r="17" spans="1:6" x14ac:dyDescent="0.3">
      <c r="A17" s="35" t="s">
        <v>1478</v>
      </c>
      <c r="B17" s="36" t="s">
        <v>1475</v>
      </c>
      <c r="C17" s="36" t="s">
        <v>1372</v>
      </c>
      <c r="D17" s="36"/>
      <c r="E17" s="36" t="s">
        <v>950</v>
      </c>
      <c r="F17" s="37" t="str">
        <f>IFERROR(VLOOKUP(A17,TblDisponibilidad[],23,FALSE),"No Manejado")</f>
        <v>No Manejado</v>
      </c>
    </row>
    <row r="18" spans="1:6" x14ac:dyDescent="0.3">
      <c r="A18" s="35" t="s">
        <v>867</v>
      </c>
      <c r="B18" s="36" t="s">
        <v>1491</v>
      </c>
      <c r="C18" s="36" t="s">
        <v>1492</v>
      </c>
      <c r="D18" s="36"/>
      <c r="E18" s="36" t="s">
        <v>929</v>
      </c>
      <c r="F18" s="37" t="str">
        <f>IFERROR(VLOOKUP(A18,TblDisponibilidad[],23,FALSE),"No Manejado")</f>
        <v>No Manejado</v>
      </c>
    </row>
    <row r="19" spans="1:6" x14ac:dyDescent="0.3">
      <c r="A19" s="35" t="s">
        <v>390</v>
      </c>
      <c r="B19" s="36" t="s">
        <v>1514</v>
      </c>
      <c r="C19" s="36" t="s">
        <v>1515</v>
      </c>
      <c r="D19" s="36"/>
      <c r="E19" s="36" t="s">
        <v>929</v>
      </c>
      <c r="F19" s="37" t="str">
        <f>IFERROR(VLOOKUP(A19,TblDisponibilidad[],23,FALSE),"No Manejado")</f>
        <v>No Manejado</v>
      </c>
    </row>
    <row r="20" spans="1:6" x14ac:dyDescent="0.3">
      <c r="A20" s="35" t="s">
        <v>204</v>
      </c>
      <c r="B20" s="36" t="s">
        <v>1555</v>
      </c>
      <c r="C20" s="36" t="s">
        <v>1556</v>
      </c>
      <c r="D20" s="36"/>
      <c r="E20" s="36" t="s">
        <v>934</v>
      </c>
      <c r="F20" s="37" t="str">
        <f>IFERROR(VLOOKUP(A20,TblDisponibilidad[],23,FALSE),"No Manejado")</f>
        <v>No Manejado</v>
      </c>
    </row>
    <row r="21" spans="1:6" x14ac:dyDescent="0.3">
      <c r="A21" s="35" t="s">
        <v>373</v>
      </c>
      <c r="B21" s="36" t="s">
        <v>1591</v>
      </c>
      <c r="C21" s="36" t="s">
        <v>1372</v>
      </c>
      <c r="D21" s="36"/>
      <c r="E21" s="36" t="s">
        <v>976</v>
      </c>
      <c r="F21" s="37" t="str">
        <f>IFERROR(VLOOKUP(A21,TblDisponibilidad[],23,FALSE),"No Manejado")</f>
        <v>No Manejado</v>
      </c>
    </row>
    <row r="22" spans="1:6" x14ac:dyDescent="0.3">
      <c r="A22" s="35" t="s">
        <v>234</v>
      </c>
      <c r="B22" s="36" t="s">
        <v>1612</v>
      </c>
      <c r="C22" s="36" t="s">
        <v>1613</v>
      </c>
      <c r="D22" s="36"/>
      <c r="E22" s="36" t="s">
        <v>929</v>
      </c>
      <c r="F22" s="37" t="str">
        <f>IFERROR(VLOOKUP(A22,TblDisponibilidad[],23,FALSE),"No Manejado")</f>
        <v>No Manejado</v>
      </c>
    </row>
    <row r="23" spans="1:6" x14ac:dyDescent="0.3">
      <c r="A23" s="35" t="s">
        <v>244</v>
      </c>
      <c r="B23" s="36" t="s">
        <v>1645</v>
      </c>
      <c r="C23" s="36" t="s">
        <v>1028</v>
      </c>
      <c r="D23" s="36"/>
      <c r="E23" s="36" t="s">
        <v>929</v>
      </c>
      <c r="F23" s="37" t="str">
        <f>IFERROR(VLOOKUP(A23,TblDisponibilidad[],23,FALSE),"No Manejado")</f>
        <v>No Manejado</v>
      </c>
    </row>
    <row r="24" spans="1:6" x14ac:dyDescent="0.3">
      <c r="A24" s="35" t="s">
        <v>430</v>
      </c>
      <c r="B24" s="36" t="s">
        <v>1681</v>
      </c>
      <c r="C24" s="36" t="s">
        <v>1319</v>
      </c>
      <c r="D24" s="36"/>
      <c r="E24" s="36" t="s">
        <v>929</v>
      </c>
      <c r="F24" s="37" t="str">
        <f>IFERROR(VLOOKUP(A24,TblDisponibilidad[],23,FALSE),"No Manejado")</f>
        <v>No Manejado</v>
      </c>
    </row>
    <row r="25" spans="1:6" x14ac:dyDescent="0.3">
      <c r="A25" s="35" t="s">
        <v>261</v>
      </c>
      <c r="B25" s="36" t="s">
        <v>1687</v>
      </c>
      <c r="C25" s="36" t="s">
        <v>1213</v>
      </c>
      <c r="D25" s="36"/>
      <c r="E25" s="36" t="s">
        <v>929</v>
      </c>
      <c r="F25" s="37" t="str">
        <f>IFERROR(VLOOKUP(A25,TblDisponibilidad[],23,FALSE),"No Manejado")</f>
        <v>No Manejado</v>
      </c>
    </row>
    <row r="26" spans="1:6" x14ac:dyDescent="0.3">
      <c r="A26" s="35" t="s">
        <v>376</v>
      </c>
      <c r="B26" s="36" t="s">
        <v>1803</v>
      </c>
      <c r="C26" s="36" t="s">
        <v>1213</v>
      </c>
      <c r="D26" s="36"/>
      <c r="E26" s="36" t="s">
        <v>929</v>
      </c>
      <c r="F26" s="37" t="str">
        <f>IFERROR(VLOOKUP(A26,TblDisponibilidad[],23,FALSE),"No Manejado")</f>
        <v>No Manejado</v>
      </c>
    </row>
    <row r="27" spans="1:6" x14ac:dyDescent="0.3">
      <c r="A27" s="35" t="s">
        <v>618</v>
      </c>
      <c r="B27" s="36" t="s">
        <v>1843</v>
      </c>
      <c r="C27" s="36" t="s">
        <v>1123</v>
      </c>
      <c r="D27" s="36"/>
      <c r="E27" s="36" t="s">
        <v>934</v>
      </c>
      <c r="F27" s="37" t="str">
        <f>IFERROR(VLOOKUP(A27,TblDisponibilidad[],23,FALSE),"No Manejado")</f>
        <v>No Manejado</v>
      </c>
    </row>
    <row r="28" spans="1:6" x14ac:dyDescent="0.3">
      <c r="A28" s="35" t="s">
        <v>1844</v>
      </c>
      <c r="B28" s="36" t="s">
        <v>1843</v>
      </c>
      <c r="C28" s="36" t="s">
        <v>1213</v>
      </c>
      <c r="D28" s="36"/>
      <c r="E28" s="36" t="s">
        <v>929</v>
      </c>
      <c r="F28" s="37" t="str">
        <f>IFERROR(VLOOKUP(A28,TblDisponibilidad[],23,FALSE),"No Manejado")</f>
        <v>No Manejado</v>
      </c>
    </row>
    <row r="29" spans="1:6" x14ac:dyDescent="0.3">
      <c r="A29" s="35" t="s">
        <v>297</v>
      </c>
      <c r="B29" s="36" t="s">
        <v>1843</v>
      </c>
      <c r="C29" s="36" t="s">
        <v>1372</v>
      </c>
      <c r="D29" s="36"/>
      <c r="E29" s="36" t="s">
        <v>1221</v>
      </c>
      <c r="F29" s="37" t="str">
        <f>IFERROR(VLOOKUP(A29,TblDisponibilidad[],23,FALSE),"No Manejado")</f>
        <v>No Manejado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9"/>
  <sheetViews>
    <sheetView workbookViewId="0">
      <selection activeCell="F8" sqref="F8"/>
    </sheetView>
  </sheetViews>
  <sheetFormatPr baseColWidth="10" defaultColWidth="11.44140625" defaultRowHeight="14.4" x14ac:dyDescent="0.3"/>
  <cols>
    <col min="1" max="1" width="11.109375" style="14" bestFit="1" customWidth="1"/>
    <col min="2" max="2" width="68.5546875" bestFit="1" customWidth="1"/>
    <col min="3" max="3" width="33.33203125" bestFit="1" customWidth="1"/>
    <col min="4" max="4" width="17.6640625" bestFit="1" customWidth="1"/>
    <col min="5" max="5" width="26.44140625" customWidth="1"/>
    <col min="6" max="6" width="15.44140625" bestFit="1" customWidth="1"/>
  </cols>
  <sheetData>
    <row r="1" spans="1:6" ht="38.4" customHeight="1" thickBot="1" x14ac:dyDescent="0.35">
      <c r="A1" s="67" t="s">
        <v>1861</v>
      </c>
      <c r="B1" s="68"/>
      <c r="C1" s="68"/>
      <c r="D1" s="69"/>
      <c r="E1" s="19" t="s">
        <v>1853</v>
      </c>
      <c r="F1" s="20" t="e">
        <f>((COUNTIF(F3:F3,"SOBRE STOCK"))+(COUNTIF(F3:F3,"NORMO STOCK")))/(COUNTIF(F3:F3,"&lt;&gt;solid")-(COUNTIF(F3:F3,"No Rota"))-(COUNTIF(F3:F3,"No Manejado")))</f>
        <v>#DIV/0!</v>
      </c>
    </row>
    <row r="2" spans="1:6" x14ac:dyDescent="0.3">
      <c r="A2" s="32" t="s">
        <v>28</v>
      </c>
      <c r="B2" s="33" t="s">
        <v>1854</v>
      </c>
      <c r="C2" s="33" t="s">
        <v>1855</v>
      </c>
      <c r="D2" s="33" t="s">
        <v>1856</v>
      </c>
      <c r="E2" s="33" t="s">
        <v>1857</v>
      </c>
      <c r="F2" s="34" t="s">
        <v>1858</v>
      </c>
    </row>
    <row r="3" spans="1:6" x14ac:dyDescent="0.3">
      <c r="A3" s="36" t="s">
        <v>301</v>
      </c>
      <c r="B3" s="36" t="s">
        <v>1267</v>
      </c>
      <c r="C3" s="38"/>
      <c r="D3" s="38"/>
      <c r="E3" s="38"/>
      <c r="F3" s="37" t="str">
        <f>IFERROR(VLOOKUP(A3,TblDisponibilidad[],23,FALSE),"No Manejado")</f>
        <v>No Manejado</v>
      </c>
    </row>
    <row r="4" spans="1:6" x14ac:dyDescent="0.3">
      <c r="A4" s="36" t="s">
        <v>911</v>
      </c>
      <c r="B4" s="36" t="s">
        <v>964</v>
      </c>
      <c r="C4" s="27"/>
      <c r="D4" s="27"/>
      <c r="E4" s="27"/>
      <c r="F4" s="37" t="str">
        <f>IFERROR(VLOOKUP(A4,TblDisponibilidad[],23,FALSE),"No Manejado")</f>
        <v>No Manejado</v>
      </c>
    </row>
    <row r="5" spans="1:6" x14ac:dyDescent="0.3">
      <c r="A5" s="36" t="s">
        <v>305</v>
      </c>
      <c r="B5" s="36" t="s">
        <v>968</v>
      </c>
      <c r="C5" s="27"/>
      <c r="D5" s="27"/>
      <c r="E5" s="27"/>
      <c r="F5" s="37" t="str">
        <f>IFERROR(VLOOKUP(A5,TblDisponibilidad[],23,FALSE),"No Manejado")</f>
        <v>No Manejado</v>
      </c>
    </row>
    <row r="6" spans="1:6" x14ac:dyDescent="0.3">
      <c r="A6" s="36" t="s">
        <v>306</v>
      </c>
      <c r="B6" s="36" t="s">
        <v>969</v>
      </c>
      <c r="C6" s="27"/>
      <c r="D6" s="27"/>
      <c r="E6" s="27"/>
      <c r="F6" s="37" t="str">
        <f>IFERROR(VLOOKUP(A6,TblDisponibilidad[],23,FALSE),"No Manejado")</f>
        <v>No Manejado</v>
      </c>
    </row>
    <row r="7" spans="1:6" x14ac:dyDescent="0.3">
      <c r="A7" s="36" t="s">
        <v>307</v>
      </c>
      <c r="B7" s="36" t="s">
        <v>970</v>
      </c>
      <c r="C7" s="27"/>
      <c r="D7" s="27"/>
      <c r="E7" s="27"/>
      <c r="F7" s="37" t="str">
        <f>IFERROR(VLOOKUP(A7,TblDisponibilidad[],23,FALSE),"No Manejado")</f>
        <v>No Manejado</v>
      </c>
    </row>
    <row r="8" spans="1:6" x14ac:dyDescent="0.3">
      <c r="A8" s="36" t="s">
        <v>537</v>
      </c>
      <c r="B8" s="36" t="s">
        <v>971</v>
      </c>
      <c r="C8" s="27"/>
      <c r="D8" s="27"/>
      <c r="E8" s="27"/>
      <c r="F8" s="37" t="str">
        <f>IFERROR(VLOOKUP(A8,TblDisponibilidad[],23,FALSE),"No Manejado")</f>
        <v>No Manejado</v>
      </c>
    </row>
    <row r="9" spans="1:6" x14ac:dyDescent="0.3">
      <c r="A9" s="36" t="s">
        <v>310</v>
      </c>
      <c r="B9" s="36" t="s">
        <v>991</v>
      </c>
      <c r="C9" s="27"/>
      <c r="D9" s="27"/>
      <c r="E9" s="27"/>
      <c r="F9" s="37" t="str">
        <f>IFERROR(VLOOKUP(A9,TblDisponibilidad[],23,FALSE),"No Manejado")</f>
        <v>No Manejado</v>
      </c>
    </row>
    <row r="10" spans="1:6" x14ac:dyDescent="0.3">
      <c r="A10" s="36" t="s">
        <v>713</v>
      </c>
      <c r="B10" s="36" t="s">
        <v>991</v>
      </c>
      <c r="C10" s="27"/>
      <c r="D10" s="27"/>
      <c r="E10" s="27"/>
      <c r="F10" s="37" t="str">
        <f>IFERROR(VLOOKUP(A10,TblDisponibilidad[],23,FALSE),"No Manejado")</f>
        <v>No Manejado</v>
      </c>
    </row>
    <row r="11" spans="1:6" x14ac:dyDescent="0.3">
      <c r="A11" s="36" t="s">
        <v>655</v>
      </c>
      <c r="B11" s="36" t="s">
        <v>991</v>
      </c>
      <c r="C11" s="27"/>
      <c r="D11" s="27"/>
      <c r="E11" s="27"/>
      <c r="F11" s="37" t="str">
        <f>IFERROR(VLOOKUP(A11,TblDisponibilidad[],23,FALSE),"No Manejado")</f>
        <v>No Manejado</v>
      </c>
    </row>
    <row r="12" spans="1:6" x14ac:dyDescent="0.3">
      <c r="A12" s="36" t="s">
        <v>847</v>
      </c>
      <c r="B12" s="36" t="s">
        <v>991</v>
      </c>
      <c r="C12" s="27"/>
      <c r="D12" s="27"/>
      <c r="E12" s="27"/>
      <c r="F12" s="37" t="str">
        <f>IFERROR(VLOOKUP(A12,TblDisponibilidad[],23,FALSE),"No Manejado")</f>
        <v>No Manejado</v>
      </c>
    </row>
    <row r="13" spans="1:6" x14ac:dyDescent="0.3">
      <c r="A13" s="36" t="s">
        <v>389</v>
      </c>
      <c r="B13" s="36" t="s">
        <v>1037</v>
      </c>
      <c r="C13" s="27"/>
      <c r="D13" s="27"/>
      <c r="E13" s="27"/>
      <c r="F13" s="37" t="str">
        <f>IFERROR(VLOOKUP(A13,TblDisponibilidad[],23,FALSE),"No Manejado")</f>
        <v>No Manejado</v>
      </c>
    </row>
    <row r="14" spans="1:6" x14ac:dyDescent="0.3">
      <c r="A14" s="36" t="s">
        <v>387</v>
      </c>
      <c r="B14" s="36" t="s">
        <v>1038</v>
      </c>
      <c r="C14" s="27"/>
      <c r="D14" s="27"/>
      <c r="E14" s="27"/>
      <c r="F14" s="37" t="str">
        <f>IFERROR(VLOOKUP(A14,TblDisponibilidad[],23,FALSE),"No Manejado")</f>
        <v>No Manejado</v>
      </c>
    </row>
    <row r="15" spans="1:6" x14ac:dyDescent="0.3">
      <c r="A15" s="36" t="s">
        <v>342</v>
      </c>
      <c r="B15" s="36" t="s">
        <v>1042</v>
      </c>
      <c r="C15" s="27"/>
      <c r="D15" s="27"/>
      <c r="E15" s="27"/>
      <c r="F15" s="37" t="str">
        <f>IFERROR(VLOOKUP(A15,TblDisponibilidad[],23,FALSE),"No Manejado")</f>
        <v>No Manejado</v>
      </c>
    </row>
    <row r="16" spans="1:6" x14ac:dyDescent="0.3">
      <c r="A16" s="36" t="s">
        <v>857</v>
      </c>
      <c r="B16" s="36" t="s">
        <v>1043</v>
      </c>
      <c r="C16" s="27"/>
      <c r="D16" s="27"/>
      <c r="E16" s="27"/>
      <c r="F16" s="37" t="str">
        <f>IFERROR(VLOOKUP(A16,TblDisponibilidad[],23,FALSE),"No Manejado")</f>
        <v>No Manejado</v>
      </c>
    </row>
    <row r="17" spans="1:6" x14ac:dyDescent="0.3">
      <c r="A17" s="36" t="s">
        <v>1044</v>
      </c>
      <c r="B17" s="36" t="s">
        <v>1045</v>
      </c>
      <c r="C17" s="27"/>
      <c r="D17" s="27"/>
      <c r="E17" s="27"/>
      <c r="F17" s="37" t="str">
        <f>IFERROR(VLOOKUP(A17,TblDisponibilidad[],23,FALSE),"No Manejado")</f>
        <v>No Manejado</v>
      </c>
    </row>
    <row r="18" spans="1:6" x14ac:dyDescent="0.3">
      <c r="A18" s="36" t="s">
        <v>1046</v>
      </c>
      <c r="B18" s="36" t="s">
        <v>1047</v>
      </c>
      <c r="C18" s="27"/>
      <c r="D18" s="27"/>
      <c r="E18" s="27"/>
      <c r="F18" s="37" t="str">
        <f>IFERROR(VLOOKUP(A18,TblDisponibilidad[],23,FALSE),"No Manejado")</f>
        <v>No Manejado</v>
      </c>
    </row>
    <row r="19" spans="1:6" x14ac:dyDescent="0.3">
      <c r="A19" s="36" t="s">
        <v>427</v>
      </c>
      <c r="B19" s="36" t="s">
        <v>1048</v>
      </c>
      <c r="C19" s="27"/>
      <c r="D19" s="27"/>
      <c r="E19" s="27"/>
      <c r="F19" s="37" t="str">
        <f>IFERROR(VLOOKUP(A19,TblDisponibilidad[],23,FALSE),"No Manejado")</f>
        <v>No Manejado</v>
      </c>
    </row>
    <row r="20" spans="1:6" x14ac:dyDescent="0.3">
      <c r="A20" s="36" t="s">
        <v>312</v>
      </c>
      <c r="B20" s="36" t="s">
        <v>1049</v>
      </c>
      <c r="C20" s="27"/>
      <c r="D20" s="27"/>
      <c r="E20" s="27"/>
      <c r="F20" s="37" t="str">
        <f>IFERROR(VLOOKUP(A20,TblDisponibilidad[],23,FALSE),"No Manejado")</f>
        <v>No Manejado</v>
      </c>
    </row>
    <row r="21" spans="1:6" x14ac:dyDescent="0.3">
      <c r="A21" s="36" t="s">
        <v>313</v>
      </c>
      <c r="B21" s="36" t="s">
        <v>1098</v>
      </c>
      <c r="C21" s="27"/>
      <c r="D21" s="27"/>
      <c r="E21" s="27"/>
      <c r="F21" s="37" t="str">
        <f>IFERROR(VLOOKUP(A21,TblDisponibilidad[],23,FALSE),"No Manejado")</f>
        <v>No Manejado</v>
      </c>
    </row>
    <row r="22" spans="1:6" x14ac:dyDescent="0.3">
      <c r="A22" s="36" t="s">
        <v>314</v>
      </c>
      <c r="B22" s="36" t="s">
        <v>1099</v>
      </c>
      <c r="C22" s="27"/>
      <c r="D22" s="27"/>
      <c r="E22" s="27"/>
      <c r="F22" s="37" t="str">
        <f>IFERROR(VLOOKUP(A22,TblDisponibilidad[],23,FALSE),"No Manejado")</f>
        <v>No Manejado</v>
      </c>
    </row>
    <row r="23" spans="1:6" x14ac:dyDescent="0.3">
      <c r="A23" s="36" t="s">
        <v>431</v>
      </c>
      <c r="B23" s="36" t="s">
        <v>1100</v>
      </c>
      <c r="C23" s="27"/>
      <c r="D23" s="27"/>
      <c r="E23" s="27"/>
      <c r="F23" s="37" t="str">
        <f>IFERROR(VLOOKUP(A23,TblDisponibilidad[],23,FALSE),"No Manejado")</f>
        <v>No Manejado</v>
      </c>
    </row>
    <row r="24" spans="1:6" x14ac:dyDescent="0.3">
      <c r="A24" s="36" t="s">
        <v>315</v>
      </c>
      <c r="B24" s="36" t="s">
        <v>1101</v>
      </c>
      <c r="C24" s="27"/>
      <c r="D24" s="27"/>
      <c r="E24" s="27"/>
      <c r="F24" s="37" t="str">
        <f>IFERROR(VLOOKUP(A24,TblDisponibilidad[],23,FALSE),"No Manejado")</f>
        <v>No Manejado</v>
      </c>
    </row>
    <row r="25" spans="1:6" x14ac:dyDescent="0.3">
      <c r="A25" s="36" t="s">
        <v>489</v>
      </c>
      <c r="B25" s="36" t="s">
        <v>1107</v>
      </c>
      <c r="C25" s="27"/>
      <c r="D25" s="27"/>
      <c r="E25" s="27"/>
      <c r="F25" s="37" t="str">
        <f>IFERROR(VLOOKUP(A25,TblDisponibilidad[],23,FALSE),"No Manejado")</f>
        <v>No Manejado</v>
      </c>
    </row>
    <row r="26" spans="1:6" x14ac:dyDescent="0.3">
      <c r="A26" s="36" t="s">
        <v>343</v>
      </c>
      <c r="B26" s="36" t="s">
        <v>1111</v>
      </c>
      <c r="C26" s="27"/>
      <c r="D26" s="27"/>
      <c r="E26" s="27"/>
      <c r="F26" s="37" t="str">
        <f>IFERROR(VLOOKUP(A26,TblDisponibilidad[],23,FALSE),"No Manejado")</f>
        <v>No Manejado</v>
      </c>
    </row>
    <row r="27" spans="1:6" x14ac:dyDescent="0.3">
      <c r="A27" s="36" t="s">
        <v>1114</v>
      </c>
      <c r="B27" s="36" t="s">
        <v>1115</v>
      </c>
      <c r="C27" s="27"/>
      <c r="D27" s="27"/>
      <c r="E27" s="27"/>
      <c r="F27" s="37" t="str">
        <f>IFERROR(VLOOKUP(A27,TblDisponibilidad[],23,FALSE),"No Manejado")</f>
        <v>No Manejado</v>
      </c>
    </row>
    <row r="28" spans="1:6" x14ac:dyDescent="0.3">
      <c r="A28" s="36" t="s">
        <v>879</v>
      </c>
      <c r="B28" s="36" t="s">
        <v>1141</v>
      </c>
      <c r="C28" s="27"/>
      <c r="D28" s="27"/>
      <c r="E28" s="27"/>
      <c r="F28" s="37" t="str">
        <f>IFERROR(VLOOKUP(A28,TblDisponibilidad[],23,FALSE),"No Manejado")</f>
        <v>No Manejado</v>
      </c>
    </row>
    <row r="29" spans="1:6" x14ac:dyDescent="0.3">
      <c r="A29" s="36" t="s">
        <v>344</v>
      </c>
      <c r="B29" s="36" t="s">
        <v>1142</v>
      </c>
      <c r="C29" s="27"/>
      <c r="D29" s="27"/>
      <c r="E29" s="27"/>
      <c r="F29" s="37" t="str">
        <f>IFERROR(VLOOKUP(A29,TblDisponibilidad[],23,FALSE),"No Manejado")</f>
        <v>No Manejado</v>
      </c>
    </row>
    <row r="30" spans="1:6" x14ac:dyDescent="0.3">
      <c r="A30" s="36" t="s">
        <v>345</v>
      </c>
      <c r="B30" s="36" t="s">
        <v>1143</v>
      </c>
      <c r="C30" s="27"/>
      <c r="D30" s="27"/>
      <c r="E30" s="27"/>
      <c r="F30" s="37" t="str">
        <f>IFERROR(VLOOKUP(A30,TblDisponibilidad[],23,FALSE),"No Manejado")</f>
        <v>No Manejado</v>
      </c>
    </row>
    <row r="31" spans="1:6" x14ac:dyDescent="0.3">
      <c r="A31" s="36" t="s">
        <v>319</v>
      </c>
      <c r="B31" s="36" t="s">
        <v>1144</v>
      </c>
      <c r="C31" s="27"/>
      <c r="D31" s="27"/>
      <c r="E31" s="27"/>
      <c r="F31" s="37" t="str">
        <f>IFERROR(VLOOKUP(A31,TblDisponibilidad[],23,FALSE),"No Manejado")</f>
        <v>No Manejado</v>
      </c>
    </row>
    <row r="32" spans="1:6" x14ac:dyDescent="0.3">
      <c r="A32" s="36" t="s">
        <v>591</v>
      </c>
      <c r="B32" s="36" t="s">
        <v>1145</v>
      </c>
      <c r="C32" s="27"/>
      <c r="D32" s="27"/>
      <c r="E32" s="27"/>
      <c r="F32" s="37" t="str">
        <f>IFERROR(VLOOKUP(A32,TblDisponibilidad[],23,FALSE),"No Manejado")</f>
        <v>No Manejado</v>
      </c>
    </row>
    <row r="33" spans="1:6" x14ac:dyDescent="0.3">
      <c r="A33" s="36" t="s">
        <v>590</v>
      </c>
      <c r="B33" s="36" t="s">
        <v>1146</v>
      </c>
      <c r="C33" s="27"/>
      <c r="D33" s="27"/>
      <c r="E33" s="27"/>
      <c r="F33" s="37" t="str">
        <f>IFERROR(VLOOKUP(A33,TblDisponibilidad[],23,FALSE),"No Manejado")</f>
        <v>No Manejado</v>
      </c>
    </row>
    <row r="34" spans="1:6" x14ac:dyDescent="0.3">
      <c r="A34" s="36" t="s">
        <v>425</v>
      </c>
      <c r="B34" s="36" t="s">
        <v>1147</v>
      </c>
      <c r="C34" s="27"/>
      <c r="D34" s="27"/>
      <c r="E34" s="27"/>
      <c r="F34" s="37" t="str">
        <f>IFERROR(VLOOKUP(A34,TblDisponibilidad[],23,FALSE),"No Manejado")</f>
        <v>No Manejado</v>
      </c>
    </row>
    <row r="35" spans="1:6" x14ac:dyDescent="0.3">
      <c r="A35" s="36" t="s">
        <v>600</v>
      </c>
      <c r="B35" s="36" t="s">
        <v>1148</v>
      </c>
      <c r="C35" s="27"/>
      <c r="D35" s="27"/>
      <c r="E35" s="27"/>
      <c r="F35" s="37" t="str">
        <f>IFERROR(VLOOKUP(A35,TblDisponibilidad[],23,FALSE),"No Manejado")</f>
        <v>No Manejado</v>
      </c>
    </row>
    <row r="36" spans="1:6" x14ac:dyDescent="0.3">
      <c r="A36" s="36" t="s">
        <v>625</v>
      </c>
      <c r="B36" s="36" t="s">
        <v>1149</v>
      </c>
      <c r="C36" s="27"/>
      <c r="D36" s="27"/>
      <c r="E36" s="27"/>
      <c r="F36" s="37" t="str">
        <f>IFERROR(VLOOKUP(A36,TblDisponibilidad[],23,FALSE),"No Manejado")</f>
        <v>No Manejado</v>
      </c>
    </row>
    <row r="37" spans="1:6" x14ac:dyDescent="0.3">
      <c r="A37" s="36" t="s">
        <v>406</v>
      </c>
      <c r="B37" s="36" t="s">
        <v>1171</v>
      </c>
      <c r="C37" s="27"/>
      <c r="D37" s="27"/>
      <c r="E37" s="27"/>
      <c r="F37" s="37" t="str">
        <f>IFERROR(VLOOKUP(A37,TblDisponibilidad[],23,FALSE),"No Manejado")</f>
        <v>No Manejado</v>
      </c>
    </row>
    <row r="38" spans="1:6" x14ac:dyDescent="0.3">
      <c r="A38" s="36" t="s">
        <v>560</v>
      </c>
      <c r="B38" s="36" t="s">
        <v>1172</v>
      </c>
      <c r="C38" s="27"/>
      <c r="D38" s="27"/>
      <c r="E38" s="27"/>
      <c r="F38" s="37" t="str">
        <f>IFERROR(VLOOKUP(A38,TblDisponibilidad[],23,FALSE),"No Manejado")</f>
        <v>No Manejado</v>
      </c>
    </row>
    <row r="39" spans="1:6" x14ac:dyDescent="0.3">
      <c r="A39" s="36" t="s">
        <v>467</v>
      </c>
      <c r="B39" s="36" t="s">
        <v>1173</v>
      </c>
      <c r="C39" s="27"/>
      <c r="D39" s="27"/>
      <c r="E39" s="27"/>
      <c r="F39" s="37" t="str">
        <f>IFERROR(VLOOKUP(A39,TblDisponibilidad[],23,FALSE),"No Manejado")</f>
        <v>No Manejado</v>
      </c>
    </row>
    <row r="40" spans="1:6" x14ac:dyDescent="0.3">
      <c r="A40" s="36" t="s">
        <v>411</v>
      </c>
      <c r="B40" s="36" t="s">
        <v>1174</v>
      </c>
      <c r="C40" s="27"/>
      <c r="D40" s="27"/>
      <c r="E40" s="27"/>
      <c r="F40" s="37" t="str">
        <f>IFERROR(VLOOKUP(A40,TblDisponibilidad[],23,FALSE),"No Manejado")</f>
        <v>No Manejado</v>
      </c>
    </row>
    <row r="41" spans="1:6" x14ac:dyDescent="0.3">
      <c r="A41" s="36"/>
      <c r="B41" s="36"/>
      <c r="C41" s="27"/>
      <c r="D41" s="27"/>
      <c r="E41" s="27"/>
      <c r="F41" s="28"/>
    </row>
    <row r="42" spans="1:6" x14ac:dyDescent="0.3">
      <c r="A42" s="36"/>
      <c r="B42" s="36"/>
      <c r="C42" s="27"/>
      <c r="D42" s="27"/>
      <c r="E42" s="27"/>
      <c r="F42" s="28"/>
    </row>
    <row r="43" spans="1:6" x14ac:dyDescent="0.3">
      <c r="A43" s="36"/>
      <c r="B43" s="36"/>
      <c r="C43" s="27"/>
      <c r="D43" s="27"/>
      <c r="E43" s="27"/>
      <c r="F43" s="28"/>
    </row>
    <row r="44" spans="1:6" x14ac:dyDescent="0.3">
      <c r="A44" s="36"/>
      <c r="B44" s="36"/>
      <c r="C44" s="27"/>
      <c r="D44" s="27"/>
      <c r="E44" s="27"/>
      <c r="F44" s="28"/>
    </row>
    <row r="45" spans="1:6" x14ac:dyDescent="0.3">
      <c r="A45" s="36"/>
      <c r="B45" s="36"/>
      <c r="C45" s="27"/>
      <c r="D45" s="27"/>
      <c r="E45" s="27"/>
      <c r="F45" s="28"/>
    </row>
    <row r="46" spans="1:6" x14ac:dyDescent="0.3">
      <c r="A46" s="36"/>
      <c r="B46" s="36"/>
      <c r="C46" s="27"/>
      <c r="D46" s="27"/>
      <c r="E46" s="27"/>
      <c r="F46" s="28"/>
    </row>
    <row r="47" spans="1:6" x14ac:dyDescent="0.3">
      <c r="A47" s="36"/>
      <c r="B47" s="36"/>
      <c r="C47" s="27"/>
      <c r="D47" s="27"/>
      <c r="E47" s="27"/>
      <c r="F47" s="28"/>
    </row>
    <row r="48" spans="1:6" x14ac:dyDescent="0.3">
      <c r="A48" s="36"/>
      <c r="B48" s="36"/>
      <c r="C48" s="27"/>
      <c r="D48" s="27"/>
      <c r="E48" s="27"/>
      <c r="F48" s="28"/>
    </row>
    <row r="49" spans="1:6" x14ac:dyDescent="0.3">
      <c r="A49" s="36"/>
      <c r="B49" s="36"/>
      <c r="C49" s="27"/>
      <c r="D49" s="27"/>
      <c r="E49" s="27"/>
      <c r="F49" s="28"/>
    </row>
    <row r="50" spans="1:6" x14ac:dyDescent="0.3">
      <c r="A50" s="36"/>
      <c r="B50" s="36"/>
      <c r="C50" s="27"/>
      <c r="D50" s="27"/>
      <c r="E50" s="27"/>
      <c r="F50" s="28"/>
    </row>
    <row r="51" spans="1:6" x14ac:dyDescent="0.3">
      <c r="A51" s="36"/>
      <c r="B51" s="36"/>
      <c r="C51" s="27"/>
      <c r="D51" s="27"/>
      <c r="E51" s="27"/>
      <c r="F51" s="28"/>
    </row>
    <row r="52" spans="1:6" x14ac:dyDescent="0.3">
      <c r="A52" s="36"/>
      <c r="B52" s="36"/>
      <c r="C52" s="27"/>
      <c r="D52" s="27"/>
      <c r="E52" s="27"/>
      <c r="F52" s="28"/>
    </row>
    <row r="53" spans="1:6" x14ac:dyDescent="0.3">
      <c r="A53" s="36"/>
      <c r="B53" s="36"/>
      <c r="C53" s="27"/>
      <c r="D53" s="27"/>
      <c r="E53" s="27"/>
      <c r="F53" s="28"/>
    </row>
    <row r="54" spans="1:6" x14ac:dyDescent="0.3">
      <c r="A54" s="36"/>
      <c r="B54" s="36"/>
      <c r="C54" s="27"/>
      <c r="D54" s="27"/>
      <c r="E54" s="27"/>
      <c r="F54" s="28"/>
    </row>
    <row r="55" spans="1:6" x14ac:dyDescent="0.3">
      <c r="A55" s="36"/>
      <c r="B55" s="36"/>
      <c r="C55" s="27"/>
      <c r="D55" s="27"/>
      <c r="E55" s="27"/>
      <c r="F55" s="28"/>
    </row>
    <row r="56" spans="1:6" x14ac:dyDescent="0.3">
      <c r="A56" s="36"/>
      <c r="B56" s="36"/>
      <c r="C56" s="27"/>
      <c r="D56" s="27"/>
      <c r="E56" s="27"/>
      <c r="F56" s="28"/>
    </row>
    <row r="57" spans="1:6" x14ac:dyDescent="0.3">
      <c r="A57" s="36"/>
      <c r="B57" s="36"/>
      <c r="C57" s="27"/>
      <c r="D57" s="27"/>
      <c r="E57" s="27"/>
      <c r="F57" s="28"/>
    </row>
    <row r="58" spans="1:6" x14ac:dyDescent="0.3">
      <c r="A58" s="36"/>
      <c r="B58" s="36"/>
      <c r="C58" s="27"/>
      <c r="D58" s="27"/>
      <c r="E58" s="27"/>
      <c r="F58" s="28"/>
    </row>
    <row r="59" spans="1:6" x14ac:dyDescent="0.3">
      <c r="A59" s="36"/>
      <c r="B59" s="36"/>
      <c r="C59" s="27"/>
      <c r="D59" s="27"/>
      <c r="E59" s="27"/>
      <c r="F59" s="28"/>
    </row>
    <row r="60" spans="1:6" x14ac:dyDescent="0.3">
      <c r="A60" s="36"/>
      <c r="B60" s="36"/>
      <c r="C60" s="27"/>
      <c r="D60" s="27"/>
      <c r="E60" s="27"/>
      <c r="F60" s="28"/>
    </row>
    <row r="61" spans="1:6" x14ac:dyDescent="0.3">
      <c r="A61" s="36"/>
      <c r="B61" s="36"/>
      <c r="C61" s="27"/>
      <c r="D61" s="27"/>
      <c r="E61" s="27"/>
      <c r="F61" s="28"/>
    </row>
    <row r="62" spans="1:6" x14ac:dyDescent="0.3">
      <c r="A62" s="36"/>
      <c r="B62" s="36"/>
      <c r="C62" s="27"/>
      <c r="D62" s="27"/>
      <c r="E62" s="27"/>
      <c r="F62" s="28"/>
    </row>
    <row r="63" spans="1:6" x14ac:dyDescent="0.3">
      <c r="A63" s="36"/>
      <c r="B63" s="36"/>
      <c r="C63" s="27"/>
      <c r="D63" s="27"/>
      <c r="E63" s="27"/>
      <c r="F63" s="28"/>
    </row>
    <row r="64" spans="1:6" x14ac:dyDescent="0.3">
      <c r="A64" s="36"/>
      <c r="B64" s="36"/>
      <c r="C64" s="27"/>
      <c r="D64" s="27"/>
      <c r="E64" s="27"/>
      <c r="F64" s="28"/>
    </row>
    <row r="65" spans="1:6" x14ac:dyDescent="0.3">
      <c r="A65" s="36"/>
      <c r="B65" s="36"/>
      <c r="C65" s="27"/>
      <c r="D65" s="27"/>
      <c r="E65" s="27"/>
      <c r="F65" s="28"/>
    </row>
    <row r="66" spans="1:6" x14ac:dyDescent="0.3">
      <c r="A66" s="36"/>
      <c r="B66" s="36"/>
      <c r="C66" s="27"/>
      <c r="D66" s="27"/>
      <c r="E66" s="27"/>
      <c r="F66" s="28"/>
    </row>
    <row r="67" spans="1:6" x14ac:dyDescent="0.3">
      <c r="A67" s="36"/>
      <c r="B67" s="36"/>
      <c r="C67" s="27"/>
      <c r="D67" s="27"/>
      <c r="E67" s="27"/>
      <c r="F67" s="28"/>
    </row>
    <row r="68" spans="1:6" x14ac:dyDescent="0.3">
      <c r="A68" s="36"/>
      <c r="B68" s="36"/>
      <c r="C68" s="27"/>
      <c r="D68" s="27"/>
      <c r="E68" s="27"/>
      <c r="F68" s="28"/>
    </row>
    <row r="69" spans="1:6" x14ac:dyDescent="0.3">
      <c r="A69" s="36"/>
      <c r="B69" s="36"/>
      <c r="C69" s="27"/>
      <c r="D69" s="27"/>
      <c r="E69" s="27"/>
      <c r="F69" s="28"/>
    </row>
    <row r="70" spans="1:6" x14ac:dyDescent="0.3">
      <c r="A70" s="36"/>
      <c r="B70" s="36"/>
      <c r="C70" s="27"/>
      <c r="D70" s="27"/>
      <c r="E70" s="27"/>
      <c r="F70" s="28"/>
    </row>
    <row r="71" spans="1:6" x14ac:dyDescent="0.3">
      <c r="A71" s="36"/>
      <c r="B71" s="36"/>
      <c r="C71" s="27"/>
      <c r="D71" s="27"/>
      <c r="E71" s="27"/>
      <c r="F71" s="28"/>
    </row>
    <row r="72" spans="1:6" x14ac:dyDescent="0.3">
      <c r="A72" s="36"/>
      <c r="B72" s="36"/>
      <c r="C72" s="27"/>
      <c r="D72" s="27"/>
      <c r="E72" s="27"/>
      <c r="F72" s="28"/>
    </row>
    <row r="73" spans="1:6" x14ac:dyDescent="0.3">
      <c r="A73" s="36"/>
      <c r="B73" s="36"/>
      <c r="C73" s="27"/>
      <c r="D73" s="27"/>
      <c r="E73" s="27"/>
      <c r="F73" s="28"/>
    </row>
    <row r="74" spans="1:6" x14ac:dyDescent="0.3">
      <c r="A74" s="36"/>
      <c r="B74" s="36"/>
      <c r="C74" s="27"/>
      <c r="D74" s="27"/>
      <c r="E74" s="27"/>
      <c r="F74" s="28"/>
    </row>
    <row r="75" spans="1:6" x14ac:dyDescent="0.3">
      <c r="A75" s="36"/>
      <c r="B75" s="36"/>
      <c r="C75" s="27"/>
      <c r="D75" s="27"/>
      <c r="E75" s="27"/>
      <c r="F75" s="28"/>
    </row>
    <row r="76" spans="1:6" x14ac:dyDescent="0.3">
      <c r="A76" s="36"/>
      <c r="B76" s="36"/>
      <c r="C76" s="27"/>
      <c r="D76" s="27"/>
      <c r="E76" s="27"/>
      <c r="F76" s="28"/>
    </row>
    <row r="77" spans="1:6" x14ac:dyDescent="0.3">
      <c r="A77" s="36"/>
      <c r="B77" s="36"/>
      <c r="C77" s="27"/>
      <c r="D77" s="27"/>
      <c r="E77" s="27"/>
      <c r="F77" s="28"/>
    </row>
    <row r="78" spans="1:6" x14ac:dyDescent="0.3">
      <c r="A78" s="36"/>
      <c r="B78" s="36"/>
      <c r="C78" s="27"/>
      <c r="D78" s="27"/>
      <c r="E78" s="27"/>
      <c r="F78" s="28"/>
    </row>
    <row r="79" spans="1:6" x14ac:dyDescent="0.3">
      <c r="A79" s="36"/>
      <c r="B79" s="36"/>
      <c r="C79" s="27"/>
      <c r="D79" s="27"/>
      <c r="E79" s="27"/>
      <c r="F79" s="28"/>
    </row>
    <row r="80" spans="1:6" x14ac:dyDescent="0.3">
      <c r="A80" s="36"/>
      <c r="B80" s="36"/>
      <c r="C80" s="27"/>
      <c r="D80" s="27"/>
      <c r="E80" s="27"/>
      <c r="F80" s="28"/>
    </row>
    <row r="81" spans="1:6" x14ac:dyDescent="0.3">
      <c r="A81" s="36"/>
      <c r="B81" s="36"/>
      <c r="C81" s="27"/>
      <c r="D81" s="27"/>
      <c r="E81" s="27"/>
      <c r="F81" s="28"/>
    </row>
    <row r="82" spans="1:6" x14ac:dyDescent="0.3">
      <c r="A82" s="36"/>
      <c r="B82" s="36"/>
      <c r="C82" s="27"/>
      <c r="D82" s="27"/>
      <c r="E82" s="27"/>
      <c r="F82" s="28"/>
    </row>
    <row r="83" spans="1:6" x14ac:dyDescent="0.3">
      <c r="A83" s="36"/>
      <c r="B83" s="36"/>
      <c r="C83" s="27"/>
      <c r="D83" s="27"/>
      <c r="E83" s="27"/>
      <c r="F83" s="28"/>
    </row>
    <row r="84" spans="1:6" x14ac:dyDescent="0.3">
      <c r="A84" s="36"/>
      <c r="B84" s="36"/>
      <c r="C84" s="27"/>
      <c r="D84" s="27"/>
      <c r="E84" s="27"/>
      <c r="F84" s="28"/>
    </row>
    <row r="85" spans="1:6" x14ac:dyDescent="0.3">
      <c r="A85" s="36"/>
      <c r="B85" s="36"/>
      <c r="C85" s="27"/>
      <c r="D85" s="27"/>
      <c r="E85" s="27"/>
      <c r="F85" s="28"/>
    </row>
    <row r="86" spans="1:6" x14ac:dyDescent="0.3">
      <c r="A86" s="36"/>
      <c r="B86" s="36"/>
      <c r="C86" s="27"/>
      <c r="D86" s="27"/>
      <c r="E86" s="27"/>
      <c r="F86" s="28"/>
    </row>
    <row r="87" spans="1:6" x14ac:dyDescent="0.3">
      <c r="A87" s="36"/>
      <c r="B87" s="36"/>
      <c r="C87" s="27"/>
      <c r="D87" s="27"/>
      <c r="E87" s="27"/>
      <c r="F87" s="28"/>
    </row>
    <row r="88" spans="1:6" x14ac:dyDescent="0.3">
      <c r="A88" s="36"/>
      <c r="B88" s="36"/>
      <c r="C88" s="27"/>
      <c r="D88" s="27"/>
      <c r="E88" s="27"/>
      <c r="F88" s="28"/>
    </row>
    <row r="89" spans="1:6" x14ac:dyDescent="0.3">
      <c r="A89" s="36"/>
      <c r="B89" s="36"/>
      <c r="C89" s="27"/>
      <c r="D89" s="27"/>
      <c r="E89" s="27"/>
      <c r="F89" s="28"/>
    </row>
    <row r="90" spans="1:6" x14ac:dyDescent="0.3">
      <c r="A90" s="36"/>
      <c r="B90" s="36"/>
      <c r="C90" s="27"/>
      <c r="D90" s="27"/>
      <c r="E90" s="27"/>
      <c r="F90" s="28"/>
    </row>
    <row r="91" spans="1:6" x14ac:dyDescent="0.3">
      <c r="A91" s="36"/>
      <c r="B91" s="36"/>
      <c r="C91" s="27"/>
      <c r="D91" s="27"/>
      <c r="E91" s="27"/>
      <c r="F91" s="28"/>
    </row>
    <row r="92" spans="1:6" x14ac:dyDescent="0.3">
      <c r="A92" s="36"/>
      <c r="B92" s="36"/>
      <c r="C92" s="27"/>
      <c r="D92" s="27"/>
      <c r="E92" s="27"/>
      <c r="F92" s="28"/>
    </row>
    <row r="93" spans="1:6" x14ac:dyDescent="0.3">
      <c r="A93" s="36"/>
      <c r="B93" s="36"/>
      <c r="C93" s="27"/>
      <c r="D93" s="27"/>
      <c r="E93" s="27"/>
      <c r="F93" s="28"/>
    </row>
    <row r="94" spans="1:6" x14ac:dyDescent="0.3">
      <c r="A94" s="36"/>
      <c r="B94" s="36"/>
      <c r="C94" s="27"/>
      <c r="D94" s="27"/>
      <c r="E94" s="27"/>
      <c r="F94" s="28"/>
    </row>
    <row r="95" spans="1:6" x14ac:dyDescent="0.3">
      <c r="A95" s="36"/>
      <c r="B95" s="36"/>
      <c r="C95" s="27"/>
      <c r="D95" s="27"/>
      <c r="E95" s="27"/>
      <c r="F95" s="28"/>
    </row>
    <row r="96" spans="1:6" x14ac:dyDescent="0.3">
      <c r="A96" s="36"/>
      <c r="B96" s="36"/>
      <c r="C96" s="27"/>
      <c r="D96" s="27"/>
      <c r="E96" s="27"/>
      <c r="F96" s="28"/>
    </row>
    <row r="97" spans="1:6" x14ac:dyDescent="0.3">
      <c r="A97" s="36"/>
      <c r="B97" s="36"/>
      <c r="C97" s="27"/>
      <c r="D97" s="27"/>
      <c r="E97" s="27"/>
      <c r="F97" s="28"/>
    </row>
    <row r="98" spans="1:6" x14ac:dyDescent="0.3">
      <c r="A98" s="36"/>
      <c r="B98" s="36"/>
      <c r="C98" s="27"/>
      <c r="D98" s="27"/>
      <c r="E98" s="27"/>
      <c r="F98" s="28"/>
    </row>
    <row r="99" spans="1:6" x14ac:dyDescent="0.3">
      <c r="A99" s="36"/>
      <c r="B99" s="36"/>
      <c r="C99" s="27"/>
      <c r="D99" s="27"/>
      <c r="E99" s="27"/>
      <c r="F99" s="28"/>
    </row>
    <row r="100" spans="1:6" x14ac:dyDescent="0.3">
      <c r="A100" s="36"/>
      <c r="B100" s="36"/>
      <c r="C100" s="27"/>
      <c r="D100" s="27"/>
      <c r="E100" s="27"/>
      <c r="F100" s="28"/>
    </row>
    <row r="101" spans="1:6" x14ac:dyDescent="0.3">
      <c r="A101" s="36"/>
      <c r="B101" s="36"/>
      <c r="C101" s="27"/>
      <c r="D101" s="27"/>
      <c r="E101" s="27"/>
      <c r="F101" s="28"/>
    </row>
    <row r="102" spans="1:6" x14ac:dyDescent="0.3">
      <c r="A102" s="36"/>
      <c r="B102" s="36"/>
      <c r="C102" s="27"/>
      <c r="D102" s="27"/>
      <c r="E102" s="27"/>
      <c r="F102" s="28"/>
    </row>
    <row r="103" spans="1:6" x14ac:dyDescent="0.3">
      <c r="A103" s="36"/>
      <c r="B103" s="36"/>
      <c r="C103" s="27"/>
      <c r="D103" s="27"/>
      <c r="E103" s="27"/>
      <c r="F103" s="28"/>
    </row>
    <row r="104" spans="1:6" x14ac:dyDescent="0.3">
      <c r="A104" s="36"/>
      <c r="B104" s="36"/>
      <c r="C104" s="27"/>
      <c r="D104" s="27"/>
      <c r="E104" s="27"/>
      <c r="F104" s="28"/>
    </row>
    <row r="105" spans="1:6" x14ac:dyDescent="0.3">
      <c r="A105" s="36"/>
      <c r="B105" s="36"/>
      <c r="C105" s="27"/>
      <c r="D105" s="27"/>
      <c r="E105" s="27"/>
      <c r="F105" s="28"/>
    </row>
    <row r="106" spans="1:6" x14ac:dyDescent="0.3">
      <c r="A106" s="36"/>
      <c r="B106" s="36"/>
      <c r="C106" s="27"/>
      <c r="D106" s="27"/>
      <c r="E106" s="27"/>
      <c r="F106" s="28"/>
    </row>
    <row r="107" spans="1:6" x14ac:dyDescent="0.3">
      <c r="A107" s="36"/>
      <c r="B107" s="36"/>
      <c r="C107" s="27"/>
      <c r="D107" s="27"/>
      <c r="E107" s="27"/>
      <c r="F107" s="28"/>
    </row>
    <row r="108" spans="1:6" x14ac:dyDescent="0.3">
      <c r="A108" s="36"/>
      <c r="B108" s="36"/>
      <c r="C108" s="27"/>
      <c r="D108" s="27"/>
      <c r="E108" s="27"/>
      <c r="F108" s="28"/>
    </row>
    <row r="109" spans="1:6" x14ac:dyDescent="0.3">
      <c r="A109" s="36"/>
      <c r="B109" s="36"/>
      <c r="C109" s="27"/>
      <c r="D109" s="27"/>
      <c r="E109" s="27"/>
      <c r="F109" s="28"/>
    </row>
    <row r="110" spans="1:6" x14ac:dyDescent="0.3">
      <c r="A110" s="36"/>
      <c r="B110" s="36"/>
      <c r="C110" s="27"/>
      <c r="D110" s="27"/>
      <c r="E110" s="27"/>
      <c r="F110" s="28"/>
    </row>
    <row r="111" spans="1:6" x14ac:dyDescent="0.3">
      <c r="A111" s="36"/>
      <c r="B111" s="36"/>
      <c r="C111" s="27"/>
      <c r="D111" s="27"/>
      <c r="E111" s="27"/>
      <c r="F111" s="28"/>
    </row>
    <row r="112" spans="1:6" x14ac:dyDescent="0.3">
      <c r="A112" s="36"/>
      <c r="B112" s="36"/>
      <c r="C112" s="27"/>
      <c r="D112" s="27"/>
      <c r="E112" s="27"/>
      <c r="F112" s="28"/>
    </row>
    <row r="113" spans="1:6" x14ac:dyDescent="0.3">
      <c r="A113" s="36"/>
      <c r="B113" s="36"/>
      <c r="C113" s="27"/>
      <c r="D113" s="27"/>
      <c r="E113" s="27"/>
      <c r="F113" s="28"/>
    </row>
    <row r="114" spans="1:6" x14ac:dyDescent="0.3">
      <c r="A114" s="36"/>
      <c r="B114" s="36"/>
      <c r="C114" s="27"/>
      <c r="D114" s="27"/>
      <c r="E114" s="27"/>
      <c r="F114" s="28"/>
    </row>
    <row r="115" spans="1:6" x14ac:dyDescent="0.3">
      <c r="A115" s="36"/>
      <c r="B115" s="36"/>
      <c r="C115" s="27"/>
      <c r="D115" s="27"/>
      <c r="E115" s="27"/>
      <c r="F115" s="28"/>
    </row>
    <row r="116" spans="1:6" x14ac:dyDescent="0.3">
      <c r="A116" s="36"/>
      <c r="B116" s="36"/>
      <c r="C116" s="27"/>
      <c r="D116" s="27"/>
      <c r="E116" s="27"/>
      <c r="F116" s="28"/>
    </row>
    <row r="117" spans="1:6" x14ac:dyDescent="0.3">
      <c r="A117" s="36"/>
      <c r="B117" s="36"/>
      <c r="C117" s="27"/>
      <c r="D117" s="27"/>
      <c r="E117" s="27"/>
      <c r="F117" s="28"/>
    </row>
    <row r="118" spans="1:6" x14ac:dyDescent="0.3">
      <c r="A118" s="36"/>
      <c r="B118" s="36"/>
      <c r="C118" s="27"/>
      <c r="D118" s="27"/>
      <c r="E118" s="27"/>
      <c r="F118" s="28"/>
    </row>
    <row r="119" spans="1:6" x14ac:dyDescent="0.3">
      <c r="A119" s="36"/>
      <c r="B119" s="36"/>
      <c r="C119" s="27"/>
      <c r="D119" s="27"/>
      <c r="E119" s="27"/>
      <c r="F119" s="28"/>
    </row>
    <row r="120" spans="1:6" x14ac:dyDescent="0.3">
      <c r="A120" s="36"/>
      <c r="B120" s="36"/>
      <c r="C120" s="27"/>
      <c r="D120" s="27"/>
      <c r="E120" s="27"/>
      <c r="F120" s="28"/>
    </row>
    <row r="121" spans="1:6" x14ac:dyDescent="0.3">
      <c r="A121" s="36"/>
      <c r="B121" s="36"/>
      <c r="C121" s="27"/>
      <c r="D121" s="27"/>
      <c r="E121" s="27"/>
      <c r="F121" s="28"/>
    </row>
    <row r="122" spans="1:6" x14ac:dyDescent="0.3">
      <c r="A122" s="36"/>
      <c r="B122" s="36"/>
      <c r="C122" s="27"/>
      <c r="D122" s="27"/>
      <c r="E122" s="27"/>
      <c r="F122" s="28"/>
    </row>
    <row r="123" spans="1:6" x14ac:dyDescent="0.3">
      <c r="A123" s="36"/>
      <c r="B123" s="36"/>
      <c r="C123" s="27"/>
      <c r="D123" s="27"/>
      <c r="E123" s="27"/>
      <c r="F123" s="28"/>
    </row>
    <row r="124" spans="1:6" x14ac:dyDescent="0.3">
      <c r="A124" s="36"/>
      <c r="B124" s="36"/>
      <c r="C124" s="27"/>
      <c r="D124" s="27"/>
      <c r="E124" s="27"/>
      <c r="F124" s="28"/>
    </row>
    <row r="125" spans="1:6" x14ac:dyDescent="0.3">
      <c r="A125" s="36"/>
      <c r="B125" s="36"/>
      <c r="C125" s="27"/>
      <c r="D125" s="27"/>
      <c r="E125" s="27"/>
      <c r="F125" s="28"/>
    </row>
    <row r="126" spans="1:6" x14ac:dyDescent="0.3">
      <c r="A126" s="36"/>
      <c r="B126" s="36"/>
      <c r="C126" s="27"/>
      <c r="D126" s="27"/>
      <c r="E126" s="27"/>
      <c r="F126" s="28"/>
    </row>
    <row r="127" spans="1:6" x14ac:dyDescent="0.3">
      <c r="A127" s="36"/>
      <c r="B127" s="36"/>
      <c r="C127" s="27"/>
      <c r="D127" s="27"/>
      <c r="E127" s="27"/>
      <c r="F127" s="28"/>
    </row>
    <row r="128" spans="1:6" x14ac:dyDescent="0.3">
      <c r="A128" s="36"/>
      <c r="B128" s="36"/>
      <c r="C128" s="27"/>
      <c r="D128" s="27"/>
      <c r="E128" s="27"/>
      <c r="F128" s="28"/>
    </row>
    <row r="129" spans="1:6" x14ac:dyDescent="0.3">
      <c r="A129" s="36"/>
      <c r="B129" s="36"/>
      <c r="C129" s="27"/>
      <c r="D129" s="27"/>
      <c r="E129" s="27"/>
      <c r="F129" s="28"/>
    </row>
    <row r="130" spans="1:6" x14ac:dyDescent="0.3">
      <c r="A130" s="36"/>
      <c r="B130" s="36"/>
      <c r="C130" s="27"/>
      <c r="D130" s="27"/>
      <c r="E130" s="27"/>
      <c r="F130" s="28"/>
    </row>
    <row r="131" spans="1:6" x14ac:dyDescent="0.3">
      <c r="A131" s="36"/>
      <c r="B131" s="36"/>
      <c r="C131" s="27"/>
      <c r="D131" s="27"/>
      <c r="E131" s="27"/>
      <c r="F131" s="28"/>
    </row>
    <row r="132" spans="1:6" x14ac:dyDescent="0.3">
      <c r="A132" s="36"/>
      <c r="B132" s="36"/>
      <c r="C132" s="27"/>
      <c r="D132" s="27"/>
      <c r="E132" s="27"/>
      <c r="F132" s="28"/>
    </row>
    <row r="133" spans="1:6" x14ac:dyDescent="0.3">
      <c r="A133" s="36"/>
      <c r="B133" s="36"/>
      <c r="C133" s="27"/>
      <c r="D133" s="27"/>
      <c r="E133" s="27"/>
      <c r="F133" s="28"/>
    </row>
    <row r="134" spans="1:6" x14ac:dyDescent="0.3">
      <c r="A134" s="36"/>
      <c r="B134" s="36"/>
      <c r="C134" s="27"/>
      <c r="D134" s="27"/>
      <c r="E134" s="27"/>
      <c r="F134" s="28"/>
    </row>
    <row r="135" spans="1:6" x14ac:dyDescent="0.3">
      <c r="A135" s="36"/>
      <c r="B135" s="36"/>
      <c r="C135" s="27"/>
      <c r="D135" s="27"/>
      <c r="E135" s="27"/>
      <c r="F135" s="28"/>
    </row>
    <row r="136" spans="1:6" x14ac:dyDescent="0.3">
      <c r="A136" s="36"/>
      <c r="B136" s="36"/>
      <c r="C136" s="27"/>
      <c r="D136" s="27"/>
      <c r="E136" s="27"/>
      <c r="F136" s="28"/>
    </row>
    <row r="137" spans="1:6" x14ac:dyDescent="0.3">
      <c r="A137" s="36"/>
      <c r="B137" s="36"/>
      <c r="C137" s="27"/>
      <c r="D137" s="27"/>
      <c r="E137" s="27"/>
      <c r="F137" s="28"/>
    </row>
    <row r="138" spans="1:6" x14ac:dyDescent="0.3">
      <c r="A138" s="36"/>
      <c r="B138" s="36"/>
      <c r="C138" s="27"/>
      <c r="D138" s="27"/>
      <c r="E138" s="27"/>
      <c r="F138" s="28"/>
    </row>
    <row r="139" spans="1:6" x14ac:dyDescent="0.3">
      <c r="A139" s="36"/>
      <c r="B139" s="36"/>
      <c r="C139" s="27"/>
      <c r="D139" s="27"/>
      <c r="E139" s="27"/>
      <c r="F139" s="28"/>
    </row>
    <row r="140" spans="1:6" x14ac:dyDescent="0.3">
      <c r="A140" s="36"/>
      <c r="B140" s="36"/>
      <c r="C140" s="27"/>
      <c r="D140" s="27"/>
      <c r="E140" s="27"/>
      <c r="F140" s="28"/>
    </row>
    <row r="141" spans="1:6" x14ac:dyDescent="0.3">
      <c r="A141" s="36"/>
      <c r="B141" s="36"/>
      <c r="C141" s="27"/>
      <c r="D141" s="27"/>
      <c r="E141" s="27"/>
      <c r="F141" s="28"/>
    </row>
    <row r="142" spans="1:6" x14ac:dyDescent="0.3">
      <c r="A142" s="36"/>
      <c r="B142" s="36"/>
      <c r="C142" s="27"/>
      <c r="D142" s="27"/>
      <c r="E142" s="27"/>
      <c r="F142" s="28"/>
    </row>
    <row r="143" spans="1:6" x14ac:dyDescent="0.3">
      <c r="A143" s="36"/>
      <c r="B143" s="36"/>
      <c r="C143" s="27"/>
      <c r="D143" s="27"/>
      <c r="E143" s="27"/>
      <c r="F143" s="28"/>
    </row>
    <row r="144" spans="1:6" x14ac:dyDescent="0.3">
      <c r="A144" s="36"/>
      <c r="B144" s="36"/>
      <c r="C144" s="27"/>
      <c r="D144" s="27"/>
      <c r="E144" s="27"/>
      <c r="F144" s="28"/>
    </row>
    <row r="145" spans="1:6" x14ac:dyDescent="0.3">
      <c r="A145" s="36"/>
      <c r="B145" s="36"/>
      <c r="C145" s="27"/>
      <c r="D145" s="27"/>
      <c r="E145" s="27"/>
      <c r="F145" s="28"/>
    </row>
    <row r="146" spans="1:6" x14ac:dyDescent="0.3">
      <c r="A146" s="36"/>
      <c r="B146" s="36"/>
      <c r="C146" s="27"/>
      <c r="D146" s="27"/>
      <c r="E146" s="27"/>
      <c r="F146" s="28"/>
    </row>
    <row r="147" spans="1:6" x14ac:dyDescent="0.3">
      <c r="A147" s="36"/>
      <c r="B147" s="36"/>
      <c r="C147" s="27"/>
      <c r="D147" s="27"/>
      <c r="E147" s="27"/>
      <c r="F147" s="28"/>
    </row>
    <row r="148" spans="1:6" x14ac:dyDescent="0.3">
      <c r="A148" s="36"/>
      <c r="B148" s="36"/>
      <c r="C148" s="27"/>
      <c r="D148" s="27"/>
      <c r="E148" s="27"/>
      <c r="F148" s="28"/>
    </row>
    <row r="149" spans="1:6" x14ac:dyDescent="0.3">
      <c r="A149" s="36"/>
      <c r="B149" s="36"/>
      <c r="C149" s="27"/>
      <c r="D149" s="27"/>
      <c r="E149" s="27"/>
      <c r="F149" s="28"/>
    </row>
    <row r="150" spans="1:6" x14ac:dyDescent="0.3">
      <c r="A150" s="36"/>
      <c r="B150" s="36"/>
      <c r="C150" s="27"/>
      <c r="D150" s="27"/>
      <c r="E150" s="27"/>
      <c r="F150" s="28"/>
    </row>
    <row r="151" spans="1:6" x14ac:dyDescent="0.3">
      <c r="A151" s="36"/>
      <c r="B151" s="36"/>
      <c r="C151" s="27"/>
      <c r="D151" s="27"/>
      <c r="E151" s="27"/>
      <c r="F151" s="28"/>
    </row>
    <row r="152" spans="1:6" x14ac:dyDescent="0.3">
      <c r="A152" s="36"/>
      <c r="B152" s="36"/>
      <c r="C152" s="27"/>
      <c r="D152" s="27"/>
      <c r="E152" s="27"/>
      <c r="F152" s="28"/>
    </row>
    <row r="153" spans="1:6" x14ac:dyDescent="0.3">
      <c r="A153" s="36"/>
      <c r="B153" s="36"/>
      <c r="C153" s="27"/>
      <c r="D153" s="27"/>
      <c r="E153" s="27"/>
      <c r="F153" s="28"/>
    </row>
    <row r="154" spans="1:6" x14ac:dyDescent="0.3">
      <c r="A154" s="36"/>
      <c r="B154" s="36"/>
      <c r="C154" s="27"/>
      <c r="D154" s="27"/>
      <c r="E154" s="27"/>
      <c r="F154" s="28"/>
    </row>
    <row r="155" spans="1:6" x14ac:dyDescent="0.3">
      <c r="A155" s="36"/>
      <c r="B155" s="36"/>
      <c r="C155" s="27"/>
      <c r="D155" s="27"/>
      <c r="E155" s="27"/>
      <c r="F155" s="28"/>
    </row>
    <row r="156" spans="1:6" x14ac:dyDescent="0.3">
      <c r="A156" s="36"/>
      <c r="B156" s="36"/>
      <c r="C156" s="27"/>
      <c r="D156" s="27"/>
      <c r="E156" s="27"/>
      <c r="F156" s="28"/>
    </row>
    <row r="157" spans="1:6" x14ac:dyDescent="0.3">
      <c r="A157" s="36"/>
      <c r="B157" s="36"/>
      <c r="C157" s="27"/>
      <c r="D157" s="27"/>
      <c r="E157" s="27"/>
      <c r="F157" s="28"/>
    </row>
    <row r="158" spans="1:6" x14ac:dyDescent="0.3">
      <c r="A158" s="36"/>
      <c r="B158" s="36"/>
      <c r="C158" s="27"/>
      <c r="D158" s="27"/>
      <c r="E158" s="27"/>
      <c r="F158" s="28"/>
    </row>
    <row r="159" spans="1:6" x14ac:dyDescent="0.3">
      <c r="A159" s="36"/>
      <c r="B159" s="36"/>
      <c r="C159" s="27"/>
      <c r="D159" s="27"/>
      <c r="E159" s="27"/>
      <c r="F159" s="28"/>
    </row>
    <row r="160" spans="1:6" x14ac:dyDescent="0.3">
      <c r="A160" s="36"/>
      <c r="B160" s="36"/>
      <c r="C160" s="27"/>
      <c r="D160" s="27"/>
      <c r="E160" s="27"/>
      <c r="F160" s="28"/>
    </row>
    <row r="161" spans="1:6" x14ac:dyDescent="0.3">
      <c r="A161" s="36"/>
      <c r="B161" s="36"/>
      <c r="C161" s="27"/>
      <c r="D161" s="27"/>
      <c r="E161" s="27"/>
      <c r="F161" s="28"/>
    </row>
    <row r="162" spans="1:6" x14ac:dyDescent="0.3">
      <c r="A162" s="36"/>
      <c r="B162" s="36"/>
      <c r="C162" s="27"/>
      <c r="D162" s="27"/>
      <c r="E162" s="27"/>
      <c r="F162" s="28"/>
    </row>
    <row r="163" spans="1:6" x14ac:dyDescent="0.3">
      <c r="A163" s="36"/>
      <c r="B163" s="36"/>
      <c r="C163" s="27"/>
      <c r="D163" s="27"/>
      <c r="E163" s="27"/>
      <c r="F163" s="28"/>
    </row>
    <row r="164" spans="1:6" x14ac:dyDescent="0.3">
      <c r="A164" s="36"/>
      <c r="B164" s="36"/>
      <c r="C164" s="27"/>
      <c r="D164" s="27"/>
      <c r="E164" s="27"/>
      <c r="F164" s="28"/>
    </row>
    <row r="165" spans="1:6" x14ac:dyDescent="0.3">
      <c r="A165" s="36"/>
      <c r="B165" s="36"/>
      <c r="C165" s="27"/>
      <c r="D165" s="27"/>
      <c r="E165" s="27"/>
      <c r="F165" s="28"/>
    </row>
    <row r="166" spans="1:6" x14ac:dyDescent="0.3">
      <c r="A166" s="36"/>
      <c r="B166" s="36"/>
      <c r="C166" s="27"/>
      <c r="D166" s="27"/>
      <c r="E166" s="27"/>
      <c r="F166" s="28"/>
    </row>
    <row r="167" spans="1:6" x14ac:dyDescent="0.3">
      <c r="A167" s="36"/>
      <c r="B167" s="36"/>
      <c r="C167" s="27"/>
      <c r="D167" s="27"/>
      <c r="E167" s="27"/>
      <c r="F167" s="28"/>
    </row>
    <row r="168" spans="1:6" x14ac:dyDescent="0.3">
      <c r="A168" s="36"/>
      <c r="B168" s="36"/>
      <c r="C168" s="27"/>
      <c r="D168" s="27"/>
      <c r="E168" s="27"/>
      <c r="F168" s="28"/>
    </row>
    <row r="169" spans="1:6" x14ac:dyDescent="0.3">
      <c r="A169" s="36"/>
      <c r="B169" s="36"/>
      <c r="C169" s="27"/>
      <c r="D169" s="27"/>
      <c r="E169" s="27"/>
      <c r="F169" s="28"/>
    </row>
    <row r="170" spans="1:6" x14ac:dyDescent="0.3">
      <c r="A170" s="36"/>
      <c r="B170" s="36"/>
      <c r="C170" s="27"/>
      <c r="D170" s="27"/>
      <c r="E170" s="27"/>
      <c r="F170" s="28"/>
    </row>
    <row r="171" spans="1:6" x14ac:dyDescent="0.3">
      <c r="A171" s="36"/>
      <c r="B171" s="36"/>
      <c r="C171" s="27"/>
      <c r="D171" s="27"/>
      <c r="E171" s="27"/>
      <c r="F171" s="28"/>
    </row>
    <row r="172" spans="1:6" x14ac:dyDescent="0.3">
      <c r="A172" s="36"/>
      <c r="B172" s="36"/>
      <c r="C172" s="27"/>
      <c r="D172" s="27"/>
      <c r="E172" s="27"/>
      <c r="F172" s="28"/>
    </row>
    <row r="173" spans="1:6" x14ac:dyDescent="0.3">
      <c r="A173" s="36"/>
      <c r="B173" s="36"/>
      <c r="C173" s="27"/>
      <c r="D173" s="27"/>
      <c r="E173" s="27"/>
      <c r="F173" s="28"/>
    </row>
    <row r="174" spans="1:6" x14ac:dyDescent="0.3">
      <c r="A174" s="36"/>
      <c r="B174" s="36"/>
      <c r="C174" s="27"/>
      <c r="D174" s="27"/>
      <c r="E174" s="27"/>
      <c r="F174" s="28"/>
    </row>
    <row r="175" spans="1:6" x14ac:dyDescent="0.3">
      <c r="A175" s="36"/>
      <c r="B175" s="36"/>
      <c r="C175" s="27"/>
      <c r="D175" s="27"/>
      <c r="E175" s="27"/>
      <c r="F175" s="28"/>
    </row>
    <row r="176" spans="1:6" x14ac:dyDescent="0.3">
      <c r="A176" s="36"/>
      <c r="B176" s="36"/>
      <c r="C176" s="27"/>
      <c r="D176" s="27"/>
      <c r="E176" s="27"/>
      <c r="F176" s="28"/>
    </row>
    <row r="177" spans="1:6" x14ac:dyDescent="0.3">
      <c r="A177" s="36"/>
      <c r="B177" s="36"/>
      <c r="C177" s="27"/>
      <c r="D177" s="27"/>
      <c r="E177" s="27"/>
      <c r="F177" s="28"/>
    </row>
    <row r="178" spans="1:6" x14ac:dyDescent="0.3">
      <c r="A178" s="36"/>
      <c r="B178" s="36"/>
      <c r="C178" s="27"/>
      <c r="D178" s="27"/>
      <c r="E178" s="27"/>
      <c r="F178" s="28"/>
    </row>
    <row r="179" spans="1:6" x14ac:dyDescent="0.3">
      <c r="A179" s="36"/>
      <c r="B179" s="36"/>
      <c r="C179" s="27"/>
      <c r="D179" s="27"/>
      <c r="E179" s="27"/>
      <c r="F179" s="28"/>
    </row>
    <row r="180" spans="1:6" x14ac:dyDescent="0.3">
      <c r="A180" s="36"/>
      <c r="B180" s="36"/>
      <c r="C180" s="27"/>
      <c r="D180" s="27"/>
      <c r="E180" s="27"/>
      <c r="F180" s="28"/>
    </row>
    <row r="181" spans="1:6" x14ac:dyDescent="0.3">
      <c r="A181" s="36"/>
      <c r="B181" s="36"/>
      <c r="C181" s="27"/>
      <c r="D181" s="27"/>
      <c r="E181" s="27"/>
      <c r="F181" s="28"/>
    </row>
    <row r="182" spans="1:6" x14ac:dyDescent="0.3">
      <c r="A182" s="36"/>
      <c r="B182" s="36"/>
      <c r="C182" s="27"/>
      <c r="D182" s="27"/>
      <c r="E182" s="27"/>
      <c r="F182" s="28"/>
    </row>
    <row r="183" spans="1:6" x14ac:dyDescent="0.3">
      <c r="A183" s="36"/>
      <c r="B183" s="36"/>
      <c r="C183" s="27"/>
      <c r="D183" s="27"/>
      <c r="E183" s="27"/>
      <c r="F183" s="28"/>
    </row>
    <row r="184" spans="1:6" x14ac:dyDescent="0.3">
      <c r="A184" s="36"/>
      <c r="B184" s="36"/>
      <c r="C184" s="27"/>
      <c r="D184" s="27"/>
      <c r="E184" s="27"/>
      <c r="F184" s="28"/>
    </row>
    <row r="185" spans="1:6" x14ac:dyDescent="0.3">
      <c r="A185" s="36"/>
      <c r="B185" s="36"/>
      <c r="C185" s="27"/>
      <c r="D185" s="27"/>
      <c r="E185" s="27"/>
      <c r="F185" s="28"/>
    </row>
    <row r="186" spans="1:6" x14ac:dyDescent="0.3">
      <c r="A186" s="36"/>
      <c r="B186" s="36"/>
      <c r="C186" s="27"/>
      <c r="D186" s="27"/>
      <c r="E186" s="27"/>
      <c r="F186" s="28"/>
    </row>
    <row r="187" spans="1:6" x14ac:dyDescent="0.3">
      <c r="A187" s="36"/>
      <c r="B187" s="36"/>
      <c r="C187" s="27"/>
      <c r="D187" s="27"/>
      <c r="E187" s="27"/>
      <c r="F187" s="28"/>
    </row>
    <row r="188" spans="1:6" x14ac:dyDescent="0.3">
      <c r="A188" s="36"/>
      <c r="B188" s="36"/>
      <c r="C188" s="27"/>
      <c r="D188" s="27"/>
      <c r="E188" s="27"/>
      <c r="F188" s="28"/>
    </row>
    <row r="189" spans="1:6" x14ac:dyDescent="0.3">
      <c r="A189" s="36"/>
      <c r="B189" s="36"/>
      <c r="C189" s="27"/>
      <c r="D189" s="27"/>
      <c r="E189" s="27"/>
      <c r="F189" s="28"/>
    </row>
    <row r="190" spans="1:6" x14ac:dyDescent="0.3">
      <c r="A190" s="36"/>
      <c r="B190" s="36"/>
      <c r="C190" s="27"/>
      <c r="D190" s="27"/>
      <c r="E190" s="27"/>
      <c r="F190" s="28"/>
    </row>
    <row r="191" spans="1:6" x14ac:dyDescent="0.3">
      <c r="A191" s="36"/>
      <c r="B191" s="36"/>
      <c r="C191" s="27"/>
      <c r="D191" s="27"/>
      <c r="E191" s="27"/>
      <c r="F191" s="28"/>
    </row>
    <row r="192" spans="1:6" x14ac:dyDescent="0.3">
      <c r="A192" s="36"/>
      <c r="B192" s="36"/>
      <c r="C192" s="27"/>
      <c r="D192" s="27"/>
      <c r="E192" s="27"/>
      <c r="F192" s="28"/>
    </row>
    <row r="193" spans="1:6" x14ac:dyDescent="0.3">
      <c r="A193" s="36"/>
      <c r="B193" s="36"/>
      <c r="C193" s="27"/>
      <c r="D193" s="27"/>
      <c r="E193" s="27"/>
      <c r="F193" s="28"/>
    </row>
    <row r="194" spans="1:6" x14ac:dyDescent="0.3">
      <c r="A194" s="36"/>
      <c r="B194" s="36"/>
      <c r="C194" s="27"/>
      <c r="D194" s="27"/>
      <c r="E194" s="27"/>
      <c r="F194" s="28"/>
    </row>
    <row r="195" spans="1:6" x14ac:dyDescent="0.3">
      <c r="A195" s="36"/>
      <c r="B195" s="36"/>
      <c r="C195" s="27"/>
      <c r="D195" s="27"/>
      <c r="E195" s="27"/>
      <c r="F195" s="28"/>
    </row>
    <row r="196" spans="1:6" x14ac:dyDescent="0.3">
      <c r="A196" s="36"/>
      <c r="B196" s="36"/>
      <c r="C196" s="27"/>
      <c r="D196" s="27"/>
      <c r="E196" s="27"/>
      <c r="F196" s="28"/>
    </row>
    <row r="197" spans="1:6" x14ac:dyDescent="0.3">
      <c r="A197" s="36"/>
      <c r="B197" s="36"/>
      <c r="C197" s="27"/>
      <c r="D197" s="27"/>
      <c r="E197" s="27"/>
      <c r="F197" s="28"/>
    </row>
    <row r="198" spans="1:6" x14ac:dyDescent="0.3">
      <c r="A198" s="36"/>
      <c r="B198" s="36"/>
      <c r="C198" s="27"/>
      <c r="D198" s="27"/>
      <c r="E198" s="27"/>
      <c r="F198" s="28"/>
    </row>
    <row r="199" spans="1:6" x14ac:dyDescent="0.3">
      <c r="A199" s="36"/>
      <c r="B199" s="36"/>
      <c r="C199" s="27"/>
      <c r="D199" s="27"/>
      <c r="E199" s="27"/>
      <c r="F199" s="28"/>
    </row>
    <row r="200" spans="1:6" x14ac:dyDescent="0.3">
      <c r="A200" s="36"/>
      <c r="B200" s="36"/>
      <c r="C200" s="27"/>
      <c r="D200" s="27"/>
      <c r="E200" s="27"/>
      <c r="F200" s="28"/>
    </row>
    <row r="201" spans="1:6" x14ac:dyDescent="0.3">
      <c r="A201" s="36"/>
      <c r="B201" s="36"/>
      <c r="C201" s="27"/>
      <c r="D201" s="27"/>
      <c r="E201" s="27"/>
      <c r="F201" s="28"/>
    </row>
    <row r="202" spans="1:6" x14ac:dyDescent="0.3">
      <c r="A202" s="36"/>
      <c r="B202" s="36"/>
      <c r="C202" s="27"/>
      <c r="D202" s="27"/>
      <c r="E202" s="27"/>
      <c r="F202" s="28"/>
    </row>
    <row r="203" spans="1:6" x14ac:dyDescent="0.3">
      <c r="A203" s="36"/>
      <c r="B203" s="36"/>
      <c r="C203" s="27"/>
      <c r="D203" s="27"/>
      <c r="E203" s="27"/>
      <c r="F203" s="28"/>
    </row>
    <row r="204" spans="1:6" x14ac:dyDescent="0.3">
      <c r="A204" s="36"/>
      <c r="B204" s="36"/>
      <c r="C204" s="27"/>
      <c r="D204" s="27"/>
      <c r="E204" s="27"/>
      <c r="F204" s="28"/>
    </row>
    <row r="205" spans="1:6" x14ac:dyDescent="0.3">
      <c r="A205" s="36"/>
      <c r="B205" s="36"/>
      <c r="C205" s="27"/>
      <c r="D205" s="27"/>
      <c r="E205" s="27"/>
      <c r="F205" s="28"/>
    </row>
    <row r="206" spans="1:6" x14ac:dyDescent="0.3">
      <c r="A206" s="36"/>
      <c r="B206" s="36"/>
      <c r="C206" s="27"/>
      <c r="D206" s="27"/>
      <c r="E206" s="27"/>
      <c r="F206" s="28"/>
    </row>
    <row r="207" spans="1:6" x14ac:dyDescent="0.3">
      <c r="A207" s="36"/>
      <c r="B207" s="36"/>
      <c r="C207" s="27"/>
      <c r="D207" s="27"/>
      <c r="E207" s="27"/>
      <c r="F207" s="28"/>
    </row>
    <row r="208" spans="1:6" x14ac:dyDescent="0.3">
      <c r="A208" s="36"/>
      <c r="B208" s="36"/>
      <c r="C208" s="27"/>
      <c r="D208" s="27"/>
      <c r="E208" s="27"/>
      <c r="F208" s="28"/>
    </row>
    <row r="209" spans="1:6" x14ac:dyDescent="0.3">
      <c r="A209" s="36"/>
      <c r="B209" s="36"/>
      <c r="C209" s="27"/>
      <c r="D209" s="27"/>
      <c r="E209" s="27"/>
      <c r="F209" s="28"/>
    </row>
    <row r="210" spans="1:6" x14ac:dyDescent="0.3">
      <c r="A210" s="26"/>
      <c r="B210" s="27"/>
      <c r="C210" s="27"/>
      <c r="D210" s="27"/>
      <c r="E210" s="27"/>
      <c r="F210" s="28"/>
    </row>
    <row r="211" spans="1:6" x14ac:dyDescent="0.3">
      <c r="A211" s="26"/>
      <c r="B211" s="27"/>
      <c r="C211" s="27"/>
      <c r="D211" s="27"/>
      <c r="E211" s="27"/>
      <c r="F211" s="28"/>
    </row>
    <row r="212" spans="1:6" x14ac:dyDescent="0.3">
      <c r="A212" s="26"/>
      <c r="B212" s="27"/>
      <c r="C212" s="27"/>
      <c r="D212" s="27"/>
      <c r="E212" s="27"/>
      <c r="F212" s="28"/>
    </row>
    <row r="213" spans="1:6" x14ac:dyDescent="0.3">
      <c r="A213" s="26"/>
      <c r="B213" s="27"/>
      <c r="C213" s="27"/>
      <c r="D213" s="27"/>
      <c r="E213" s="27"/>
      <c r="F213" s="28"/>
    </row>
    <row r="214" spans="1:6" x14ac:dyDescent="0.3">
      <c r="A214" s="26"/>
      <c r="B214" s="27"/>
      <c r="C214" s="27"/>
      <c r="D214" s="27"/>
      <c r="E214" s="27"/>
      <c r="F214" s="28"/>
    </row>
    <row r="215" spans="1:6" x14ac:dyDescent="0.3">
      <c r="A215" s="26"/>
      <c r="B215" s="27"/>
      <c r="C215" s="27"/>
      <c r="D215" s="27"/>
      <c r="E215" s="27"/>
      <c r="F215" s="28"/>
    </row>
    <row r="216" spans="1:6" x14ac:dyDescent="0.3">
      <c r="A216" s="26"/>
      <c r="B216" s="27"/>
      <c r="C216" s="27"/>
      <c r="D216" s="27"/>
      <c r="E216" s="27"/>
      <c r="F216" s="28"/>
    </row>
    <row r="217" spans="1:6" x14ac:dyDescent="0.3">
      <c r="A217" s="26"/>
      <c r="B217" s="27"/>
      <c r="C217" s="27"/>
      <c r="D217" s="27"/>
      <c r="E217" s="27"/>
      <c r="F217" s="28"/>
    </row>
    <row r="218" spans="1:6" x14ac:dyDescent="0.3">
      <c r="A218" s="26"/>
      <c r="B218" s="27"/>
      <c r="C218" s="27"/>
      <c r="D218" s="27"/>
      <c r="E218" s="27"/>
      <c r="F218" s="28"/>
    </row>
    <row r="219" spans="1:6" ht="15" thickBot="1" x14ac:dyDescent="0.35">
      <c r="A219" s="29"/>
      <c r="B219" s="30"/>
      <c r="C219" s="30"/>
      <c r="D219" s="30"/>
      <c r="E219" s="30"/>
      <c r="F219" s="31"/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9"/>
  <sheetViews>
    <sheetView topLeftCell="A16" workbookViewId="0">
      <selection activeCell="A3" sqref="A3:B39"/>
    </sheetView>
  </sheetViews>
  <sheetFormatPr baseColWidth="10" defaultColWidth="11.44140625" defaultRowHeight="14.4" x14ac:dyDescent="0.3"/>
  <cols>
    <col min="1" max="1" width="11.109375" style="14" bestFit="1" customWidth="1"/>
    <col min="2" max="2" width="68.5546875" bestFit="1" customWidth="1"/>
    <col min="3" max="3" width="33.33203125" bestFit="1" customWidth="1"/>
    <col min="4" max="4" width="17.6640625" bestFit="1" customWidth="1"/>
    <col min="5" max="5" width="26.44140625" customWidth="1"/>
    <col min="6" max="6" width="15.44140625" bestFit="1" customWidth="1"/>
  </cols>
  <sheetData>
    <row r="1" spans="1:6" ht="38.4" customHeight="1" thickBot="1" x14ac:dyDescent="0.35">
      <c r="A1" s="67" t="s">
        <v>1862</v>
      </c>
      <c r="B1" s="68"/>
      <c r="C1" s="68"/>
      <c r="D1" s="69"/>
      <c r="E1" s="19" t="s">
        <v>1853</v>
      </c>
      <c r="F1" s="20" t="e">
        <f>((COUNTIF(F3:F209,"SOBRE STOCK"))+(COUNTIF(F3:F209,"NORMO STOCK")))/(COUNTIF(F3:F209,"&lt;&gt;solid")-(COUNTIF(F3:F209,"No Rota"))-(COUNTIF(F3:F209,"No Manejado")))</f>
        <v>#DIV/0!</v>
      </c>
    </row>
    <row r="2" spans="1:6" x14ac:dyDescent="0.3">
      <c r="A2" s="32" t="s">
        <v>28</v>
      </c>
      <c r="B2" s="33" t="s">
        <v>1854</v>
      </c>
      <c r="C2" s="33" t="s">
        <v>1855</v>
      </c>
      <c r="D2" s="33" t="s">
        <v>1856</v>
      </c>
      <c r="E2" s="33" t="s">
        <v>1857</v>
      </c>
      <c r="F2" s="34" t="s">
        <v>1858</v>
      </c>
    </row>
    <row r="3" spans="1:6" x14ac:dyDescent="0.3">
      <c r="A3" s="36" t="s">
        <v>911</v>
      </c>
      <c r="B3" s="36" t="s">
        <v>964</v>
      </c>
      <c r="C3" s="38"/>
      <c r="D3" s="38"/>
      <c r="E3" s="38"/>
      <c r="F3" s="37" t="str">
        <f>IFERROR(VLOOKUP(A3,TblDisponibilidad[],23,FALSE),"No Manejado")</f>
        <v>No Manejado</v>
      </c>
    </row>
    <row r="4" spans="1:6" x14ac:dyDescent="0.3">
      <c r="A4" s="36" t="s">
        <v>305</v>
      </c>
      <c r="B4" s="36" t="s">
        <v>968</v>
      </c>
      <c r="C4" s="27"/>
      <c r="D4" s="27"/>
      <c r="E4" s="27"/>
      <c r="F4" s="37" t="str">
        <f>IFERROR(VLOOKUP(A4,TblDisponibilidad[],23,FALSE),"No Manejado")</f>
        <v>No Manejado</v>
      </c>
    </row>
    <row r="5" spans="1:6" x14ac:dyDescent="0.3">
      <c r="A5" s="36" t="s">
        <v>306</v>
      </c>
      <c r="B5" s="36" t="s">
        <v>969</v>
      </c>
      <c r="C5" s="27"/>
      <c r="D5" s="27"/>
      <c r="E5" s="27"/>
      <c r="F5" s="37" t="str">
        <f>IFERROR(VLOOKUP(A5,TblDisponibilidad[],23,FALSE),"No Manejado")</f>
        <v>No Manejado</v>
      </c>
    </row>
    <row r="6" spans="1:6" x14ac:dyDescent="0.3">
      <c r="A6" s="36" t="s">
        <v>307</v>
      </c>
      <c r="B6" s="36" t="s">
        <v>970</v>
      </c>
      <c r="C6" s="27"/>
      <c r="D6" s="27"/>
      <c r="E6" s="27"/>
      <c r="F6" s="37" t="str">
        <f>IFERROR(VLOOKUP(A6,TblDisponibilidad[],23,FALSE),"No Manejado")</f>
        <v>No Manejado</v>
      </c>
    </row>
    <row r="7" spans="1:6" x14ac:dyDescent="0.3">
      <c r="A7" s="36" t="s">
        <v>537</v>
      </c>
      <c r="B7" s="36" t="s">
        <v>971</v>
      </c>
      <c r="C7" s="27"/>
      <c r="D7" s="27"/>
      <c r="E7" s="27"/>
      <c r="F7" s="37" t="str">
        <f>IFERROR(VLOOKUP(A7,TblDisponibilidad[],23,FALSE),"No Manejado")</f>
        <v>No Manejado</v>
      </c>
    </row>
    <row r="8" spans="1:6" x14ac:dyDescent="0.3">
      <c r="A8" s="36" t="s">
        <v>310</v>
      </c>
      <c r="B8" s="36" t="s">
        <v>991</v>
      </c>
      <c r="C8" s="27"/>
      <c r="D8" s="27"/>
      <c r="E8" s="27"/>
      <c r="F8" s="37" t="str">
        <f>IFERROR(VLOOKUP(A8,TblDisponibilidad[],23,FALSE),"No Manejado")</f>
        <v>No Manejado</v>
      </c>
    </row>
    <row r="9" spans="1:6" x14ac:dyDescent="0.3">
      <c r="A9" s="36" t="s">
        <v>713</v>
      </c>
      <c r="B9" s="36" t="s">
        <v>991</v>
      </c>
      <c r="C9" s="27"/>
      <c r="D9" s="27"/>
      <c r="E9" s="27"/>
      <c r="F9" s="37" t="str">
        <f>IFERROR(VLOOKUP(A9,TblDisponibilidad[],23,FALSE),"No Manejado")</f>
        <v>No Manejado</v>
      </c>
    </row>
    <row r="10" spans="1:6" x14ac:dyDescent="0.3">
      <c r="A10" s="36" t="s">
        <v>655</v>
      </c>
      <c r="B10" s="36" t="s">
        <v>991</v>
      </c>
      <c r="C10" s="27"/>
      <c r="D10" s="27"/>
      <c r="E10" s="27"/>
      <c r="F10" s="37" t="str">
        <f>IFERROR(VLOOKUP(A10,TblDisponibilidad[],23,FALSE),"No Manejado")</f>
        <v>No Manejado</v>
      </c>
    </row>
    <row r="11" spans="1:6" x14ac:dyDescent="0.3">
      <c r="A11" s="36" t="s">
        <v>847</v>
      </c>
      <c r="B11" s="36" t="s">
        <v>991</v>
      </c>
      <c r="C11" s="27"/>
      <c r="D11" s="27"/>
      <c r="E11" s="27"/>
      <c r="F11" s="37" t="str">
        <f>IFERROR(VLOOKUP(A11,TblDisponibilidad[],23,FALSE),"No Manejado")</f>
        <v>No Manejado</v>
      </c>
    </row>
    <row r="12" spans="1:6" x14ac:dyDescent="0.3">
      <c r="A12" s="36" t="s">
        <v>389</v>
      </c>
      <c r="B12" s="36" t="s">
        <v>1037</v>
      </c>
      <c r="C12" s="27"/>
      <c r="D12" s="27"/>
      <c r="E12" s="27"/>
      <c r="F12" s="37" t="str">
        <f>IFERROR(VLOOKUP(A12,TblDisponibilidad[],23,FALSE),"No Manejado")</f>
        <v>No Manejado</v>
      </c>
    </row>
    <row r="13" spans="1:6" x14ac:dyDescent="0.3">
      <c r="A13" s="36" t="s">
        <v>387</v>
      </c>
      <c r="B13" s="36" t="s">
        <v>1038</v>
      </c>
      <c r="C13" s="27"/>
      <c r="D13" s="27"/>
      <c r="E13" s="27"/>
      <c r="F13" s="37" t="str">
        <f>IFERROR(VLOOKUP(A13,TblDisponibilidad[],23,FALSE),"No Manejado")</f>
        <v>No Manejado</v>
      </c>
    </row>
    <row r="14" spans="1:6" x14ac:dyDescent="0.3">
      <c r="A14" s="36" t="s">
        <v>342</v>
      </c>
      <c r="B14" s="36" t="s">
        <v>1042</v>
      </c>
      <c r="C14" s="27"/>
      <c r="D14" s="27"/>
      <c r="E14" s="27"/>
      <c r="F14" s="37" t="str">
        <f>IFERROR(VLOOKUP(A14,TblDisponibilidad[],23,FALSE),"No Manejado")</f>
        <v>No Manejado</v>
      </c>
    </row>
    <row r="15" spans="1:6" x14ac:dyDescent="0.3">
      <c r="A15" s="36" t="s">
        <v>857</v>
      </c>
      <c r="B15" s="36" t="s">
        <v>1043</v>
      </c>
      <c r="C15" s="27"/>
      <c r="D15" s="27"/>
      <c r="E15" s="27"/>
      <c r="F15" s="37" t="str">
        <f>IFERROR(VLOOKUP(A15,TblDisponibilidad[],23,FALSE),"No Manejado")</f>
        <v>No Manejado</v>
      </c>
    </row>
    <row r="16" spans="1:6" x14ac:dyDescent="0.3">
      <c r="A16" s="36" t="s">
        <v>1044</v>
      </c>
      <c r="B16" s="36" t="s">
        <v>1045</v>
      </c>
      <c r="C16" s="27"/>
      <c r="D16" s="27"/>
      <c r="E16" s="27"/>
      <c r="F16" s="37" t="str">
        <f>IFERROR(VLOOKUP(A16,TblDisponibilidad[],23,FALSE),"No Manejado")</f>
        <v>No Manejado</v>
      </c>
    </row>
    <row r="17" spans="1:6" x14ac:dyDescent="0.3">
      <c r="A17" s="36" t="s">
        <v>1046</v>
      </c>
      <c r="B17" s="36" t="s">
        <v>1047</v>
      </c>
      <c r="C17" s="27"/>
      <c r="D17" s="27"/>
      <c r="E17" s="27"/>
      <c r="F17" s="37" t="str">
        <f>IFERROR(VLOOKUP(A17,TblDisponibilidad[],23,FALSE),"No Manejado")</f>
        <v>No Manejado</v>
      </c>
    </row>
    <row r="18" spans="1:6" x14ac:dyDescent="0.3">
      <c r="A18" s="36" t="s">
        <v>427</v>
      </c>
      <c r="B18" s="36" t="s">
        <v>1048</v>
      </c>
      <c r="C18" s="27"/>
      <c r="D18" s="27"/>
      <c r="E18" s="27"/>
      <c r="F18" s="37" t="str">
        <f>IFERROR(VLOOKUP(A18,TblDisponibilidad[],23,FALSE),"No Manejado")</f>
        <v>No Manejado</v>
      </c>
    </row>
    <row r="19" spans="1:6" x14ac:dyDescent="0.3">
      <c r="A19" s="36" t="s">
        <v>312</v>
      </c>
      <c r="B19" s="36" t="s">
        <v>1049</v>
      </c>
      <c r="C19" s="27"/>
      <c r="D19" s="27"/>
      <c r="E19" s="27"/>
      <c r="F19" s="37" t="str">
        <f>IFERROR(VLOOKUP(A19,TblDisponibilidad[],23,FALSE),"No Manejado")</f>
        <v>No Manejado</v>
      </c>
    </row>
    <row r="20" spans="1:6" x14ac:dyDescent="0.3">
      <c r="A20" s="36" t="s">
        <v>313</v>
      </c>
      <c r="B20" s="36" t="s">
        <v>1098</v>
      </c>
      <c r="C20" s="27"/>
      <c r="D20" s="27"/>
      <c r="E20" s="27"/>
      <c r="F20" s="37" t="str">
        <f>IFERROR(VLOOKUP(A20,TblDisponibilidad[],23,FALSE),"No Manejado")</f>
        <v>No Manejado</v>
      </c>
    </row>
    <row r="21" spans="1:6" x14ac:dyDescent="0.3">
      <c r="A21" s="36" t="s">
        <v>314</v>
      </c>
      <c r="B21" s="36" t="s">
        <v>1099</v>
      </c>
      <c r="C21" s="27"/>
      <c r="D21" s="27"/>
      <c r="E21" s="27"/>
      <c r="F21" s="37" t="str">
        <f>IFERROR(VLOOKUP(A21,TblDisponibilidad[],23,FALSE),"No Manejado")</f>
        <v>No Manejado</v>
      </c>
    </row>
    <row r="22" spans="1:6" x14ac:dyDescent="0.3">
      <c r="A22" s="36" t="s">
        <v>431</v>
      </c>
      <c r="B22" s="36" t="s">
        <v>1100</v>
      </c>
      <c r="C22" s="27"/>
      <c r="D22" s="27"/>
      <c r="E22" s="27"/>
      <c r="F22" s="37" t="str">
        <f>IFERROR(VLOOKUP(A22,TblDisponibilidad[],23,FALSE),"No Manejado")</f>
        <v>No Manejado</v>
      </c>
    </row>
    <row r="23" spans="1:6" x14ac:dyDescent="0.3">
      <c r="A23" s="36" t="s">
        <v>315</v>
      </c>
      <c r="B23" s="36" t="s">
        <v>1101</v>
      </c>
      <c r="C23" s="27"/>
      <c r="D23" s="27"/>
      <c r="E23" s="27"/>
      <c r="F23" s="37" t="str">
        <f>IFERROR(VLOOKUP(A23,TblDisponibilidad[],23,FALSE),"No Manejado")</f>
        <v>No Manejado</v>
      </c>
    </row>
    <row r="24" spans="1:6" x14ac:dyDescent="0.3">
      <c r="A24" s="36" t="s">
        <v>489</v>
      </c>
      <c r="B24" s="36" t="s">
        <v>1107</v>
      </c>
      <c r="C24" s="27"/>
      <c r="D24" s="27"/>
      <c r="E24" s="27"/>
      <c r="F24" s="37" t="str">
        <f>IFERROR(VLOOKUP(A24,TblDisponibilidad[],23,FALSE),"No Manejado")</f>
        <v>No Manejado</v>
      </c>
    </row>
    <row r="25" spans="1:6" x14ac:dyDescent="0.3">
      <c r="A25" s="36" t="s">
        <v>343</v>
      </c>
      <c r="B25" s="36" t="s">
        <v>1111</v>
      </c>
      <c r="C25" s="27"/>
      <c r="D25" s="27"/>
      <c r="E25" s="27"/>
      <c r="F25" s="37" t="str">
        <f>IFERROR(VLOOKUP(A25,TblDisponibilidad[],23,FALSE),"No Manejado")</f>
        <v>No Manejado</v>
      </c>
    </row>
    <row r="26" spans="1:6" x14ac:dyDescent="0.3">
      <c r="A26" s="36" t="s">
        <v>1114</v>
      </c>
      <c r="B26" s="36" t="s">
        <v>1115</v>
      </c>
      <c r="C26" s="27"/>
      <c r="D26" s="27"/>
      <c r="E26" s="27"/>
      <c r="F26" s="37" t="str">
        <f>IFERROR(VLOOKUP(A26,TblDisponibilidad[],23,FALSE),"No Manejado")</f>
        <v>No Manejado</v>
      </c>
    </row>
    <row r="27" spans="1:6" x14ac:dyDescent="0.3">
      <c r="A27" s="36" t="s">
        <v>879</v>
      </c>
      <c r="B27" s="36" t="s">
        <v>1141</v>
      </c>
      <c r="C27" s="27"/>
      <c r="D27" s="27"/>
      <c r="E27" s="27"/>
      <c r="F27" s="37" t="str">
        <f>IFERROR(VLOOKUP(A27,TblDisponibilidad[],23,FALSE),"No Manejado")</f>
        <v>No Manejado</v>
      </c>
    </row>
    <row r="28" spans="1:6" x14ac:dyDescent="0.3">
      <c r="A28" s="36" t="s">
        <v>344</v>
      </c>
      <c r="B28" s="36" t="s">
        <v>1142</v>
      </c>
      <c r="C28" s="27"/>
      <c r="D28" s="27"/>
      <c r="E28" s="27"/>
      <c r="F28" s="37" t="str">
        <f>IFERROR(VLOOKUP(A28,TblDisponibilidad[],23,FALSE),"No Manejado")</f>
        <v>No Manejado</v>
      </c>
    </row>
    <row r="29" spans="1:6" x14ac:dyDescent="0.3">
      <c r="A29" s="36" t="s">
        <v>345</v>
      </c>
      <c r="B29" s="36" t="s">
        <v>1143</v>
      </c>
      <c r="C29" s="27"/>
      <c r="D29" s="27"/>
      <c r="E29" s="27"/>
      <c r="F29" s="37" t="str">
        <f>IFERROR(VLOOKUP(A29,TblDisponibilidad[],23,FALSE),"No Manejado")</f>
        <v>No Manejado</v>
      </c>
    </row>
    <row r="30" spans="1:6" x14ac:dyDescent="0.3">
      <c r="A30" s="36" t="s">
        <v>319</v>
      </c>
      <c r="B30" s="36" t="s">
        <v>1144</v>
      </c>
      <c r="C30" s="27"/>
      <c r="D30" s="27"/>
      <c r="E30" s="27"/>
      <c r="F30" s="37" t="str">
        <f>IFERROR(VLOOKUP(A30,TblDisponibilidad[],23,FALSE),"No Manejado")</f>
        <v>No Manejado</v>
      </c>
    </row>
    <row r="31" spans="1:6" x14ac:dyDescent="0.3">
      <c r="A31" s="36" t="s">
        <v>591</v>
      </c>
      <c r="B31" s="36" t="s">
        <v>1145</v>
      </c>
      <c r="C31" s="27"/>
      <c r="D31" s="27"/>
      <c r="E31" s="27"/>
      <c r="F31" s="37" t="str">
        <f>IFERROR(VLOOKUP(A31,TblDisponibilidad[],23,FALSE),"No Manejado")</f>
        <v>No Manejado</v>
      </c>
    </row>
    <row r="32" spans="1:6" x14ac:dyDescent="0.3">
      <c r="A32" s="36" t="s">
        <v>590</v>
      </c>
      <c r="B32" s="36" t="s">
        <v>1146</v>
      </c>
      <c r="C32" s="27"/>
      <c r="D32" s="27"/>
      <c r="E32" s="27"/>
      <c r="F32" s="37" t="str">
        <f>IFERROR(VLOOKUP(A32,TblDisponibilidad[],23,FALSE),"No Manejado")</f>
        <v>No Manejado</v>
      </c>
    </row>
    <row r="33" spans="1:6" x14ac:dyDescent="0.3">
      <c r="A33" s="36" t="s">
        <v>425</v>
      </c>
      <c r="B33" s="36" t="s">
        <v>1147</v>
      </c>
      <c r="C33" s="27"/>
      <c r="D33" s="27"/>
      <c r="E33" s="27"/>
      <c r="F33" s="37" t="str">
        <f>IFERROR(VLOOKUP(A33,TblDisponibilidad[],23,FALSE),"No Manejado")</f>
        <v>No Manejado</v>
      </c>
    </row>
    <row r="34" spans="1:6" x14ac:dyDescent="0.3">
      <c r="A34" s="36" t="s">
        <v>600</v>
      </c>
      <c r="B34" s="36" t="s">
        <v>1148</v>
      </c>
      <c r="C34" s="27"/>
      <c r="D34" s="27"/>
      <c r="E34" s="27"/>
      <c r="F34" s="37" t="str">
        <f>IFERROR(VLOOKUP(A34,TblDisponibilidad[],23,FALSE),"No Manejado")</f>
        <v>No Manejado</v>
      </c>
    </row>
    <row r="35" spans="1:6" x14ac:dyDescent="0.3">
      <c r="A35" s="36" t="s">
        <v>625</v>
      </c>
      <c r="B35" s="36" t="s">
        <v>1149</v>
      </c>
      <c r="C35" s="27"/>
      <c r="D35" s="27"/>
      <c r="E35" s="27"/>
      <c r="F35" s="37" t="str">
        <f>IFERROR(VLOOKUP(A35,TblDisponibilidad[],23,FALSE),"No Manejado")</f>
        <v>No Manejado</v>
      </c>
    </row>
    <row r="36" spans="1:6" x14ac:dyDescent="0.3">
      <c r="A36" s="36" t="s">
        <v>406</v>
      </c>
      <c r="B36" s="36" t="s">
        <v>1171</v>
      </c>
      <c r="C36" s="27"/>
      <c r="D36" s="27"/>
      <c r="E36" s="27"/>
      <c r="F36" s="37" t="str">
        <f>IFERROR(VLOOKUP(A36,TblDisponibilidad[],23,FALSE),"No Manejado")</f>
        <v>No Manejado</v>
      </c>
    </row>
    <row r="37" spans="1:6" x14ac:dyDescent="0.3">
      <c r="A37" s="36" t="s">
        <v>560</v>
      </c>
      <c r="B37" s="36" t="s">
        <v>1172</v>
      </c>
      <c r="C37" s="27"/>
      <c r="D37" s="27"/>
      <c r="E37" s="27"/>
      <c r="F37" s="37" t="str">
        <f>IFERROR(VLOOKUP(A37,TblDisponibilidad[],23,FALSE),"No Manejado")</f>
        <v>No Manejado</v>
      </c>
    </row>
    <row r="38" spans="1:6" x14ac:dyDescent="0.3">
      <c r="A38" s="36" t="s">
        <v>467</v>
      </c>
      <c r="B38" s="36" t="s">
        <v>1173</v>
      </c>
      <c r="C38" s="27"/>
      <c r="D38" s="27"/>
      <c r="E38" s="27"/>
      <c r="F38" s="37" t="str">
        <f>IFERROR(VLOOKUP(A38,TblDisponibilidad[],23,FALSE),"No Manejado")</f>
        <v>No Manejado</v>
      </c>
    </row>
    <row r="39" spans="1:6" x14ac:dyDescent="0.3">
      <c r="A39" s="36" t="s">
        <v>411</v>
      </c>
      <c r="B39" s="36" t="s">
        <v>1174</v>
      </c>
      <c r="C39" s="27"/>
      <c r="D39" s="27"/>
      <c r="E39" s="27"/>
      <c r="F39" s="37" t="str">
        <f>IFERROR(VLOOKUP(A39,TblDisponibilidad[],23,FALSE),"No Manejado")</f>
        <v>No Manejado</v>
      </c>
    </row>
    <row r="40" spans="1:6" x14ac:dyDescent="0.3">
      <c r="A40" s="36" t="s">
        <v>539</v>
      </c>
      <c r="B40" s="36" t="s">
        <v>1175</v>
      </c>
      <c r="C40" s="27"/>
      <c r="D40" s="27"/>
      <c r="E40" s="27"/>
      <c r="F40" s="37" t="str">
        <f>IFERROR(VLOOKUP(A40,TblDisponibilidad[],23,FALSE),"No Manejado")</f>
        <v>No Manejado</v>
      </c>
    </row>
    <row r="41" spans="1:6" x14ac:dyDescent="0.3">
      <c r="A41" s="36" t="s">
        <v>587</v>
      </c>
      <c r="B41" s="36" t="s">
        <v>1181</v>
      </c>
      <c r="C41" s="27"/>
      <c r="D41" s="27"/>
      <c r="E41" s="27"/>
      <c r="F41" s="37" t="str">
        <f>IFERROR(VLOOKUP(A41,TblDisponibilidad[],23,FALSE),"No Manejado")</f>
        <v>No Manejado</v>
      </c>
    </row>
    <row r="42" spans="1:6" x14ac:dyDescent="0.3">
      <c r="A42" s="36" t="s">
        <v>724</v>
      </c>
      <c r="B42" s="36" t="s">
        <v>1182</v>
      </c>
      <c r="C42" s="27"/>
      <c r="D42" s="27"/>
      <c r="E42" s="27"/>
      <c r="F42" s="37" t="str">
        <f>IFERROR(VLOOKUP(A42,TblDisponibilidad[],23,FALSE),"No Manejado")</f>
        <v>No Manejado</v>
      </c>
    </row>
    <row r="43" spans="1:6" x14ac:dyDescent="0.3">
      <c r="A43" s="36" t="s">
        <v>531</v>
      </c>
      <c r="B43" s="36" t="s">
        <v>1183</v>
      </c>
      <c r="C43" s="27"/>
      <c r="D43" s="27"/>
      <c r="E43" s="27"/>
      <c r="F43" s="37" t="str">
        <f>IFERROR(VLOOKUP(A43,TblDisponibilidad[],23,FALSE),"No Manejado")</f>
        <v>No Manejado</v>
      </c>
    </row>
    <row r="44" spans="1:6" x14ac:dyDescent="0.3">
      <c r="A44" s="36" t="s">
        <v>1184</v>
      </c>
      <c r="B44" s="36" t="s">
        <v>1185</v>
      </c>
      <c r="C44" s="27"/>
      <c r="D44" s="27"/>
      <c r="E44" s="27"/>
      <c r="F44" s="37" t="str">
        <f>IFERROR(VLOOKUP(A44,TblDisponibilidad[],23,FALSE),"No Manejado")</f>
        <v>No Manejado</v>
      </c>
    </row>
    <row r="45" spans="1:6" x14ac:dyDescent="0.3">
      <c r="A45" s="36" t="s">
        <v>546</v>
      </c>
      <c r="B45" s="36" t="s">
        <v>1186</v>
      </c>
      <c r="C45" s="27"/>
      <c r="D45" s="27"/>
      <c r="E45" s="27"/>
      <c r="F45" s="37" t="str">
        <f>IFERROR(VLOOKUP(A45,TblDisponibilidad[],23,FALSE),"No Manejado")</f>
        <v>No Manejado</v>
      </c>
    </row>
    <row r="46" spans="1:6" x14ac:dyDescent="0.3">
      <c r="A46" s="36" t="s">
        <v>621</v>
      </c>
      <c r="B46" s="36" t="s">
        <v>1187</v>
      </c>
      <c r="C46" s="27"/>
      <c r="D46" s="27"/>
      <c r="E46" s="27"/>
      <c r="F46" s="37" t="str">
        <f>IFERROR(VLOOKUP(A46,TblDisponibilidad[],23,FALSE),"No Manejado")</f>
        <v>No Manejado</v>
      </c>
    </row>
    <row r="47" spans="1:6" x14ac:dyDescent="0.3">
      <c r="A47" s="36" t="s">
        <v>320</v>
      </c>
      <c r="B47" s="36" t="s">
        <v>1210</v>
      </c>
      <c r="C47" s="27"/>
      <c r="D47" s="27"/>
      <c r="E47" s="27"/>
      <c r="F47" s="37" t="str">
        <f>IFERROR(VLOOKUP(A47,TblDisponibilidad[],23,FALSE),"No Manejado")</f>
        <v>No Manejado</v>
      </c>
    </row>
    <row r="48" spans="1:6" x14ac:dyDescent="0.3">
      <c r="A48" s="36" t="s">
        <v>534</v>
      </c>
      <c r="B48" s="36" t="s">
        <v>1233</v>
      </c>
      <c r="C48" s="27"/>
      <c r="D48" s="27"/>
      <c r="E48" s="27"/>
      <c r="F48" s="37" t="str">
        <f>IFERROR(VLOOKUP(A48,TblDisponibilidad[],23,FALSE),"No Manejado")</f>
        <v>No Manejado</v>
      </c>
    </row>
    <row r="49" spans="1:6" x14ac:dyDescent="0.3">
      <c r="A49" s="36" t="s">
        <v>392</v>
      </c>
      <c r="B49" s="36" t="s">
        <v>1239</v>
      </c>
      <c r="C49" s="27"/>
      <c r="D49" s="27"/>
      <c r="E49" s="27"/>
      <c r="F49" s="37" t="str">
        <f>IFERROR(VLOOKUP(A49,TblDisponibilidad[],23,FALSE),"No Manejado")</f>
        <v>No Manejado</v>
      </c>
    </row>
    <row r="50" spans="1:6" x14ac:dyDescent="0.3">
      <c r="A50" s="36" t="s">
        <v>419</v>
      </c>
      <c r="B50" s="36" t="s">
        <v>1240</v>
      </c>
      <c r="C50" s="27"/>
      <c r="D50" s="27"/>
      <c r="E50" s="27"/>
      <c r="F50" s="37" t="str">
        <f>IFERROR(VLOOKUP(A50,TblDisponibilidad[],23,FALSE),"No Manejado")</f>
        <v>No Manejado</v>
      </c>
    </row>
    <row r="51" spans="1:6" x14ac:dyDescent="0.3">
      <c r="A51" s="36" t="s">
        <v>549</v>
      </c>
      <c r="B51" s="36" t="s">
        <v>1241</v>
      </c>
      <c r="C51" s="27"/>
      <c r="D51" s="27"/>
      <c r="E51" s="27"/>
      <c r="F51" s="37" t="str">
        <f>IFERROR(VLOOKUP(A51,TblDisponibilidad[],23,FALSE),"No Manejado")</f>
        <v>No Manejado</v>
      </c>
    </row>
    <row r="52" spans="1:6" x14ac:dyDescent="0.3">
      <c r="A52" s="36" t="s">
        <v>773</v>
      </c>
      <c r="B52" s="36" t="s">
        <v>1242</v>
      </c>
      <c r="C52" s="27"/>
      <c r="D52" s="27"/>
      <c r="E52" s="27"/>
      <c r="F52" s="37" t="str">
        <f>IFERROR(VLOOKUP(A52,TblDisponibilidad[],23,FALSE),"No Manejado")</f>
        <v>No Manejado</v>
      </c>
    </row>
    <row r="53" spans="1:6" x14ac:dyDescent="0.3">
      <c r="A53" s="36" t="s">
        <v>589</v>
      </c>
      <c r="B53" s="36" t="s">
        <v>1279</v>
      </c>
      <c r="C53" s="27"/>
      <c r="D53" s="27"/>
      <c r="E53" s="27"/>
      <c r="F53" s="37" t="str">
        <f>IFERROR(VLOOKUP(A53,TblDisponibilidad[],23,FALSE),"No Manejado")</f>
        <v>No Manejado</v>
      </c>
    </row>
    <row r="54" spans="1:6" x14ac:dyDescent="0.3">
      <c r="A54" s="36" t="s">
        <v>1280</v>
      </c>
      <c r="B54" s="36" t="s">
        <v>1281</v>
      </c>
      <c r="C54" s="27"/>
      <c r="D54" s="27"/>
      <c r="E54" s="27"/>
      <c r="F54" s="37" t="str">
        <f>IFERROR(VLOOKUP(A54,TblDisponibilidad[],23,FALSE),"No Manejado")</f>
        <v>No Manejado</v>
      </c>
    </row>
    <row r="55" spans="1:6" x14ac:dyDescent="0.3">
      <c r="A55" s="36" t="s">
        <v>321</v>
      </c>
      <c r="B55" s="36" t="s">
        <v>1294</v>
      </c>
      <c r="C55" s="27"/>
      <c r="D55" s="27"/>
      <c r="E55" s="27"/>
      <c r="F55" s="37" t="str">
        <f>IFERROR(VLOOKUP(A55,TblDisponibilidad[],23,FALSE),"No Manejado")</f>
        <v>No Manejado</v>
      </c>
    </row>
    <row r="56" spans="1:6" x14ac:dyDescent="0.3">
      <c r="A56" s="36" t="s">
        <v>484</v>
      </c>
      <c r="B56" s="36" t="s">
        <v>1295</v>
      </c>
      <c r="C56" s="27"/>
      <c r="D56" s="27"/>
      <c r="E56" s="27"/>
      <c r="F56" s="37" t="str">
        <f>IFERROR(VLOOKUP(A56,TblDisponibilidad[],23,FALSE),"No Manejado")</f>
        <v>No Manejado</v>
      </c>
    </row>
    <row r="57" spans="1:6" x14ac:dyDescent="0.3">
      <c r="A57" s="36" t="s">
        <v>322</v>
      </c>
      <c r="B57" s="36" t="s">
        <v>1296</v>
      </c>
      <c r="C57" s="27"/>
      <c r="D57" s="27"/>
      <c r="E57" s="27"/>
      <c r="F57" s="37" t="str">
        <f>IFERROR(VLOOKUP(A57,TblDisponibilidad[],23,FALSE),"No Manejado")</f>
        <v>No Manejado</v>
      </c>
    </row>
    <row r="58" spans="1:6" x14ac:dyDescent="0.3">
      <c r="A58" s="36" t="s">
        <v>323</v>
      </c>
      <c r="B58" s="36" t="s">
        <v>1297</v>
      </c>
      <c r="C58" s="27"/>
      <c r="D58" s="27"/>
      <c r="E58" s="27"/>
      <c r="F58" s="37" t="str">
        <f>IFERROR(VLOOKUP(A58,TblDisponibilidad[],23,FALSE),"No Manejado")</f>
        <v>No Manejado</v>
      </c>
    </row>
    <row r="59" spans="1:6" x14ac:dyDescent="0.3">
      <c r="A59" s="36" t="s">
        <v>324</v>
      </c>
      <c r="B59" s="36" t="s">
        <v>1298</v>
      </c>
      <c r="C59" s="27"/>
      <c r="D59" s="27"/>
      <c r="E59" s="27"/>
      <c r="F59" s="37" t="str">
        <f>IFERROR(VLOOKUP(A59,TblDisponibilidad[],23,FALSE),"No Manejado")</f>
        <v>No Manejado</v>
      </c>
    </row>
    <row r="60" spans="1:6" x14ac:dyDescent="0.3">
      <c r="A60" s="36" t="s">
        <v>383</v>
      </c>
      <c r="B60" s="36" t="s">
        <v>1299</v>
      </c>
      <c r="C60" s="27"/>
      <c r="D60" s="27"/>
      <c r="E60" s="27"/>
      <c r="F60" s="37" t="str">
        <f>IFERROR(VLOOKUP(A60,TblDisponibilidad[],23,FALSE),"No Manejado")</f>
        <v>No Manejado</v>
      </c>
    </row>
    <row r="61" spans="1:6" x14ac:dyDescent="0.3">
      <c r="A61" s="36" t="s">
        <v>454</v>
      </c>
      <c r="B61" s="36" t="s">
        <v>1305</v>
      </c>
      <c r="C61" s="27"/>
      <c r="D61" s="27"/>
      <c r="E61" s="27"/>
      <c r="F61" s="37" t="str">
        <f>IFERROR(VLOOKUP(A61,TblDisponibilidad[],23,FALSE),"No Manejado")</f>
        <v>No Manejado</v>
      </c>
    </row>
    <row r="62" spans="1:6" x14ac:dyDescent="0.3">
      <c r="A62" s="36" t="s">
        <v>487</v>
      </c>
      <c r="B62" s="36" t="s">
        <v>1306</v>
      </c>
      <c r="C62" s="27"/>
      <c r="D62" s="27"/>
      <c r="E62" s="27"/>
      <c r="F62" s="37" t="str">
        <f>IFERROR(VLOOKUP(A62,TblDisponibilidad[],23,FALSE),"No Manejado")</f>
        <v>No Manejado</v>
      </c>
    </row>
    <row r="63" spans="1:6" x14ac:dyDescent="0.3">
      <c r="A63" s="36" t="s">
        <v>1307</v>
      </c>
      <c r="B63" s="36" t="s">
        <v>1308</v>
      </c>
      <c r="C63" s="27"/>
      <c r="D63" s="27"/>
      <c r="E63" s="27"/>
      <c r="F63" s="37" t="str">
        <f>IFERROR(VLOOKUP(A63,TblDisponibilidad[],23,FALSE),"No Manejado")</f>
        <v>No Manejado</v>
      </c>
    </row>
    <row r="64" spans="1:6" x14ac:dyDescent="0.3">
      <c r="A64" s="36" t="s">
        <v>554</v>
      </c>
      <c r="B64" s="36" t="s">
        <v>1309</v>
      </c>
      <c r="C64" s="27"/>
      <c r="D64" s="27"/>
      <c r="E64" s="27"/>
      <c r="F64" s="37" t="str">
        <f>IFERROR(VLOOKUP(A64,TblDisponibilidad[],23,FALSE),"No Manejado")</f>
        <v>No Manejado</v>
      </c>
    </row>
    <row r="65" spans="1:6" x14ac:dyDescent="0.3">
      <c r="A65" s="36" t="s">
        <v>567</v>
      </c>
      <c r="B65" s="36" t="s">
        <v>1311</v>
      </c>
      <c r="C65" s="27"/>
      <c r="D65" s="27"/>
      <c r="E65" s="27"/>
      <c r="F65" s="37" t="str">
        <f>IFERROR(VLOOKUP(A65,TblDisponibilidad[],23,FALSE),"No Manejado")</f>
        <v>No Manejado</v>
      </c>
    </row>
    <row r="66" spans="1:6" x14ac:dyDescent="0.3">
      <c r="A66" s="36" t="s">
        <v>413</v>
      </c>
      <c r="B66" s="36" t="s">
        <v>1326</v>
      </c>
      <c r="C66" s="27"/>
      <c r="D66" s="27"/>
      <c r="E66" s="27"/>
      <c r="F66" s="37" t="str">
        <f>IFERROR(VLOOKUP(A66,TblDisponibilidad[],23,FALSE),"No Manejado")</f>
        <v>No Manejado</v>
      </c>
    </row>
    <row r="67" spans="1:6" x14ac:dyDescent="0.3">
      <c r="A67" s="36" t="s">
        <v>451</v>
      </c>
      <c r="B67" s="36" t="s">
        <v>1344</v>
      </c>
      <c r="C67" s="27"/>
      <c r="D67" s="27"/>
      <c r="E67" s="27"/>
      <c r="F67" s="37" t="str">
        <f>IFERROR(VLOOKUP(A67,TblDisponibilidad[],23,FALSE),"No Manejado")</f>
        <v>No Manejado</v>
      </c>
    </row>
    <row r="68" spans="1:6" x14ac:dyDescent="0.3">
      <c r="A68" s="36" t="s">
        <v>901</v>
      </c>
      <c r="B68" s="36" t="s">
        <v>1345</v>
      </c>
      <c r="C68" s="27"/>
      <c r="D68" s="27"/>
      <c r="E68" s="27"/>
      <c r="F68" s="37" t="str">
        <f>IFERROR(VLOOKUP(A68,TblDisponibilidad[],23,FALSE),"No Manejado")</f>
        <v>No Manejado</v>
      </c>
    </row>
    <row r="69" spans="1:6" x14ac:dyDescent="0.3">
      <c r="A69" s="36" t="s">
        <v>1346</v>
      </c>
      <c r="B69" s="36" t="s">
        <v>1347</v>
      </c>
      <c r="C69" s="27"/>
      <c r="D69" s="27"/>
      <c r="E69" s="27"/>
      <c r="F69" s="37" t="str">
        <f>IFERROR(VLOOKUP(A69,TblDisponibilidad[],23,FALSE),"No Manejado")</f>
        <v>No Manejado</v>
      </c>
    </row>
    <row r="70" spans="1:6" x14ac:dyDescent="0.3">
      <c r="A70" s="36" t="s">
        <v>479</v>
      </c>
      <c r="B70" s="36" t="s">
        <v>1370</v>
      </c>
      <c r="C70" s="27"/>
      <c r="D70" s="27"/>
      <c r="E70" s="27"/>
      <c r="F70" s="37" t="str">
        <f>IFERROR(VLOOKUP(A70,TblDisponibilidad[],23,FALSE),"No Manejado")</f>
        <v>No Manejado</v>
      </c>
    </row>
    <row r="71" spans="1:6" x14ac:dyDescent="0.3">
      <c r="A71" s="36" t="s">
        <v>477</v>
      </c>
      <c r="B71" s="36" t="s">
        <v>1377</v>
      </c>
      <c r="C71" s="27"/>
      <c r="D71" s="27"/>
      <c r="E71" s="27"/>
      <c r="F71" s="37" t="str">
        <f>IFERROR(VLOOKUP(A71,TblDisponibilidad[],23,FALSE),"No Manejado")</f>
        <v>No Manejado</v>
      </c>
    </row>
    <row r="72" spans="1:6" x14ac:dyDescent="0.3">
      <c r="A72" s="36" t="s">
        <v>533</v>
      </c>
      <c r="B72" s="36" t="s">
        <v>1378</v>
      </c>
      <c r="C72" s="27"/>
      <c r="D72" s="27"/>
      <c r="E72" s="27"/>
      <c r="F72" s="37" t="str">
        <f>IFERROR(VLOOKUP(A72,TblDisponibilidad[],23,FALSE),"No Manejado")</f>
        <v>No Manejado</v>
      </c>
    </row>
    <row r="73" spans="1:6" x14ac:dyDescent="0.3">
      <c r="A73" s="36" t="s">
        <v>853</v>
      </c>
      <c r="B73" s="36" t="s">
        <v>1387</v>
      </c>
      <c r="C73" s="27"/>
      <c r="D73" s="27"/>
      <c r="E73" s="27"/>
      <c r="F73" s="37" t="str">
        <f>IFERROR(VLOOKUP(A73,TblDisponibilidad[],23,FALSE),"No Manejado")</f>
        <v>No Manejado</v>
      </c>
    </row>
    <row r="74" spans="1:6" x14ac:dyDescent="0.3">
      <c r="A74" s="36" t="s">
        <v>1388</v>
      </c>
      <c r="B74" s="36" t="s">
        <v>1389</v>
      </c>
      <c r="C74" s="27"/>
      <c r="D74" s="27"/>
      <c r="E74" s="27"/>
      <c r="F74" s="37" t="str">
        <f>IFERROR(VLOOKUP(A74,TblDisponibilidad[],23,FALSE),"No Manejado")</f>
        <v>No Manejado</v>
      </c>
    </row>
    <row r="75" spans="1:6" x14ac:dyDescent="0.3">
      <c r="A75" s="36" t="s">
        <v>900</v>
      </c>
      <c r="B75" s="36" t="s">
        <v>1390</v>
      </c>
      <c r="C75" s="27"/>
      <c r="D75" s="27"/>
      <c r="E75" s="27"/>
      <c r="F75" s="37" t="str">
        <f>IFERROR(VLOOKUP(A75,TblDisponibilidad[],23,FALSE),"No Manejado")</f>
        <v>No Manejado</v>
      </c>
    </row>
    <row r="76" spans="1:6" x14ac:dyDescent="0.3">
      <c r="A76" s="36" t="s">
        <v>918</v>
      </c>
      <c r="B76" s="36" t="s">
        <v>1391</v>
      </c>
      <c r="C76" s="27"/>
      <c r="D76" s="27"/>
      <c r="E76" s="27"/>
      <c r="F76" s="37" t="str">
        <f>IFERROR(VLOOKUP(A76,TblDisponibilidad[],23,FALSE),"No Manejado")</f>
        <v>No Manejado</v>
      </c>
    </row>
    <row r="77" spans="1:6" x14ac:dyDescent="0.3">
      <c r="A77" s="36" t="s">
        <v>1393</v>
      </c>
      <c r="B77" s="36" t="s">
        <v>1394</v>
      </c>
      <c r="C77" s="27"/>
      <c r="D77" s="27"/>
      <c r="E77" s="27"/>
      <c r="F77" s="37" t="str">
        <f>IFERROR(VLOOKUP(A77,TblDisponibilidad[],23,FALSE),"No Manejado")</f>
        <v>No Manejado</v>
      </c>
    </row>
    <row r="78" spans="1:6" x14ac:dyDescent="0.3">
      <c r="A78" s="36" t="s">
        <v>1395</v>
      </c>
      <c r="B78" s="36" t="s">
        <v>1396</v>
      </c>
      <c r="C78" s="27"/>
      <c r="D78" s="27"/>
      <c r="E78" s="27"/>
      <c r="F78" s="37" t="str">
        <f>IFERROR(VLOOKUP(A78,TblDisponibilidad[],23,FALSE),"No Manejado")</f>
        <v>No Manejado</v>
      </c>
    </row>
    <row r="79" spans="1:6" x14ac:dyDescent="0.3">
      <c r="A79" s="36" t="s">
        <v>1398</v>
      </c>
      <c r="B79" s="36" t="s">
        <v>1399</v>
      </c>
      <c r="C79" s="27"/>
      <c r="D79" s="27"/>
      <c r="E79" s="27"/>
      <c r="F79" s="37" t="str">
        <f>IFERROR(VLOOKUP(A79,TblDisponibilidad[],23,FALSE),"No Manejado")</f>
        <v>No Manejado</v>
      </c>
    </row>
    <row r="80" spans="1:6" x14ac:dyDescent="0.3">
      <c r="A80" s="36" t="s">
        <v>1400</v>
      </c>
      <c r="B80" s="36" t="s">
        <v>1401</v>
      </c>
      <c r="C80" s="27"/>
      <c r="D80" s="27"/>
      <c r="E80" s="27"/>
      <c r="F80" s="37" t="str">
        <f>IFERROR(VLOOKUP(A80,TblDisponibilidad[],23,FALSE),"No Manejado")</f>
        <v>No Manejado</v>
      </c>
    </row>
    <row r="81" spans="1:6" x14ac:dyDescent="0.3">
      <c r="A81" s="36" t="s">
        <v>486</v>
      </c>
      <c r="B81" s="36" t="s">
        <v>1402</v>
      </c>
      <c r="C81" s="27"/>
      <c r="D81" s="27"/>
      <c r="E81" s="27"/>
      <c r="F81" s="37" t="str">
        <f>IFERROR(VLOOKUP(A81,TblDisponibilidad[],23,FALSE),"No Manejado")</f>
        <v>No Manejado</v>
      </c>
    </row>
    <row r="82" spans="1:6" x14ac:dyDescent="0.3">
      <c r="A82" s="36" t="s">
        <v>803</v>
      </c>
      <c r="B82" s="36" t="s">
        <v>1403</v>
      </c>
      <c r="C82" s="27"/>
      <c r="D82" s="27"/>
      <c r="E82" s="27"/>
      <c r="F82" s="37" t="str">
        <f>IFERROR(VLOOKUP(A82,TblDisponibilidad[],23,FALSE),"No Manejado")</f>
        <v>No Manejado</v>
      </c>
    </row>
    <row r="83" spans="1:6" x14ac:dyDescent="0.3">
      <c r="A83" s="36" t="s">
        <v>883</v>
      </c>
      <c r="B83" s="36" t="s">
        <v>1404</v>
      </c>
      <c r="C83" s="27"/>
      <c r="D83" s="27"/>
      <c r="E83" s="27"/>
      <c r="F83" s="37" t="str">
        <f>IFERROR(VLOOKUP(A83,TblDisponibilidad[],23,FALSE),"No Manejado")</f>
        <v>No Manejado</v>
      </c>
    </row>
    <row r="84" spans="1:6" x14ac:dyDescent="0.3">
      <c r="A84" s="36" t="s">
        <v>349</v>
      </c>
      <c r="B84" s="36" t="s">
        <v>1405</v>
      </c>
      <c r="C84" s="27"/>
      <c r="D84" s="27"/>
      <c r="E84" s="27"/>
      <c r="F84" s="37" t="str">
        <f>IFERROR(VLOOKUP(A84,TblDisponibilidad[],23,FALSE),"No Manejado")</f>
        <v>No Manejado</v>
      </c>
    </row>
    <row r="85" spans="1:6" x14ac:dyDescent="0.3">
      <c r="A85" s="36" t="s">
        <v>350</v>
      </c>
      <c r="B85" s="36" t="s">
        <v>1406</v>
      </c>
      <c r="C85" s="27"/>
      <c r="D85" s="27"/>
      <c r="E85" s="27"/>
      <c r="F85" s="37" t="str">
        <f>IFERROR(VLOOKUP(A85,TblDisponibilidad[],23,FALSE),"No Manejado")</f>
        <v>No Manejado</v>
      </c>
    </row>
    <row r="86" spans="1:6" x14ac:dyDescent="0.3">
      <c r="A86" s="36" t="s">
        <v>351</v>
      </c>
      <c r="B86" s="36" t="s">
        <v>1407</v>
      </c>
      <c r="C86" s="27"/>
      <c r="D86" s="27"/>
      <c r="E86" s="27"/>
      <c r="F86" s="37" t="str">
        <f>IFERROR(VLOOKUP(A86,TblDisponibilidad[],23,FALSE),"No Manejado")</f>
        <v>No Manejado</v>
      </c>
    </row>
    <row r="87" spans="1:6" x14ac:dyDescent="0.3">
      <c r="A87" s="36" t="s">
        <v>1408</v>
      </c>
      <c r="B87" s="36" t="s">
        <v>1409</v>
      </c>
      <c r="C87" s="27"/>
      <c r="D87" s="27"/>
      <c r="E87" s="27"/>
      <c r="F87" s="37" t="str">
        <f>IFERROR(VLOOKUP(A87,TblDisponibilidad[],23,FALSE),"No Manejado")</f>
        <v>No Manejado</v>
      </c>
    </row>
    <row r="88" spans="1:6" x14ac:dyDescent="0.3">
      <c r="A88" s="36" t="s">
        <v>352</v>
      </c>
      <c r="B88" s="36" t="s">
        <v>1427</v>
      </c>
      <c r="C88" s="27"/>
      <c r="D88" s="27"/>
      <c r="E88" s="27"/>
      <c r="F88" s="37" t="str">
        <f>IFERROR(VLOOKUP(A88,TblDisponibilidad[],23,FALSE),"No Manejado")</f>
        <v>No Manejado</v>
      </c>
    </row>
    <row r="89" spans="1:6" x14ac:dyDescent="0.3">
      <c r="A89" s="36" t="s">
        <v>353</v>
      </c>
      <c r="B89" s="36" t="s">
        <v>1428</v>
      </c>
      <c r="C89" s="27"/>
      <c r="D89" s="27"/>
      <c r="E89" s="27"/>
      <c r="F89" s="37" t="str">
        <f>IFERROR(VLOOKUP(A89,TblDisponibilidad[],23,FALSE),"No Manejado")</f>
        <v>No Manejado</v>
      </c>
    </row>
    <row r="90" spans="1:6" x14ac:dyDescent="0.3">
      <c r="A90" s="36" t="s">
        <v>354</v>
      </c>
      <c r="B90" s="36" t="s">
        <v>1448</v>
      </c>
      <c r="C90" s="27"/>
      <c r="D90" s="27"/>
      <c r="E90" s="27"/>
      <c r="F90" s="37" t="str">
        <f>IFERROR(VLOOKUP(A90,TblDisponibilidad[],23,FALSE),"No Manejado")</f>
        <v>No Manejado</v>
      </c>
    </row>
    <row r="91" spans="1:6" x14ac:dyDescent="0.3">
      <c r="A91" s="36" t="s">
        <v>327</v>
      </c>
      <c r="B91" s="36" t="s">
        <v>1449</v>
      </c>
      <c r="C91" s="27"/>
      <c r="D91" s="27"/>
      <c r="E91" s="27"/>
      <c r="F91" s="37" t="str">
        <f>IFERROR(VLOOKUP(A91,TblDisponibilidad[],23,FALSE),"No Manejado")</f>
        <v>No Manejado</v>
      </c>
    </row>
    <row r="92" spans="1:6" x14ac:dyDescent="0.3">
      <c r="A92" s="36" t="s">
        <v>488</v>
      </c>
      <c r="B92" s="36" t="s">
        <v>1450</v>
      </c>
      <c r="C92" s="27"/>
      <c r="D92" s="27"/>
      <c r="E92" s="27"/>
      <c r="F92" s="37" t="str">
        <f>IFERROR(VLOOKUP(A92,TblDisponibilidad[],23,FALSE),"No Manejado")</f>
        <v>No Manejado</v>
      </c>
    </row>
    <row r="93" spans="1:6" x14ac:dyDescent="0.3">
      <c r="A93" s="36" t="s">
        <v>328</v>
      </c>
      <c r="B93" s="36" t="s">
        <v>1451</v>
      </c>
      <c r="C93" s="27"/>
      <c r="D93" s="27"/>
      <c r="E93" s="27"/>
      <c r="F93" s="37" t="str">
        <f>IFERROR(VLOOKUP(A93,TblDisponibilidad[],23,FALSE),"No Manejado")</f>
        <v>No Manejado</v>
      </c>
    </row>
    <row r="94" spans="1:6" x14ac:dyDescent="0.3">
      <c r="A94" s="36" t="s">
        <v>355</v>
      </c>
      <c r="B94" s="36" t="s">
        <v>1452</v>
      </c>
      <c r="C94" s="27"/>
      <c r="D94" s="27"/>
      <c r="E94" s="27"/>
      <c r="F94" s="37" t="str">
        <f>IFERROR(VLOOKUP(A94,TblDisponibilidad[],23,FALSE),"No Manejado")</f>
        <v>No Manejado</v>
      </c>
    </row>
    <row r="95" spans="1:6" x14ac:dyDescent="0.3">
      <c r="A95" s="36" t="s">
        <v>872</v>
      </c>
      <c r="B95" s="36" t="s">
        <v>1453</v>
      </c>
      <c r="C95" s="27"/>
      <c r="D95" s="27"/>
      <c r="E95" s="27"/>
      <c r="F95" s="37" t="str">
        <f>IFERROR(VLOOKUP(A95,TblDisponibilidad[],23,FALSE),"No Manejado")</f>
        <v>No Manejado</v>
      </c>
    </row>
    <row r="96" spans="1:6" x14ac:dyDescent="0.3">
      <c r="A96" s="36" t="s">
        <v>329</v>
      </c>
      <c r="B96" s="36" t="s">
        <v>1454</v>
      </c>
      <c r="C96" s="27"/>
      <c r="D96" s="27"/>
      <c r="E96" s="27"/>
      <c r="F96" s="37" t="str">
        <f>IFERROR(VLOOKUP(A96,TblDisponibilidad[],23,FALSE),"No Manejado")</f>
        <v>No Manejado</v>
      </c>
    </row>
    <row r="97" spans="1:6" x14ac:dyDescent="0.3">
      <c r="A97" s="36" t="s">
        <v>459</v>
      </c>
      <c r="B97" s="36" t="s">
        <v>1455</v>
      </c>
      <c r="C97" s="27"/>
      <c r="D97" s="27"/>
      <c r="E97" s="27"/>
      <c r="F97" s="37" t="str">
        <f>IFERROR(VLOOKUP(A97,TblDisponibilidad[],23,FALSE),"No Manejado")</f>
        <v>No Manejado</v>
      </c>
    </row>
    <row r="98" spans="1:6" x14ac:dyDescent="0.3">
      <c r="A98" s="36" t="s">
        <v>654</v>
      </c>
      <c r="B98" s="36" t="s">
        <v>1456</v>
      </c>
      <c r="C98" s="27"/>
      <c r="D98" s="27"/>
      <c r="E98" s="27"/>
      <c r="F98" s="37" t="str">
        <f>IFERROR(VLOOKUP(A98,TblDisponibilidad[],23,FALSE),"No Manejado")</f>
        <v>No Manejado</v>
      </c>
    </row>
    <row r="99" spans="1:6" x14ac:dyDescent="0.3">
      <c r="A99" s="36" t="s">
        <v>1457</v>
      </c>
      <c r="B99" s="36" t="s">
        <v>1458</v>
      </c>
      <c r="C99" s="27"/>
      <c r="D99" s="27"/>
      <c r="E99" s="27"/>
      <c r="F99" s="37" t="str">
        <f>IFERROR(VLOOKUP(A99,TblDisponibilidad[],23,FALSE),"No Manejado")</f>
        <v>No Manejado</v>
      </c>
    </row>
    <row r="100" spans="1:6" x14ac:dyDescent="0.3">
      <c r="A100" s="36" t="s">
        <v>526</v>
      </c>
      <c r="B100" s="36" t="s">
        <v>1459</v>
      </c>
      <c r="C100" s="27"/>
      <c r="D100" s="27"/>
      <c r="E100" s="27"/>
      <c r="F100" s="37" t="str">
        <f>IFERROR(VLOOKUP(A100,TblDisponibilidad[],23,FALSE),"No Manejado")</f>
        <v>No Manejado</v>
      </c>
    </row>
    <row r="101" spans="1:6" x14ac:dyDescent="0.3">
      <c r="A101" s="36" t="s">
        <v>460</v>
      </c>
      <c r="B101" s="36" t="s">
        <v>1460</v>
      </c>
      <c r="C101" s="27"/>
      <c r="D101" s="27"/>
      <c r="E101" s="27"/>
      <c r="F101" s="37" t="str">
        <f>IFERROR(VLOOKUP(A101,TblDisponibilidad[],23,FALSE),"No Manejado")</f>
        <v>No Manejado</v>
      </c>
    </row>
    <row r="102" spans="1:6" x14ac:dyDescent="0.3">
      <c r="A102" s="36" t="s">
        <v>576</v>
      </c>
      <c r="B102" s="36" t="s">
        <v>1461</v>
      </c>
      <c r="C102" s="27"/>
      <c r="D102" s="27"/>
      <c r="E102" s="27"/>
      <c r="F102" s="37" t="str">
        <f>IFERROR(VLOOKUP(A102,TblDisponibilidad[],23,FALSE),"No Manejado")</f>
        <v>No Manejado</v>
      </c>
    </row>
    <row r="103" spans="1:6" x14ac:dyDescent="0.3">
      <c r="A103" s="36" t="s">
        <v>623</v>
      </c>
      <c r="B103" s="36" t="s">
        <v>1465</v>
      </c>
      <c r="C103" s="27"/>
      <c r="D103" s="27"/>
      <c r="E103" s="27"/>
      <c r="F103" s="37" t="str">
        <f>IFERROR(VLOOKUP(A103,TblDisponibilidad[],23,FALSE),"No Manejado")</f>
        <v>No Manejado</v>
      </c>
    </row>
    <row r="104" spans="1:6" x14ac:dyDescent="0.3">
      <c r="A104" s="36" t="s">
        <v>565</v>
      </c>
      <c r="B104" s="36" t="s">
        <v>1466</v>
      </c>
      <c r="C104" s="27"/>
      <c r="D104" s="27"/>
      <c r="E104" s="27"/>
      <c r="F104" s="37" t="str">
        <f>IFERROR(VLOOKUP(A104,TblDisponibilidad[],23,FALSE),"No Manejado")</f>
        <v>No Manejado</v>
      </c>
    </row>
    <row r="105" spans="1:6" x14ac:dyDescent="0.3">
      <c r="A105" s="36" t="s">
        <v>566</v>
      </c>
      <c r="B105" s="36" t="s">
        <v>1467</v>
      </c>
      <c r="C105" s="27"/>
      <c r="D105" s="27"/>
      <c r="E105" s="27"/>
      <c r="F105" s="37" t="str">
        <f>IFERROR(VLOOKUP(A105,TblDisponibilidad[],23,FALSE),"No Manejado")</f>
        <v>No Manejado</v>
      </c>
    </row>
    <row r="106" spans="1:6" x14ac:dyDescent="0.3">
      <c r="A106" s="36" t="s">
        <v>511</v>
      </c>
      <c r="B106" s="36" t="s">
        <v>1468</v>
      </c>
      <c r="C106" s="27"/>
      <c r="D106" s="27"/>
      <c r="E106" s="27"/>
      <c r="F106" s="37" t="str">
        <f>IFERROR(VLOOKUP(A106,TblDisponibilidad[],23,FALSE),"No Manejado")</f>
        <v>No Manejado</v>
      </c>
    </row>
    <row r="107" spans="1:6" x14ac:dyDescent="0.3">
      <c r="A107" s="36" t="s">
        <v>579</v>
      </c>
      <c r="B107" s="36" t="s">
        <v>1469</v>
      </c>
      <c r="C107" s="27"/>
      <c r="D107" s="27"/>
      <c r="E107" s="27"/>
      <c r="F107" s="37" t="str">
        <f>IFERROR(VLOOKUP(A107,TblDisponibilidad[],23,FALSE),"No Manejado")</f>
        <v>No Manejado</v>
      </c>
    </row>
    <row r="108" spans="1:6" x14ac:dyDescent="0.3">
      <c r="A108" s="36" t="s">
        <v>770</v>
      </c>
      <c r="B108" s="36" t="s">
        <v>1481</v>
      </c>
      <c r="C108" s="27"/>
      <c r="D108" s="27"/>
      <c r="E108" s="27"/>
      <c r="F108" s="37" t="str">
        <f>IFERROR(VLOOKUP(A108,TblDisponibilidad[],23,FALSE),"No Manejado")</f>
        <v>No Manejado</v>
      </c>
    </row>
    <row r="109" spans="1:6" x14ac:dyDescent="0.3">
      <c r="A109" s="36" t="s">
        <v>771</v>
      </c>
      <c r="B109" s="36" t="s">
        <v>1482</v>
      </c>
      <c r="C109" s="27"/>
      <c r="D109" s="27"/>
      <c r="E109" s="27"/>
      <c r="F109" s="37" t="str">
        <f>IFERROR(VLOOKUP(A109,TblDisponibilidad[],23,FALSE),"No Manejado")</f>
        <v>No Manejado</v>
      </c>
    </row>
    <row r="110" spans="1:6" x14ac:dyDescent="0.3">
      <c r="A110" s="36" t="s">
        <v>478</v>
      </c>
      <c r="B110" s="36" t="s">
        <v>1483</v>
      </c>
      <c r="C110" s="27"/>
      <c r="D110" s="27"/>
      <c r="E110" s="27"/>
      <c r="F110" s="37" t="str">
        <f>IFERROR(VLOOKUP(A110,TblDisponibilidad[],23,FALSE),"No Manejado")</f>
        <v>No Manejado</v>
      </c>
    </row>
    <row r="111" spans="1:6" x14ac:dyDescent="0.3">
      <c r="A111" s="36" t="s">
        <v>480</v>
      </c>
      <c r="B111" s="36" t="s">
        <v>1506</v>
      </c>
      <c r="C111" s="27"/>
      <c r="D111" s="27"/>
      <c r="E111" s="27"/>
      <c r="F111" s="37" t="str">
        <f>IFERROR(VLOOKUP(A111,TblDisponibilidad[],23,FALSE),"No Manejado")</f>
        <v>No Manejado</v>
      </c>
    </row>
    <row r="112" spans="1:6" x14ac:dyDescent="0.3">
      <c r="A112" s="36" t="s">
        <v>1507</v>
      </c>
      <c r="B112" s="36" t="s">
        <v>1508</v>
      </c>
      <c r="C112" s="27"/>
      <c r="D112" s="27"/>
      <c r="E112" s="27"/>
      <c r="F112" s="37" t="str">
        <f>IFERROR(VLOOKUP(A112,TblDisponibilidad[],23,FALSE),"No Manejado")</f>
        <v>No Manejado</v>
      </c>
    </row>
    <row r="113" spans="1:6" x14ac:dyDescent="0.3">
      <c r="A113" s="36" t="s">
        <v>482</v>
      </c>
      <c r="B113" s="36" t="s">
        <v>1511</v>
      </c>
      <c r="C113" s="27"/>
      <c r="D113" s="27"/>
      <c r="E113" s="27"/>
      <c r="F113" s="37" t="str">
        <f>IFERROR(VLOOKUP(A113,TblDisponibilidad[],23,FALSE),"No Manejado")</f>
        <v>No Manejado</v>
      </c>
    </row>
    <row r="114" spans="1:6" x14ac:dyDescent="0.3">
      <c r="A114" s="36" t="s">
        <v>421</v>
      </c>
      <c r="B114" s="36" t="s">
        <v>1512</v>
      </c>
      <c r="C114" s="27"/>
      <c r="D114" s="27"/>
      <c r="E114" s="27"/>
      <c r="F114" s="37" t="str">
        <f>IFERROR(VLOOKUP(A114,TblDisponibilidad[],23,FALSE),"No Manejado")</f>
        <v>No Manejado</v>
      </c>
    </row>
    <row r="115" spans="1:6" x14ac:dyDescent="0.3">
      <c r="A115" s="36" t="s">
        <v>356</v>
      </c>
      <c r="B115" s="36" t="s">
        <v>1513</v>
      </c>
      <c r="C115" s="27"/>
      <c r="D115" s="27"/>
      <c r="E115" s="27"/>
      <c r="F115" s="37" t="str">
        <f>IFERROR(VLOOKUP(A115,TblDisponibilidad[],23,FALSE),"No Manejado")</f>
        <v>No Manejado</v>
      </c>
    </row>
    <row r="116" spans="1:6" x14ac:dyDescent="0.3">
      <c r="A116" s="36" t="s">
        <v>829</v>
      </c>
      <c r="B116" s="36" t="s">
        <v>1536</v>
      </c>
      <c r="C116" s="27"/>
      <c r="D116" s="27"/>
      <c r="E116" s="27"/>
      <c r="F116" s="37" t="str">
        <f>IFERROR(VLOOKUP(A116,TblDisponibilidad[],23,FALSE),"No Manejado")</f>
        <v>No Manejado</v>
      </c>
    </row>
    <row r="117" spans="1:6" x14ac:dyDescent="0.3">
      <c r="A117" s="36" t="s">
        <v>830</v>
      </c>
      <c r="B117" s="36" t="s">
        <v>1537</v>
      </c>
      <c r="C117" s="27"/>
      <c r="D117" s="27"/>
      <c r="E117" s="27"/>
      <c r="F117" s="37" t="str">
        <f>IFERROR(VLOOKUP(A117,TblDisponibilidad[],23,FALSE),"No Manejado")</f>
        <v>No Manejado</v>
      </c>
    </row>
    <row r="118" spans="1:6" x14ac:dyDescent="0.3">
      <c r="A118" s="36" t="s">
        <v>586</v>
      </c>
      <c r="B118" s="36" t="s">
        <v>1538</v>
      </c>
      <c r="C118" s="27"/>
      <c r="D118" s="27"/>
      <c r="E118" s="27"/>
      <c r="F118" s="37" t="str">
        <f>IFERROR(VLOOKUP(A118,TblDisponibilidad[],23,FALSE),"No Manejado")</f>
        <v>No Manejado</v>
      </c>
    </row>
    <row r="119" spans="1:6" x14ac:dyDescent="0.3">
      <c r="A119" s="36" t="s">
        <v>1539</v>
      </c>
      <c r="B119" s="36" t="s">
        <v>1540</v>
      </c>
      <c r="C119" s="27"/>
      <c r="D119" s="27"/>
      <c r="E119" s="27"/>
      <c r="F119" s="37" t="str">
        <f>IFERROR(VLOOKUP(A119,TblDisponibilidad[],23,FALSE),"No Manejado")</f>
        <v>No Manejado</v>
      </c>
    </row>
    <row r="120" spans="1:6" x14ac:dyDescent="0.3">
      <c r="A120" s="36" t="s">
        <v>1541</v>
      </c>
      <c r="B120" s="36" t="s">
        <v>1542</v>
      </c>
      <c r="C120" s="27"/>
      <c r="D120" s="27"/>
      <c r="E120" s="27"/>
      <c r="F120" s="37" t="str">
        <f>IFERROR(VLOOKUP(A120,TblDisponibilidad[],23,FALSE),"No Manejado")</f>
        <v>No Manejado</v>
      </c>
    </row>
    <row r="121" spans="1:6" x14ac:dyDescent="0.3">
      <c r="A121" s="36" t="s">
        <v>501</v>
      </c>
      <c r="B121" s="36" t="s">
        <v>1543</v>
      </c>
      <c r="C121" s="27"/>
      <c r="D121" s="27"/>
      <c r="E121" s="27"/>
      <c r="F121" s="37" t="str">
        <f>IFERROR(VLOOKUP(A121,TblDisponibilidad[],23,FALSE),"No Manejado")</f>
        <v>No Manejado</v>
      </c>
    </row>
    <row r="122" spans="1:6" x14ac:dyDescent="0.3">
      <c r="A122" s="36" t="s">
        <v>529</v>
      </c>
      <c r="B122" s="36" t="s">
        <v>1544</v>
      </c>
      <c r="C122" s="27"/>
      <c r="D122" s="27"/>
      <c r="E122" s="27"/>
      <c r="F122" s="37" t="str">
        <f>IFERROR(VLOOKUP(A122,TblDisponibilidad[],23,FALSE),"No Manejado")</f>
        <v>No Manejado</v>
      </c>
    </row>
    <row r="123" spans="1:6" x14ac:dyDescent="0.3">
      <c r="A123" s="36" t="s">
        <v>358</v>
      </c>
      <c r="B123" s="36" t="s">
        <v>1545</v>
      </c>
      <c r="C123" s="27"/>
      <c r="D123" s="27"/>
      <c r="E123" s="27"/>
      <c r="F123" s="37" t="str">
        <f>IFERROR(VLOOKUP(A123,TblDisponibilidad[],23,FALSE),"No Manejado")</f>
        <v>No Manejado</v>
      </c>
    </row>
    <row r="124" spans="1:6" x14ac:dyDescent="0.3">
      <c r="A124" s="36" t="s">
        <v>331</v>
      </c>
      <c r="B124" s="36" t="s">
        <v>1546</v>
      </c>
      <c r="C124" s="27"/>
      <c r="D124" s="27"/>
      <c r="E124" s="27"/>
      <c r="F124" s="37" t="str">
        <f>IFERROR(VLOOKUP(A124,TblDisponibilidad[],23,FALSE),"No Manejado")</f>
        <v>No Manejado</v>
      </c>
    </row>
    <row r="125" spans="1:6" x14ac:dyDescent="0.3">
      <c r="A125" s="36" t="s">
        <v>735</v>
      </c>
      <c r="B125" s="36" t="s">
        <v>1548</v>
      </c>
      <c r="C125" s="27"/>
      <c r="D125" s="27"/>
      <c r="E125" s="27"/>
      <c r="F125" s="37" t="str">
        <f>IFERROR(VLOOKUP(A125,TblDisponibilidad[],23,FALSE),"No Manejado")</f>
        <v>No Manejado</v>
      </c>
    </row>
    <row r="126" spans="1:6" x14ac:dyDescent="0.3">
      <c r="A126" s="36" t="s">
        <v>598</v>
      </c>
      <c r="B126" s="36" t="s">
        <v>1552</v>
      </c>
      <c r="C126" s="27"/>
      <c r="D126" s="27"/>
      <c r="E126" s="27"/>
      <c r="F126" s="37" t="str">
        <f>IFERROR(VLOOKUP(A126,TblDisponibilidad[],23,FALSE),"No Manejado")</f>
        <v>No Manejado</v>
      </c>
    </row>
    <row r="127" spans="1:6" x14ac:dyDescent="0.3">
      <c r="A127" s="36" t="s">
        <v>599</v>
      </c>
      <c r="B127" s="36" t="s">
        <v>1553</v>
      </c>
      <c r="C127" s="27"/>
      <c r="D127" s="27"/>
      <c r="E127" s="27"/>
      <c r="F127" s="37" t="str">
        <f>IFERROR(VLOOKUP(A127,TblDisponibilidad[],23,FALSE),"No Manejado")</f>
        <v>No Manejado</v>
      </c>
    </row>
    <row r="128" spans="1:6" x14ac:dyDescent="0.3">
      <c r="A128" s="36" t="s">
        <v>615</v>
      </c>
      <c r="B128" s="36" t="s">
        <v>1554</v>
      </c>
      <c r="C128" s="27"/>
      <c r="D128" s="27"/>
      <c r="E128" s="27"/>
      <c r="F128" s="37" t="str">
        <f>IFERROR(VLOOKUP(A128,TblDisponibilidad[],23,FALSE),"No Manejado")</f>
        <v>No Manejado</v>
      </c>
    </row>
    <row r="129" spans="1:6" x14ac:dyDescent="0.3">
      <c r="A129" s="36" t="s">
        <v>517</v>
      </c>
      <c r="B129" s="36" t="s">
        <v>1573</v>
      </c>
      <c r="C129" s="27"/>
      <c r="D129" s="27"/>
      <c r="E129" s="27"/>
      <c r="F129" s="37" t="str">
        <f>IFERROR(VLOOKUP(A129,TblDisponibilidad[],23,FALSE),"No Manejado")</f>
        <v>No Manejado</v>
      </c>
    </row>
    <row r="130" spans="1:6" x14ac:dyDescent="0.3">
      <c r="A130" s="36" t="s">
        <v>543</v>
      </c>
      <c r="B130" s="36" t="s">
        <v>1647</v>
      </c>
      <c r="C130" s="27"/>
      <c r="D130" s="27"/>
      <c r="E130" s="27"/>
      <c r="F130" s="37" t="str">
        <f>IFERROR(VLOOKUP(A130,TblDisponibilidad[],23,FALSE),"No Manejado")</f>
        <v>No Manejado</v>
      </c>
    </row>
    <row r="131" spans="1:6" x14ac:dyDescent="0.3">
      <c r="A131" s="36" t="s">
        <v>530</v>
      </c>
      <c r="B131" s="36" t="s">
        <v>1648</v>
      </c>
      <c r="C131" s="27"/>
      <c r="D131" s="27"/>
      <c r="E131" s="27"/>
      <c r="F131" s="37" t="str">
        <f>IFERROR(VLOOKUP(A131,TblDisponibilidad[],23,FALSE),"No Manejado")</f>
        <v>No Manejado</v>
      </c>
    </row>
    <row r="132" spans="1:6" x14ac:dyDescent="0.3">
      <c r="A132" s="36" t="s">
        <v>842</v>
      </c>
      <c r="B132" s="36" t="s">
        <v>1666</v>
      </c>
      <c r="C132" s="27"/>
      <c r="D132" s="27"/>
      <c r="E132" s="27"/>
      <c r="F132" s="37" t="str">
        <f>IFERROR(VLOOKUP(A132,TblDisponibilidad[],23,FALSE),"No Manejado")</f>
        <v>No Manejado</v>
      </c>
    </row>
    <row r="133" spans="1:6" x14ac:dyDescent="0.3">
      <c r="A133" s="36" t="s">
        <v>841</v>
      </c>
      <c r="B133" s="36" t="s">
        <v>1667</v>
      </c>
      <c r="C133" s="27"/>
      <c r="D133" s="27"/>
      <c r="E133" s="27"/>
      <c r="F133" s="37" t="str">
        <f>IFERROR(VLOOKUP(A133,TblDisponibilidad[],23,FALSE),"No Manejado")</f>
        <v>No Manejado</v>
      </c>
    </row>
    <row r="134" spans="1:6" x14ac:dyDescent="0.3">
      <c r="A134" s="36" t="s">
        <v>840</v>
      </c>
      <c r="B134" s="36" t="s">
        <v>1668</v>
      </c>
      <c r="C134" s="27"/>
      <c r="D134" s="27"/>
      <c r="E134" s="27"/>
      <c r="F134" s="37" t="str">
        <f>IFERROR(VLOOKUP(A134,TblDisponibilidad[],23,FALSE),"No Manejado")</f>
        <v>No Manejado</v>
      </c>
    </row>
    <row r="135" spans="1:6" x14ac:dyDescent="0.3">
      <c r="A135" s="36" t="s">
        <v>827</v>
      </c>
      <c r="B135" s="36" t="s">
        <v>1697</v>
      </c>
      <c r="C135" s="27"/>
      <c r="D135" s="27"/>
      <c r="E135" s="27"/>
      <c r="F135" s="37" t="str">
        <f>IFERROR(VLOOKUP(A135,TblDisponibilidad[],23,FALSE),"No Manejado")</f>
        <v>No Manejado</v>
      </c>
    </row>
    <row r="136" spans="1:6" x14ac:dyDescent="0.3">
      <c r="A136" s="36" t="s">
        <v>510</v>
      </c>
      <c r="B136" s="36" t="s">
        <v>1698</v>
      </c>
      <c r="C136" s="27"/>
      <c r="D136" s="27"/>
      <c r="E136" s="27"/>
      <c r="F136" s="37" t="str">
        <f>IFERROR(VLOOKUP(A136,TblDisponibilidad[],23,FALSE),"No Manejado")</f>
        <v>No Manejado</v>
      </c>
    </row>
    <row r="137" spans="1:6" x14ac:dyDescent="0.3">
      <c r="A137" s="36" t="s">
        <v>795</v>
      </c>
      <c r="B137" s="36" t="s">
        <v>1699</v>
      </c>
      <c r="C137" s="27"/>
      <c r="D137" s="27"/>
      <c r="E137" s="27"/>
      <c r="F137" s="37" t="str">
        <f>IFERROR(VLOOKUP(A137,TblDisponibilidad[],23,FALSE),"No Manejado")</f>
        <v>No Manejado</v>
      </c>
    </row>
    <row r="138" spans="1:6" x14ac:dyDescent="0.3">
      <c r="A138" s="36" t="s">
        <v>613</v>
      </c>
      <c r="B138" s="36" t="s">
        <v>1700</v>
      </c>
      <c r="C138" s="27"/>
      <c r="D138" s="27"/>
      <c r="E138" s="27"/>
      <c r="F138" s="37" t="str">
        <f>IFERROR(VLOOKUP(A138,TblDisponibilidad[],23,FALSE),"No Manejado")</f>
        <v>No Manejado</v>
      </c>
    </row>
    <row r="139" spans="1:6" x14ac:dyDescent="0.3">
      <c r="A139" s="36" t="s">
        <v>504</v>
      </c>
      <c r="B139" s="36" t="s">
        <v>1701</v>
      </c>
      <c r="C139" s="27"/>
      <c r="D139" s="27"/>
      <c r="E139" s="27"/>
      <c r="F139" s="37" t="str">
        <f>IFERROR(VLOOKUP(A139,TblDisponibilidad[],23,FALSE),"No Manejado")</f>
        <v>No Manejado</v>
      </c>
    </row>
    <row r="140" spans="1:6" x14ac:dyDescent="0.3">
      <c r="A140" s="36" t="s">
        <v>645</v>
      </c>
      <c r="B140" s="36" t="s">
        <v>1702</v>
      </c>
      <c r="C140" s="27"/>
      <c r="D140" s="27"/>
      <c r="E140" s="27"/>
      <c r="F140" s="37" t="str">
        <f>IFERROR(VLOOKUP(A140,TblDisponibilidad[],23,FALSE),"No Manejado")</f>
        <v>No Manejado</v>
      </c>
    </row>
    <row r="141" spans="1:6" x14ac:dyDescent="0.3">
      <c r="A141" s="36" t="s">
        <v>662</v>
      </c>
      <c r="B141" s="36" t="s">
        <v>1703</v>
      </c>
      <c r="C141" s="27"/>
      <c r="D141" s="27"/>
      <c r="E141" s="27"/>
      <c r="F141" s="37" t="str">
        <f>IFERROR(VLOOKUP(A141,TblDisponibilidad[],23,FALSE),"No Manejado")</f>
        <v>No Manejado</v>
      </c>
    </row>
    <row r="142" spans="1:6" x14ac:dyDescent="0.3">
      <c r="A142" s="36" t="s">
        <v>593</v>
      </c>
      <c r="B142" s="36" t="s">
        <v>1704</v>
      </c>
      <c r="C142" s="27"/>
      <c r="D142" s="27"/>
      <c r="E142" s="27"/>
      <c r="F142" s="37" t="str">
        <f>IFERROR(VLOOKUP(A142,TblDisponibilidad[],23,FALSE),"No Manejado")</f>
        <v>No Manejado</v>
      </c>
    </row>
    <row r="143" spans="1:6" x14ac:dyDescent="0.3">
      <c r="A143" s="36" t="s">
        <v>1723</v>
      </c>
      <c r="B143" s="36" t="s">
        <v>1724</v>
      </c>
      <c r="C143" s="27"/>
      <c r="D143" s="27"/>
      <c r="E143" s="27"/>
      <c r="F143" s="37" t="str">
        <f>IFERROR(VLOOKUP(A143,TblDisponibilidad[],23,FALSE),"No Manejado")</f>
        <v>No Manejado</v>
      </c>
    </row>
    <row r="144" spans="1:6" x14ac:dyDescent="0.3">
      <c r="A144" s="36" t="s">
        <v>605</v>
      </c>
      <c r="B144" s="36" t="s">
        <v>1725</v>
      </c>
      <c r="C144" s="27"/>
      <c r="D144" s="27"/>
      <c r="E144" s="27"/>
      <c r="F144" s="37" t="str">
        <f>IFERROR(VLOOKUP(A144,TblDisponibilidad[],23,FALSE),"No Manejado")</f>
        <v>No Manejado</v>
      </c>
    </row>
    <row r="145" spans="1:6" x14ac:dyDescent="0.3">
      <c r="A145" s="36" t="s">
        <v>601</v>
      </c>
      <c r="B145" s="36" t="s">
        <v>1726</v>
      </c>
      <c r="C145" s="27"/>
      <c r="D145" s="27"/>
      <c r="E145" s="27"/>
      <c r="F145" s="37" t="str">
        <f>IFERROR(VLOOKUP(A145,TblDisponibilidad[],23,FALSE),"No Manejado")</f>
        <v>No Manejado</v>
      </c>
    </row>
    <row r="146" spans="1:6" x14ac:dyDescent="0.3">
      <c r="A146" s="36" t="s">
        <v>602</v>
      </c>
      <c r="B146" s="36" t="s">
        <v>1727</v>
      </c>
      <c r="C146" s="27"/>
      <c r="D146" s="27"/>
      <c r="E146" s="27"/>
      <c r="F146" s="37" t="str">
        <f>IFERROR(VLOOKUP(A146,TblDisponibilidad[],23,FALSE),"No Manejado")</f>
        <v>No Manejado</v>
      </c>
    </row>
    <row r="147" spans="1:6" x14ac:dyDescent="0.3">
      <c r="A147" s="36" t="s">
        <v>603</v>
      </c>
      <c r="B147" s="36" t="s">
        <v>1728</v>
      </c>
      <c r="C147" s="27"/>
      <c r="D147" s="27"/>
      <c r="E147" s="27"/>
      <c r="F147" s="37" t="str">
        <f>IFERROR(VLOOKUP(A147,TblDisponibilidad[],23,FALSE),"No Manejado")</f>
        <v>No Manejado</v>
      </c>
    </row>
    <row r="148" spans="1:6" x14ac:dyDescent="0.3">
      <c r="A148" s="36" t="s">
        <v>604</v>
      </c>
      <c r="B148" s="36" t="s">
        <v>1729</v>
      </c>
      <c r="C148" s="27"/>
      <c r="D148" s="27"/>
      <c r="E148" s="27"/>
      <c r="F148" s="37" t="str">
        <f>IFERROR(VLOOKUP(A148,TblDisponibilidad[],23,FALSE),"No Manejado")</f>
        <v>No Manejado</v>
      </c>
    </row>
    <row r="149" spans="1:6" x14ac:dyDescent="0.3">
      <c r="A149" s="36" t="s">
        <v>1730</v>
      </c>
      <c r="B149" s="36" t="s">
        <v>1731</v>
      </c>
      <c r="C149" s="27"/>
      <c r="D149" s="27"/>
      <c r="E149" s="27"/>
      <c r="F149" s="37" t="str">
        <f>IFERROR(VLOOKUP(A149,TblDisponibilidad[],23,FALSE),"No Manejado")</f>
        <v>No Manejado</v>
      </c>
    </row>
    <row r="150" spans="1:6" x14ac:dyDescent="0.3">
      <c r="A150" s="36" t="s">
        <v>1732</v>
      </c>
      <c r="B150" s="36" t="s">
        <v>1733</v>
      </c>
      <c r="C150" s="27"/>
      <c r="D150" s="27"/>
      <c r="E150" s="27"/>
      <c r="F150" s="37" t="str">
        <f>IFERROR(VLOOKUP(A150,TblDisponibilidad[],23,FALSE),"No Manejado")</f>
        <v>No Manejado</v>
      </c>
    </row>
    <row r="151" spans="1:6" x14ac:dyDescent="0.3">
      <c r="A151" s="36" t="s">
        <v>362</v>
      </c>
      <c r="B151" s="36" t="s">
        <v>1734</v>
      </c>
      <c r="C151" s="27"/>
      <c r="D151" s="27"/>
      <c r="E151" s="27"/>
      <c r="F151" s="37" t="str">
        <f>IFERROR(VLOOKUP(A151,TblDisponibilidad[],23,FALSE),"No Manejado")</f>
        <v>No Manejado</v>
      </c>
    </row>
    <row r="152" spans="1:6" x14ac:dyDescent="0.3">
      <c r="A152" s="36" t="s">
        <v>361</v>
      </c>
      <c r="B152" s="36" t="s">
        <v>1735</v>
      </c>
      <c r="C152" s="27"/>
      <c r="D152" s="27"/>
      <c r="E152" s="27"/>
      <c r="F152" s="37" t="str">
        <f>IFERROR(VLOOKUP(A152,TblDisponibilidad[],23,FALSE),"No Manejado")</f>
        <v>No Manejado</v>
      </c>
    </row>
    <row r="153" spans="1:6" x14ac:dyDescent="0.3">
      <c r="A153" s="36" t="s">
        <v>334</v>
      </c>
      <c r="B153" s="36" t="s">
        <v>1736</v>
      </c>
      <c r="C153" s="27"/>
      <c r="D153" s="27"/>
      <c r="E153" s="27"/>
      <c r="F153" s="37" t="str">
        <f>IFERROR(VLOOKUP(A153,TblDisponibilidad[],23,FALSE),"No Manejado")</f>
        <v>No Manejado</v>
      </c>
    </row>
    <row r="154" spans="1:6" x14ac:dyDescent="0.3">
      <c r="A154" s="36" t="s">
        <v>332</v>
      </c>
      <c r="B154" s="36" t="s">
        <v>1737</v>
      </c>
      <c r="C154" s="27"/>
      <c r="D154" s="27"/>
      <c r="E154" s="27"/>
      <c r="F154" s="37" t="str">
        <f>IFERROR(VLOOKUP(A154,TblDisponibilidad[],23,FALSE),"No Manejado")</f>
        <v>No Manejado</v>
      </c>
    </row>
    <row r="155" spans="1:6" x14ac:dyDescent="0.3">
      <c r="A155" s="36" t="s">
        <v>333</v>
      </c>
      <c r="B155" s="36" t="s">
        <v>1738</v>
      </c>
      <c r="C155" s="27"/>
      <c r="D155" s="27"/>
      <c r="E155" s="27"/>
      <c r="F155" s="37" t="str">
        <f>IFERROR(VLOOKUP(A155,TblDisponibilidad[],23,FALSE),"No Manejado")</f>
        <v>No Manejado</v>
      </c>
    </row>
    <row r="156" spans="1:6" x14ac:dyDescent="0.3">
      <c r="A156" s="36" t="s">
        <v>335</v>
      </c>
      <c r="B156" s="36" t="s">
        <v>1739</v>
      </c>
      <c r="C156" s="27"/>
      <c r="D156" s="27"/>
      <c r="E156" s="27"/>
      <c r="F156" s="37" t="str">
        <f>IFERROR(VLOOKUP(A156,TblDisponibilidad[],23,FALSE),"No Manejado")</f>
        <v>No Manejado</v>
      </c>
    </row>
    <row r="157" spans="1:6" x14ac:dyDescent="0.3">
      <c r="A157" s="36" t="s">
        <v>420</v>
      </c>
      <c r="B157" s="36" t="s">
        <v>1740</v>
      </c>
      <c r="C157" s="27"/>
      <c r="D157" s="27"/>
      <c r="E157" s="27"/>
      <c r="F157" s="37" t="str">
        <f>IFERROR(VLOOKUP(A157,TblDisponibilidad[],23,FALSE),"No Manejado")</f>
        <v>No Manejado</v>
      </c>
    </row>
    <row r="158" spans="1:6" x14ac:dyDescent="0.3">
      <c r="A158" s="36" t="s">
        <v>366</v>
      </c>
      <c r="B158" s="36" t="s">
        <v>1741</v>
      </c>
      <c r="C158" s="27"/>
      <c r="D158" s="27"/>
      <c r="E158" s="27"/>
      <c r="F158" s="37" t="str">
        <f>IFERROR(VLOOKUP(A158,TblDisponibilidad[],23,FALSE),"No Manejado")</f>
        <v>No Manejado</v>
      </c>
    </row>
    <row r="159" spans="1:6" x14ac:dyDescent="0.3">
      <c r="A159" s="36" t="s">
        <v>367</v>
      </c>
      <c r="B159" s="36" t="s">
        <v>1742</v>
      </c>
      <c r="C159" s="27"/>
      <c r="D159" s="27"/>
      <c r="E159" s="27"/>
      <c r="F159" s="37" t="str">
        <f>IFERROR(VLOOKUP(A159,TblDisponibilidad[],23,FALSE),"No Manejado")</f>
        <v>No Manejado</v>
      </c>
    </row>
    <row r="160" spans="1:6" x14ac:dyDescent="0.3">
      <c r="A160" s="36" t="s">
        <v>365</v>
      </c>
      <c r="B160" s="36" t="s">
        <v>1743</v>
      </c>
      <c r="C160" s="27"/>
      <c r="D160" s="27"/>
      <c r="E160" s="27"/>
      <c r="F160" s="37" t="str">
        <f>IFERROR(VLOOKUP(A160,TblDisponibilidad[],23,FALSE),"No Manejado")</f>
        <v>No Manejado</v>
      </c>
    </row>
    <row r="161" spans="1:6" x14ac:dyDescent="0.3">
      <c r="A161" s="36" t="s">
        <v>626</v>
      </c>
      <c r="B161" s="36" t="s">
        <v>1743</v>
      </c>
      <c r="C161" s="27"/>
      <c r="D161" s="27"/>
      <c r="E161" s="27"/>
      <c r="F161" s="37" t="str">
        <f>IFERROR(VLOOKUP(A161,TblDisponibilidad[],23,FALSE),"No Manejado")</f>
        <v>No Manejado</v>
      </c>
    </row>
    <row r="162" spans="1:6" x14ac:dyDescent="0.3">
      <c r="A162" s="36" t="s">
        <v>858</v>
      </c>
      <c r="B162" s="36" t="s">
        <v>1743</v>
      </c>
      <c r="C162" s="27"/>
      <c r="D162" s="27"/>
      <c r="E162" s="27"/>
      <c r="F162" s="37" t="str">
        <f>IFERROR(VLOOKUP(A162,TblDisponibilidad[],23,FALSE),"No Manejado")</f>
        <v>No Manejado</v>
      </c>
    </row>
    <row r="163" spans="1:6" x14ac:dyDescent="0.3">
      <c r="A163" s="36" t="s">
        <v>364</v>
      </c>
      <c r="B163" s="36" t="s">
        <v>1748</v>
      </c>
      <c r="C163" s="27"/>
      <c r="D163" s="27"/>
      <c r="E163" s="27"/>
      <c r="F163" s="37" t="str">
        <f>IFERROR(VLOOKUP(A163,TblDisponibilidad[],23,FALSE),"No Manejado")</f>
        <v>No Manejado</v>
      </c>
    </row>
    <row r="164" spans="1:6" x14ac:dyDescent="0.3">
      <c r="A164" s="36" t="s">
        <v>596</v>
      </c>
      <c r="B164" s="36" t="s">
        <v>1748</v>
      </c>
      <c r="C164" s="27"/>
      <c r="D164" s="27"/>
      <c r="E164" s="27"/>
      <c r="F164" s="37" t="str">
        <f>IFERROR(VLOOKUP(A164,TblDisponibilidad[],23,FALSE),"No Manejado")</f>
        <v>No Manejado</v>
      </c>
    </row>
    <row r="165" spans="1:6" x14ac:dyDescent="0.3">
      <c r="A165" s="36" t="s">
        <v>368</v>
      </c>
      <c r="B165" s="36" t="s">
        <v>1752</v>
      </c>
      <c r="C165" s="27"/>
      <c r="D165" s="27"/>
      <c r="E165" s="27"/>
      <c r="F165" s="37" t="str">
        <f>IFERROR(VLOOKUP(A165,TblDisponibilidad[],23,FALSE),"No Manejado")</f>
        <v>No Manejado</v>
      </c>
    </row>
    <row r="166" spans="1:6" x14ac:dyDescent="0.3">
      <c r="A166" s="36" t="s">
        <v>369</v>
      </c>
      <c r="B166" s="36" t="s">
        <v>1752</v>
      </c>
      <c r="C166" s="27"/>
      <c r="D166" s="27"/>
      <c r="E166" s="27"/>
      <c r="F166" s="37" t="str">
        <f>IFERROR(VLOOKUP(A166,TblDisponibilidad[],23,FALSE),"No Manejado")</f>
        <v>No Manejado</v>
      </c>
    </row>
    <row r="167" spans="1:6" x14ac:dyDescent="0.3">
      <c r="A167" s="36" t="s">
        <v>457</v>
      </c>
      <c r="B167" s="36" t="s">
        <v>1775</v>
      </c>
      <c r="C167" s="27"/>
      <c r="D167" s="27"/>
      <c r="E167" s="27"/>
      <c r="F167" s="37" t="str">
        <f>IFERROR(VLOOKUP(A167,TblDisponibilidad[],23,FALSE),"No Manejado")</f>
        <v>No Manejado</v>
      </c>
    </row>
    <row r="168" spans="1:6" x14ac:dyDescent="0.3">
      <c r="A168" s="36" t="s">
        <v>471</v>
      </c>
      <c r="B168" s="36" t="s">
        <v>1776</v>
      </c>
      <c r="C168" s="27"/>
      <c r="D168" s="27"/>
      <c r="E168" s="27"/>
      <c r="F168" s="37" t="str">
        <f>IFERROR(VLOOKUP(A168,TblDisponibilidad[],23,FALSE),"No Manejado")</f>
        <v>No Manejado</v>
      </c>
    </row>
    <row r="169" spans="1:6" x14ac:dyDescent="0.3">
      <c r="A169" s="36" t="s">
        <v>452</v>
      </c>
      <c r="B169" s="36" t="s">
        <v>1777</v>
      </c>
      <c r="C169" s="27"/>
      <c r="D169" s="27"/>
      <c r="E169" s="27"/>
      <c r="F169" s="37" t="str">
        <f>IFERROR(VLOOKUP(A169,TblDisponibilidad[],23,FALSE),"No Manejado")</f>
        <v>No Manejado</v>
      </c>
    </row>
    <row r="170" spans="1:6" x14ac:dyDescent="0.3">
      <c r="A170" s="36" t="s">
        <v>468</v>
      </c>
      <c r="B170" s="36" t="s">
        <v>1778</v>
      </c>
      <c r="C170" s="27"/>
      <c r="D170" s="27"/>
      <c r="E170" s="27"/>
      <c r="F170" s="37" t="str">
        <f>IFERROR(VLOOKUP(A170,TblDisponibilidad[],23,FALSE),"No Manejado")</f>
        <v>No Manejado</v>
      </c>
    </row>
    <row r="171" spans="1:6" x14ac:dyDescent="0.3">
      <c r="A171" s="36" t="s">
        <v>403</v>
      </c>
      <c r="B171" s="36" t="s">
        <v>1779</v>
      </c>
      <c r="C171" s="27"/>
      <c r="D171" s="27"/>
      <c r="E171" s="27"/>
      <c r="F171" s="37" t="str">
        <f>IFERROR(VLOOKUP(A171,TblDisponibilidad[],23,FALSE),"No Manejado")</f>
        <v>No Manejado</v>
      </c>
    </row>
    <row r="172" spans="1:6" x14ac:dyDescent="0.3">
      <c r="A172" s="36" t="s">
        <v>402</v>
      </c>
      <c r="B172" s="36" t="s">
        <v>1780</v>
      </c>
      <c r="C172" s="27"/>
      <c r="D172" s="27"/>
      <c r="E172" s="27"/>
      <c r="F172" s="37" t="str">
        <f>IFERROR(VLOOKUP(A172,TblDisponibilidad[],23,FALSE),"No Manejado")</f>
        <v>No Manejado</v>
      </c>
    </row>
    <row r="173" spans="1:6" x14ac:dyDescent="0.3">
      <c r="A173" s="36" t="s">
        <v>629</v>
      </c>
      <c r="B173" s="36" t="s">
        <v>1781</v>
      </c>
      <c r="C173" s="27"/>
      <c r="D173" s="27"/>
      <c r="E173" s="27"/>
      <c r="F173" s="37" t="str">
        <f>IFERROR(VLOOKUP(A173,TblDisponibilidad[],23,FALSE),"No Manejado")</f>
        <v>No Manejado</v>
      </c>
    </row>
    <row r="174" spans="1:6" x14ac:dyDescent="0.3">
      <c r="A174" s="36" t="s">
        <v>711</v>
      </c>
      <c r="B174" s="36" t="s">
        <v>1782</v>
      </c>
      <c r="C174" s="27"/>
      <c r="D174" s="27"/>
      <c r="E174" s="27"/>
      <c r="F174" s="37" t="str">
        <f>IFERROR(VLOOKUP(A174,TblDisponibilidad[],23,FALSE),"No Manejado")</f>
        <v>No Manejado</v>
      </c>
    </row>
    <row r="175" spans="1:6" x14ac:dyDescent="0.3">
      <c r="A175" s="36" t="s">
        <v>844</v>
      </c>
      <c r="B175" s="36" t="s">
        <v>1783</v>
      </c>
      <c r="C175" s="27"/>
      <c r="D175" s="27"/>
      <c r="E175" s="27"/>
      <c r="F175" s="37" t="str">
        <f>IFERROR(VLOOKUP(A175,TblDisponibilidad[],23,FALSE),"No Manejado")</f>
        <v>No Manejado</v>
      </c>
    </row>
    <row r="176" spans="1:6" x14ac:dyDescent="0.3">
      <c r="A176" s="36" t="s">
        <v>337</v>
      </c>
      <c r="B176" s="36" t="s">
        <v>1784</v>
      </c>
      <c r="C176" s="27"/>
      <c r="D176" s="27"/>
      <c r="E176" s="27"/>
      <c r="F176" s="37" t="str">
        <f>IFERROR(VLOOKUP(A176,TblDisponibilidad[],23,FALSE),"No Manejado")</f>
        <v>No Manejado</v>
      </c>
    </row>
    <row r="177" spans="1:6" x14ac:dyDescent="0.3">
      <c r="A177" s="36" t="s">
        <v>698</v>
      </c>
      <c r="B177" s="36" t="s">
        <v>1785</v>
      </c>
      <c r="C177" s="27"/>
      <c r="D177" s="27"/>
      <c r="E177" s="27"/>
      <c r="F177" s="37" t="str">
        <f>IFERROR(VLOOKUP(A177,TblDisponibilidad[],23,FALSE),"No Manejado")</f>
        <v>No Manejado</v>
      </c>
    </row>
    <row r="178" spans="1:6" x14ac:dyDescent="0.3">
      <c r="A178" s="36" t="s">
        <v>404</v>
      </c>
      <c r="B178" s="36" t="s">
        <v>1786</v>
      </c>
      <c r="C178" s="27"/>
      <c r="D178" s="27"/>
      <c r="E178" s="27"/>
      <c r="F178" s="37" t="str">
        <f>IFERROR(VLOOKUP(A178,TblDisponibilidad[],23,FALSE),"No Manejado")</f>
        <v>No Manejado</v>
      </c>
    </row>
    <row r="179" spans="1:6" x14ac:dyDescent="0.3">
      <c r="A179" s="36" t="s">
        <v>422</v>
      </c>
      <c r="B179" s="36" t="s">
        <v>1787</v>
      </c>
      <c r="C179" s="27"/>
      <c r="D179" s="27"/>
      <c r="E179" s="27"/>
      <c r="F179" s="37" t="str">
        <f>IFERROR(VLOOKUP(A179,TblDisponibilidad[],23,FALSE),"No Manejado")</f>
        <v>No Manejado</v>
      </c>
    </row>
    <row r="180" spans="1:6" x14ac:dyDescent="0.3">
      <c r="A180" s="36" t="s">
        <v>448</v>
      </c>
      <c r="B180" s="36" t="s">
        <v>1788</v>
      </c>
      <c r="C180" s="27"/>
      <c r="D180" s="27"/>
      <c r="E180" s="27"/>
      <c r="F180" s="37" t="str">
        <f>IFERROR(VLOOKUP(A180,TblDisponibilidad[],23,FALSE),"No Manejado")</f>
        <v>No Manejado</v>
      </c>
    </row>
    <row r="181" spans="1:6" x14ac:dyDescent="0.3">
      <c r="A181" s="36" t="s">
        <v>898</v>
      </c>
      <c r="B181" s="36" t="s">
        <v>1789</v>
      </c>
      <c r="C181" s="27"/>
      <c r="D181" s="27"/>
      <c r="E181" s="27"/>
      <c r="F181" s="37" t="str">
        <f>IFERROR(VLOOKUP(A181,TblDisponibilidad[],23,FALSE),"No Manejado")</f>
        <v>No Manejado</v>
      </c>
    </row>
    <row r="182" spans="1:6" x14ac:dyDescent="0.3">
      <c r="A182" s="36" t="s">
        <v>453</v>
      </c>
      <c r="B182" s="36" t="s">
        <v>1790</v>
      </c>
      <c r="C182" s="27"/>
      <c r="D182" s="27"/>
      <c r="E182" s="27"/>
      <c r="F182" s="37" t="str">
        <f>IFERROR(VLOOKUP(A182,TblDisponibilidad[],23,FALSE),"No Manejado")</f>
        <v>No Manejado</v>
      </c>
    </row>
    <row r="183" spans="1:6" x14ac:dyDescent="0.3">
      <c r="A183" s="36" t="s">
        <v>796</v>
      </c>
      <c r="B183" s="36" t="s">
        <v>1791</v>
      </c>
      <c r="C183" s="27"/>
      <c r="D183" s="27"/>
      <c r="E183" s="27"/>
      <c r="F183" s="37" t="str">
        <f>IFERROR(VLOOKUP(A183,TblDisponibilidad[],23,FALSE),"No Manejado")</f>
        <v>No Manejado</v>
      </c>
    </row>
    <row r="184" spans="1:6" x14ac:dyDescent="0.3">
      <c r="A184" s="36" t="s">
        <v>1792</v>
      </c>
      <c r="B184" s="36" t="s">
        <v>1793</v>
      </c>
      <c r="C184" s="27"/>
      <c r="D184" s="27"/>
      <c r="E184" s="27"/>
      <c r="F184" s="37" t="str">
        <f>IFERROR(VLOOKUP(A184,TblDisponibilidad[],23,FALSE),"No Manejado")</f>
        <v>No Manejado</v>
      </c>
    </row>
    <row r="185" spans="1:6" x14ac:dyDescent="0.3">
      <c r="A185" s="36" t="s">
        <v>475</v>
      </c>
      <c r="B185" s="36" t="s">
        <v>1794</v>
      </c>
      <c r="C185" s="27"/>
      <c r="D185" s="27"/>
      <c r="E185" s="27"/>
      <c r="F185" s="37" t="str">
        <f>IFERROR(VLOOKUP(A185,TblDisponibilidad[],23,FALSE),"No Manejado")</f>
        <v>No Manejado</v>
      </c>
    </row>
    <row r="186" spans="1:6" x14ac:dyDescent="0.3">
      <c r="A186" s="36" t="s">
        <v>474</v>
      </c>
      <c r="B186" s="36" t="s">
        <v>1795</v>
      </c>
      <c r="C186" s="27"/>
      <c r="D186" s="27"/>
      <c r="E186" s="27"/>
      <c r="F186" s="37" t="str">
        <f>IFERROR(VLOOKUP(A186,TblDisponibilidad[],23,FALSE),"No Manejado")</f>
        <v>No Manejado</v>
      </c>
    </row>
    <row r="187" spans="1:6" x14ac:dyDescent="0.3">
      <c r="A187" s="36" t="s">
        <v>1796</v>
      </c>
      <c r="B187" s="36" t="s">
        <v>1797</v>
      </c>
      <c r="C187" s="27"/>
      <c r="D187" s="27"/>
      <c r="E187" s="27"/>
      <c r="F187" s="37" t="str">
        <f>IFERROR(VLOOKUP(A187,TblDisponibilidad[],23,FALSE),"No Manejado")</f>
        <v>No Manejado</v>
      </c>
    </row>
    <row r="188" spans="1:6" x14ac:dyDescent="0.3">
      <c r="A188" s="36" t="s">
        <v>395</v>
      </c>
      <c r="B188" s="36" t="s">
        <v>1798</v>
      </c>
      <c r="C188" s="27"/>
      <c r="D188" s="27"/>
      <c r="E188" s="27"/>
      <c r="F188" s="37" t="str">
        <f>IFERROR(VLOOKUP(A188,TblDisponibilidad[],23,FALSE),"No Manejado")</f>
        <v>No Manejado</v>
      </c>
    </row>
    <row r="189" spans="1:6" x14ac:dyDescent="0.3">
      <c r="A189" s="36" t="s">
        <v>718</v>
      </c>
      <c r="B189" s="36" t="s">
        <v>1799</v>
      </c>
      <c r="C189" s="27"/>
      <c r="D189" s="27"/>
      <c r="E189" s="27"/>
      <c r="F189" s="37" t="str">
        <f>IFERROR(VLOOKUP(A189,TblDisponibilidad[],23,FALSE),"No Manejado")</f>
        <v>No Manejado</v>
      </c>
    </row>
    <row r="190" spans="1:6" x14ac:dyDescent="0.3">
      <c r="A190" s="36" t="s">
        <v>897</v>
      </c>
      <c r="B190" s="36" t="s">
        <v>1800</v>
      </c>
      <c r="C190" s="27"/>
      <c r="D190" s="27"/>
      <c r="E190" s="27"/>
      <c r="F190" s="37" t="str">
        <f>IFERROR(VLOOKUP(A190,TblDisponibilidad[],23,FALSE),"No Manejado")</f>
        <v>No Manejado</v>
      </c>
    </row>
    <row r="191" spans="1:6" x14ac:dyDescent="0.3">
      <c r="A191" s="36" t="s">
        <v>394</v>
      </c>
      <c r="B191" s="36" t="s">
        <v>1801</v>
      </c>
      <c r="C191" s="27"/>
      <c r="D191" s="27"/>
      <c r="E191" s="27"/>
      <c r="F191" s="37" t="str">
        <f>IFERROR(VLOOKUP(A191,TblDisponibilidad[],23,FALSE),"No Manejado")</f>
        <v>No Manejado</v>
      </c>
    </row>
    <row r="192" spans="1:6" x14ac:dyDescent="0.3">
      <c r="A192" s="36" t="s">
        <v>545</v>
      </c>
      <c r="B192" s="36" t="s">
        <v>1804</v>
      </c>
      <c r="C192" s="27"/>
      <c r="D192" s="27"/>
      <c r="E192" s="27"/>
      <c r="F192" s="37" t="str">
        <f>IFERROR(VLOOKUP(A192,TblDisponibilidad[],23,FALSE),"No Manejado")</f>
        <v>No Manejado</v>
      </c>
    </row>
    <row r="193" spans="1:6" x14ac:dyDescent="0.3">
      <c r="A193" s="36" t="s">
        <v>538</v>
      </c>
      <c r="B193" s="36" t="s">
        <v>1808</v>
      </c>
      <c r="C193" s="27"/>
      <c r="D193" s="27"/>
      <c r="E193" s="27"/>
      <c r="F193" s="37" t="str">
        <f>IFERROR(VLOOKUP(A193,TblDisponibilidad[],23,FALSE),"No Manejado")</f>
        <v>No Manejado</v>
      </c>
    </row>
    <row r="194" spans="1:6" x14ac:dyDescent="0.3">
      <c r="A194" s="36" t="s">
        <v>485</v>
      </c>
      <c r="B194" s="36" t="s">
        <v>1816</v>
      </c>
      <c r="C194" s="27"/>
      <c r="D194" s="27"/>
      <c r="E194" s="27"/>
      <c r="F194" s="37" t="str">
        <f>IFERROR(VLOOKUP(A194,TblDisponibilidad[],23,FALSE),"No Manejado")</f>
        <v>No Manejado</v>
      </c>
    </row>
    <row r="195" spans="1:6" x14ac:dyDescent="0.3">
      <c r="A195" s="36" t="s">
        <v>500</v>
      </c>
      <c r="B195" s="36" t="s">
        <v>1817</v>
      </c>
      <c r="C195" s="27"/>
      <c r="D195" s="27"/>
      <c r="E195" s="27"/>
      <c r="F195" s="37" t="str">
        <f>IFERROR(VLOOKUP(A195,TblDisponibilidad[],23,FALSE),"No Manejado")</f>
        <v>No Manejado</v>
      </c>
    </row>
    <row r="196" spans="1:6" x14ac:dyDescent="0.3">
      <c r="A196" s="36" t="s">
        <v>675</v>
      </c>
      <c r="B196" s="36" t="s">
        <v>1818</v>
      </c>
      <c r="C196" s="27"/>
      <c r="D196" s="27"/>
      <c r="E196" s="27"/>
      <c r="F196" s="37" t="str">
        <f>IFERROR(VLOOKUP(A196,TblDisponibilidad[],23,FALSE),"No Manejado")</f>
        <v>No Manejado</v>
      </c>
    </row>
    <row r="197" spans="1:6" x14ac:dyDescent="0.3">
      <c r="A197" s="36" t="s">
        <v>455</v>
      </c>
      <c r="B197" s="36" t="s">
        <v>1819</v>
      </c>
      <c r="C197" s="27"/>
      <c r="D197" s="27"/>
      <c r="E197" s="27"/>
      <c r="F197" s="37" t="str">
        <f>IFERROR(VLOOKUP(A197,TblDisponibilidad[],23,FALSE),"No Manejado")</f>
        <v>No Manejado</v>
      </c>
    </row>
    <row r="198" spans="1:6" x14ac:dyDescent="0.3">
      <c r="A198" s="36" t="s">
        <v>498</v>
      </c>
      <c r="B198" s="36" t="s">
        <v>1820</v>
      </c>
      <c r="C198" s="27"/>
      <c r="D198" s="27"/>
      <c r="E198" s="27"/>
      <c r="F198" s="37" t="str">
        <f>IFERROR(VLOOKUP(A198,TblDisponibilidad[],23,FALSE),"No Manejado")</f>
        <v>No Manejado</v>
      </c>
    </row>
    <row r="199" spans="1:6" x14ac:dyDescent="0.3">
      <c r="A199" s="36" t="s">
        <v>499</v>
      </c>
      <c r="B199" s="36" t="s">
        <v>1821</v>
      </c>
      <c r="C199" s="27"/>
      <c r="D199" s="27"/>
      <c r="E199" s="27"/>
      <c r="F199" s="37" t="str">
        <f>IFERROR(VLOOKUP(A199,TblDisponibilidad[],23,FALSE),"No Manejado")</f>
        <v>No Manejado</v>
      </c>
    </row>
    <row r="200" spans="1:6" x14ac:dyDescent="0.3">
      <c r="A200" s="36" t="s">
        <v>818</v>
      </c>
      <c r="B200" s="36" t="s">
        <v>1822</v>
      </c>
      <c r="C200" s="27"/>
      <c r="D200" s="27"/>
      <c r="E200" s="27"/>
      <c r="F200" s="37" t="str">
        <f>IFERROR(VLOOKUP(A200,TblDisponibilidad[],23,FALSE),"No Manejado")</f>
        <v>No Manejado</v>
      </c>
    </row>
    <row r="201" spans="1:6" x14ac:dyDescent="0.3">
      <c r="A201" s="36" t="s">
        <v>502</v>
      </c>
      <c r="B201" s="36" t="s">
        <v>1823</v>
      </c>
      <c r="C201" s="27"/>
      <c r="D201" s="27"/>
      <c r="E201" s="27"/>
      <c r="F201" s="37" t="str">
        <f>IFERROR(VLOOKUP(A201,TblDisponibilidad[],23,FALSE),"No Manejado")</f>
        <v>No Manejado</v>
      </c>
    </row>
    <row r="202" spans="1:6" x14ac:dyDescent="0.3">
      <c r="A202" s="36" t="s">
        <v>702</v>
      </c>
      <c r="B202" s="36" t="s">
        <v>1824</v>
      </c>
      <c r="C202" s="27"/>
      <c r="D202" s="27"/>
      <c r="E202" s="27"/>
      <c r="F202" s="37" t="str">
        <f>IFERROR(VLOOKUP(A202,TblDisponibilidad[],23,FALSE),"No Manejado")</f>
        <v>No Manejado</v>
      </c>
    </row>
    <row r="203" spans="1:6" x14ac:dyDescent="0.3">
      <c r="A203" s="36" t="s">
        <v>659</v>
      </c>
      <c r="B203" s="36" t="s">
        <v>1825</v>
      </c>
      <c r="C203" s="27"/>
      <c r="D203" s="27"/>
      <c r="E203" s="27"/>
      <c r="F203" s="37" t="str">
        <f>IFERROR(VLOOKUP(A203,TblDisponibilidad[],23,FALSE),"No Manejado")</f>
        <v>No Manejado</v>
      </c>
    </row>
    <row r="204" spans="1:6" x14ac:dyDescent="0.3">
      <c r="A204" s="36" t="s">
        <v>443</v>
      </c>
      <c r="B204" s="36" t="s">
        <v>1826</v>
      </c>
      <c r="C204" s="27"/>
      <c r="D204" s="27"/>
      <c r="E204" s="27"/>
      <c r="F204" s="37" t="str">
        <f>IFERROR(VLOOKUP(A204,TblDisponibilidad[],23,FALSE),"No Manejado")</f>
        <v>No Manejado</v>
      </c>
    </row>
    <row r="205" spans="1:6" x14ac:dyDescent="0.3">
      <c r="A205" s="36" t="s">
        <v>442</v>
      </c>
      <c r="B205" s="36" t="s">
        <v>1827</v>
      </c>
      <c r="C205" s="27"/>
      <c r="D205" s="27"/>
      <c r="E205" s="27"/>
      <c r="F205" s="37" t="str">
        <f>IFERROR(VLOOKUP(A205,TblDisponibilidad[],23,FALSE),"No Manejado")</f>
        <v>No Manejado</v>
      </c>
    </row>
    <row r="206" spans="1:6" x14ac:dyDescent="0.3">
      <c r="A206" s="36" t="s">
        <v>444</v>
      </c>
      <c r="B206" s="36" t="s">
        <v>1828</v>
      </c>
      <c r="C206" s="27"/>
      <c r="D206" s="27"/>
      <c r="E206" s="27"/>
      <c r="F206" s="37" t="str">
        <f>IFERROR(VLOOKUP(A206,TblDisponibilidad[],23,FALSE),"No Manejado")</f>
        <v>No Manejado</v>
      </c>
    </row>
    <row r="207" spans="1:6" x14ac:dyDescent="0.3">
      <c r="A207" s="36" t="s">
        <v>440</v>
      </c>
      <c r="B207" s="36" t="s">
        <v>1829</v>
      </c>
      <c r="C207" s="27"/>
      <c r="D207" s="27"/>
      <c r="E207" s="27"/>
      <c r="F207" s="37" t="str">
        <f>IFERROR(VLOOKUP(A207,TblDisponibilidad[],23,FALSE),"No Manejado")</f>
        <v>No Manejado</v>
      </c>
    </row>
    <row r="208" spans="1:6" x14ac:dyDescent="0.3">
      <c r="A208" s="36" t="s">
        <v>338</v>
      </c>
      <c r="B208" s="36" t="s">
        <v>1836</v>
      </c>
      <c r="C208" s="27"/>
      <c r="D208" s="27"/>
      <c r="E208" s="27"/>
      <c r="F208" s="37" t="str">
        <f>IFERROR(VLOOKUP(A208,TblDisponibilidad[],23,FALSE),"No Manejado")</f>
        <v>No Manejado</v>
      </c>
    </row>
    <row r="209" spans="1:6" x14ac:dyDescent="0.3">
      <c r="A209" s="36" t="s">
        <v>339</v>
      </c>
      <c r="B209" s="36" t="s">
        <v>1837</v>
      </c>
      <c r="C209" s="27"/>
      <c r="D209" s="27"/>
      <c r="E209" s="27"/>
      <c r="F209" s="37" t="str">
        <f>IFERROR(VLOOKUP(A209,TblDisponibilidad[],23,FALSE),"No Manejado")</f>
        <v>No Manejado</v>
      </c>
    </row>
    <row r="210" spans="1:6" x14ac:dyDescent="0.3">
      <c r="A210" s="26"/>
      <c r="B210" s="27"/>
      <c r="C210" s="27"/>
      <c r="D210" s="27"/>
      <c r="E210" s="27"/>
      <c r="F210" s="28"/>
    </row>
    <row r="211" spans="1:6" x14ac:dyDescent="0.3">
      <c r="A211" s="26"/>
      <c r="B211" s="27"/>
      <c r="C211" s="27"/>
      <c r="D211" s="27"/>
      <c r="E211" s="27"/>
      <c r="F211" s="28"/>
    </row>
    <row r="212" spans="1:6" x14ac:dyDescent="0.3">
      <c r="A212" s="26"/>
      <c r="B212" s="27"/>
      <c r="C212" s="27"/>
      <c r="D212" s="27"/>
      <c r="E212" s="27"/>
      <c r="F212" s="28"/>
    </row>
    <row r="213" spans="1:6" x14ac:dyDescent="0.3">
      <c r="A213" s="26"/>
      <c r="B213" s="27"/>
      <c r="C213" s="27"/>
      <c r="D213" s="27"/>
      <c r="E213" s="27"/>
      <c r="F213" s="28"/>
    </row>
    <row r="214" spans="1:6" x14ac:dyDescent="0.3">
      <c r="A214" s="26"/>
      <c r="B214" s="27"/>
      <c r="C214" s="27"/>
      <c r="D214" s="27"/>
      <c r="E214" s="27"/>
      <c r="F214" s="28"/>
    </row>
    <row r="215" spans="1:6" x14ac:dyDescent="0.3">
      <c r="A215" s="26"/>
      <c r="B215" s="27"/>
      <c r="C215" s="27"/>
      <c r="D215" s="27"/>
      <c r="E215" s="27"/>
      <c r="F215" s="28"/>
    </row>
    <row r="216" spans="1:6" x14ac:dyDescent="0.3">
      <c r="A216" s="26"/>
      <c r="B216" s="27"/>
      <c r="C216" s="27"/>
      <c r="D216" s="27"/>
      <c r="E216" s="27"/>
      <c r="F216" s="28"/>
    </row>
    <row r="217" spans="1:6" x14ac:dyDescent="0.3">
      <c r="A217" s="26"/>
      <c r="B217" s="27"/>
      <c r="C217" s="27"/>
      <c r="D217" s="27"/>
      <c r="E217" s="27"/>
      <c r="F217" s="28"/>
    </row>
    <row r="218" spans="1:6" x14ac:dyDescent="0.3">
      <c r="A218" s="26"/>
      <c r="B218" s="27"/>
      <c r="C218" s="27"/>
      <c r="D218" s="27"/>
      <c r="E218" s="27"/>
      <c r="F218" s="28"/>
    </row>
    <row r="219" spans="1:6" ht="15" thickBot="1" x14ac:dyDescent="0.35">
      <c r="A219" s="29"/>
      <c r="B219" s="30"/>
      <c r="C219" s="30"/>
      <c r="D219" s="30"/>
      <c r="E219" s="30"/>
      <c r="F219" s="31"/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79"/>
  <sheetViews>
    <sheetView topLeftCell="C1" workbookViewId="0">
      <selection activeCell="F1" sqref="F1"/>
    </sheetView>
  </sheetViews>
  <sheetFormatPr baseColWidth="10" defaultColWidth="11.44140625" defaultRowHeight="14.4" x14ac:dyDescent="0.3"/>
  <cols>
    <col min="1" max="1" width="11.109375" style="14" bestFit="1" customWidth="1"/>
    <col min="2" max="2" width="68.5546875" bestFit="1" customWidth="1"/>
    <col min="3" max="3" width="33.33203125" bestFit="1" customWidth="1"/>
    <col min="4" max="4" width="17.6640625" bestFit="1" customWidth="1"/>
    <col min="5" max="5" width="26.44140625" customWidth="1"/>
    <col min="6" max="6" width="15.44140625" bestFit="1" customWidth="1"/>
  </cols>
  <sheetData>
    <row r="1" spans="1:6" ht="38.4" customHeight="1" thickBot="1" x14ac:dyDescent="0.35">
      <c r="A1" s="70" t="s">
        <v>1863</v>
      </c>
      <c r="B1" s="71"/>
      <c r="C1" s="71"/>
      <c r="D1" s="72"/>
      <c r="E1" s="39" t="s">
        <v>1853</v>
      </c>
      <c r="F1" s="40" t="e">
        <f>((COUNTIF(F3:F219,"SOBRE STOCK"))+(COUNTIF(F3:F219,"NORMO STOCK")))/(COUNTIF(F3:F219,"&lt;&gt;solid")-(COUNTIF(F3:F219,"No Rota"))-(COUNTIF(F3:F219,"No Manejado")))</f>
        <v>#DIV/0!</v>
      </c>
    </row>
    <row r="2" spans="1:6" x14ac:dyDescent="0.3">
      <c r="A2" s="41" t="s">
        <v>28</v>
      </c>
      <c r="B2" s="42" t="s">
        <v>1854</v>
      </c>
      <c r="C2" s="42" t="s">
        <v>1855</v>
      </c>
      <c r="D2" s="42" t="s">
        <v>1856</v>
      </c>
      <c r="E2" s="42" t="s">
        <v>1857</v>
      </c>
      <c r="F2" s="43" t="s">
        <v>1858</v>
      </c>
    </row>
    <row r="3" spans="1:6" x14ac:dyDescent="0.3">
      <c r="A3" s="44" t="s">
        <v>37</v>
      </c>
      <c r="B3" s="36" t="s">
        <v>927</v>
      </c>
      <c r="C3" s="45" t="s">
        <v>928</v>
      </c>
      <c r="D3" s="36"/>
      <c r="E3" s="45" t="s">
        <v>929</v>
      </c>
      <c r="F3" s="46" t="str">
        <f>IFERROR(VLOOKUP(A3,TblDisponibilidad[],23,FALSE),"No Manejado")</f>
        <v>No Manejado</v>
      </c>
    </row>
    <row r="4" spans="1:6" x14ac:dyDescent="0.3">
      <c r="A4" s="44" t="s">
        <v>36</v>
      </c>
      <c r="B4" s="36" t="s">
        <v>932</v>
      </c>
      <c r="C4" s="36" t="s">
        <v>933</v>
      </c>
      <c r="D4" s="36" t="s">
        <v>935</v>
      </c>
      <c r="E4" s="36" t="s">
        <v>934</v>
      </c>
      <c r="F4" s="46" t="str">
        <f>IFERROR(VLOOKUP(A4,TblDisponibilidad[],23,FALSE),"No Manejado")</f>
        <v>No Manejado</v>
      </c>
    </row>
    <row r="5" spans="1:6" x14ac:dyDescent="0.3">
      <c r="A5" s="44" t="s">
        <v>33</v>
      </c>
      <c r="B5" s="36" t="s">
        <v>937</v>
      </c>
      <c r="C5" s="36" t="s">
        <v>938</v>
      </c>
      <c r="D5" s="36" t="s">
        <v>930</v>
      </c>
      <c r="E5" s="36" t="s">
        <v>929</v>
      </c>
      <c r="F5" s="46" t="str">
        <f>IFERROR(VLOOKUP(A5,TblDisponibilidad[],23,FALSE),"No Manejado")</f>
        <v>No Manejado</v>
      </c>
    </row>
    <row r="6" spans="1:6" x14ac:dyDescent="0.3">
      <c r="A6" s="44" t="s">
        <v>38</v>
      </c>
      <c r="B6" s="36" t="s">
        <v>939</v>
      </c>
      <c r="C6" s="36" t="s">
        <v>940</v>
      </c>
      <c r="D6" s="36" t="s">
        <v>930</v>
      </c>
      <c r="E6" s="36" t="s">
        <v>929</v>
      </c>
      <c r="F6" s="46" t="str">
        <f>IFERROR(VLOOKUP(A6,TblDisponibilidad[],23,FALSE),"No Manejado")</f>
        <v>No Manejado</v>
      </c>
    </row>
    <row r="7" spans="1:6" x14ac:dyDescent="0.3">
      <c r="A7" s="44" t="s">
        <v>147</v>
      </c>
      <c r="B7" s="36" t="s">
        <v>941</v>
      </c>
      <c r="C7" s="36" t="s">
        <v>942</v>
      </c>
      <c r="D7" s="36" t="s">
        <v>930</v>
      </c>
      <c r="E7" s="36" t="s">
        <v>929</v>
      </c>
      <c r="F7" s="46" t="str">
        <f>IFERROR(VLOOKUP(A7,TblDisponibilidad[],23,FALSE),"No Manejado")</f>
        <v>No Manejado</v>
      </c>
    </row>
    <row r="8" spans="1:6" x14ac:dyDescent="0.3">
      <c r="A8" s="44" t="s">
        <v>39</v>
      </c>
      <c r="B8" s="36" t="s">
        <v>944</v>
      </c>
      <c r="C8" s="36" t="s">
        <v>945</v>
      </c>
      <c r="D8" s="36" t="s">
        <v>935</v>
      </c>
      <c r="E8" s="36" t="s">
        <v>934</v>
      </c>
      <c r="F8" s="46" t="str">
        <f>IFERROR(VLOOKUP(A8,TblDisponibilidad[],23,FALSE),"No Manejado")</f>
        <v>No Manejado</v>
      </c>
    </row>
    <row r="9" spans="1:6" x14ac:dyDescent="0.3">
      <c r="A9" s="44" t="s">
        <v>40</v>
      </c>
      <c r="B9" s="36" t="s">
        <v>944</v>
      </c>
      <c r="C9" s="36" t="s">
        <v>933</v>
      </c>
      <c r="D9" s="36" t="s">
        <v>930</v>
      </c>
      <c r="E9" s="36" t="s">
        <v>929</v>
      </c>
      <c r="F9" s="46" t="str">
        <f>IFERROR(VLOOKUP(A9,TblDisponibilidad[],23,FALSE),"No Manejado")</f>
        <v>No Manejado</v>
      </c>
    </row>
    <row r="10" spans="1:6" x14ac:dyDescent="0.3">
      <c r="A10" s="44" t="s">
        <v>41</v>
      </c>
      <c r="B10" s="36" t="s">
        <v>952</v>
      </c>
      <c r="C10" s="36" t="s">
        <v>953</v>
      </c>
      <c r="D10" s="36" t="s">
        <v>977</v>
      </c>
      <c r="E10" s="36" t="s">
        <v>934</v>
      </c>
      <c r="F10" s="46" t="str">
        <f>IFERROR(VLOOKUP(A10,TblDisponibilidad[],23,FALSE),"No Manejado")</f>
        <v>No Manejado</v>
      </c>
    </row>
    <row r="11" spans="1:6" x14ac:dyDescent="0.3">
      <c r="A11" s="44" t="s">
        <v>299</v>
      </c>
      <c r="B11" s="36" t="s">
        <v>961</v>
      </c>
      <c r="C11" s="36" t="s">
        <v>930</v>
      </c>
      <c r="D11" s="36" t="s">
        <v>935</v>
      </c>
      <c r="E11" s="36" t="s">
        <v>934</v>
      </c>
      <c r="F11" s="46" t="str">
        <f>IFERROR(VLOOKUP(A11,TblDisponibilidad[],23,FALSE),"No Manejado")</f>
        <v>No Manejado</v>
      </c>
    </row>
    <row r="12" spans="1:6" x14ac:dyDescent="0.3">
      <c r="A12" s="44" t="s">
        <v>42</v>
      </c>
      <c r="B12" s="36" t="s">
        <v>974</v>
      </c>
      <c r="C12" s="36" t="s">
        <v>975</v>
      </c>
      <c r="D12" s="36" t="s">
        <v>930</v>
      </c>
      <c r="E12" s="36" t="s">
        <v>976</v>
      </c>
      <c r="F12" s="46" t="str">
        <f>IFERROR(VLOOKUP(A12,TblDisponibilidad[],23,FALSE),"No Manejado")</f>
        <v>No Manejado</v>
      </c>
    </row>
    <row r="13" spans="1:6" x14ac:dyDescent="0.3">
      <c r="A13" s="44" t="s">
        <v>43</v>
      </c>
      <c r="B13" s="36" t="s">
        <v>974</v>
      </c>
      <c r="C13" s="36" t="s">
        <v>928</v>
      </c>
      <c r="D13" s="36" t="s">
        <v>930</v>
      </c>
      <c r="E13" s="36" t="s">
        <v>929</v>
      </c>
      <c r="F13" s="46" t="str">
        <f>IFERROR(VLOOKUP(A13,TblDisponibilidad[],23,FALSE),"No Manejado")</f>
        <v>No Manejado</v>
      </c>
    </row>
    <row r="14" spans="1:6" x14ac:dyDescent="0.3">
      <c r="A14" s="44" t="s">
        <v>45</v>
      </c>
      <c r="B14" s="36" t="s">
        <v>1000</v>
      </c>
      <c r="C14" s="36" t="s">
        <v>1001</v>
      </c>
      <c r="D14" s="36" t="s">
        <v>930</v>
      </c>
      <c r="E14" s="36" t="s">
        <v>929</v>
      </c>
      <c r="F14" s="46" t="str">
        <f>IFERROR(VLOOKUP(A14,TblDisponibilidad[],23,FALSE),"No Manejado")</f>
        <v>No Manejado</v>
      </c>
    </row>
    <row r="15" spans="1:6" x14ac:dyDescent="0.3">
      <c r="A15" s="44">
        <v>18091</v>
      </c>
      <c r="B15" s="36" t="s">
        <v>1005</v>
      </c>
      <c r="C15" s="36" t="s">
        <v>1006</v>
      </c>
      <c r="D15" s="36" t="s">
        <v>930</v>
      </c>
      <c r="E15" s="36" t="s">
        <v>976</v>
      </c>
      <c r="F15" s="46" t="str">
        <f>IFERROR(VLOOKUP(A15,TblDisponibilidad[],23,FALSE),"No Manejado")</f>
        <v>No Manejado</v>
      </c>
    </row>
    <row r="16" spans="1:6" x14ac:dyDescent="0.3">
      <c r="A16" s="44" t="s">
        <v>47</v>
      </c>
      <c r="B16" s="36" t="s">
        <v>1008</v>
      </c>
      <c r="C16" s="36" t="s">
        <v>1009</v>
      </c>
      <c r="D16" s="36" t="s">
        <v>930</v>
      </c>
      <c r="E16" s="36" t="s">
        <v>934</v>
      </c>
      <c r="F16" s="46" t="str">
        <f>IFERROR(VLOOKUP(A16,TblDisponibilidad[],23,FALSE),"No Manejado")</f>
        <v>No Manejado</v>
      </c>
    </row>
    <row r="17" spans="1:6" x14ac:dyDescent="0.3">
      <c r="A17" s="44" t="s">
        <v>50</v>
      </c>
      <c r="B17" s="36" t="s">
        <v>1010</v>
      </c>
      <c r="C17" s="36" t="s">
        <v>1011</v>
      </c>
      <c r="D17" s="36" t="s">
        <v>1026</v>
      </c>
      <c r="E17" s="36" t="s">
        <v>934</v>
      </c>
      <c r="F17" s="46" t="str">
        <f>IFERROR(VLOOKUP(A17,TblDisponibilidad[],23,FALSE),"No Manejado")</f>
        <v>No Manejado</v>
      </c>
    </row>
    <row r="18" spans="1:6" x14ac:dyDescent="0.3">
      <c r="A18" s="44" t="s">
        <v>49</v>
      </c>
      <c r="B18" s="36" t="s">
        <v>1010</v>
      </c>
      <c r="C18" s="36" t="s">
        <v>1012</v>
      </c>
      <c r="D18" s="36" t="s">
        <v>1088</v>
      </c>
      <c r="E18" s="36" t="s">
        <v>934</v>
      </c>
      <c r="F18" s="46" t="str">
        <f>IFERROR(VLOOKUP(A18,TblDisponibilidad[],23,FALSE),"No Manejado")</f>
        <v>No Manejado</v>
      </c>
    </row>
    <row r="19" spans="1:6" x14ac:dyDescent="0.3">
      <c r="A19" s="44" t="s">
        <v>51</v>
      </c>
      <c r="B19" s="36" t="s">
        <v>1017</v>
      </c>
      <c r="C19" s="36" t="s">
        <v>1018</v>
      </c>
      <c r="D19" s="36" t="s">
        <v>930</v>
      </c>
      <c r="E19" s="36" t="s">
        <v>934</v>
      </c>
      <c r="F19" s="46" t="str">
        <f>IFERROR(VLOOKUP(A19,TblDisponibilidad[],23,FALSE),"No Manejado")</f>
        <v>No Manejado</v>
      </c>
    </row>
    <row r="20" spans="1:6" x14ac:dyDescent="0.3">
      <c r="A20" s="44" t="s">
        <v>52</v>
      </c>
      <c r="B20" s="36" t="s">
        <v>1019</v>
      </c>
      <c r="C20" s="36" t="s">
        <v>1012</v>
      </c>
      <c r="D20" s="36" t="s">
        <v>930</v>
      </c>
      <c r="E20" s="36" t="s">
        <v>934</v>
      </c>
      <c r="F20" s="46" t="str">
        <f>IFERROR(VLOOKUP(A20,TblDisponibilidad[],23,FALSE),"No Manejado")</f>
        <v>No Manejado</v>
      </c>
    </row>
    <row r="21" spans="1:6" x14ac:dyDescent="0.3">
      <c r="A21" s="44" t="s">
        <v>53</v>
      </c>
      <c r="B21" s="36" t="s">
        <v>1021</v>
      </c>
      <c r="C21" s="36" t="s">
        <v>1022</v>
      </c>
      <c r="D21" s="36" t="s">
        <v>930</v>
      </c>
      <c r="E21" s="36" t="s">
        <v>929</v>
      </c>
      <c r="F21" s="46" t="str">
        <f>IFERROR(VLOOKUP(A21,TblDisponibilidad[],23,FALSE),"No Manejado")</f>
        <v>No Manejado</v>
      </c>
    </row>
    <row r="22" spans="1:6" x14ac:dyDescent="0.3">
      <c r="A22" s="44" t="s">
        <v>54</v>
      </c>
      <c r="B22" s="36" t="s">
        <v>1021</v>
      </c>
      <c r="C22" s="36" t="s">
        <v>1023</v>
      </c>
      <c r="D22" s="36" t="s">
        <v>1073</v>
      </c>
      <c r="E22" s="36" t="s">
        <v>929</v>
      </c>
      <c r="F22" s="46" t="str">
        <f>IFERROR(VLOOKUP(A22,TblDisponibilidad[],23,FALSE),"No Manejado")</f>
        <v>No Manejado</v>
      </c>
    </row>
    <row r="23" spans="1:6" x14ac:dyDescent="0.3">
      <c r="A23" s="44" t="s">
        <v>693</v>
      </c>
      <c r="B23" s="36" t="s">
        <v>1024</v>
      </c>
      <c r="C23" s="36" t="s">
        <v>1025</v>
      </c>
      <c r="D23" s="36" t="s">
        <v>1065</v>
      </c>
      <c r="E23" s="36" t="s">
        <v>976</v>
      </c>
      <c r="F23" s="46" t="str">
        <f>IFERROR(VLOOKUP(A23,TblDisponibilidad[],23,FALSE),"No Manejado")</f>
        <v>No Manejado</v>
      </c>
    </row>
    <row r="24" spans="1:6" x14ac:dyDescent="0.3">
      <c r="A24" s="44" t="s">
        <v>57</v>
      </c>
      <c r="B24" s="36" t="s">
        <v>1024</v>
      </c>
      <c r="C24" s="36" t="s">
        <v>1025</v>
      </c>
      <c r="D24" s="36" t="s">
        <v>930</v>
      </c>
      <c r="E24" s="36" t="s">
        <v>976</v>
      </c>
      <c r="F24" s="46" t="str">
        <f>IFERROR(VLOOKUP(A24,TblDisponibilidad[],23,FALSE),"No Manejado")</f>
        <v>No Manejado</v>
      </c>
    </row>
    <row r="25" spans="1:6" x14ac:dyDescent="0.3">
      <c r="A25" s="44" t="s">
        <v>58</v>
      </c>
      <c r="B25" s="36" t="s">
        <v>1024</v>
      </c>
      <c r="C25" s="36" t="s">
        <v>1028</v>
      </c>
      <c r="D25" s="36" t="s">
        <v>1004</v>
      </c>
      <c r="E25" s="36" t="s">
        <v>929</v>
      </c>
      <c r="F25" s="46" t="str">
        <f>IFERROR(VLOOKUP(A25,TblDisponibilidad[],23,FALSE),"No Manejado")</f>
        <v>No Manejado</v>
      </c>
    </row>
    <row r="26" spans="1:6" x14ac:dyDescent="0.3">
      <c r="A26" s="44" t="s">
        <v>55</v>
      </c>
      <c r="B26" s="36" t="s">
        <v>1029</v>
      </c>
      <c r="C26" s="36" t="s">
        <v>1030</v>
      </c>
      <c r="D26" s="36" t="s">
        <v>1073</v>
      </c>
      <c r="E26" s="36" t="s">
        <v>976</v>
      </c>
      <c r="F26" s="46" t="str">
        <f>IFERROR(VLOOKUP(A26,TblDisponibilidad[],23,FALSE),"No Manejado")</f>
        <v>No Manejado</v>
      </c>
    </row>
    <row r="27" spans="1:6" x14ac:dyDescent="0.3">
      <c r="A27" s="44" t="s">
        <v>56</v>
      </c>
      <c r="B27" s="36" t="s">
        <v>1029</v>
      </c>
      <c r="C27" s="36" t="s">
        <v>1031</v>
      </c>
      <c r="D27" s="36" t="s">
        <v>977</v>
      </c>
      <c r="E27" s="36" t="s">
        <v>929</v>
      </c>
      <c r="F27" s="46" t="str">
        <f>IFERROR(VLOOKUP(A27,TblDisponibilidad[],23,FALSE),"No Manejado")</f>
        <v>No Manejado</v>
      </c>
    </row>
    <row r="28" spans="1:6" x14ac:dyDescent="0.3">
      <c r="A28" s="44" t="s">
        <v>59</v>
      </c>
      <c r="B28" s="36" t="s">
        <v>1032</v>
      </c>
      <c r="C28" s="36" t="s">
        <v>1033</v>
      </c>
      <c r="D28" s="36" t="s">
        <v>1133</v>
      </c>
      <c r="E28" s="36" t="s">
        <v>934</v>
      </c>
      <c r="F28" s="46" t="str">
        <f>IFERROR(VLOOKUP(A28,TblDisponibilidad[],23,FALSE),"No Manejado")</f>
        <v>No Manejado</v>
      </c>
    </row>
    <row r="29" spans="1:6" x14ac:dyDescent="0.3">
      <c r="A29" s="44" t="s">
        <v>60</v>
      </c>
      <c r="B29" s="36" t="s">
        <v>1034</v>
      </c>
      <c r="C29" s="36" t="s">
        <v>945</v>
      </c>
      <c r="D29" s="36" t="s">
        <v>930</v>
      </c>
      <c r="E29" s="36" t="s">
        <v>934</v>
      </c>
      <c r="F29" s="46" t="str">
        <f>IFERROR(VLOOKUP(A29,TblDisponibilidad[],23,FALSE),"No Manejado")</f>
        <v>No Manejado</v>
      </c>
    </row>
    <row r="30" spans="1:6" x14ac:dyDescent="0.3">
      <c r="A30" s="44" t="s">
        <v>61</v>
      </c>
      <c r="B30" s="36" t="s">
        <v>1053</v>
      </c>
      <c r="C30" s="36" t="s">
        <v>938</v>
      </c>
      <c r="D30" s="36" t="s">
        <v>930</v>
      </c>
      <c r="E30" s="36" t="s">
        <v>929</v>
      </c>
      <c r="F30" s="46" t="str">
        <f>IFERROR(VLOOKUP(A30,TblDisponibilidad[],23,FALSE),"No Manejado")</f>
        <v>No Manejado</v>
      </c>
    </row>
    <row r="31" spans="1:6" x14ac:dyDescent="0.3">
      <c r="A31" s="44" t="s">
        <v>1054</v>
      </c>
      <c r="B31" s="36" t="s">
        <v>1055</v>
      </c>
      <c r="C31" s="36" t="s">
        <v>1056</v>
      </c>
      <c r="D31" s="36" t="s">
        <v>930</v>
      </c>
      <c r="E31" s="36" t="s">
        <v>929</v>
      </c>
      <c r="F31" s="46" t="str">
        <f>IFERROR(VLOOKUP(A31,TblDisponibilidad[],23,FALSE),"No Manejado")</f>
        <v>No Manejado</v>
      </c>
    </row>
    <row r="32" spans="1:6" x14ac:dyDescent="0.3">
      <c r="A32" s="44" t="s">
        <v>1057</v>
      </c>
      <c r="B32" s="36" t="s">
        <v>1055</v>
      </c>
      <c r="C32" s="36" t="s">
        <v>1058</v>
      </c>
      <c r="D32" s="36" t="s">
        <v>930</v>
      </c>
      <c r="E32" s="36" t="s">
        <v>929</v>
      </c>
      <c r="F32" s="46" t="str">
        <f>IFERROR(VLOOKUP(A32,TblDisponibilidad[],23,FALSE),"No Manejado")</f>
        <v>No Manejado</v>
      </c>
    </row>
    <row r="33" spans="1:6" x14ac:dyDescent="0.3">
      <c r="A33" s="44" t="s">
        <v>1059</v>
      </c>
      <c r="B33" s="36" t="s">
        <v>1060</v>
      </c>
      <c r="C33" s="36" t="s">
        <v>1061</v>
      </c>
      <c r="D33" s="36" t="s">
        <v>1065</v>
      </c>
      <c r="E33" s="36" t="s">
        <v>934</v>
      </c>
      <c r="F33" s="46" t="str">
        <f>IFERROR(VLOOKUP(A33,TblDisponibilidad[],23,FALSE),"No Manejado")</f>
        <v>No Manejado</v>
      </c>
    </row>
    <row r="34" spans="1:6" x14ac:dyDescent="0.3">
      <c r="A34" s="44" t="s">
        <v>62</v>
      </c>
      <c r="B34" s="36" t="s">
        <v>1060</v>
      </c>
      <c r="C34" s="36" t="s">
        <v>1062</v>
      </c>
      <c r="D34" s="36" t="s">
        <v>1208</v>
      </c>
      <c r="E34" s="36" t="s">
        <v>934</v>
      </c>
      <c r="F34" s="46" t="str">
        <f>IFERROR(VLOOKUP(A34,TblDisponibilidad[],23,FALSE),"No Manejado")</f>
        <v>No Manejado</v>
      </c>
    </row>
    <row r="35" spans="1:6" x14ac:dyDescent="0.3">
      <c r="A35" s="44" t="s">
        <v>680</v>
      </c>
      <c r="B35" s="36" t="s">
        <v>1063</v>
      </c>
      <c r="C35" s="36" t="s">
        <v>1064</v>
      </c>
      <c r="D35" s="36" t="s">
        <v>930</v>
      </c>
      <c r="E35" s="36" t="s">
        <v>950</v>
      </c>
      <c r="F35" s="46" t="str">
        <f>IFERROR(VLOOKUP(A35,TblDisponibilidad[],23,FALSE),"No Manejado")</f>
        <v>No Manejado</v>
      </c>
    </row>
    <row r="36" spans="1:6" x14ac:dyDescent="0.3">
      <c r="A36" s="44" t="s">
        <v>63</v>
      </c>
      <c r="B36" s="36" t="s">
        <v>1066</v>
      </c>
      <c r="C36" s="36" t="s">
        <v>1067</v>
      </c>
      <c r="D36" s="36" t="s">
        <v>930</v>
      </c>
      <c r="E36" s="36" t="s">
        <v>976</v>
      </c>
      <c r="F36" s="46" t="str">
        <f>IFERROR(VLOOKUP(A36,TblDisponibilidad[],23,FALSE),"No Manejado")</f>
        <v>No Manejado</v>
      </c>
    </row>
    <row r="37" spans="1:6" x14ac:dyDescent="0.3">
      <c r="A37" s="44" t="s">
        <v>64</v>
      </c>
      <c r="B37" s="36" t="s">
        <v>1066</v>
      </c>
      <c r="C37" s="36" t="s">
        <v>1028</v>
      </c>
      <c r="D37" s="36" t="s">
        <v>930</v>
      </c>
      <c r="E37" s="36" t="s">
        <v>929</v>
      </c>
      <c r="F37" s="46" t="str">
        <f>IFERROR(VLOOKUP(A37,TblDisponibilidad[],23,FALSE),"No Manejado")</f>
        <v>No Manejado</v>
      </c>
    </row>
    <row r="38" spans="1:6" x14ac:dyDescent="0.3">
      <c r="A38" s="44" t="s">
        <v>65</v>
      </c>
      <c r="B38" s="36" t="s">
        <v>1069</v>
      </c>
      <c r="C38" s="36" t="s">
        <v>1022</v>
      </c>
      <c r="D38" s="36" t="s">
        <v>1004</v>
      </c>
      <c r="E38" s="36" t="s">
        <v>929</v>
      </c>
      <c r="F38" s="46" t="str">
        <f>IFERROR(VLOOKUP(A38,TblDisponibilidad[],23,FALSE),"No Manejado")</f>
        <v>No Manejado</v>
      </c>
    </row>
    <row r="39" spans="1:6" x14ac:dyDescent="0.3">
      <c r="A39" s="44" t="s">
        <v>66</v>
      </c>
      <c r="B39" s="36" t="s">
        <v>1070</v>
      </c>
      <c r="C39" s="36" t="s">
        <v>1864</v>
      </c>
      <c r="D39" s="36" t="s">
        <v>1026</v>
      </c>
      <c r="E39" s="36" t="s">
        <v>1072</v>
      </c>
      <c r="F39" s="46" t="str">
        <f>IFERROR(VLOOKUP(A39,TblDisponibilidad[],23,FALSE),"No Manejado")</f>
        <v>No Manejado</v>
      </c>
    </row>
    <row r="40" spans="1:6" x14ac:dyDescent="0.3">
      <c r="A40" s="44" t="s">
        <v>67</v>
      </c>
      <c r="B40" s="36" t="s">
        <v>1074</v>
      </c>
      <c r="C40" s="36" t="s">
        <v>1075</v>
      </c>
      <c r="D40" s="36" t="s">
        <v>930</v>
      </c>
      <c r="E40" s="36" t="s">
        <v>934</v>
      </c>
      <c r="F40" s="46" t="str">
        <f>IFERROR(VLOOKUP(A40,TblDisponibilidad[],23,FALSE),"No Manejado")</f>
        <v>No Manejado</v>
      </c>
    </row>
    <row r="41" spans="1:6" x14ac:dyDescent="0.3">
      <c r="A41" s="44" t="s">
        <v>378</v>
      </c>
      <c r="B41" s="36" t="s">
        <v>1076</v>
      </c>
      <c r="C41" s="36" t="s">
        <v>1077</v>
      </c>
      <c r="D41" s="36" t="s">
        <v>1026</v>
      </c>
      <c r="E41" s="36" t="s">
        <v>934</v>
      </c>
      <c r="F41" s="46" t="str">
        <f>IFERROR(VLOOKUP(A41,TblDisponibilidad[],23,FALSE),"No Manejado")</f>
        <v>No Manejado</v>
      </c>
    </row>
    <row r="42" spans="1:6" x14ac:dyDescent="0.3">
      <c r="A42" s="44" t="s">
        <v>703</v>
      </c>
      <c r="B42" s="36" t="s">
        <v>1078</v>
      </c>
      <c r="C42" s="36" t="s">
        <v>1079</v>
      </c>
      <c r="D42" s="36" t="s">
        <v>935</v>
      </c>
      <c r="E42" s="36" t="s">
        <v>934</v>
      </c>
      <c r="F42" s="46" t="str">
        <f>IFERROR(VLOOKUP(A42,TblDisponibilidad[],23,FALSE),"No Manejado")</f>
        <v>No Manejado</v>
      </c>
    </row>
    <row r="43" spans="1:6" x14ac:dyDescent="0.3">
      <c r="A43" s="44" t="s">
        <v>384</v>
      </c>
      <c r="B43" s="36" t="s">
        <v>1080</v>
      </c>
      <c r="C43" s="36" t="s">
        <v>1079</v>
      </c>
      <c r="D43" s="36" t="s">
        <v>1088</v>
      </c>
      <c r="E43" s="36" t="s">
        <v>934</v>
      </c>
      <c r="F43" s="46" t="str">
        <f>IFERROR(VLOOKUP(A43,TblDisponibilidad[],23,FALSE),"No Manejado")</f>
        <v>No Manejado</v>
      </c>
    </row>
    <row r="44" spans="1:6" x14ac:dyDescent="0.3">
      <c r="A44" s="44" t="s">
        <v>68</v>
      </c>
      <c r="B44" s="36" t="s">
        <v>1082</v>
      </c>
      <c r="C44" s="36" t="s">
        <v>1083</v>
      </c>
      <c r="D44" s="36" t="s">
        <v>930</v>
      </c>
      <c r="E44" s="36" t="s">
        <v>1084</v>
      </c>
      <c r="F44" s="46" t="str">
        <f>IFERROR(VLOOKUP(A44,TblDisponibilidad[],23,FALSE),"No Manejado")</f>
        <v>No Manejado</v>
      </c>
    </row>
    <row r="45" spans="1:6" x14ac:dyDescent="0.3">
      <c r="A45" s="44" t="s">
        <v>69</v>
      </c>
      <c r="B45" s="36" t="s">
        <v>1085</v>
      </c>
      <c r="C45" s="36" t="s">
        <v>1086</v>
      </c>
      <c r="D45" s="36" t="s">
        <v>954</v>
      </c>
      <c r="E45" s="36" t="s">
        <v>1087</v>
      </c>
      <c r="F45" s="46" t="str">
        <f>IFERROR(VLOOKUP(A45,TblDisponibilidad[],23,FALSE),"No Manejado")</f>
        <v>No Manejado</v>
      </c>
    </row>
    <row r="46" spans="1:6" x14ac:dyDescent="0.3">
      <c r="A46" s="44" t="s">
        <v>70</v>
      </c>
      <c r="B46" s="36" t="s">
        <v>1089</v>
      </c>
      <c r="C46" s="36" t="s">
        <v>1090</v>
      </c>
      <c r="D46" s="36" t="s">
        <v>930</v>
      </c>
      <c r="E46" s="36" t="s">
        <v>934</v>
      </c>
      <c r="F46" s="46" t="str">
        <f>IFERROR(VLOOKUP(A46,TblDisponibilidad[],23,FALSE),"No Manejado")</f>
        <v>No Manejado</v>
      </c>
    </row>
    <row r="47" spans="1:6" x14ac:dyDescent="0.3">
      <c r="A47" s="44" t="s">
        <v>1091</v>
      </c>
      <c r="B47" s="36" t="s">
        <v>1092</v>
      </c>
      <c r="C47" s="36" t="s">
        <v>1093</v>
      </c>
      <c r="D47" s="36" t="s">
        <v>930</v>
      </c>
      <c r="E47" s="36" t="s">
        <v>1087</v>
      </c>
      <c r="F47" s="46" t="str">
        <f>IFERROR(VLOOKUP(A47,TblDisponibilidad[],23,FALSE),"No Manejado")</f>
        <v>No Manejado</v>
      </c>
    </row>
    <row r="48" spans="1:6" x14ac:dyDescent="0.3">
      <c r="A48" s="44" t="s">
        <v>71</v>
      </c>
      <c r="B48" s="36" t="s">
        <v>1094</v>
      </c>
      <c r="C48" s="36" t="s">
        <v>1095</v>
      </c>
      <c r="D48" s="36" t="s">
        <v>930</v>
      </c>
      <c r="E48" s="36" t="s">
        <v>929</v>
      </c>
      <c r="F48" s="46" t="str">
        <f>IFERROR(VLOOKUP(A48,TblDisponibilidad[],23,FALSE),"No Manejado")</f>
        <v>No Manejado</v>
      </c>
    </row>
    <row r="49" spans="1:6" x14ac:dyDescent="0.3">
      <c r="A49" s="44" t="s">
        <v>797</v>
      </c>
      <c r="B49" s="36" t="s">
        <v>1096</v>
      </c>
      <c r="C49" s="36" t="s">
        <v>1023</v>
      </c>
      <c r="D49" s="36" t="s">
        <v>930</v>
      </c>
      <c r="E49" s="36" t="s">
        <v>929</v>
      </c>
      <c r="F49" s="46" t="str">
        <f>IFERROR(VLOOKUP(A49,TblDisponibilidad[],23,FALSE),"No Manejado")</f>
        <v>No Manejado</v>
      </c>
    </row>
    <row r="50" spans="1:6" x14ac:dyDescent="0.3">
      <c r="A50" s="44" t="s">
        <v>73</v>
      </c>
      <c r="B50" s="36" t="s">
        <v>1118</v>
      </c>
      <c r="C50" s="36" t="s">
        <v>1119</v>
      </c>
      <c r="D50" s="36" t="s">
        <v>930</v>
      </c>
      <c r="E50" s="36" t="s">
        <v>929</v>
      </c>
      <c r="F50" s="46" t="str">
        <f>IFERROR(VLOOKUP(A50,TblDisponibilidad[],23,FALSE),"No Manejado")</f>
        <v>No Manejado</v>
      </c>
    </row>
    <row r="51" spans="1:6" x14ac:dyDescent="0.3">
      <c r="A51" s="44" t="s">
        <v>423</v>
      </c>
      <c r="B51" s="36" t="s">
        <v>1120</v>
      </c>
      <c r="C51" s="36" t="s">
        <v>1121</v>
      </c>
      <c r="D51" s="36" t="s">
        <v>930</v>
      </c>
      <c r="E51" s="36" t="s">
        <v>1072</v>
      </c>
      <c r="F51" s="46" t="str">
        <f>IFERROR(VLOOKUP(A51,TblDisponibilidad[],23,FALSE),"No Manejado")</f>
        <v>No Manejado</v>
      </c>
    </row>
    <row r="52" spans="1:6" x14ac:dyDescent="0.3">
      <c r="A52" s="44" t="s">
        <v>74</v>
      </c>
      <c r="B52" s="36" t="s">
        <v>1122</v>
      </c>
      <c r="C52" s="36" t="s">
        <v>1123</v>
      </c>
      <c r="D52" s="36" t="s">
        <v>930</v>
      </c>
      <c r="E52" s="36" t="s">
        <v>934</v>
      </c>
      <c r="F52" s="46" t="str">
        <f>IFERROR(VLOOKUP(A52,TblDisponibilidad[],23,FALSE),"No Manejado")</f>
        <v>No Manejado</v>
      </c>
    </row>
    <row r="53" spans="1:6" x14ac:dyDescent="0.3">
      <c r="A53" s="44" t="s">
        <v>1124</v>
      </c>
      <c r="B53" s="36" t="s">
        <v>1125</v>
      </c>
      <c r="C53" s="36" t="s">
        <v>1126</v>
      </c>
      <c r="D53" s="36" t="s">
        <v>1287</v>
      </c>
      <c r="E53" s="36" t="s">
        <v>934</v>
      </c>
      <c r="F53" s="46" t="str">
        <f>IFERROR(VLOOKUP(A53,TblDisponibilidad[],23,FALSE),"No Manejado")</f>
        <v>No Manejado</v>
      </c>
    </row>
    <row r="54" spans="1:6" x14ac:dyDescent="0.3">
      <c r="A54" s="44" t="s">
        <v>75</v>
      </c>
      <c r="B54" s="36" t="s">
        <v>1125</v>
      </c>
      <c r="C54" s="36" t="s">
        <v>1090</v>
      </c>
      <c r="D54" s="36" t="s">
        <v>1289</v>
      </c>
      <c r="E54" s="36" t="s">
        <v>934</v>
      </c>
      <c r="F54" s="46" t="str">
        <f>IFERROR(VLOOKUP(A54,TblDisponibilidad[],23,FALSE),"No Manejado")</f>
        <v>No Manejado</v>
      </c>
    </row>
    <row r="55" spans="1:6" x14ac:dyDescent="0.3">
      <c r="A55" s="44" t="s">
        <v>76</v>
      </c>
      <c r="B55" s="36" t="s">
        <v>1127</v>
      </c>
      <c r="C55" s="36" t="s">
        <v>1128</v>
      </c>
      <c r="D55" s="36" t="s">
        <v>1004</v>
      </c>
      <c r="E55" s="36" t="s">
        <v>1072</v>
      </c>
      <c r="F55" s="46" t="str">
        <f>IFERROR(VLOOKUP(A55,TblDisponibilidad[],23,FALSE),"No Manejado")</f>
        <v>No Manejado</v>
      </c>
    </row>
    <row r="56" spans="1:6" x14ac:dyDescent="0.3">
      <c r="A56" s="44" t="s">
        <v>77</v>
      </c>
      <c r="B56" s="36" t="s">
        <v>1129</v>
      </c>
      <c r="C56" s="36" t="s">
        <v>1130</v>
      </c>
      <c r="D56" s="36" t="s">
        <v>1004</v>
      </c>
      <c r="E56" s="36" t="s">
        <v>934</v>
      </c>
      <c r="F56" s="46" t="str">
        <f>IFERROR(VLOOKUP(A56,TblDisponibilidad[],23,FALSE),"No Manejado")</f>
        <v>No Manejado</v>
      </c>
    </row>
    <row r="57" spans="1:6" x14ac:dyDescent="0.3">
      <c r="A57" s="44" t="s">
        <v>398</v>
      </c>
      <c r="B57" s="36" t="s">
        <v>1131</v>
      </c>
      <c r="C57" s="36" t="s">
        <v>1132</v>
      </c>
      <c r="D57" s="36" t="s">
        <v>1004</v>
      </c>
      <c r="E57" s="36" t="s">
        <v>934</v>
      </c>
      <c r="F57" s="46" t="str">
        <f>IFERROR(VLOOKUP(A57,TblDisponibilidad[],23,FALSE),"No Manejado")</f>
        <v>No Manejado</v>
      </c>
    </row>
    <row r="58" spans="1:6" x14ac:dyDescent="0.3">
      <c r="A58" s="44" t="s">
        <v>78</v>
      </c>
      <c r="B58" s="36" t="s">
        <v>1135</v>
      </c>
      <c r="C58" s="36" t="s">
        <v>940</v>
      </c>
      <c r="D58" s="36" t="s">
        <v>930</v>
      </c>
      <c r="E58" s="36" t="s">
        <v>929</v>
      </c>
      <c r="F58" s="46" t="str">
        <f>IFERROR(VLOOKUP(A58,TblDisponibilidad[],23,FALSE),"No Manejado")</f>
        <v>No Manejado</v>
      </c>
    </row>
    <row r="59" spans="1:6" x14ac:dyDescent="0.3">
      <c r="A59" s="44" t="s">
        <v>523</v>
      </c>
      <c r="B59" s="36" t="s">
        <v>1136</v>
      </c>
      <c r="C59" s="36" t="s">
        <v>1137</v>
      </c>
      <c r="D59" s="36" t="s">
        <v>1026</v>
      </c>
      <c r="E59" s="36" t="s">
        <v>934</v>
      </c>
      <c r="F59" s="46" t="str">
        <f>IFERROR(VLOOKUP(A59,TblDisponibilidad[],23,FALSE),"No Manejado")</f>
        <v>No Manejado</v>
      </c>
    </row>
    <row r="60" spans="1:6" x14ac:dyDescent="0.3">
      <c r="A60" s="44" t="s">
        <v>79</v>
      </c>
      <c r="B60" s="36" t="s">
        <v>1138</v>
      </c>
      <c r="C60" s="36" t="s">
        <v>1139</v>
      </c>
      <c r="D60" s="36" t="s">
        <v>930</v>
      </c>
      <c r="E60" s="36" t="s">
        <v>934</v>
      </c>
      <c r="F60" s="46" t="str">
        <f>IFERROR(VLOOKUP(A60,TblDisponibilidad[],23,FALSE),"No Manejado")</f>
        <v>No Manejado</v>
      </c>
    </row>
    <row r="61" spans="1:6" x14ac:dyDescent="0.3">
      <c r="A61" s="44" t="s">
        <v>80</v>
      </c>
      <c r="B61" s="36" t="s">
        <v>1150</v>
      </c>
      <c r="C61" s="36" t="s">
        <v>1151</v>
      </c>
      <c r="D61" s="36" t="s">
        <v>935</v>
      </c>
      <c r="E61" s="36" t="s">
        <v>929</v>
      </c>
      <c r="F61" s="46" t="str">
        <f>IFERROR(VLOOKUP(A61,TblDisponibilidad[],23,FALSE),"No Manejado")</f>
        <v>No Manejado</v>
      </c>
    </row>
    <row r="62" spans="1:6" x14ac:dyDescent="0.3">
      <c r="A62" s="44" t="s">
        <v>81</v>
      </c>
      <c r="B62" s="36" t="s">
        <v>1152</v>
      </c>
      <c r="C62" s="36" t="s">
        <v>928</v>
      </c>
      <c r="D62" s="36" t="s">
        <v>1343</v>
      </c>
      <c r="E62" s="36" t="s">
        <v>929</v>
      </c>
      <c r="F62" s="46" t="str">
        <f>IFERROR(VLOOKUP(A62,TblDisponibilidad[],23,FALSE),"No Manejado")</f>
        <v>No Manejado</v>
      </c>
    </row>
    <row r="63" spans="1:6" x14ac:dyDescent="0.3">
      <c r="A63" s="44" t="s">
        <v>424</v>
      </c>
      <c r="B63" s="36" t="s">
        <v>1159</v>
      </c>
      <c r="C63" s="36" t="s">
        <v>1160</v>
      </c>
      <c r="D63" s="36" t="s">
        <v>1208</v>
      </c>
      <c r="E63" s="36" t="s">
        <v>929</v>
      </c>
      <c r="F63" s="46" t="str">
        <f>IFERROR(VLOOKUP(A63,TblDisponibilidad[],23,FALSE),"No Manejado")</f>
        <v>No Manejado</v>
      </c>
    </row>
    <row r="64" spans="1:6" x14ac:dyDescent="0.3">
      <c r="A64" s="44" t="s">
        <v>82</v>
      </c>
      <c r="B64" s="36" t="s">
        <v>1188</v>
      </c>
      <c r="C64" s="36" t="s">
        <v>1025</v>
      </c>
      <c r="D64" s="36" t="s">
        <v>935</v>
      </c>
      <c r="E64" s="36" t="s">
        <v>976</v>
      </c>
      <c r="F64" s="46" t="str">
        <f>IFERROR(VLOOKUP(A64,TblDisponibilidad[],23,FALSE),"No Manejado")</f>
        <v>No Manejado</v>
      </c>
    </row>
    <row r="65" spans="1:6" x14ac:dyDescent="0.3">
      <c r="A65" s="44" t="s">
        <v>83</v>
      </c>
      <c r="B65" s="36" t="s">
        <v>1188</v>
      </c>
      <c r="C65" s="36" t="s">
        <v>1028</v>
      </c>
      <c r="D65" s="36" t="s">
        <v>935</v>
      </c>
      <c r="E65" s="36" t="s">
        <v>929</v>
      </c>
      <c r="F65" s="46" t="str">
        <f>IFERROR(VLOOKUP(A65,TblDisponibilidad[],23,FALSE),"No Manejado")</f>
        <v>No Manejado</v>
      </c>
    </row>
    <row r="66" spans="1:6" x14ac:dyDescent="0.3">
      <c r="A66" s="44" t="s">
        <v>84</v>
      </c>
      <c r="B66" s="36" t="s">
        <v>1189</v>
      </c>
      <c r="C66" s="36" t="s">
        <v>945</v>
      </c>
      <c r="D66" s="36" t="s">
        <v>980</v>
      </c>
      <c r="E66" s="36" t="s">
        <v>934</v>
      </c>
      <c r="F66" s="46" t="str">
        <f>IFERROR(VLOOKUP(A66,TblDisponibilidad[],23,FALSE),"No Manejado")</f>
        <v>No Manejado</v>
      </c>
    </row>
    <row r="67" spans="1:6" x14ac:dyDescent="0.3">
      <c r="A67" s="44" t="s">
        <v>85</v>
      </c>
      <c r="B67" s="36" t="s">
        <v>1190</v>
      </c>
      <c r="C67" s="36" t="s">
        <v>1028</v>
      </c>
      <c r="D67" s="36" t="s">
        <v>1065</v>
      </c>
      <c r="E67" s="36" t="s">
        <v>934</v>
      </c>
      <c r="F67" s="46" t="str">
        <f>IFERROR(VLOOKUP(A67,TblDisponibilidad[],23,FALSE),"No Manejado")</f>
        <v>No Manejado</v>
      </c>
    </row>
    <row r="68" spans="1:6" x14ac:dyDescent="0.3">
      <c r="A68" s="44" t="s">
        <v>86</v>
      </c>
      <c r="B68" s="36" t="s">
        <v>1191</v>
      </c>
      <c r="C68" s="36" t="s">
        <v>945</v>
      </c>
      <c r="D68" s="36" t="s">
        <v>935</v>
      </c>
      <c r="E68" s="36" t="s">
        <v>934</v>
      </c>
      <c r="F68" s="46" t="str">
        <f>IFERROR(VLOOKUP(A68,TblDisponibilidad[],23,FALSE),"No Manejado")</f>
        <v>No Manejado</v>
      </c>
    </row>
    <row r="69" spans="1:6" x14ac:dyDescent="0.3">
      <c r="A69" s="44" t="s">
        <v>382</v>
      </c>
      <c r="B69" s="36" t="s">
        <v>1192</v>
      </c>
      <c r="C69" s="36" t="s">
        <v>945</v>
      </c>
      <c r="D69" s="36" t="s">
        <v>977</v>
      </c>
      <c r="E69" s="36" t="s">
        <v>934</v>
      </c>
      <c r="F69" s="46" t="str">
        <f>IFERROR(VLOOKUP(A69,TblDisponibilidad[],23,FALSE),"No Manejado")</f>
        <v>No Manejado</v>
      </c>
    </row>
    <row r="70" spans="1:6" x14ac:dyDescent="0.3">
      <c r="A70" s="44" t="s">
        <v>87</v>
      </c>
      <c r="B70" s="36" t="s">
        <v>1193</v>
      </c>
      <c r="C70" s="36" t="s">
        <v>945</v>
      </c>
      <c r="D70" s="36" t="s">
        <v>1343</v>
      </c>
      <c r="E70" s="36" t="s">
        <v>934</v>
      </c>
      <c r="F70" s="46" t="str">
        <f>IFERROR(VLOOKUP(A70,TblDisponibilidad[],23,FALSE),"No Manejado")</f>
        <v>No Manejado</v>
      </c>
    </row>
    <row r="71" spans="1:6" x14ac:dyDescent="0.3">
      <c r="A71" s="44" t="s">
        <v>89</v>
      </c>
      <c r="B71" s="36" t="s">
        <v>1194</v>
      </c>
      <c r="C71" s="36" t="s">
        <v>1028</v>
      </c>
      <c r="D71" s="36" t="s">
        <v>954</v>
      </c>
      <c r="E71" s="36" t="s">
        <v>929</v>
      </c>
      <c r="F71" s="46" t="str">
        <f>IFERROR(VLOOKUP(A71,TblDisponibilidad[],23,FALSE),"No Manejado")</f>
        <v>No Manejado</v>
      </c>
    </row>
    <row r="72" spans="1:6" x14ac:dyDescent="0.3">
      <c r="A72" s="44" t="s">
        <v>90</v>
      </c>
      <c r="B72" s="36" t="s">
        <v>1201</v>
      </c>
      <c r="C72" s="36" t="s">
        <v>1202</v>
      </c>
      <c r="D72" s="36" t="s">
        <v>1501</v>
      </c>
      <c r="E72" s="36" t="s">
        <v>934</v>
      </c>
      <c r="F72" s="46" t="str">
        <f>IFERROR(VLOOKUP(A72,TblDisponibilidad[],23,FALSE),"No Manejado")</f>
        <v>No Manejado</v>
      </c>
    </row>
    <row r="73" spans="1:6" x14ac:dyDescent="0.3">
      <c r="A73" s="44" t="s">
        <v>93</v>
      </c>
      <c r="B73" s="36" t="s">
        <v>1203</v>
      </c>
      <c r="C73" s="36" t="s">
        <v>1028</v>
      </c>
      <c r="D73" s="36" t="s">
        <v>977</v>
      </c>
      <c r="E73" s="36" t="s">
        <v>929</v>
      </c>
      <c r="F73" s="46" t="str">
        <f>IFERROR(VLOOKUP(A73,TblDisponibilidad[],23,FALSE),"No Manejado")</f>
        <v>No Manejado</v>
      </c>
    </row>
    <row r="74" spans="1:6" x14ac:dyDescent="0.3">
      <c r="A74" s="44" t="s">
        <v>92</v>
      </c>
      <c r="B74" s="36" t="s">
        <v>1204</v>
      </c>
      <c r="C74" s="36" t="s">
        <v>1205</v>
      </c>
      <c r="D74" s="36" t="s">
        <v>977</v>
      </c>
      <c r="E74" s="36" t="s">
        <v>950</v>
      </c>
      <c r="F74" s="46" t="str">
        <f>IFERROR(VLOOKUP(A74,TblDisponibilidad[],23,FALSE),"No Manejado")</f>
        <v>No Manejado</v>
      </c>
    </row>
    <row r="75" spans="1:6" x14ac:dyDescent="0.3">
      <c r="A75" s="44" t="s">
        <v>91</v>
      </c>
      <c r="B75" s="36" t="s">
        <v>1206</v>
      </c>
      <c r="C75" s="36" t="s">
        <v>1207</v>
      </c>
      <c r="D75" s="36" t="s">
        <v>930</v>
      </c>
      <c r="E75" s="36" t="s">
        <v>934</v>
      </c>
      <c r="F75" s="46" t="str">
        <f>IFERROR(VLOOKUP(A75,TblDisponibilidad[],23,FALSE),"No Manejado")</f>
        <v>No Manejado</v>
      </c>
    </row>
    <row r="76" spans="1:6" x14ac:dyDescent="0.3">
      <c r="A76" s="44" t="s">
        <v>694</v>
      </c>
      <c r="B76" s="36" t="s">
        <v>1211</v>
      </c>
      <c r="C76" s="36" t="s">
        <v>1028</v>
      </c>
      <c r="D76" s="36" t="s">
        <v>935</v>
      </c>
      <c r="E76" s="36" t="s">
        <v>929</v>
      </c>
      <c r="F76" s="46" t="str">
        <f>IFERROR(VLOOKUP(A76,TblDisponibilidad[],23,FALSE),"No Manejado")</f>
        <v>No Manejado</v>
      </c>
    </row>
    <row r="77" spans="1:6" x14ac:dyDescent="0.3">
      <c r="A77" s="44" t="s">
        <v>95</v>
      </c>
      <c r="B77" s="36" t="s">
        <v>1212</v>
      </c>
      <c r="C77" s="36" t="s">
        <v>1213</v>
      </c>
      <c r="D77" s="36" t="s">
        <v>962</v>
      </c>
      <c r="E77" s="36" t="s">
        <v>929</v>
      </c>
      <c r="F77" s="46" t="str">
        <f>IFERROR(VLOOKUP(A77,TblDisponibilidad[],23,FALSE),"No Manejado")</f>
        <v>No Manejado</v>
      </c>
    </row>
    <row r="78" spans="1:6" x14ac:dyDescent="0.3">
      <c r="A78" s="44" t="s">
        <v>94</v>
      </c>
      <c r="B78" s="36" t="s">
        <v>1214</v>
      </c>
      <c r="C78" s="36" t="s">
        <v>1215</v>
      </c>
      <c r="D78" s="36" t="s">
        <v>930</v>
      </c>
      <c r="E78" s="36" t="s">
        <v>934</v>
      </c>
      <c r="F78" s="46" t="str">
        <f>IFERROR(VLOOKUP(A78,TblDisponibilidad[],23,FALSE),"No Manejado")</f>
        <v>No Manejado</v>
      </c>
    </row>
    <row r="79" spans="1:6" x14ac:dyDescent="0.3">
      <c r="A79" s="44" t="s">
        <v>632</v>
      </c>
      <c r="B79" s="36" t="s">
        <v>1218</v>
      </c>
      <c r="C79" s="36" t="s">
        <v>1095</v>
      </c>
      <c r="D79" s="36" t="s">
        <v>930</v>
      </c>
      <c r="E79" s="36" t="s">
        <v>929</v>
      </c>
      <c r="F79" s="46" t="str">
        <f>IFERROR(VLOOKUP(A79,TblDisponibilidad[],23,FALSE),"No Manejado")</f>
        <v>No Manejado</v>
      </c>
    </row>
    <row r="80" spans="1:6" x14ac:dyDescent="0.3">
      <c r="A80" s="44" t="s">
        <v>96</v>
      </c>
      <c r="B80" s="36" t="s">
        <v>1218</v>
      </c>
      <c r="C80" s="36" t="s">
        <v>1001</v>
      </c>
      <c r="D80" s="36" t="s">
        <v>930</v>
      </c>
      <c r="E80" s="36" t="s">
        <v>929</v>
      </c>
      <c r="F80" s="46" t="str">
        <f>IFERROR(VLOOKUP(A80,TblDisponibilidad[],23,FALSE),"No Manejado")</f>
        <v>No Manejado</v>
      </c>
    </row>
    <row r="81" spans="1:6" x14ac:dyDescent="0.3">
      <c r="A81" s="44" t="s">
        <v>99</v>
      </c>
      <c r="B81" s="36" t="s">
        <v>1219</v>
      </c>
      <c r="C81" s="36" t="s">
        <v>1123</v>
      </c>
      <c r="D81" s="36" t="s">
        <v>954</v>
      </c>
      <c r="E81" s="36" t="s">
        <v>934</v>
      </c>
      <c r="F81" s="46" t="str">
        <f>IFERROR(VLOOKUP(A81,TblDisponibilidad[],23,FALSE),"No Manejado")</f>
        <v>No Manejado</v>
      </c>
    </row>
    <row r="82" spans="1:6" x14ac:dyDescent="0.3">
      <c r="A82" s="44" t="s">
        <v>100</v>
      </c>
      <c r="B82" s="36" t="s">
        <v>1219</v>
      </c>
      <c r="C82" s="36" t="s">
        <v>1220</v>
      </c>
      <c r="D82" s="36" t="s">
        <v>930</v>
      </c>
      <c r="E82" s="36" t="s">
        <v>1221</v>
      </c>
      <c r="F82" s="46" t="str">
        <f>IFERROR(VLOOKUP(A82,TblDisponibilidad[],23,FALSE),"No Manejado")</f>
        <v>No Manejado</v>
      </c>
    </row>
    <row r="83" spans="1:6" x14ac:dyDescent="0.3">
      <c r="A83" s="44" t="s">
        <v>101</v>
      </c>
      <c r="B83" s="36" t="s">
        <v>1219</v>
      </c>
      <c r="C83" s="36" t="s">
        <v>1126</v>
      </c>
      <c r="D83" s="36" t="s">
        <v>930</v>
      </c>
      <c r="E83" s="36" t="s">
        <v>929</v>
      </c>
      <c r="F83" s="46" t="str">
        <f>IFERROR(VLOOKUP(A83,TblDisponibilidad[],23,FALSE),"No Manejado")</f>
        <v>No Manejado</v>
      </c>
    </row>
    <row r="84" spans="1:6" x14ac:dyDescent="0.3">
      <c r="A84" s="44" t="s">
        <v>102</v>
      </c>
      <c r="B84" s="36" t="s">
        <v>1222</v>
      </c>
      <c r="C84" s="36" t="s">
        <v>1223</v>
      </c>
      <c r="D84" s="36" t="s">
        <v>1565</v>
      </c>
      <c r="E84" s="36" t="s">
        <v>950</v>
      </c>
      <c r="F84" s="46" t="str">
        <f>IFERROR(VLOOKUP(A84,TblDisponibilidad[],23,FALSE),"No Manejado")</f>
        <v>No Manejado</v>
      </c>
    </row>
    <row r="85" spans="1:6" x14ac:dyDescent="0.3">
      <c r="A85" s="44" t="s">
        <v>103</v>
      </c>
      <c r="B85" s="36" t="s">
        <v>1226</v>
      </c>
      <c r="C85" s="36" t="s">
        <v>1012</v>
      </c>
      <c r="D85" s="36" t="s">
        <v>930</v>
      </c>
      <c r="E85" s="36" t="s">
        <v>934</v>
      </c>
      <c r="F85" s="46" t="str">
        <f>IFERROR(VLOOKUP(A85,TblDisponibilidad[],23,FALSE),"No Manejado")</f>
        <v>No Manejado</v>
      </c>
    </row>
    <row r="86" spans="1:6" x14ac:dyDescent="0.3">
      <c r="A86" s="44" t="s">
        <v>105</v>
      </c>
      <c r="B86" s="36" t="s">
        <v>1227</v>
      </c>
      <c r="C86" s="36" t="s">
        <v>1228</v>
      </c>
      <c r="D86" s="36" t="s">
        <v>954</v>
      </c>
      <c r="E86" s="36" t="s">
        <v>1087</v>
      </c>
      <c r="F86" s="46" t="str">
        <f>IFERROR(VLOOKUP(A86,TblDisponibilidad[],23,FALSE),"No Manejado")</f>
        <v>No Manejado</v>
      </c>
    </row>
    <row r="87" spans="1:6" x14ac:dyDescent="0.3">
      <c r="A87" s="44" t="s">
        <v>104</v>
      </c>
      <c r="B87" s="36" t="s">
        <v>1227</v>
      </c>
      <c r="C87" s="36" t="s">
        <v>1229</v>
      </c>
      <c r="D87" s="36" t="s">
        <v>954</v>
      </c>
      <c r="E87" s="36" t="s">
        <v>950</v>
      </c>
      <c r="F87" s="46" t="str">
        <f>IFERROR(VLOOKUP(A87,TblDisponibilidad[],23,FALSE),"No Manejado")</f>
        <v>No Manejado</v>
      </c>
    </row>
    <row r="88" spans="1:6" x14ac:dyDescent="0.3">
      <c r="A88" s="44" t="s">
        <v>107</v>
      </c>
      <c r="B88" s="36" t="s">
        <v>1227</v>
      </c>
      <c r="C88" s="36" t="s">
        <v>1028</v>
      </c>
      <c r="D88" s="36" t="s">
        <v>1026</v>
      </c>
      <c r="E88" s="36" t="s">
        <v>1230</v>
      </c>
      <c r="F88" s="46" t="str">
        <f>IFERROR(VLOOKUP(A88,TblDisponibilidad[],23,FALSE),"No Manejado")</f>
        <v>No Manejado</v>
      </c>
    </row>
    <row r="89" spans="1:6" x14ac:dyDescent="0.3">
      <c r="A89" s="44" t="s">
        <v>108</v>
      </c>
      <c r="B89" s="36" t="s">
        <v>1231</v>
      </c>
      <c r="C89" s="36" t="s">
        <v>1232</v>
      </c>
      <c r="D89" s="36" t="s">
        <v>1208</v>
      </c>
      <c r="E89" s="36" t="s">
        <v>934</v>
      </c>
      <c r="F89" s="46" t="str">
        <f>IFERROR(VLOOKUP(A89,TblDisponibilidad[],23,FALSE),"No Manejado")</f>
        <v>No Manejado</v>
      </c>
    </row>
    <row r="90" spans="1:6" x14ac:dyDescent="0.3">
      <c r="A90" s="44" t="s">
        <v>514</v>
      </c>
      <c r="B90" s="36" t="s">
        <v>1234</v>
      </c>
      <c r="C90" s="36" t="s">
        <v>1235</v>
      </c>
      <c r="D90" s="36" t="s">
        <v>1065</v>
      </c>
      <c r="E90" s="36" t="s">
        <v>934</v>
      </c>
      <c r="F90" s="46" t="str">
        <f>IFERROR(VLOOKUP(A90,TblDisponibilidad[],23,FALSE),"No Manejado")</f>
        <v>No Manejado</v>
      </c>
    </row>
    <row r="91" spans="1:6" x14ac:dyDescent="0.3">
      <c r="A91" s="44" t="s">
        <v>1236</v>
      </c>
      <c r="B91" s="36" t="s">
        <v>1237</v>
      </c>
      <c r="C91" s="36" t="s">
        <v>1238</v>
      </c>
      <c r="D91" s="36" t="s">
        <v>935</v>
      </c>
      <c r="E91" s="36" t="s">
        <v>934</v>
      </c>
      <c r="F91" s="46" t="str">
        <f>IFERROR(VLOOKUP(A91,TblDisponibilidad[],23,FALSE),"No Manejado")</f>
        <v>No Manejado</v>
      </c>
    </row>
    <row r="92" spans="1:6" x14ac:dyDescent="0.3">
      <c r="A92" s="44" t="s">
        <v>887</v>
      </c>
      <c r="B92" s="36" t="s">
        <v>1243</v>
      </c>
      <c r="C92" s="36" t="s">
        <v>928</v>
      </c>
      <c r="D92" s="36" t="s">
        <v>930</v>
      </c>
      <c r="E92" s="36" t="s">
        <v>929</v>
      </c>
      <c r="F92" s="46" t="str">
        <f>IFERROR(VLOOKUP(A92,TblDisponibilidad[],23,FALSE),"No Manejado")</f>
        <v>No Manejado</v>
      </c>
    </row>
    <row r="93" spans="1:6" x14ac:dyDescent="0.3">
      <c r="A93" s="44" t="s">
        <v>110</v>
      </c>
      <c r="B93" s="36" t="s">
        <v>1244</v>
      </c>
      <c r="C93" s="36" t="s">
        <v>940</v>
      </c>
      <c r="D93" s="36" t="s">
        <v>1004</v>
      </c>
      <c r="E93" s="36" t="s">
        <v>929</v>
      </c>
      <c r="F93" s="46" t="str">
        <f>IFERROR(VLOOKUP(A93,TblDisponibilidad[],23,FALSE),"No Manejado")</f>
        <v>No Manejado</v>
      </c>
    </row>
    <row r="94" spans="1:6" x14ac:dyDescent="0.3">
      <c r="A94" s="44" t="s">
        <v>109</v>
      </c>
      <c r="B94" s="36" t="s">
        <v>1245</v>
      </c>
      <c r="C94" s="36" t="s">
        <v>1246</v>
      </c>
      <c r="D94" s="36" t="s">
        <v>930</v>
      </c>
      <c r="E94" s="36" t="s">
        <v>934</v>
      </c>
      <c r="F94" s="46" t="str">
        <f>IFERROR(VLOOKUP(A94,TblDisponibilidad[],23,FALSE),"No Manejado")</f>
        <v>No Manejado</v>
      </c>
    </row>
    <row r="95" spans="1:6" x14ac:dyDescent="0.3">
      <c r="A95" s="44" t="s">
        <v>616</v>
      </c>
      <c r="B95" s="36" t="s">
        <v>1250</v>
      </c>
      <c r="C95" s="36" t="s">
        <v>1251</v>
      </c>
      <c r="D95" s="36" t="s">
        <v>930</v>
      </c>
      <c r="E95" s="36" t="s">
        <v>1221</v>
      </c>
      <c r="F95" s="46" t="str">
        <f>IFERROR(VLOOKUP(A95,TblDisponibilidad[],23,FALSE),"No Manejado")</f>
        <v>No Manejado</v>
      </c>
    </row>
    <row r="96" spans="1:6" x14ac:dyDescent="0.3">
      <c r="A96" s="44" t="s">
        <v>165</v>
      </c>
      <c r="B96" s="36" t="s">
        <v>1252</v>
      </c>
      <c r="C96" s="36" t="s">
        <v>1253</v>
      </c>
      <c r="D96" s="36" t="s">
        <v>1065</v>
      </c>
      <c r="E96" s="36" t="s">
        <v>934</v>
      </c>
      <c r="F96" s="46" t="str">
        <f>IFERROR(VLOOKUP(A96,TblDisponibilidad[],23,FALSE),"No Manejado")</f>
        <v>No Manejado</v>
      </c>
    </row>
    <row r="97" spans="1:6" x14ac:dyDescent="0.3">
      <c r="A97" s="44" t="s">
        <v>166</v>
      </c>
      <c r="B97" s="36" t="s">
        <v>1252</v>
      </c>
      <c r="C97" s="36" t="s">
        <v>1254</v>
      </c>
      <c r="D97" s="36" t="s">
        <v>1133</v>
      </c>
      <c r="E97" s="36" t="s">
        <v>934</v>
      </c>
      <c r="F97" s="46" t="str">
        <f>IFERROR(VLOOKUP(A97,TblDisponibilidad[],23,FALSE),"No Manejado")</f>
        <v>No Manejado</v>
      </c>
    </row>
    <row r="98" spans="1:6" x14ac:dyDescent="0.3">
      <c r="A98" s="44" t="s">
        <v>168</v>
      </c>
      <c r="B98" s="36" t="s">
        <v>1252</v>
      </c>
      <c r="C98" s="36" t="s">
        <v>1255</v>
      </c>
      <c r="D98" s="36" t="s">
        <v>930</v>
      </c>
      <c r="E98" s="36" t="s">
        <v>934</v>
      </c>
      <c r="F98" s="46" t="str">
        <f>IFERROR(VLOOKUP(A98,TblDisponibilidad[],23,FALSE),"No Manejado")</f>
        <v>No Manejado</v>
      </c>
    </row>
    <row r="99" spans="1:6" x14ac:dyDescent="0.3">
      <c r="A99" s="44" t="s">
        <v>167</v>
      </c>
      <c r="B99" s="36" t="s">
        <v>1252</v>
      </c>
      <c r="C99" s="36" t="s">
        <v>1255</v>
      </c>
      <c r="D99" s="36" t="s">
        <v>930</v>
      </c>
      <c r="E99" s="36" t="s">
        <v>934</v>
      </c>
      <c r="F99" s="46" t="str">
        <f>IFERROR(VLOOKUP(A99,TblDisponibilidad[],23,FALSE),"No Manejado")</f>
        <v>No Manejado</v>
      </c>
    </row>
    <row r="100" spans="1:6" x14ac:dyDescent="0.3">
      <c r="A100" s="44" t="s">
        <v>169</v>
      </c>
      <c r="B100" s="36" t="s">
        <v>1252</v>
      </c>
      <c r="C100" s="36" t="s">
        <v>1256</v>
      </c>
      <c r="D100" s="36" t="s">
        <v>1133</v>
      </c>
      <c r="E100" s="36" t="s">
        <v>934</v>
      </c>
      <c r="F100" s="46" t="str">
        <f>IFERROR(VLOOKUP(A100,TblDisponibilidad[],23,FALSE),"No Manejado")</f>
        <v>No Manejado</v>
      </c>
    </row>
    <row r="101" spans="1:6" x14ac:dyDescent="0.3">
      <c r="A101" s="44" t="s">
        <v>112</v>
      </c>
      <c r="B101" s="36" t="s">
        <v>1257</v>
      </c>
      <c r="C101" s="36" t="s">
        <v>1022</v>
      </c>
      <c r="D101" s="36" t="s">
        <v>930</v>
      </c>
      <c r="E101" s="36" t="s">
        <v>929</v>
      </c>
      <c r="F101" s="46" t="str">
        <f>IFERROR(VLOOKUP(A101,TblDisponibilidad[],23,FALSE),"No Manejado")</f>
        <v>No Manejado</v>
      </c>
    </row>
    <row r="102" spans="1:6" x14ac:dyDescent="0.3">
      <c r="A102" s="44" t="s">
        <v>111</v>
      </c>
      <c r="B102" s="36" t="s">
        <v>1257</v>
      </c>
      <c r="C102" s="36" t="s">
        <v>1258</v>
      </c>
      <c r="D102" s="36" t="s">
        <v>954</v>
      </c>
      <c r="E102" s="36" t="s">
        <v>934</v>
      </c>
      <c r="F102" s="46" t="str">
        <f>IFERROR(VLOOKUP(A102,TblDisponibilidad[],23,FALSE),"No Manejado")</f>
        <v>No Manejado</v>
      </c>
    </row>
    <row r="103" spans="1:6" x14ac:dyDescent="0.3">
      <c r="A103" s="44" t="s">
        <v>113</v>
      </c>
      <c r="B103" s="36" t="s">
        <v>1259</v>
      </c>
      <c r="C103" s="36" t="s">
        <v>1018</v>
      </c>
      <c r="D103" s="36" t="s">
        <v>930</v>
      </c>
      <c r="E103" s="36" t="s">
        <v>934</v>
      </c>
      <c r="F103" s="46" t="str">
        <f>IFERROR(VLOOKUP(A103,TblDisponibilidad[],23,FALSE),"No Manejado")</f>
        <v>No Manejado</v>
      </c>
    </row>
    <row r="104" spans="1:6" x14ac:dyDescent="0.3">
      <c r="A104" s="44" t="s">
        <v>115</v>
      </c>
      <c r="B104" s="36" t="s">
        <v>1260</v>
      </c>
      <c r="C104" s="36" t="s">
        <v>1025</v>
      </c>
      <c r="D104" s="36" t="s">
        <v>930</v>
      </c>
      <c r="E104" s="36" t="s">
        <v>976</v>
      </c>
      <c r="F104" s="46" t="str">
        <f>IFERROR(VLOOKUP(A104,TblDisponibilidad[],23,FALSE),"No Manejado")</f>
        <v>No Manejado</v>
      </c>
    </row>
    <row r="105" spans="1:6" x14ac:dyDescent="0.3">
      <c r="A105" s="44" t="s">
        <v>116</v>
      </c>
      <c r="B105" s="36" t="s">
        <v>1260</v>
      </c>
      <c r="C105" s="36" t="s">
        <v>1028</v>
      </c>
      <c r="D105" s="36" t="s">
        <v>1618</v>
      </c>
      <c r="E105" s="36" t="s">
        <v>929</v>
      </c>
      <c r="F105" s="46" t="str">
        <f>IFERROR(VLOOKUP(A105,TblDisponibilidad[],23,FALSE),"No Manejado")</f>
        <v>No Manejado</v>
      </c>
    </row>
    <row r="106" spans="1:6" x14ac:dyDescent="0.3">
      <c r="A106" s="44" t="s">
        <v>117</v>
      </c>
      <c r="B106" s="36" t="s">
        <v>1261</v>
      </c>
      <c r="C106" s="36" t="s">
        <v>1262</v>
      </c>
      <c r="D106" s="36" t="s">
        <v>1618</v>
      </c>
      <c r="E106" s="36" t="s">
        <v>929</v>
      </c>
      <c r="F106" s="46" t="str">
        <f>IFERROR(VLOOKUP(A106,TblDisponibilidad[],23,FALSE),"No Manejado")</f>
        <v>No Manejado</v>
      </c>
    </row>
    <row r="107" spans="1:6" x14ac:dyDescent="0.3">
      <c r="A107" s="44" t="s">
        <v>118</v>
      </c>
      <c r="B107" s="36" t="s">
        <v>1263</v>
      </c>
      <c r="C107" s="36" t="s">
        <v>1009</v>
      </c>
      <c r="D107" s="36" t="s">
        <v>1004</v>
      </c>
      <c r="E107" s="36" t="s">
        <v>934</v>
      </c>
      <c r="F107" s="46" t="str">
        <f>IFERROR(VLOOKUP(A107,TblDisponibilidad[],23,FALSE),"No Manejado")</f>
        <v>No Manejado</v>
      </c>
    </row>
    <row r="108" spans="1:6" x14ac:dyDescent="0.3">
      <c r="A108" s="44" t="s">
        <v>119</v>
      </c>
      <c r="B108" s="36" t="s">
        <v>1263</v>
      </c>
      <c r="C108" s="36" t="s">
        <v>1009</v>
      </c>
      <c r="D108" s="36" t="s">
        <v>935</v>
      </c>
      <c r="E108" s="36" t="s">
        <v>929</v>
      </c>
      <c r="F108" s="46" t="str">
        <f>IFERROR(VLOOKUP(A108,TblDisponibilidad[],23,FALSE),"No Manejado")</f>
        <v>No Manejado</v>
      </c>
    </row>
    <row r="109" spans="1:6" x14ac:dyDescent="0.3">
      <c r="A109" s="44" t="s">
        <v>121</v>
      </c>
      <c r="B109" s="36" t="s">
        <v>1264</v>
      </c>
      <c r="C109" s="36" t="s">
        <v>1023</v>
      </c>
      <c r="D109" s="36" t="s">
        <v>1027</v>
      </c>
      <c r="E109" s="36" t="s">
        <v>929</v>
      </c>
      <c r="F109" s="46" t="str">
        <f>IFERROR(VLOOKUP(A109,TblDisponibilidad[],23,FALSE),"No Manejado")</f>
        <v>No Manejado</v>
      </c>
    </row>
    <row r="110" spans="1:6" x14ac:dyDescent="0.3">
      <c r="A110" s="44" t="s">
        <v>122</v>
      </c>
      <c r="B110" s="36" t="s">
        <v>1268</v>
      </c>
      <c r="C110" s="36" t="s">
        <v>1269</v>
      </c>
      <c r="D110" s="36" t="s">
        <v>930</v>
      </c>
      <c r="E110" s="36" t="s">
        <v>934</v>
      </c>
      <c r="F110" s="46" t="str">
        <f>IFERROR(VLOOKUP(A110,TblDisponibilidad[],23,FALSE),"No Manejado")</f>
        <v>No Manejado</v>
      </c>
    </row>
    <row r="111" spans="1:6" x14ac:dyDescent="0.3">
      <c r="A111" s="44" t="s">
        <v>123</v>
      </c>
      <c r="B111" s="36" t="s">
        <v>1273</v>
      </c>
      <c r="C111" s="36" t="s">
        <v>1274</v>
      </c>
      <c r="D111" s="36" t="s">
        <v>997</v>
      </c>
      <c r="E111" s="36" t="s">
        <v>934</v>
      </c>
      <c r="F111" s="46" t="str">
        <f>IFERROR(VLOOKUP(A111,TblDisponibilidad[],23,FALSE),"No Manejado")</f>
        <v>No Manejado</v>
      </c>
    </row>
    <row r="112" spans="1:6" x14ac:dyDescent="0.3">
      <c r="A112" s="44" t="s">
        <v>124</v>
      </c>
      <c r="B112" s="36" t="s">
        <v>1275</v>
      </c>
      <c r="C112" s="36" t="s">
        <v>938</v>
      </c>
      <c r="D112" s="36" t="s">
        <v>935</v>
      </c>
      <c r="E112" s="36" t="s">
        <v>929</v>
      </c>
      <c r="F112" s="46" t="str">
        <f>IFERROR(VLOOKUP(A112,TblDisponibilidad[],23,FALSE),"No Manejado")</f>
        <v>No Manejado</v>
      </c>
    </row>
    <row r="113" spans="1:6" x14ac:dyDescent="0.3">
      <c r="A113" s="44" t="s">
        <v>125</v>
      </c>
      <c r="B113" s="36" t="s">
        <v>1284</v>
      </c>
      <c r="C113" s="36" t="s">
        <v>1022</v>
      </c>
      <c r="D113" s="36" t="s">
        <v>930</v>
      </c>
      <c r="E113" s="36" t="s">
        <v>929</v>
      </c>
      <c r="F113" s="46" t="str">
        <f>IFERROR(VLOOKUP(A113,TblDisponibilidad[],23,FALSE),"No Manejado")</f>
        <v>No Manejado</v>
      </c>
    </row>
    <row r="114" spans="1:6" x14ac:dyDescent="0.3">
      <c r="A114" s="44" t="s">
        <v>126</v>
      </c>
      <c r="B114" s="36" t="s">
        <v>1284</v>
      </c>
      <c r="C114" s="36" t="s">
        <v>1056</v>
      </c>
      <c r="D114" s="36" t="s">
        <v>930</v>
      </c>
      <c r="E114" s="36" t="s">
        <v>929</v>
      </c>
      <c r="F114" s="46" t="str">
        <f>IFERROR(VLOOKUP(A114,TblDisponibilidad[],23,FALSE),"No Manejado")</f>
        <v>No Manejado</v>
      </c>
    </row>
    <row r="115" spans="1:6" x14ac:dyDescent="0.3">
      <c r="A115" s="44" t="s">
        <v>127</v>
      </c>
      <c r="B115" s="36" t="s">
        <v>1285</v>
      </c>
      <c r="C115" s="36" t="s">
        <v>1286</v>
      </c>
      <c r="D115" s="36" t="s">
        <v>954</v>
      </c>
      <c r="E115" s="36" t="s">
        <v>934</v>
      </c>
      <c r="F115" s="46" t="str">
        <f>IFERROR(VLOOKUP(A115,TblDisponibilidad[],23,FALSE),"No Manejado")</f>
        <v>No Manejado</v>
      </c>
    </row>
    <row r="116" spans="1:6" x14ac:dyDescent="0.3">
      <c r="A116" s="44" t="s">
        <v>128</v>
      </c>
      <c r="B116" s="36" t="s">
        <v>1285</v>
      </c>
      <c r="C116" s="36" t="s">
        <v>1288</v>
      </c>
      <c r="D116" s="36" t="s">
        <v>930</v>
      </c>
      <c r="E116" s="36" t="s">
        <v>934</v>
      </c>
      <c r="F116" s="46" t="str">
        <f>IFERROR(VLOOKUP(A116,TblDisponibilidad[],23,FALSE),"No Manejado")</f>
        <v>No Manejado</v>
      </c>
    </row>
    <row r="117" spans="1:6" x14ac:dyDescent="0.3">
      <c r="A117" s="44" t="s">
        <v>129</v>
      </c>
      <c r="B117" s="36" t="s">
        <v>1291</v>
      </c>
      <c r="C117" s="36" t="s">
        <v>1061</v>
      </c>
      <c r="D117" s="36" t="s">
        <v>1073</v>
      </c>
      <c r="E117" s="36" t="s">
        <v>934</v>
      </c>
      <c r="F117" s="46" t="str">
        <f>IFERROR(VLOOKUP(A117,TblDisponibilidad[],23,FALSE),"No Manejado")</f>
        <v>No Manejado</v>
      </c>
    </row>
    <row r="118" spans="1:6" x14ac:dyDescent="0.3">
      <c r="A118" s="44" t="s">
        <v>130</v>
      </c>
      <c r="B118" s="36" t="s">
        <v>1292</v>
      </c>
      <c r="C118" s="36" t="s">
        <v>1293</v>
      </c>
      <c r="D118" s="36" t="s">
        <v>935</v>
      </c>
      <c r="E118" s="36" t="s">
        <v>934</v>
      </c>
      <c r="F118" s="46" t="str">
        <f>IFERROR(VLOOKUP(A118,TblDisponibilidad[],23,FALSE),"No Manejado")</f>
        <v>No Manejado</v>
      </c>
    </row>
    <row r="119" spans="1:6" x14ac:dyDescent="0.3">
      <c r="A119" s="44" t="s">
        <v>131</v>
      </c>
      <c r="B119" s="36" t="s">
        <v>1300</v>
      </c>
      <c r="C119" s="36" t="s">
        <v>1301</v>
      </c>
      <c r="D119" s="36" t="s">
        <v>977</v>
      </c>
      <c r="E119" s="36" t="s">
        <v>934</v>
      </c>
      <c r="F119" s="46" t="str">
        <f>IFERROR(VLOOKUP(A119,TblDisponibilidad[],23,FALSE),"No Manejado")</f>
        <v>No Manejado</v>
      </c>
    </row>
    <row r="120" spans="1:6" x14ac:dyDescent="0.3">
      <c r="A120" s="44" t="s">
        <v>846</v>
      </c>
      <c r="B120" s="36" t="s">
        <v>1302</v>
      </c>
      <c r="C120" s="36" t="s">
        <v>1025</v>
      </c>
      <c r="D120" s="36" t="s">
        <v>962</v>
      </c>
      <c r="E120" s="36" t="s">
        <v>976</v>
      </c>
      <c r="F120" s="46" t="str">
        <f>IFERROR(VLOOKUP(A120,TblDisponibilidad[],23,FALSE),"No Manejado")</f>
        <v>No Manejado</v>
      </c>
    </row>
    <row r="121" spans="1:6" x14ac:dyDescent="0.3">
      <c r="A121" s="44" t="s">
        <v>132</v>
      </c>
      <c r="B121" s="36" t="s">
        <v>1302</v>
      </c>
      <c r="C121" s="36" t="s">
        <v>1028</v>
      </c>
      <c r="D121" s="36" t="s">
        <v>1208</v>
      </c>
      <c r="E121" s="36" t="s">
        <v>929</v>
      </c>
      <c r="F121" s="46" t="str">
        <f>IFERROR(VLOOKUP(A121,TblDisponibilidad[],23,FALSE),"No Manejado")</f>
        <v>No Manejado</v>
      </c>
    </row>
    <row r="122" spans="1:6" x14ac:dyDescent="0.3">
      <c r="A122" s="44" t="s">
        <v>646</v>
      </c>
      <c r="B122" s="36" t="s">
        <v>1303</v>
      </c>
      <c r="C122" s="36" t="s">
        <v>1025</v>
      </c>
      <c r="D122" s="36" t="s">
        <v>1016</v>
      </c>
      <c r="E122" s="36" t="s">
        <v>976</v>
      </c>
      <c r="F122" s="46" t="str">
        <f>IFERROR(VLOOKUP(A122,TblDisponibilidad[],23,FALSE),"No Manejado")</f>
        <v>No Manejado</v>
      </c>
    </row>
    <row r="123" spans="1:6" x14ac:dyDescent="0.3">
      <c r="A123" s="44" t="s">
        <v>134</v>
      </c>
      <c r="B123" s="36" t="s">
        <v>1304</v>
      </c>
      <c r="C123" s="36" t="s">
        <v>1022</v>
      </c>
      <c r="D123" s="36" t="s">
        <v>997</v>
      </c>
      <c r="E123" s="36" t="s">
        <v>929</v>
      </c>
      <c r="F123" s="46" t="str">
        <f>IFERROR(VLOOKUP(A123,TblDisponibilidad[],23,FALSE),"No Manejado")</f>
        <v>No Manejado</v>
      </c>
    </row>
    <row r="124" spans="1:6" x14ac:dyDescent="0.3">
      <c r="A124" s="44" t="s">
        <v>133</v>
      </c>
      <c r="B124" s="36" t="s">
        <v>1304</v>
      </c>
      <c r="C124" s="36" t="s">
        <v>1137</v>
      </c>
      <c r="D124" s="36" t="s">
        <v>1719</v>
      </c>
      <c r="E124" s="36" t="s">
        <v>934</v>
      </c>
      <c r="F124" s="46" t="str">
        <f>IFERROR(VLOOKUP(A124,TblDisponibilidad[],23,FALSE),"No Manejado")</f>
        <v>No Manejado</v>
      </c>
    </row>
    <row r="125" spans="1:6" x14ac:dyDescent="0.3">
      <c r="A125" s="44" t="s">
        <v>135</v>
      </c>
      <c r="B125" s="36" t="s">
        <v>1310</v>
      </c>
      <c r="C125" s="36" t="s">
        <v>1151</v>
      </c>
      <c r="D125" s="36" t="s">
        <v>930</v>
      </c>
      <c r="E125" s="36" t="s">
        <v>929</v>
      </c>
      <c r="F125" s="46" t="str">
        <f>IFERROR(VLOOKUP(A125,TblDisponibilidad[],23,FALSE),"No Manejado")</f>
        <v>No Manejado</v>
      </c>
    </row>
    <row r="126" spans="1:6" x14ac:dyDescent="0.3">
      <c r="A126" s="44" t="s">
        <v>137</v>
      </c>
      <c r="B126" s="36" t="s">
        <v>1315</v>
      </c>
      <c r="C126" s="36" t="s">
        <v>1316</v>
      </c>
      <c r="D126" s="36" t="s">
        <v>1565</v>
      </c>
      <c r="E126" s="36" t="s">
        <v>1087</v>
      </c>
      <c r="F126" s="46" t="str">
        <f>IFERROR(VLOOKUP(A126,TblDisponibilidad[],23,FALSE),"No Manejado")</f>
        <v>No Manejado</v>
      </c>
    </row>
    <row r="127" spans="1:6" x14ac:dyDescent="0.3">
      <c r="A127" s="44" t="s">
        <v>139</v>
      </c>
      <c r="B127" s="36" t="s">
        <v>1320</v>
      </c>
      <c r="C127" s="36" t="s">
        <v>1123</v>
      </c>
      <c r="D127" s="36" t="s">
        <v>930</v>
      </c>
      <c r="E127" s="36" t="s">
        <v>934</v>
      </c>
      <c r="F127" s="46" t="str">
        <f>IFERROR(VLOOKUP(A127,TblDisponibilidad[],23,FALSE),"No Manejado")</f>
        <v>No Manejado</v>
      </c>
    </row>
    <row r="128" spans="1:6" x14ac:dyDescent="0.3">
      <c r="A128" s="44" t="s">
        <v>667</v>
      </c>
      <c r="B128" s="36" t="s">
        <v>1331</v>
      </c>
      <c r="C128" s="36" t="s">
        <v>1018</v>
      </c>
      <c r="D128" s="36" t="s">
        <v>930</v>
      </c>
      <c r="E128" s="36" t="s">
        <v>950</v>
      </c>
      <c r="F128" s="46" t="str">
        <f>IFERROR(VLOOKUP(A128,TblDisponibilidad[],23,FALSE),"No Manejado")</f>
        <v>No Manejado</v>
      </c>
    </row>
    <row r="129" spans="1:6" x14ac:dyDescent="0.3">
      <c r="A129" s="44" t="s">
        <v>633</v>
      </c>
      <c r="B129" s="36" t="s">
        <v>1333</v>
      </c>
      <c r="C129" s="36" t="s">
        <v>938</v>
      </c>
      <c r="D129" s="36" t="s">
        <v>930</v>
      </c>
      <c r="E129" s="36" t="s">
        <v>929</v>
      </c>
      <c r="F129" s="46" t="str">
        <f>IFERROR(VLOOKUP(A129,TblDisponibilidad[],23,FALSE),"No Manejado")</f>
        <v>No Manejado</v>
      </c>
    </row>
    <row r="130" spans="1:6" x14ac:dyDescent="0.3">
      <c r="A130" s="44" t="s">
        <v>143</v>
      </c>
      <c r="B130" s="36" t="s">
        <v>1333</v>
      </c>
      <c r="C130" s="36" t="s">
        <v>1334</v>
      </c>
      <c r="D130" s="36" t="s">
        <v>930</v>
      </c>
      <c r="E130" s="36" t="s">
        <v>976</v>
      </c>
      <c r="F130" s="46" t="str">
        <f>IFERROR(VLOOKUP(A130,TblDisponibilidad[],23,FALSE),"No Manejado")</f>
        <v>No Manejado</v>
      </c>
    </row>
    <row r="131" spans="1:6" x14ac:dyDescent="0.3">
      <c r="A131" s="44" t="s">
        <v>142</v>
      </c>
      <c r="B131" s="36" t="s">
        <v>1333</v>
      </c>
      <c r="C131" s="36" t="s">
        <v>1335</v>
      </c>
      <c r="D131" s="36" t="s">
        <v>930</v>
      </c>
      <c r="E131" s="36" t="s">
        <v>934</v>
      </c>
      <c r="F131" s="46" t="str">
        <f>IFERROR(VLOOKUP(A131,TblDisponibilidad[],23,FALSE),"No Manejado")</f>
        <v>No Manejado</v>
      </c>
    </row>
    <row r="132" spans="1:6" x14ac:dyDescent="0.3">
      <c r="A132" s="44" t="s">
        <v>145</v>
      </c>
      <c r="B132" s="36" t="s">
        <v>1336</v>
      </c>
      <c r="C132" s="36" t="s">
        <v>938</v>
      </c>
      <c r="D132" s="36" t="s">
        <v>1026</v>
      </c>
      <c r="E132" s="36" t="s">
        <v>929</v>
      </c>
      <c r="F132" s="46" t="str">
        <f>IFERROR(VLOOKUP(A132,TblDisponibilidad[],23,FALSE),"No Manejado")</f>
        <v>No Manejado</v>
      </c>
    </row>
    <row r="133" spans="1:6" x14ac:dyDescent="0.3">
      <c r="A133" s="44" t="s">
        <v>144</v>
      </c>
      <c r="B133" s="36" t="s">
        <v>1337</v>
      </c>
      <c r="C133" s="36" t="s">
        <v>1338</v>
      </c>
      <c r="D133" s="36" t="s">
        <v>930</v>
      </c>
      <c r="E133" s="36" t="s">
        <v>934</v>
      </c>
      <c r="F133" s="46" t="str">
        <f>IFERROR(VLOOKUP(A133,TblDisponibilidad[],23,FALSE),"No Manejado")</f>
        <v>No Manejado</v>
      </c>
    </row>
    <row r="134" spans="1:6" x14ac:dyDescent="0.3">
      <c r="A134" s="44" t="s">
        <v>146</v>
      </c>
      <c r="B134" s="36" t="s">
        <v>1339</v>
      </c>
      <c r="C134" s="36" t="s">
        <v>1340</v>
      </c>
      <c r="D134" s="36"/>
      <c r="E134" s="36" t="s">
        <v>934</v>
      </c>
      <c r="F134" s="46" t="str">
        <f>IFERROR(VLOOKUP(A134,TblDisponibilidad[],23,FALSE),"No Manejado")</f>
        <v>No Manejado</v>
      </c>
    </row>
    <row r="135" spans="1:6" x14ac:dyDescent="0.3">
      <c r="A135" s="44" t="s">
        <v>149</v>
      </c>
      <c r="B135" s="36" t="s">
        <v>1341</v>
      </c>
      <c r="C135" s="36" t="s">
        <v>1342</v>
      </c>
      <c r="D135" s="36"/>
      <c r="E135" s="36" t="s">
        <v>1221</v>
      </c>
      <c r="F135" s="46" t="str">
        <f>IFERROR(VLOOKUP(A135,TblDisponibilidad[],23,FALSE),"No Manejado")</f>
        <v>No Manejado</v>
      </c>
    </row>
    <row r="136" spans="1:6" x14ac:dyDescent="0.3">
      <c r="A136" s="44" t="s">
        <v>151</v>
      </c>
      <c r="B136" s="36" t="s">
        <v>1348</v>
      </c>
      <c r="C136" s="36" t="s">
        <v>1123</v>
      </c>
      <c r="D136" s="36"/>
      <c r="E136" s="36" t="s">
        <v>934</v>
      </c>
      <c r="F136" s="46" t="str">
        <f>IFERROR(VLOOKUP(A136,TblDisponibilidad[],23,FALSE),"No Manejado")</f>
        <v>No Manejado</v>
      </c>
    </row>
    <row r="137" spans="1:6" x14ac:dyDescent="0.3">
      <c r="A137" s="44" t="s">
        <v>153</v>
      </c>
      <c r="B137" s="36" t="s">
        <v>1349</v>
      </c>
      <c r="C137" s="36" t="s">
        <v>1350</v>
      </c>
      <c r="D137" s="36"/>
      <c r="E137" s="36" t="s">
        <v>929</v>
      </c>
      <c r="F137" s="46" t="str">
        <f>IFERROR(VLOOKUP(A137,TblDisponibilidad[],23,FALSE),"No Manejado")</f>
        <v>No Manejado</v>
      </c>
    </row>
    <row r="138" spans="1:6" x14ac:dyDescent="0.3">
      <c r="A138" s="44" t="s">
        <v>152</v>
      </c>
      <c r="B138" s="36" t="s">
        <v>1349</v>
      </c>
      <c r="C138" s="36" t="s">
        <v>1351</v>
      </c>
      <c r="D138" s="36"/>
      <c r="E138" s="36" t="s">
        <v>934</v>
      </c>
      <c r="F138" s="46" t="str">
        <f>IFERROR(VLOOKUP(A138,TblDisponibilidad[],23,FALSE),"No Manejado")</f>
        <v>No Manejado</v>
      </c>
    </row>
    <row r="139" spans="1:6" x14ac:dyDescent="0.3">
      <c r="A139" s="44" t="s">
        <v>1352</v>
      </c>
      <c r="B139" s="36" t="s">
        <v>1349</v>
      </c>
      <c r="C139" s="36" t="s">
        <v>1351</v>
      </c>
      <c r="D139" s="36"/>
      <c r="E139" s="36" t="s">
        <v>934</v>
      </c>
      <c r="F139" s="46" t="str">
        <f>IFERROR(VLOOKUP(A139,TblDisponibilidad[],23,FALSE),"No Manejado")</f>
        <v>No Manejado</v>
      </c>
    </row>
    <row r="140" spans="1:6" x14ac:dyDescent="0.3">
      <c r="A140" s="44" t="s">
        <v>154</v>
      </c>
      <c r="B140" s="36" t="s">
        <v>1353</v>
      </c>
      <c r="C140" s="36" t="s">
        <v>1354</v>
      </c>
      <c r="D140" s="36"/>
      <c r="E140" s="36" t="s">
        <v>934</v>
      </c>
      <c r="F140" s="46" t="str">
        <f>IFERROR(VLOOKUP(A140,TblDisponibilidad[],23,FALSE),"No Manejado")</f>
        <v>No Manejado</v>
      </c>
    </row>
    <row r="141" spans="1:6" x14ac:dyDescent="0.3">
      <c r="A141" s="44" t="s">
        <v>155</v>
      </c>
      <c r="B141" s="36" t="s">
        <v>1355</v>
      </c>
      <c r="C141" s="36" t="s">
        <v>1056</v>
      </c>
      <c r="D141" s="36"/>
      <c r="E141" s="36" t="s">
        <v>929</v>
      </c>
      <c r="F141" s="46" t="str">
        <f>IFERROR(VLOOKUP(A141,TblDisponibilidad[],23,FALSE),"No Manejado")</f>
        <v>No Manejado</v>
      </c>
    </row>
    <row r="142" spans="1:6" x14ac:dyDescent="0.3">
      <c r="A142" s="44" t="s">
        <v>157</v>
      </c>
      <c r="B142" s="36" t="s">
        <v>1371</v>
      </c>
      <c r="C142" s="36" t="s">
        <v>938</v>
      </c>
      <c r="D142" s="36"/>
      <c r="E142" s="36" t="s">
        <v>929</v>
      </c>
      <c r="F142" s="46" t="str">
        <f>IFERROR(VLOOKUP(A142,TblDisponibilidad[],23,FALSE),"No Manejado")</f>
        <v>No Manejado</v>
      </c>
    </row>
    <row r="143" spans="1:6" x14ac:dyDescent="0.3">
      <c r="A143" s="44" t="s">
        <v>156</v>
      </c>
      <c r="B143" s="36" t="s">
        <v>1371</v>
      </c>
      <c r="C143" s="36" t="s">
        <v>1372</v>
      </c>
      <c r="D143" s="36"/>
      <c r="E143" s="36" t="s">
        <v>976</v>
      </c>
      <c r="F143" s="46" t="str">
        <f>IFERROR(VLOOKUP(A143,TblDisponibilidad[],23,FALSE),"No Manejado")</f>
        <v>No Manejado</v>
      </c>
    </row>
    <row r="144" spans="1:6" x14ac:dyDescent="0.3">
      <c r="A144" s="44" t="s">
        <v>158</v>
      </c>
      <c r="B144" s="36" t="s">
        <v>1373</v>
      </c>
      <c r="C144" s="36" t="s">
        <v>1123</v>
      </c>
      <c r="D144" s="36"/>
      <c r="E144" s="36" t="s">
        <v>934</v>
      </c>
      <c r="F144" s="46" t="str">
        <f>IFERROR(VLOOKUP(A144,TblDisponibilidad[],23,FALSE),"No Manejado")</f>
        <v>No Manejado</v>
      </c>
    </row>
    <row r="145" spans="1:6" x14ac:dyDescent="0.3">
      <c r="A145" s="44" t="s">
        <v>159</v>
      </c>
      <c r="B145" s="36" t="s">
        <v>1373</v>
      </c>
      <c r="C145" s="36" t="s">
        <v>1058</v>
      </c>
      <c r="D145" s="36"/>
      <c r="E145" s="36" t="s">
        <v>929</v>
      </c>
      <c r="F145" s="46" t="str">
        <f>IFERROR(VLOOKUP(A145,TblDisponibilidad[],23,FALSE),"No Manejado")</f>
        <v>No Manejado</v>
      </c>
    </row>
    <row r="146" spans="1:6" x14ac:dyDescent="0.3">
      <c r="A146" s="44" t="s">
        <v>160</v>
      </c>
      <c r="B146" s="36" t="s">
        <v>1374</v>
      </c>
      <c r="C146" s="36" t="s">
        <v>1213</v>
      </c>
      <c r="D146" s="36"/>
      <c r="E146" s="36" t="s">
        <v>929</v>
      </c>
      <c r="F146" s="46" t="str">
        <f>IFERROR(VLOOKUP(A146,TblDisponibilidad[],23,FALSE),"No Manejado")</f>
        <v>No Manejado</v>
      </c>
    </row>
    <row r="147" spans="1:6" x14ac:dyDescent="0.3">
      <c r="A147" s="44" t="s">
        <v>1381</v>
      </c>
      <c r="B147" s="36" t="s">
        <v>1382</v>
      </c>
      <c r="C147" s="36" t="s">
        <v>1223</v>
      </c>
      <c r="D147" s="36"/>
      <c r="E147" s="36" t="s">
        <v>934</v>
      </c>
      <c r="F147" s="46" t="str">
        <f>IFERROR(VLOOKUP(A147,TblDisponibilidad[],23,FALSE),"No Manejado")</f>
        <v>No Manejado</v>
      </c>
    </row>
    <row r="148" spans="1:6" x14ac:dyDescent="0.3">
      <c r="A148" s="44" t="s">
        <v>161</v>
      </c>
      <c r="B148" s="36" t="s">
        <v>1383</v>
      </c>
      <c r="C148" s="36" t="s">
        <v>1215</v>
      </c>
      <c r="D148" s="36"/>
      <c r="E148" s="36" t="s">
        <v>929</v>
      </c>
      <c r="F148" s="46" t="str">
        <f>IFERROR(VLOOKUP(A148,TblDisponibilidad[],23,FALSE),"No Manejado")</f>
        <v>No Manejado</v>
      </c>
    </row>
    <row r="149" spans="1:6" x14ac:dyDescent="0.3">
      <c r="A149" s="44" t="s">
        <v>163</v>
      </c>
      <c r="B149" s="36" t="s">
        <v>1384</v>
      </c>
      <c r="C149" s="36" t="s">
        <v>1274</v>
      </c>
      <c r="D149" s="36"/>
      <c r="E149" s="36" t="s">
        <v>934</v>
      </c>
      <c r="F149" s="46" t="str">
        <f>IFERROR(VLOOKUP(A149,TblDisponibilidad[],23,FALSE),"No Manejado")</f>
        <v>No Manejado</v>
      </c>
    </row>
    <row r="150" spans="1:6" x14ac:dyDescent="0.3">
      <c r="A150" s="44" t="s">
        <v>162</v>
      </c>
      <c r="B150" s="36" t="s">
        <v>1384</v>
      </c>
      <c r="C150" s="36" t="s">
        <v>1385</v>
      </c>
      <c r="D150" s="36"/>
      <c r="E150" s="36" t="s">
        <v>934</v>
      </c>
      <c r="F150" s="46" t="str">
        <f>IFERROR(VLOOKUP(A150,TblDisponibilidad[],23,FALSE),"No Manejado")</f>
        <v>No Manejado</v>
      </c>
    </row>
    <row r="151" spans="1:6" x14ac:dyDescent="0.3">
      <c r="A151" s="44" t="s">
        <v>164</v>
      </c>
      <c r="B151" s="36" t="s">
        <v>1386</v>
      </c>
      <c r="C151" s="36" t="s">
        <v>1023</v>
      </c>
      <c r="D151" s="36"/>
      <c r="E151" s="36" t="s">
        <v>929</v>
      </c>
      <c r="F151" s="46" t="str">
        <f>IFERROR(VLOOKUP(A151,TblDisponibilidad[],23,FALSE),"No Manejado")</f>
        <v>No Manejado</v>
      </c>
    </row>
    <row r="152" spans="1:6" x14ac:dyDescent="0.3">
      <c r="A152" s="44" t="s">
        <v>1413</v>
      </c>
      <c r="B152" s="36" t="s">
        <v>1414</v>
      </c>
      <c r="C152" s="36" t="s">
        <v>1022</v>
      </c>
      <c r="D152" s="36"/>
      <c r="E152" s="36" t="s">
        <v>929</v>
      </c>
      <c r="F152" s="46" t="str">
        <f>IFERROR(VLOOKUP(A152,TblDisponibilidad[],23,FALSE),"No Manejado")</f>
        <v>No Manejado</v>
      </c>
    </row>
    <row r="153" spans="1:6" x14ac:dyDescent="0.3">
      <c r="A153" s="44" t="s">
        <v>172</v>
      </c>
      <c r="B153" s="36" t="s">
        <v>1414</v>
      </c>
      <c r="C153" s="36" t="s">
        <v>1351</v>
      </c>
      <c r="D153" s="36"/>
      <c r="E153" s="36" t="s">
        <v>950</v>
      </c>
      <c r="F153" s="46" t="str">
        <f>IFERROR(VLOOKUP(A153,TblDisponibilidad[],23,FALSE),"No Manejado")</f>
        <v>No Manejado</v>
      </c>
    </row>
    <row r="154" spans="1:6" x14ac:dyDescent="0.3">
      <c r="A154" s="44" t="s">
        <v>1415</v>
      </c>
      <c r="B154" s="36" t="s">
        <v>1414</v>
      </c>
      <c r="C154" s="36" t="s">
        <v>1023</v>
      </c>
      <c r="D154" s="36"/>
      <c r="E154" s="36" t="s">
        <v>929</v>
      </c>
      <c r="F154" s="46" t="str">
        <f>IFERROR(VLOOKUP(A154,TblDisponibilidad[],23,FALSE),"No Manejado")</f>
        <v>No Manejado</v>
      </c>
    </row>
    <row r="155" spans="1:6" x14ac:dyDescent="0.3">
      <c r="A155" s="44" t="s">
        <v>171</v>
      </c>
      <c r="B155" s="36" t="s">
        <v>1414</v>
      </c>
      <c r="C155" s="36" t="s">
        <v>1258</v>
      </c>
      <c r="D155" s="36"/>
      <c r="E155" s="36" t="s">
        <v>934</v>
      </c>
      <c r="F155" s="46" t="str">
        <f>IFERROR(VLOOKUP(A155,TblDisponibilidad[],23,FALSE),"No Manejado")</f>
        <v>No Manejado</v>
      </c>
    </row>
    <row r="156" spans="1:6" x14ac:dyDescent="0.3">
      <c r="A156" s="44" t="s">
        <v>175</v>
      </c>
      <c r="B156" s="36" t="s">
        <v>1419</v>
      </c>
      <c r="C156" s="36" t="s">
        <v>1228</v>
      </c>
      <c r="D156" s="36"/>
      <c r="E156" s="36" t="s">
        <v>1087</v>
      </c>
      <c r="F156" s="46" t="str">
        <f>IFERROR(VLOOKUP(A156,TblDisponibilidad[],23,FALSE),"No Manejado")</f>
        <v>No Manejado</v>
      </c>
    </row>
    <row r="157" spans="1:6" x14ac:dyDescent="0.3">
      <c r="A157" s="44" t="s">
        <v>505</v>
      </c>
      <c r="B157" s="36" t="s">
        <v>1420</v>
      </c>
      <c r="C157" s="36" t="s">
        <v>938</v>
      </c>
      <c r="D157" s="36"/>
      <c r="E157" s="36" t="s">
        <v>934</v>
      </c>
      <c r="F157" s="46" t="str">
        <f>IFERROR(VLOOKUP(A157,TblDisponibilidad[],23,FALSE),"No Manejado")</f>
        <v>No Manejado</v>
      </c>
    </row>
    <row r="158" spans="1:6" x14ac:dyDescent="0.3">
      <c r="A158" s="44" t="s">
        <v>176</v>
      </c>
      <c r="B158" s="36" t="s">
        <v>1421</v>
      </c>
      <c r="C158" s="36" t="s">
        <v>1061</v>
      </c>
      <c r="D158" s="36"/>
      <c r="E158" s="36" t="s">
        <v>934</v>
      </c>
      <c r="F158" s="46" t="str">
        <f>IFERROR(VLOOKUP(A158,TblDisponibilidad[],23,FALSE),"No Manejado")</f>
        <v>No Manejado</v>
      </c>
    </row>
    <row r="159" spans="1:6" x14ac:dyDescent="0.3">
      <c r="A159" s="44" t="s">
        <v>397</v>
      </c>
      <c r="B159" s="36" t="s">
        <v>1422</v>
      </c>
      <c r="C159" s="36" t="s">
        <v>1423</v>
      </c>
      <c r="D159" s="36"/>
      <c r="E159" s="36" t="s">
        <v>934</v>
      </c>
      <c r="F159" s="46" t="str">
        <f>IFERROR(VLOOKUP(A159,TblDisponibilidad[],23,FALSE),"No Manejado")</f>
        <v>No Manejado</v>
      </c>
    </row>
    <row r="160" spans="1:6" x14ac:dyDescent="0.3">
      <c r="A160" s="44" t="s">
        <v>798</v>
      </c>
      <c r="B160" s="36" t="s">
        <v>1425</v>
      </c>
      <c r="C160" s="36" t="s">
        <v>1426</v>
      </c>
      <c r="D160" s="36"/>
      <c r="E160" s="36" t="s">
        <v>950</v>
      </c>
      <c r="F160" s="46" t="str">
        <f>IFERROR(VLOOKUP(A160,TblDisponibilidad[],23,FALSE),"No Manejado")</f>
        <v>No Manejado</v>
      </c>
    </row>
    <row r="161" spans="1:6" x14ac:dyDescent="0.3">
      <c r="A161" s="44" t="s">
        <v>178</v>
      </c>
      <c r="B161" s="36" t="s">
        <v>1429</v>
      </c>
      <c r="C161" s="36" t="s">
        <v>1319</v>
      </c>
      <c r="D161" s="36"/>
      <c r="E161" s="36" t="s">
        <v>929</v>
      </c>
      <c r="F161" s="46" t="str">
        <f>IFERROR(VLOOKUP(A161,TblDisponibilidad[],23,FALSE),"No Manejado")</f>
        <v>No Manejado</v>
      </c>
    </row>
    <row r="162" spans="1:6" x14ac:dyDescent="0.3">
      <c r="A162" s="44" t="s">
        <v>807</v>
      </c>
      <c r="B162" s="36" t="s">
        <v>1429</v>
      </c>
      <c r="C162" s="36" t="s">
        <v>1258</v>
      </c>
      <c r="D162" s="36"/>
      <c r="E162" s="36" t="s">
        <v>934</v>
      </c>
      <c r="F162" s="46" t="str">
        <f>IFERROR(VLOOKUP(A162,TblDisponibilidad[],23,FALSE),"No Manejado")</f>
        <v>No Manejado</v>
      </c>
    </row>
    <row r="163" spans="1:6" x14ac:dyDescent="0.3">
      <c r="A163" s="44" t="s">
        <v>179</v>
      </c>
      <c r="B163" s="36" t="s">
        <v>1430</v>
      </c>
      <c r="C163" s="36" t="s">
        <v>1431</v>
      </c>
      <c r="D163" s="36"/>
      <c r="E163" s="36" t="s">
        <v>934</v>
      </c>
      <c r="F163" s="46" t="str">
        <f>IFERROR(VLOOKUP(A163,TblDisponibilidad[],23,FALSE),"No Manejado")</f>
        <v>No Manejado</v>
      </c>
    </row>
    <row r="164" spans="1:6" x14ac:dyDescent="0.3">
      <c r="A164" s="44" t="s">
        <v>181</v>
      </c>
      <c r="B164" s="36" t="s">
        <v>1438</v>
      </c>
      <c r="C164" s="36" t="s">
        <v>1439</v>
      </c>
      <c r="D164" s="36"/>
      <c r="E164" s="36" t="s">
        <v>934</v>
      </c>
      <c r="F164" s="46" t="str">
        <f>IFERROR(VLOOKUP(A164,TblDisponibilidad[],23,FALSE),"No Manejado")</f>
        <v>No Manejado</v>
      </c>
    </row>
    <row r="165" spans="1:6" x14ac:dyDescent="0.3">
      <c r="A165" s="44" t="s">
        <v>439</v>
      </c>
      <c r="B165" s="36" t="s">
        <v>1440</v>
      </c>
      <c r="C165" s="36" t="s">
        <v>1441</v>
      </c>
      <c r="D165" s="36"/>
      <c r="E165" s="36" t="s">
        <v>934</v>
      </c>
      <c r="F165" s="46" t="str">
        <f>IFERROR(VLOOKUP(A165,TblDisponibilidad[],23,FALSE),"No Manejado")</f>
        <v>No Manejado</v>
      </c>
    </row>
    <row r="166" spans="1:6" x14ac:dyDescent="0.3">
      <c r="A166" s="44" t="s">
        <v>182</v>
      </c>
      <c r="B166" s="36" t="s">
        <v>1442</v>
      </c>
      <c r="C166" s="36" t="s">
        <v>1443</v>
      </c>
      <c r="D166" s="36"/>
      <c r="E166" s="36" t="s">
        <v>934</v>
      </c>
      <c r="F166" s="46" t="str">
        <f>IFERROR(VLOOKUP(A166,TblDisponibilidad[],23,FALSE),"No Manejado")</f>
        <v>No Manejado</v>
      </c>
    </row>
    <row r="167" spans="1:6" x14ac:dyDescent="0.3">
      <c r="A167" s="44" t="s">
        <v>759</v>
      </c>
      <c r="B167" s="36" t="s">
        <v>1446</v>
      </c>
      <c r="C167" s="36" t="s">
        <v>1447</v>
      </c>
      <c r="D167" s="36"/>
      <c r="E167" s="36" t="s">
        <v>950</v>
      </c>
      <c r="F167" s="46" t="str">
        <f>IFERROR(VLOOKUP(A167,TblDisponibilidad[],23,FALSE),"No Manejado")</f>
        <v>No Manejado</v>
      </c>
    </row>
    <row r="168" spans="1:6" x14ac:dyDescent="0.3">
      <c r="A168" s="44" t="s">
        <v>186</v>
      </c>
      <c r="B168" s="36" t="s">
        <v>1464</v>
      </c>
      <c r="C168" s="36" t="s">
        <v>1012</v>
      </c>
      <c r="D168" s="36"/>
      <c r="E168" s="36" t="s">
        <v>934</v>
      </c>
      <c r="F168" s="46" t="str">
        <f>IFERROR(VLOOKUP(A168,TblDisponibilidad[],23,FALSE),"No Manejado")</f>
        <v>No Manejado</v>
      </c>
    </row>
    <row r="169" spans="1:6" x14ac:dyDescent="0.3">
      <c r="A169" s="44" t="s">
        <v>597</v>
      </c>
      <c r="B169" s="36" t="s">
        <v>1470</v>
      </c>
      <c r="C169" s="36" t="s">
        <v>1471</v>
      </c>
      <c r="D169" s="36"/>
      <c r="E169" s="36" t="s">
        <v>934</v>
      </c>
      <c r="F169" s="46" t="str">
        <f>IFERROR(VLOOKUP(A169,TblDisponibilidad[],23,FALSE),"No Manejado")</f>
        <v>No Manejado</v>
      </c>
    </row>
    <row r="170" spans="1:6" x14ac:dyDescent="0.3">
      <c r="A170" s="44" t="s">
        <v>187</v>
      </c>
      <c r="B170" s="36" t="s">
        <v>1472</v>
      </c>
      <c r="C170" s="36" t="s">
        <v>1473</v>
      </c>
      <c r="D170" s="36"/>
      <c r="E170" s="36" t="s">
        <v>950</v>
      </c>
      <c r="F170" s="46" t="str">
        <f>IFERROR(VLOOKUP(A170,TblDisponibilidad[],23,FALSE),"No Manejado")</f>
        <v>No Manejado</v>
      </c>
    </row>
    <row r="171" spans="1:6" x14ac:dyDescent="0.3">
      <c r="A171" s="44" t="s">
        <v>190</v>
      </c>
      <c r="B171" s="36" t="s">
        <v>1479</v>
      </c>
      <c r="C171" s="36" t="s">
        <v>1480</v>
      </c>
      <c r="D171" s="36"/>
      <c r="E171" s="36" t="s">
        <v>934</v>
      </c>
      <c r="F171" s="46" t="str">
        <f>IFERROR(VLOOKUP(A171,TblDisponibilidad[],23,FALSE),"No Manejado")</f>
        <v>No Manejado</v>
      </c>
    </row>
    <row r="172" spans="1:6" x14ac:dyDescent="0.3">
      <c r="A172" s="44" t="s">
        <v>191</v>
      </c>
      <c r="B172" s="36" t="s">
        <v>1485</v>
      </c>
      <c r="C172" s="36" t="s">
        <v>1486</v>
      </c>
      <c r="D172" s="36"/>
      <c r="E172" s="36" t="s">
        <v>934</v>
      </c>
      <c r="F172" s="46" t="str">
        <f>IFERROR(VLOOKUP(A172,TblDisponibilidad[],23,FALSE),"No Manejado")</f>
        <v>No Manejado</v>
      </c>
    </row>
    <row r="173" spans="1:6" x14ac:dyDescent="0.3">
      <c r="A173" s="44" t="s">
        <v>1487</v>
      </c>
      <c r="B173" s="36" t="s">
        <v>1488</v>
      </c>
      <c r="C173" s="36" t="s">
        <v>1338</v>
      </c>
      <c r="D173" s="36"/>
      <c r="E173" s="36" t="s">
        <v>950</v>
      </c>
      <c r="F173" s="46" t="str">
        <f>IFERROR(VLOOKUP(A173,TblDisponibilidad[],23,FALSE),"No Manejado")</f>
        <v>No Manejado</v>
      </c>
    </row>
    <row r="174" spans="1:6" x14ac:dyDescent="0.3">
      <c r="A174" s="44" t="s">
        <v>405</v>
      </c>
      <c r="B174" s="36" t="s">
        <v>1488</v>
      </c>
      <c r="C174" s="36" t="s">
        <v>1028</v>
      </c>
      <c r="D174" s="36"/>
      <c r="E174" s="36" t="s">
        <v>929</v>
      </c>
      <c r="F174" s="46" t="str">
        <f>IFERROR(VLOOKUP(A174,TblDisponibilidad[],23,FALSE),"No Manejado")</f>
        <v>No Manejado</v>
      </c>
    </row>
    <row r="175" spans="1:6" x14ac:dyDescent="0.3">
      <c r="A175" s="44" t="s">
        <v>647</v>
      </c>
      <c r="B175" s="36" t="s">
        <v>1490</v>
      </c>
      <c r="C175" s="36" t="s">
        <v>1028</v>
      </c>
      <c r="D175" s="36"/>
      <c r="E175" s="36" t="s">
        <v>929</v>
      </c>
      <c r="F175" s="46" t="str">
        <f>IFERROR(VLOOKUP(A175,TblDisponibilidad[],23,FALSE),"No Manejado")</f>
        <v>No Manejado</v>
      </c>
    </row>
    <row r="176" spans="1:6" x14ac:dyDescent="0.3">
      <c r="A176" s="44" t="s">
        <v>193</v>
      </c>
      <c r="B176" s="36" t="s">
        <v>1494</v>
      </c>
      <c r="C176" s="36" t="s">
        <v>1495</v>
      </c>
      <c r="D176" s="36"/>
      <c r="E176" s="36" t="s">
        <v>929</v>
      </c>
      <c r="F176" s="46" t="str">
        <f>IFERROR(VLOOKUP(A176,TblDisponibilidad[],23,FALSE),"No Manejado")</f>
        <v>No Manejado</v>
      </c>
    </row>
    <row r="177" spans="1:6" x14ac:dyDescent="0.3">
      <c r="A177" s="44" t="s">
        <v>696</v>
      </c>
      <c r="B177" s="36" t="s">
        <v>1496</v>
      </c>
      <c r="C177" s="36" t="s">
        <v>1497</v>
      </c>
      <c r="D177" s="36"/>
      <c r="E177" s="36" t="s">
        <v>1157</v>
      </c>
      <c r="F177" s="46" t="str">
        <f>IFERROR(VLOOKUP(A177,TblDisponibilidad[],23,FALSE),"No Manejado")</f>
        <v>No Manejado</v>
      </c>
    </row>
    <row r="178" spans="1:6" x14ac:dyDescent="0.3">
      <c r="A178" s="44" t="s">
        <v>463</v>
      </c>
      <c r="B178" s="36" t="s">
        <v>1499</v>
      </c>
      <c r="C178" s="36" t="s">
        <v>1500</v>
      </c>
      <c r="D178" s="36"/>
      <c r="E178" s="36" t="s">
        <v>934</v>
      </c>
      <c r="F178" s="46" t="str">
        <f>IFERROR(VLOOKUP(A178,TblDisponibilidad[],23,FALSE),"No Manejado")</f>
        <v>No Manejado</v>
      </c>
    </row>
    <row r="179" spans="1:6" x14ac:dyDescent="0.3">
      <c r="A179" s="44" t="s">
        <v>195</v>
      </c>
      <c r="B179" s="36" t="s">
        <v>1502</v>
      </c>
      <c r="C179" s="36" t="s">
        <v>1503</v>
      </c>
      <c r="D179" s="36"/>
      <c r="E179" s="36" t="s">
        <v>934</v>
      </c>
      <c r="F179" s="46" t="str">
        <f>IFERROR(VLOOKUP(A179,TblDisponibilidad[],23,FALSE),"No Manejado")</f>
        <v>No Manejado</v>
      </c>
    </row>
    <row r="180" spans="1:6" x14ac:dyDescent="0.3">
      <c r="A180" s="44" t="s">
        <v>194</v>
      </c>
      <c r="B180" s="36" t="s">
        <v>1504</v>
      </c>
      <c r="C180" s="36" t="s">
        <v>1505</v>
      </c>
      <c r="D180" s="36"/>
      <c r="E180" s="36" t="s">
        <v>934</v>
      </c>
      <c r="F180" s="46" t="str">
        <f>IFERROR(VLOOKUP(A180,TblDisponibilidad[],23,FALSE),"No Manejado")</f>
        <v>No Manejado</v>
      </c>
    </row>
    <row r="181" spans="1:6" x14ac:dyDescent="0.3">
      <c r="A181" s="44" t="s">
        <v>198</v>
      </c>
      <c r="B181" s="36" t="s">
        <v>1516</v>
      </c>
      <c r="C181" s="36" t="s">
        <v>1022</v>
      </c>
      <c r="D181" s="36"/>
      <c r="E181" s="36" t="s">
        <v>929</v>
      </c>
      <c r="F181" s="46" t="str">
        <f>IFERROR(VLOOKUP(A181,TblDisponibilidad[],23,FALSE),"No Manejado")</f>
        <v>No Manejado</v>
      </c>
    </row>
    <row r="182" spans="1:6" x14ac:dyDescent="0.3">
      <c r="A182" s="44" t="s">
        <v>197</v>
      </c>
      <c r="B182" s="36" t="s">
        <v>1516</v>
      </c>
      <c r="C182" s="36" t="s">
        <v>1517</v>
      </c>
      <c r="D182" s="36"/>
      <c r="E182" s="36" t="s">
        <v>1221</v>
      </c>
      <c r="F182" s="46" t="str">
        <f>IFERROR(VLOOKUP(A182,TblDisponibilidad[],23,FALSE),"No Manejado")</f>
        <v>No Manejado</v>
      </c>
    </row>
    <row r="183" spans="1:6" x14ac:dyDescent="0.3">
      <c r="A183" s="44" t="s">
        <v>199</v>
      </c>
      <c r="B183" s="36" t="s">
        <v>1518</v>
      </c>
      <c r="C183" s="36" t="s">
        <v>1009</v>
      </c>
      <c r="D183" s="36"/>
      <c r="E183" s="36" t="s">
        <v>929</v>
      </c>
      <c r="F183" s="46" t="str">
        <f>IFERROR(VLOOKUP(A183,TblDisponibilidad[],23,FALSE),"No Manejado")</f>
        <v>No Manejado</v>
      </c>
    </row>
    <row r="184" spans="1:6" x14ac:dyDescent="0.3">
      <c r="A184" s="44" t="s">
        <v>200</v>
      </c>
      <c r="B184" s="36" t="s">
        <v>1519</v>
      </c>
      <c r="C184" s="36" t="s">
        <v>1520</v>
      </c>
      <c r="D184" s="36"/>
      <c r="E184" s="36" t="s">
        <v>934</v>
      </c>
      <c r="F184" s="46" t="str">
        <f>IFERROR(VLOOKUP(A184,TblDisponibilidad[],23,FALSE),"No Manejado")</f>
        <v>No Manejado</v>
      </c>
    </row>
    <row r="185" spans="1:6" x14ac:dyDescent="0.3">
      <c r="A185" s="44" t="s">
        <v>201</v>
      </c>
      <c r="B185" s="36" t="s">
        <v>1534</v>
      </c>
      <c r="C185" s="36" t="s">
        <v>1535</v>
      </c>
      <c r="D185" s="36"/>
      <c r="E185" s="36" t="s">
        <v>934</v>
      </c>
      <c r="F185" s="46" t="str">
        <f>IFERROR(VLOOKUP(A185,TblDisponibilidad[],23,FALSE),"No Manejado")</f>
        <v>No Manejado</v>
      </c>
    </row>
    <row r="186" spans="1:6" x14ac:dyDescent="0.3">
      <c r="A186" s="44" t="s">
        <v>203</v>
      </c>
      <c r="B186" s="36" t="s">
        <v>1550</v>
      </c>
      <c r="C186" s="36" t="s">
        <v>938</v>
      </c>
      <c r="D186" s="36"/>
      <c r="E186" s="36" t="s">
        <v>929</v>
      </c>
      <c r="F186" s="46" t="str">
        <f>IFERROR(VLOOKUP(A186,TblDisponibilidad[],23,FALSE),"No Manejado")</f>
        <v>No Manejado</v>
      </c>
    </row>
    <row r="187" spans="1:6" x14ac:dyDescent="0.3">
      <c r="A187" s="44" t="s">
        <v>202</v>
      </c>
      <c r="B187" s="36" t="s">
        <v>1550</v>
      </c>
      <c r="C187" s="36" t="s">
        <v>975</v>
      </c>
      <c r="D187" s="36"/>
      <c r="E187" s="36" t="s">
        <v>976</v>
      </c>
      <c r="F187" s="46" t="str">
        <f>IFERROR(VLOOKUP(A187,TblDisponibilidad[],23,FALSE),"No Manejado")</f>
        <v>No Manejado</v>
      </c>
    </row>
    <row r="188" spans="1:6" x14ac:dyDescent="0.3">
      <c r="A188" s="44" t="s">
        <v>205</v>
      </c>
      <c r="B188" s="36" t="s">
        <v>1555</v>
      </c>
      <c r="C188" s="36" t="s">
        <v>1023</v>
      </c>
      <c r="D188" s="36"/>
      <c r="E188" s="36" t="s">
        <v>929</v>
      </c>
      <c r="F188" s="46" t="str">
        <f>IFERROR(VLOOKUP(A188,TblDisponibilidad[],23,FALSE),"No Manejado")</f>
        <v>No Manejado</v>
      </c>
    </row>
    <row r="189" spans="1:6" x14ac:dyDescent="0.3">
      <c r="A189" s="44" t="s">
        <v>206</v>
      </c>
      <c r="B189" s="36" t="s">
        <v>1557</v>
      </c>
      <c r="C189" s="36" t="s">
        <v>1558</v>
      </c>
      <c r="D189" s="36"/>
      <c r="E189" s="36" t="s">
        <v>934</v>
      </c>
      <c r="F189" s="46" t="str">
        <f>IFERROR(VLOOKUP(A189,TblDisponibilidad[],23,FALSE),"No Manejado")</f>
        <v>No Manejado</v>
      </c>
    </row>
    <row r="190" spans="1:6" x14ac:dyDescent="0.3">
      <c r="A190" s="44" t="s">
        <v>207</v>
      </c>
      <c r="B190" s="36" t="s">
        <v>1559</v>
      </c>
      <c r="C190" s="36" t="s">
        <v>1028</v>
      </c>
      <c r="D190" s="36"/>
      <c r="E190" s="36" t="s">
        <v>934</v>
      </c>
      <c r="F190" s="46" t="str">
        <f>IFERROR(VLOOKUP(A190,TblDisponibilidad[],23,FALSE),"No Manejado")</f>
        <v>No Manejado</v>
      </c>
    </row>
    <row r="191" spans="1:6" x14ac:dyDescent="0.3">
      <c r="A191" s="44" t="s">
        <v>208</v>
      </c>
      <c r="B191" s="36" t="s">
        <v>1560</v>
      </c>
      <c r="C191" s="36" t="s">
        <v>945</v>
      </c>
      <c r="D191" s="36"/>
      <c r="E191" s="36" t="s">
        <v>934</v>
      </c>
      <c r="F191" s="46" t="str">
        <f>IFERROR(VLOOKUP(A191,TblDisponibilidad[],23,FALSE),"No Manejado")</f>
        <v>No Manejado</v>
      </c>
    </row>
    <row r="192" spans="1:6" x14ac:dyDescent="0.3">
      <c r="A192" s="44" t="s">
        <v>209</v>
      </c>
      <c r="B192" s="36" t="s">
        <v>1561</v>
      </c>
      <c r="C192" s="36" t="s">
        <v>1562</v>
      </c>
      <c r="D192" s="36"/>
      <c r="E192" s="36" t="s">
        <v>929</v>
      </c>
      <c r="F192" s="46" t="str">
        <f>IFERROR(VLOOKUP(A192,TblDisponibilidad[],23,FALSE),"No Manejado")</f>
        <v>No Manejado</v>
      </c>
    </row>
    <row r="193" spans="1:6" x14ac:dyDescent="0.3">
      <c r="A193" s="44" t="s">
        <v>210</v>
      </c>
      <c r="B193" s="36" t="s">
        <v>1563</v>
      </c>
      <c r="C193" s="36" t="s">
        <v>933</v>
      </c>
      <c r="D193" s="36"/>
      <c r="E193" s="36" t="s">
        <v>929</v>
      </c>
      <c r="F193" s="46" t="str">
        <f>IFERROR(VLOOKUP(A193,TblDisponibilidad[],23,FALSE),"No Manejado")</f>
        <v>No Manejado</v>
      </c>
    </row>
    <row r="194" spans="1:6" x14ac:dyDescent="0.3">
      <c r="A194" s="44" t="s">
        <v>727</v>
      </c>
      <c r="B194" s="36" t="s">
        <v>1564</v>
      </c>
      <c r="C194" s="36" t="s">
        <v>1028</v>
      </c>
      <c r="D194" s="36"/>
      <c r="E194" s="36" t="s">
        <v>934</v>
      </c>
      <c r="F194" s="46" t="str">
        <f>IFERROR(VLOOKUP(A194,TblDisponibilidad[],23,FALSE),"No Manejado")</f>
        <v>No Manejado</v>
      </c>
    </row>
    <row r="195" spans="1:6" x14ac:dyDescent="0.3">
      <c r="A195" s="44" t="s">
        <v>211</v>
      </c>
      <c r="B195" s="36" t="s">
        <v>1566</v>
      </c>
      <c r="C195" s="36" t="s">
        <v>1028</v>
      </c>
      <c r="D195" s="36"/>
      <c r="E195" s="36" t="s">
        <v>934</v>
      </c>
      <c r="F195" s="46" t="str">
        <f>IFERROR(VLOOKUP(A195,TblDisponibilidad[],23,FALSE),"No Manejado")</f>
        <v>No Manejado</v>
      </c>
    </row>
    <row r="196" spans="1:6" x14ac:dyDescent="0.3">
      <c r="A196" s="44" t="s">
        <v>213</v>
      </c>
      <c r="B196" s="36" t="s">
        <v>1567</v>
      </c>
      <c r="C196" s="36" t="s">
        <v>1022</v>
      </c>
      <c r="D196" s="36"/>
      <c r="E196" s="36" t="s">
        <v>929</v>
      </c>
      <c r="F196" s="46" t="str">
        <f>IFERROR(VLOOKUP(A196,TblDisponibilidad[],23,FALSE),"No Manejado")</f>
        <v>No Manejado</v>
      </c>
    </row>
    <row r="197" spans="1:6" x14ac:dyDescent="0.3">
      <c r="A197" s="44" t="s">
        <v>212</v>
      </c>
      <c r="B197" s="36" t="s">
        <v>1567</v>
      </c>
      <c r="C197" s="36" t="s">
        <v>1258</v>
      </c>
      <c r="D197" s="36"/>
      <c r="E197" s="36" t="s">
        <v>934</v>
      </c>
      <c r="F197" s="46" t="str">
        <f>IFERROR(VLOOKUP(A197,TblDisponibilidad[],23,FALSE),"No Manejado")</f>
        <v>No Manejado</v>
      </c>
    </row>
    <row r="198" spans="1:6" x14ac:dyDescent="0.3">
      <c r="A198" s="44" t="s">
        <v>214</v>
      </c>
      <c r="B198" s="36" t="s">
        <v>1568</v>
      </c>
      <c r="C198" s="36" t="s">
        <v>1009</v>
      </c>
      <c r="D198" s="36"/>
      <c r="E198" s="36" t="s">
        <v>934</v>
      </c>
      <c r="F198" s="46" t="str">
        <f>IFERROR(VLOOKUP(A198,TblDisponibilidad[],23,FALSE),"No Manejado")</f>
        <v>No Manejado</v>
      </c>
    </row>
    <row r="199" spans="1:6" x14ac:dyDescent="0.3">
      <c r="A199" s="44" t="s">
        <v>217</v>
      </c>
      <c r="B199" s="36" t="s">
        <v>1569</v>
      </c>
      <c r="C199" s="36" t="s">
        <v>1025</v>
      </c>
      <c r="D199" s="36"/>
      <c r="E199" s="36" t="s">
        <v>976</v>
      </c>
      <c r="F199" s="46" t="str">
        <f>IFERROR(VLOOKUP(A199,TblDisponibilidad[],23,FALSE),"No Manejado")</f>
        <v>No Manejado</v>
      </c>
    </row>
    <row r="200" spans="1:6" x14ac:dyDescent="0.3">
      <c r="A200" s="44" t="s">
        <v>216</v>
      </c>
      <c r="B200" s="36" t="s">
        <v>1569</v>
      </c>
      <c r="C200" s="36" t="s">
        <v>1028</v>
      </c>
      <c r="D200" s="36"/>
      <c r="E200" s="36" t="s">
        <v>934</v>
      </c>
      <c r="F200" s="46" t="str">
        <f>IFERROR(VLOOKUP(A200,TblDisponibilidad[],23,FALSE),"No Manejado")</f>
        <v>No Manejado</v>
      </c>
    </row>
    <row r="201" spans="1:6" x14ac:dyDescent="0.3">
      <c r="A201" s="44" t="s">
        <v>218</v>
      </c>
      <c r="B201" s="36" t="s">
        <v>1569</v>
      </c>
      <c r="C201" s="36" t="s">
        <v>1028</v>
      </c>
      <c r="D201" s="36"/>
      <c r="E201" s="36" t="s">
        <v>929</v>
      </c>
      <c r="F201" s="46" t="str">
        <f>IFERROR(VLOOKUP(A201,TblDisponibilidad[],23,FALSE),"No Manejado")</f>
        <v>No Manejado</v>
      </c>
    </row>
    <row r="202" spans="1:6" x14ac:dyDescent="0.3">
      <c r="A202" s="44" t="s">
        <v>220</v>
      </c>
      <c r="B202" s="36" t="s">
        <v>1574</v>
      </c>
      <c r="C202" s="36" t="s">
        <v>1023</v>
      </c>
      <c r="D202" s="36"/>
      <c r="E202" s="36" t="s">
        <v>934</v>
      </c>
      <c r="F202" s="46" t="str">
        <f>IFERROR(VLOOKUP(A202,TblDisponibilidad[],23,FALSE),"No Manejado")</f>
        <v>No Manejado</v>
      </c>
    </row>
    <row r="203" spans="1:6" x14ac:dyDescent="0.3">
      <c r="A203" s="44" t="s">
        <v>388</v>
      </c>
      <c r="B203" s="36" t="s">
        <v>1574</v>
      </c>
      <c r="C203" s="36" t="s">
        <v>1009</v>
      </c>
      <c r="D203" s="36"/>
      <c r="E203" s="36" t="s">
        <v>934</v>
      </c>
      <c r="F203" s="46" t="str">
        <f>IFERROR(VLOOKUP(A203,TblDisponibilidad[],23,FALSE),"No Manejado")</f>
        <v>No Manejado</v>
      </c>
    </row>
    <row r="204" spans="1:6" x14ac:dyDescent="0.3">
      <c r="A204" s="44" t="s">
        <v>1580</v>
      </c>
      <c r="B204" s="36" t="s">
        <v>1581</v>
      </c>
      <c r="C204" s="36" t="s">
        <v>1582</v>
      </c>
      <c r="D204" s="36"/>
      <c r="E204" s="36" t="s">
        <v>929</v>
      </c>
      <c r="F204" s="46" t="str">
        <f>IFERROR(VLOOKUP(A204,TblDisponibilidad[],23,FALSE),"No Manejado")</f>
        <v>No Manejado</v>
      </c>
    </row>
    <row r="205" spans="1:6" x14ac:dyDescent="0.3">
      <c r="A205" s="44" t="s">
        <v>221</v>
      </c>
      <c r="B205" s="36" t="s">
        <v>1583</v>
      </c>
      <c r="C205" s="36" t="s">
        <v>1584</v>
      </c>
      <c r="D205" s="36"/>
      <c r="E205" s="36" t="s">
        <v>929</v>
      </c>
      <c r="F205" s="46" t="str">
        <f>IFERROR(VLOOKUP(A205,TblDisponibilidad[],23,FALSE),"No Manejado")</f>
        <v>No Manejado</v>
      </c>
    </row>
    <row r="206" spans="1:6" x14ac:dyDescent="0.3">
      <c r="A206" s="44" t="s">
        <v>222</v>
      </c>
      <c r="B206" s="36" t="s">
        <v>1585</v>
      </c>
      <c r="C206" s="36" t="s">
        <v>1022</v>
      </c>
      <c r="D206" s="36"/>
      <c r="E206" s="36" t="s">
        <v>934</v>
      </c>
      <c r="F206" s="46" t="str">
        <f>IFERROR(VLOOKUP(A206,TblDisponibilidad[],23,FALSE),"No Manejado")</f>
        <v>No Manejado</v>
      </c>
    </row>
    <row r="207" spans="1:6" x14ac:dyDescent="0.3">
      <c r="A207" s="44" t="s">
        <v>223</v>
      </c>
      <c r="B207" s="36" t="s">
        <v>1587</v>
      </c>
      <c r="C207" s="36" t="s">
        <v>1588</v>
      </c>
      <c r="D207" s="36"/>
      <c r="E207" s="36" t="s">
        <v>1087</v>
      </c>
      <c r="F207" s="46" t="str">
        <f>IFERROR(VLOOKUP(A207,TblDisponibilidad[],23,FALSE),"No Manejado")</f>
        <v>No Manejado</v>
      </c>
    </row>
    <row r="208" spans="1:6" x14ac:dyDescent="0.3">
      <c r="A208" s="44" t="s">
        <v>224</v>
      </c>
      <c r="B208" s="36" t="s">
        <v>1589</v>
      </c>
      <c r="C208" s="36" t="s">
        <v>1028</v>
      </c>
      <c r="D208" s="36"/>
      <c r="E208" s="36" t="s">
        <v>929</v>
      </c>
      <c r="F208" s="46" t="str">
        <f>IFERROR(VLOOKUP(A208,TblDisponibilidad[],23,FALSE),"No Manejado")</f>
        <v>No Manejado</v>
      </c>
    </row>
    <row r="209" spans="1:6" x14ac:dyDescent="0.3">
      <c r="A209" s="44" t="s">
        <v>225</v>
      </c>
      <c r="B209" s="36" t="s">
        <v>1590</v>
      </c>
      <c r="C209" s="36" t="s">
        <v>1003</v>
      </c>
      <c r="D209" s="36"/>
      <c r="E209" s="36" t="s">
        <v>934</v>
      </c>
      <c r="F209" s="46" t="str">
        <f>IFERROR(VLOOKUP(A209,TblDisponibilidad[],23,FALSE),"No Manejado")</f>
        <v>No Manejado</v>
      </c>
    </row>
    <row r="210" spans="1:6" x14ac:dyDescent="0.3">
      <c r="A210" s="44" t="s">
        <v>226</v>
      </c>
      <c r="B210" s="36" t="s">
        <v>1592</v>
      </c>
      <c r="C210" s="36" t="s">
        <v>1022</v>
      </c>
      <c r="D210" s="36"/>
      <c r="E210" s="36" t="s">
        <v>929</v>
      </c>
      <c r="F210" s="46" t="str">
        <f>IFERROR(VLOOKUP(A210,TblDisponibilidad[],23,FALSE),"No Manejado")</f>
        <v>No Manejado</v>
      </c>
    </row>
    <row r="211" spans="1:6" x14ac:dyDescent="0.3">
      <c r="A211" s="44" t="s">
        <v>1593</v>
      </c>
      <c r="B211" s="36" t="s">
        <v>1594</v>
      </c>
      <c r="C211" s="36" t="s">
        <v>1582</v>
      </c>
      <c r="D211" s="36"/>
      <c r="E211" s="36" t="s">
        <v>929</v>
      </c>
      <c r="F211" s="46" t="str">
        <f>IFERROR(VLOOKUP(A211,TblDisponibilidad[],23,FALSE),"No Manejado")</f>
        <v>No Manejado</v>
      </c>
    </row>
    <row r="212" spans="1:6" x14ac:dyDescent="0.3">
      <c r="A212" s="44" t="s">
        <v>1595</v>
      </c>
      <c r="B212" s="36" t="s">
        <v>1596</v>
      </c>
      <c r="C212" s="36" t="s">
        <v>1597</v>
      </c>
      <c r="D212" s="36"/>
      <c r="E212" s="36" t="s">
        <v>976</v>
      </c>
      <c r="F212" s="46" t="str">
        <f>IFERROR(VLOOKUP(A212,TblDisponibilidad[],23,FALSE),"No Manejado")</f>
        <v>No Manejado</v>
      </c>
    </row>
    <row r="213" spans="1:6" x14ac:dyDescent="0.3">
      <c r="A213" s="44" t="s">
        <v>227</v>
      </c>
      <c r="B213" s="36" t="s">
        <v>1599</v>
      </c>
      <c r="C213" s="36" t="s">
        <v>938</v>
      </c>
      <c r="D213" s="36"/>
      <c r="E213" s="36" t="s">
        <v>929</v>
      </c>
      <c r="F213" s="46" t="str">
        <f>IFERROR(VLOOKUP(A213,TblDisponibilidad[],23,FALSE),"No Manejado")</f>
        <v>No Manejado</v>
      </c>
    </row>
    <row r="214" spans="1:6" x14ac:dyDescent="0.3">
      <c r="A214" s="44" t="s">
        <v>783</v>
      </c>
      <c r="B214" s="36" t="s">
        <v>1600</v>
      </c>
      <c r="C214" s="36" t="s">
        <v>1258</v>
      </c>
      <c r="D214" s="36"/>
      <c r="E214" s="36" t="s">
        <v>934</v>
      </c>
      <c r="F214" s="46" t="str">
        <f>IFERROR(VLOOKUP(A214,TblDisponibilidad[],23,FALSE),"No Manejado")</f>
        <v>No Manejado</v>
      </c>
    </row>
    <row r="215" spans="1:6" x14ac:dyDescent="0.3">
      <c r="A215" s="44" t="s">
        <v>229</v>
      </c>
      <c r="B215" s="36" t="s">
        <v>1601</v>
      </c>
      <c r="C215" s="36" t="s">
        <v>1061</v>
      </c>
      <c r="D215" s="36"/>
      <c r="E215" s="36" t="s">
        <v>934</v>
      </c>
      <c r="F215" s="46" t="str">
        <f>IFERROR(VLOOKUP(A215,TblDisponibilidad[],23,FALSE),"No Manejado")</f>
        <v>No Manejado</v>
      </c>
    </row>
    <row r="216" spans="1:6" x14ac:dyDescent="0.3">
      <c r="A216" s="44" t="s">
        <v>230</v>
      </c>
      <c r="B216" s="36" t="s">
        <v>1608</v>
      </c>
      <c r="C216" s="36" t="s">
        <v>1058</v>
      </c>
      <c r="D216" s="36"/>
      <c r="E216" s="36" t="s">
        <v>934</v>
      </c>
      <c r="F216" s="46" t="str">
        <f>IFERROR(VLOOKUP(A216,TblDisponibilidad[],23,FALSE),"No Manejado")</f>
        <v>No Manejado</v>
      </c>
    </row>
    <row r="217" spans="1:6" x14ac:dyDescent="0.3">
      <c r="A217" s="44" t="s">
        <v>574</v>
      </c>
      <c r="B217" s="36" t="s">
        <v>1609</v>
      </c>
      <c r="C217" s="36" t="s">
        <v>1056</v>
      </c>
      <c r="D217" s="36"/>
      <c r="E217" s="36" t="s">
        <v>929</v>
      </c>
      <c r="F217" s="46" t="str">
        <f>IFERROR(VLOOKUP(A217,TblDisponibilidad[],23,FALSE),"No Manejado")</f>
        <v>No Manejado</v>
      </c>
    </row>
    <row r="218" spans="1:6" x14ac:dyDescent="0.3">
      <c r="A218" s="44" t="s">
        <v>231</v>
      </c>
      <c r="B218" s="36" t="s">
        <v>1610</v>
      </c>
      <c r="C218" s="36" t="s">
        <v>1351</v>
      </c>
      <c r="D218" s="36"/>
      <c r="E218" s="36" t="s">
        <v>934</v>
      </c>
      <c r="F218" s="46" t="str">
        <f>IFERROR(VLOOKUP(A218,TblDisponibilidad[],23,FALSE),"No Manejado")</f>
        <v>No Manejado</v>
      </c>
    </row>
    <row r="219" spans="1:6" x14ac:dyDescent="0.3">
      <c r="A219" s="44" t="s">
        <v>233</v>
      </c>
      <c r="B219" s="36" t="s">
        <v>1611</v>
      </c>
      <c r="C219" s="36" t="s">
        <v>938</v>
      </c>
      <c r="D219" s="36"/>
      <c r="E219" s="36" t="s">
        <v>929</v>
      </c>
      <c r="F219" s="46" t="str">
        <f>IFERROR(VLOOKUP(A219,TblDisponibilidad[],23,FALSE),"No Manejado")</f>
        <v>No Manejado</v>
      </c>
    </row>
    <row r="220" spans="1:6" x14ac:dyDescent="0.3">
      <c r="A220" s="44" t="s">
        <v>232</v>
      </c>
      <c r="B220" s="36" t="s">
        <v>1611</v>
      </c>
      <c r="C220" s="36" t="s">
        <v>1232</v>
      </c>
      <c r="D220" s="36"/>
      <c r="E220" s="36" t="s">
        <v>934</v>
      </c>
      <c r="F220" s="46" t="str">
        <f>IFERROR(VLOOKUP(A220,TblDisponibilidad[],23,FALSE),"No Manejado")</f>
        <v>No Manejado</v>
      </c>
    </row>
    <row r="221" spans="1:6" x14ac:dyDescent="0.3">
      <c r="A221" s="44" t="s">
        <v>235</v>
      </c>
      <c r="B221" s="36" t="s">
        <v>1614</v>
      </c>
      <c r="C221" s="36" t="s">
        <v>945</v>
      </c>
      <c r="D221" s="36"/>
      <c r="E221" s="36" t="s">
        <v>934</v>
      </c>
      <c r="F221" s="46" t="str">
        <f>IFERROR(VLOOKUP(A221,TblDisponibilidad[],23,FALSE),"No Manejado")</f>
        <v>No Manejado</v>
      </c>
    </row>
    <row r="222" spans="1:6" x14ac:dyDescent="0.3">
      <c r="A222" s="44" t="s">
        <v>236</v>
      </c>
      <c r="B222" s="36" t="s">
        <v>1614</v>
      </c>
      <c r="C222" s="36" t="s">
        <v>1028</v>
      </c>
      <c r="D222" s="36"/>
      <c r="E222" s="36" t="s">
        <v>934</v>
      </c>
      <c r="F222" s="46" t="str">
        <f>IFERROR(VLOOKUP(A222,TblDisponibilidad[],23,FALSE),"No Manejado")</f>
        <v>No Manejado</v>
      </c>
    </row>
    <row r="223" spans="1:6" x14ac:dyDescent="0.3">
      <c r="A223" s="44" t="s">
        <v>894</v>
      </c>
      <c r="B223" s="36" t="s">
        <v>1615</v>
      </c>
      <c r="C223" s="36" t="s">
        <v>1616</v>
      </c>
      <c r="D223" s="36"/>
      <c r="E223" s="36" t="s">
        <v>1617</v>
      </c>
      <c r="F223" s="46" t="str">
        <f>IFERROR(VLOOKUP(A223,TblDisponibilidad[],23,FALSE),"No Manejado")</f>
        <v>No Manejado</v>
      </c>
    </row>
    <row r="224" spans="1:6" x14ac:dyDescent="0.3">
      <c r="A224" s="44" t="s">
        <v>441</v>
      </c>
      <c r="B224" s="36" t="s">
        <v>1619</v>
      </c>
      <c r="C224" s="36" t="s">
        <v>1616</v>
      </c>
      <c r="D224" s="36"/>
      <c r="E224" s="36" t="s">
        <v>1620</v>
      </c>
      <c r="F224" s="46" t="str">
        <f>IFERROR(VLOOKUP(A224,TblDisponibilidad[],23,FALSE),"No Manejado")</f>
        <v>No Manejado</v>
      </c>
    </row>
    <row r="225" spans="1:6" x14ac:dyDescent="0.3">
      <c r="A225" s="44" t="s">
        <v>237</v>
      </c>
      <c r="B225" s="36" t="s">
        <v>1621</v>
      </c>
      <c r="C225" s="36" t="s">
        <v>1622</v>
      </c>
      <c r="D225" s="36"/>
      <c r="E225" s="36" t="s">
        <v>934</v>
      </c>
      <c r="F225" s="46" t="str">
        <f>IFERROR(VLOOKUP(A225,TblDisponibilidad[],23,FALSE),"No Manejado")</f>
        <v>No Manejado</v>
      </c>
    </row>
    <row r="226" spans="1:6" x14ac:dyDescent="0.3">
      <c r="A226" s="44" t="s">
        <v>239</v>
      </c>
      <c r="B226" s="36" t="s">
        <v>1634</v>
      </c>
      <c r="C226" s="36" t="s">
        <v>1338</v>
      </c>
      <c r="D226" s="36"/>
      <c r="E226" s="36" t="s">
        <v>950</v>
      </c>
      <c r="F226" s="46" t="str">
        <f>IFERROR(VLOOKUP(A226,TblDisponibilidad[],23,FALSE),"No Manejado")</f>
        <v>No Manejado</v>
      </c>
    </row>
    <row r="227" spans="1:6" x14ac:dyDescent="0.3">
      <c r="A227" s="44" t="s">
        <v>240</v>
      </c>
      <c r="B227" s="36" t="s">
        <v>1634</v>
      </c>
      <c r="C227" s="36" t="s">
        <v>1635</v>
      </c>
      <c r="D227" s="36"/>
      <c r="E227" s="36" t="s">
        <v>1221</v>
      </c>
      <c r="F227" s="46" t="str">
        <f>IFERROR(VLOOKUP(A227,TblDisponibilidad[],23,FALSE),"No Manejado")</f>
        <v>No Manejado</v>
      </c>
    </row>
    <row r="228" spans="1:6" x14ac:dyDescent="0.3">
      <c r="A228" s="44" t="s">
        <v>241</v>
      </c>
      <c r="B228" s="36" t="s">
        <v>1634</v>
      </c>
      <c r="C228" s="36" t="s">
        <v>1028</v>
      </c>
      <c r="D228" s="36"/>
      <c r="E228" s="36" t="s">
        <v>929</v>
      </c>
      <c r="F228" s="46" t="str">
        <f>IFERROR(VLOOKUP(A228,TblDisponibilidad[],23,FALSE),"No Manejado")</f>
        <v>No Manejado</v>
      </c>
    </row>
    <row r="229" spans="1:6" x14ac:dyDescent="0.3">
      <c r="A229" s="44" t="s">
        <v>242</v>
      </c>
      <c r="B229" s="36" t="s">
        <v>1642</v>
      </c>
      <c r="C229" s="36" t="s">
        <v>1012</v>
      </c>
      <c r="D229" s="36"/>
      <c r="E229" s="36" t="s">
        <v>934</v>
      </c>
      <c r="F229" s="46" t="str">
        <f>IFERROR(VLOOKUP(A229,TblDisponibilidad[],23,FALSE),"No Manejado")</f>
        <v>No Manejado</v>
      </c>
    </row>
    <row r="230" spans="1:6" x14ac:dyDescent="0.3">
      <c r="A230" s="44" t="s">
        <v>243</v>
      </c>
      <c r="B230" s="36" t="s">
        <v>1643</v>
      </c>
      <c r="C230" s="36" t="s">
        <v>1644</v>
      </c>
      <c r="D230" s="36"/>
      <c r="E230" s="36" t="s">
        <v>934</v>
      </c>
      <c r="F230" s="46" t="str">
        <f>IFERROR(VLOOKUP(A230,TblDisponibilidad[],23,FALSE),"No Manejado")</f>
        <v>No Manejado</v>
      </c>
    </row>
    <row r="231" spans="1:6" x14ac:dyDescent="0.3">
      <c r="A231" s="44" t="s">
        <v>246</v>
      </c>
      <c r="B231" s="36" t="s">
        <v>1646</v>
      </c>
      <c r="C231" s="36" t="s">
        <v>1009</v>
      </c>
      <c r="D231" s="36"/>
      <c r="E231" s="36" t="s">
        <v>929</v>
      </c>
      <c r="F231" s="46" t="str">
        <f>IFERROR(VLOOKUP(A231,TblDisponibilidad[],23,FALSE),"No Manejado")</f>
        <v>No Manejado</v>
      </c>
    </row>
    <row r="232" spans="1:6" x14ac:dyDescent="0.3">
      <c r="A232" s="44" t="s">
        <v>247</v>
      </c>
      <c r="B232" s="36" t="s">
        <v>1649</v>
      </c>
      <c r="C232" s="36" t="s">
        <v>1650</v>
      </c>
      <c r="D232" s="36"/>
      <c r="E232" s="36" t="s">
        <v>934</v>
      </c>
      <c r="F232" s="46" t="str">
        <f>IFERROR(VLOOKUP(A232,TblDisponibilidad[],23,FALSE),"No Manejado")</f>
        <v>No Manejado</v>
      </c>
    </row>
    <row r="233" spans="1:6" x14ac:dyDescent="0.3">
      <c r="A233" s="44" t="s">
        <v>248</v>
      </c>
      <c r="B233" s="36" t="s">
        <v>1652</v>
      </c>
      <c r="C233" s="36" t="s">
        <v>1653</v>
      </c>
      <c r="D233" s="36"/>
      <c r="E233" s="36" t="s">
        <v>934</v>
      </c>
      <c r="F233" s="46" t="str">
        <f>IFERROR(VLOOKUP(A233,TblDisponibilidad[],23,FALSE),"No Manejado")</f>
        <v>No Manejado</v>
      </c>
    </row>
    <row r="234" spans="1:6" x14ac:dyDescent="0.3">
      <c r="A234" s="44" t="s">
        <v>250</v>
      </c>
      <c r="B234" s="36" t="s">
        <v>1656</v>
      </c>
      <c r="C234" s="36" t="s">
        <v>1056</v>
      </c>
      <c r="D234" s="36"/>
      <c r="E234" s="36" t="s">
        <v>929</v>
      </c>
      <c r="F234" s="46" t="str">
        <f>IFERROR(VLOOKUP(A234,TblDisponibilidad[],23,FALSE),"No Manejado")</f>
        <v>No Manejado</v>
      </c>
    </row>
    <row r="235" spans="1:6" x14ac:dyDescent="0.3">
      <c r="A235" s="44" t="s">
        <v>251</v>
      </c>
      <c r="B235" s="36" t="s">
        <v>1656</v>
      </c>
      <c r="C235" s="36" t="s">
        <v>1023</v>
      </c>
      <c r="D235" s="36"/>
      <c r="E235" s="36" t="s">
        <v>929</v>
      </c>
      <c r="F235" s="46" t="str">
        <f>IFERROR(VLOOKUP(A235,TblDisponibilidad[],23,FALSE),"No Manejado")</f>
        <v>No Manejado</v>
      </c>
    </row>
    <row r="236" spans="1:6" x14ac:dyDescent="0.3">
      <c r="A236" s="44" t="s">
        <v>249</v>
      </c>
      <c r="B236" s="36" t="s">
        <v>1656</v>
      </c>
      <c r="C236" s="36" t="s">
        <v>1517</v>
      </c>
      <c r="D236" s="36"/>
      <c r="E236" s="36" t="s">
        <v>1221</v>
      </c>
      <c r="F236" s="46" t="str">
        <f>IFERROR(VLOOKUP(A236,TblDisponibilidad[],23,FALSE),"No Manejado")</f>
        <v>No Manejado</v>
      </c>
    </row>
    <row r="237" spans="1:6" x14ac:dyDescent="0.3">
      <c r="A237" s="44" t="s">
        <v>252</v>
      </c>
      <c r="B237" s="36" t="s">
        <v>1656</v>
      </c>
      <c r="C237" s="36" t="s">
        <v>1009</v>
      </c>
      <c r="D237" s="36"/>
      <c r="E237" s="36" t="s">
        <v>929</v>
      </c>
      <c r="F237" s="46" t="str">
        <f>IFERROR(VLOOKUP(A237,TblDisponibilidad[],23,FALSE),"No Manejado")</f>
        <v>No Manejado</v>
      </c>
    </row>
    <row r="238" spans="1:6" x14ac:dyDescent="0.3">
      <c r="A238" s="44" t="s">
        <v>254</v>
      </c>
      <c r="B238" s="36" t="s">
        <v>1660</v>
      </c>
      <c r="C238" s="36" t="s">
        <v>1064</v>
      </c>
      <c r="D238" s="36"/>
      <c r="E238" s="36" t="s">
        <v>934</v>
      </c>
      <c r="F238" s="46" t="str">
        <f>IFERROR(VLOOKUP(A238,TblDisponibilidad[],23,FALSE),"No Manejado")</f>
        <v>No Manejado</v>
      </c>
    </row>
    <row r="239" spans="1:6" x14ac:dyDescent="0.3">
      <c r="A239" s="44" t="s">
        <v>256</v>
      </c>
      <c r="B239" s="36" t="s">
        <v>1661</v>
      </c>
      <c r="C239" s="36" t="s">
        <v>1058</v>
      </c>
      <c r="D239" s="36"/>
      <c r="E239" s="36" t="s">
        <v>929</v>
      </c>
      <c r="F239" s="46" t="str">
        <f>IFERROR(VLOOKUP(A239,TblDisponibilidad[],23,FALSE),"No Manejado")</f>
        <v>No Manejado</v>
      </c>
    </row>
    <row r="240" spans="1:6" x14ac:dyDescent="0.3">
      <c r="A240" s="44" t="s">
        <v>259</v>
      </c>
      <c r="B240" s="36" t="s">
        <v>1682</v>
      </c>
      <c r="C240" s="36" t="s">
        <v>1350</v>
      </c>
      <c r="D240" s="36"/>
      <c r="E240" s="36" t="s">
        <v>929</v>
      </c>
      <c r="F240" s="46" t="str">
        <f>IFERROR(VLOOKUP(A240,TblDisponibilidad[],23,FALSE),"No Manejado")</f>
        <v>No Manejado</v>
      </c>
    </row>
    <row r="241" spans="1:6" x14ac:dyDescent="0.3">
      <c r="A241" s="44" t="s">
        <v>258</v>
      </c>
      <c r="B241" s="36" t="s">
        <v>1682</v>
      </c>
      <c r="C241" s="36" t="s">
        <v>1018</v>
      </c>
      <c r="D241" s="36"/>
      <c r="E241" s="36" t="s">
        <v>934</v>
      </c>
      <c r="F241" s="46" t="str">
        <f>IFERROR(VLOOKUP(A241,TblDisponibilidad[],23,FALSE),"No Manejado")</f>
        <v>No Manejado</v>
      </c>
    </row>
    <row r="242" spans="1:6" x14ac:dyDescent="0.3">
      <c r="A242" s="44" t="s">
        <v>260</v>
      </c>
      <c r="B242" s="36" t="s">
        <v>1682</v>
      </c>
      <c r="C242" s="36" t="s">
        <v>1213</v>
      </c>
      <c r="D242" s="36"/>
      <c r="E242" s="36" t="s">
        <v>929</v>
      </c>
      <c r="F242" s="46" t="str">
        <f>IFERROR(VLOOKUP(A242,TblDisponibilidad[],23,FALSE),"No Manejado")</f>
        <v>No Manejado</v>
      </c>
    </row>
    <row r="243" spans="1:6" x14ac:dyDescent="0.3">
      <c r="A243" s="44" t="s">
        <v>262</v>
      </c>
      <c r="B243" s="36" t="s">
        <v>1688</v>
      </c>
      <c r="C243" s="36" t="s">
        <v>1095</v>
      </c>
      <c r="D243" s="36"/>
      <c r="E243" s="36" t="s">
        <v>929</v>
      </c>
      <c r="F243" s="46" t="str">
        <f>IFERROR(VLOOKUP(A243,TblDisponibilidad[],23,FALSE),"No Manejado")</f>
        <v>No Manejado</v>
      </c>
    </row>
    <row r="244" spans="1:6" x14ac:dyDescent="0.3">
      <c r="A244" s="44" t="s">
        <v>263</v>
      </c>
      <c r="B244" s="36" t="s">
        <v>1689</v>
      </c>
      <c r="C244" s="36" t="s">
        <v>1690</v>
      </c>
      <c r="D244" s="36"/>
      <c r="E244" s="36" t="s">
        <v>1072</v>
      </c>
      <c r="F244" s="46" t="str">
        <f>IFERROR(VLOOKUP(A244,TblDisponibilidad[],23,FALSE),"No Manejado")</f>
        <v>No Manejado</v>
      </c>
    </row>
    <row r="245" spans="1:6" x14ac:dyDescent="0.3">
      <c r="A245" s="44" t="s">
        <v>412</v>
      </c>
      <c r="B245" s="36" t="s">
        <v>1689</v>
      </c>
      <c r="C245" s="36" t="s">
        <v>1258</v>
      </c>
      <c r="D245" s="36"/>
      <c r="E245" s="36" t="s">
        <v>950</v>
      </c>
      <c r="F245" s="46" t="str">
        <f>IFERROR(VLOOKUP(A245,TblDisponibilidad[],23,FALSE),"No Manejado")</f>
        <v>No Manejado</v>
      </c>
    </row>
    <row r="246" spans="1:6" x14ac:dyDescent="0.3">
      <c r="A246" s="44" t="s">
        <v>418</v>
      </c>
      <c r="B246" s="36" t="s">
        <v>1691</v>
      </c>
      <c r="C246" s="36" t="s">
        <v>930</v>
      </c>
      <c r="D246" s="36"/>
      <c r="E246" s="36" t="s">
        <v>1360</v>
      </c>
      <c r="F246" s="46" t="str">
        <f>IFERROR(VLOOKUP(A246,TblDisponibilidad[],23,FALSE),"No Manejado")</f>
        <v>No Manejado</v>
      </c>
    </row>
    <row r="247" spans="1:6" x14ac:dyDescent="0.3">
      <c r="A247" s="44" t="s">
        <v>264</v>
      </c>
      <c r="B247" s="36" t="s">
        <v>1694</v>
      </c>
      <c r="C247" s="36" t="s">
        <v>1009</v>
      </c>
      <c r="D247" s="36"/>
      <c r="E247" s="36" t="s">
        <v>929</v>
      </c>
      <c r="F247" s="46" t="str">
        <f>IFERROR(VLOOKUP(A247,TblDisponibilidad[],23,FALSE),"No Manejado")</f>
        <v>No Manejado</v>
      </c>
    </row>
    <row r="248" spans="1:6" x14ac:dyDescent="0.3">
      <c r="A248" s="44" t="s">
        <v>265</v>
      </c>
      <c r="B248" s="36" t="s">
        <v>1705</v>
      </c>
      <c r="C248" s="36" t="s">
        <v>1706</v>
      </c>
      <c r="D248" s="36"/>
      <c r="E248" s="36" t="s">
        <v>950</v>
      </c>
      <c r="F248" s="46" t="str">
        <f>IFERROR(VLOOKUP(A248,TblDisponibilidad[],23,FALSE),"No Manejado")</f>
        <v>No Manejado</v>
      </c>
    </row>
    <row r="249" spans="1:6" x14ac:dyDescent="0.3">
      <c r="A249" s="44" t="s">
        <v>120</v>
      </c>
      <c r="B249" s="36" t="s">
        <v>1707</v>
      </c>
      <c r="C249" s="36" t="s">
        <v>1385</v>
      </c>
      <c r="D249" s="36"/>
      <c r="E249" s="36" t="s">
        <v>976</v>
      </c>
      <c r="F249" s="46" t="str">
        <f>IFERROR(VLOOKUP(A249,TblDisponibilidad[],23,FALSE),"No Manejado")</f>
        <v>No Manejado</v>
      </c>
    </row>
    <row r="250" spans="1:6" x14ac:dyDescent="0.3">
      <c r="A250" s="44" t="s">
        <v>266</v>
      </c>
      <c r="B250" s="36" t="s">
        <v>1708</v>
      </c>
      <c r="C250" s="36" t="s">
        <v>1056</v>
      </c>
      <c r="D250" s="36"/>
      <c r="E250" s="36" t="s">
        <v>929</v>
      </c>
      <c r="F250" s="46" t="str">
        <f>IFERROR(VLOOKUP(A250,TblDisponibilidad[],23,FALSE),"No Manejado")</f>
        <v>No Manejado</v>
      </c>
    </row>
    <row r="251" spans="1:6" x14ac:dyDescent="0.3">
      <c r="A251" s="44" t="s">
        <v>267</v>
      </c>
      <c r="B251" s="36" t="s">
        <v>1713</v>
      </c>
      <c r="C251" s="36" t="s">
        <v>1714</v>
      </c>
      <c r="D251" s="36"/>
      <c r="E251" s="36" t="s">
        <v>934</v>
      </c>
      <c r="F251" s="46" t="str">
        <f>IFERROR(VLOOKUP(A251,TblDisponibilidad[],23,FALSE),"No Manejado")</f>
        <v>No Manejado</v>
      </c>
    </row>
    <row r="252" spans="1:6" x14ac:dyDescent="0.3">
      <c r="A252" s="44" t="s">
        <v>272</v>
      </c>
      <c r="B252" s="36" t="s">
        <v>1715</v>
      </c>
      <c r="C252" s="36" t="s">
        <v>1535</v>
      </c>
      <c r="D252" s="36"/>
      <c r="E252" s="36" t="s">
        <v>934</v>
      </c>
      <c r="F252" s="46" t="str">
        <f>IFERROR(VLOOKUP(A252,TblDisponibilidad[],23,FALSE),"No Manejado")</f>
        <v>No Manejado</v>
      </c>
    </row>
    <row r="253" spans="1:6" x14ac:dyDescent="0.3">
      <c r="A253" s="44" t="s">
        <v>269</v>
      </c>
      <c r="B253" s="36" t="s">
        <v>1715</v>
      </c>
      <c r="C253" s="36" t="s">
        <v>1716</v>
      </c>
      <c r="D253" s="36"/>
      <c r="E253" s="36" t="s">
        <v>934</v>
      </c>
      <c r="F253" s="46" t="str">
        <f>IFERROR(VLOOKUP(A253,TblDisponibilidad[],23,FALSE),"No Manejado")</f>
        <v>No Manejado</v>
      </c>
    </row>
    <row r="254" spans="1:6" x14ac:dyDescent="0.3">
      <c r="A254" s="44" t="s">
        <v>268</v>
      </c>
      <c r="B254" s="36" t="s">
        <v>1715</v>
      </c>
      <c r="C254" s="36" t="s">
        <v>1716</v>
      </c>
      <c r="D254" s="36"/>
      <c r="E254" s="36" t="s">
        <v>934</v>
      </c>
      <c r="F254" s="46" t="str">
        <f>IFERROR(VLOOKUP(A254,TblDisponibilidad[],23,FALSE),"No Manejado")</f>
        <v>No Manejado</v>
      </c>
    </row>
    <row r="255" spans="1:6" x14ac:dyDescent="0.3">
      <c r="A255" s="44" t="s">
        <v>270</v>
      </c>
      <c r="B255" s="36" t="s">
        <v>1715</v>
      </c>
      <c r="C255" s="36" t="s">
        <v>1716</v>
      </c>
      <c r="D255" s="36"/>
      <c r="E255" s="36" t="s">
        <v>934</v>
      </c>
      <c r="F255" s="46" t="str">
        <f>IFERROR(VLOOKUP(A255,TblDisponibilidad[],23,FALSE),"No Manejado")</f>
        <v>No Manejado</v>
      </c>
    </row>
    <row r="256" spans="1:6" x14ac:dyDescent="0.3">
      <c r="A256" s="44" t="s">
        <v>271</v>
      </c>
      <c r="B256" s="36" t="s">
        <v>1715</v>
      </c>
      <c r="C256" s="36" t="s">
        <v>1716</v>
      </c>
      <c r="D256" s="36"/>
      <c r="E256" s="36" t="s">
        <v>934</v>
      </c>
      <c r="F256" s="46" t="str">
        <f>IFERROR(VLOOKUP(A256,TblDisponibilidad[],23,FALSE),"No Manejado")</f>
        <v>No Manejado</v>
      </c>
    </row>
    <row r="257" spans="1:6" x14ac:dyDescent="0.3">
      <c r="A257" s="44" t="s">
        <v>273</v>
      </c>
      <c r="B257" s="36" t="s">
        <v>1717</v>
      </c>
      <c r="C257" s="36" t="s">
        <v>1718</v>
      </c>
      <c r="D257" s="36"/>
      <c r="E257" s="36" t="s">
        <v>950</v>
      </c>
      <c r="F257" s="46" t="str">
        <f>IFERROR(VLOOKUP(A257,TblDisponibilidad[],23,FALSE),"No Manejado")</f>
        <v>No Manejado</v>
      </c>
    </row>
    <row r="258" spans="1:6" x14ac:dyDescent="0.3">
      <c r="A258" s="44" t="s">
        <v>253</v>
      </c>
      <c r="B258" s="36" t="s">
        <v>1721</v>
      </c>
      <c r="C258" s="36" t="s">
        <v>930</v>
      </c>
      <c r="D258" s="36"/>
      <c r="E258" s="36" t="s">
        <v>950</v>
      </c>
      <c r="F258" s="46" t="str">
        <f>IFERROR(VLOOKUP(A258,TblDisponibilidad[],23,FALSE),"No Manejado")</f>
        <v>No Manejado</v>
      </c>
    </row>
    <row r="259" spans="1:6" x14ac:dyDescent="0.3">
      <c r="A259" s="44" t="s">
        <v>275</v>
      </c>
      <c r="B259" s="36" t="s">
        <v>1763</v>
      </c>
      <c r="C259" s="36" t="s">
        <v>1764</v>
      </c>
      <c r="D259" s="36"/>
      <c r="E259" s="36" t="s">
        <v>1087</v>
      </c>
      <c r="F259" s="46" t="str">
        <f>IFERROR(VLOOKUP(A259,TblDisponibilidad[],23,FALSE),"No Manejado")</f>
        <v>No Manejado</v>
      </c>
    </row>
    <row r="260" spans="1:6" x14ac:dyDescent="0.3">
      <c r="A260" s="44" t="s">
        <v>276</v>
      </c>
      <c r="B260" s="36" t="s">
        <v>1765</v>
      </c>
      <c r="C260" s="36" t="s">
        <v>1766</v>
      </c>
      <c r="D260" s="36"/>
      <c r="E260" s="36" t="s">
        <v>976</v>
      </c>
      <c r="F260" s="46" t="str">
        <f>IFERROR(VLOOKUP(A260,TblDisponibilidad[],23,FALSE),"No Manejado")</f>
        <v>No Manejado</v>
      </c>
    </row>
    <row r="261" spans="1:6" x14ac:dyDescent="0.3">
      <c r="A261" s="44" t="s">
        <v>648</v>
      </c>
      <c r="B261" s="36" t="s">
        <v>1765</v>
      </c>
      <c r="C261" s="36" t="s">
        <v>1767</v>
      </c>
      <c r="D261" s="36"/>
      <c r="E261" s="36" t="s">
        <v>934</v>
      </c>
      <c r="F261" s="46" t="str">
        <f>IFERROR(VLOOKUP(A261,TblDisponibilidad[],23,FALSE),"No Manejado")</f>
        <v>No Manejado</v>
      </c>
    </row>
    <row r="262" spans="1:6" x14ac:dyDescent="0.3">
      <c r="A262" s="44" t="s">
        <v>148</v>
      </c>
      <c r="B262" s="36" t="s">
        <v>1765</v>
      </c>
      <c r="C262" s="36" t="s">
        <v>1768</v>
      </c>
      <c r="D262" s="36"/>
      <c r="E262" s="36" t="s">
        <v>929</v>
      </c>
      <c r="F262" s="46" t="str">
        <f>IFERROR(VLOOKUP(A262,TblDisponibilidad[],23,FALSE),"No Manejado")</f>
        <v>No Manejado</v>
      </c>
    </row>
    <row r="263" spans="1:6" x14ac:dyDescent="0.3">
      <c r="A263" s="44" t="s">
        <v>725</v>
      </c>
      <c r="B263" s="36" t="s">
        <v>1769</v>
      </c>
      <c r="C263" s="36" t="s">
        <v>1770</v>
      </c>
      <c r="D263" s="36"/>
      <c r="E263" s="36" t="s">
        <v>929</v>
      </c>
      <c r="F263" s="46" t="str">
        <f>IFERROR(VLOOKUP(A263,TblDisponibilidad[],23,FALSE),"No Manejado")</f>
        <v>No Manejado</v>
      </c>
    </row>
    <row r="264" spans="1:6" x14ac:dyDescent="0.3">
      <c r="A264" s="44" t="s">
        <v>150</v>
      </c>
      <c r="B264" s="36" t="s">
        <v>1771</v>
      </c>
      <c r="C264" s="36" t="s">
        <v>1772</v>
      </c>
      <c r="D264" s="36"/>
      <c r="E264" s="36" t="s">
        <v>929</v>
      </c>
      <c r="F264" s="46" t="str">
        <f>IFERROR(VLOOKUP(A264,TblDisponibilidad[],23,FALSE),"No Manejado")</f>
        <v>No Manejado</v>
      </c>
    </row>
    <row r="265" spans="1:6" x14ac:dyDescent="0.3">
      <c r="A265" s="44" t="s">
        <v>434</v>
      </c>
      <c r="B265" s="36" t="s">
        <v>1774</v>
      </c>
      <c r="C265" s="36" t="s">
        <v>1018</v>
      </c>
      <c r="D265" s="36"/>
      <c r="E265" s="36" t="s">
        <v>934</v>
      </c>
      <c r="F265" s="46" t="str">
        <f>IFERROR(VLOOKUP(A265,TblDisponibilidad[],23,FALSE),"No Manejado")</f>
        <v>No Manejado</v>
      </c>
    </row>
    <row r="266" spans="1:6" x14ac:dyDescent="0.3">
      <c r="A266" s="44" t="s">
        <v>483</v>
      </c>
      <c r="B266" s="36" t="s">
        <v>1774</v>
      </c>
      <c r="C266" s="36" t="s">
        <v>1385</v>
      </c>
      <c r="D266" s="36"/>
      <c r="E266" s="36" t="s">
        <v>934</v>
      </c>
      <c r="F266" s="46" t="str">
        <f>IFERROR(VLOOKUP(A266,TblDisponibilidad[],23,FALSE),"No Manejado")</f>
        <v>No Manejado</v>
      </c>
    </row>
    <row r="267" spans="1:6" x14ac:dyDescent="0.3">
      <c r="A267" s="44" t="s">
        <v>617</v>
      </c>
      <c r="B267" s="36" t="s">
        <v>1805</v>
      </c>
      <c r="C267" s="36" t="s">
        <v>938</v>
      </c>
      <c r="D267" s="36"/>
      <c r="E267" s="36" t="s">
        <v>929</v>
      </c>
      <c r="F267" s="46" t="str">
        <f>IFERROR(VLOOKUP(A267,TblDisponibilidad[],23,FALSE),"No Manejado")</f>
        <v>No Manejado</v>
      </c>
    </row>
    <row r="268" spans="1:6" x14ac:dyDescent="0.3">
      <c r="A268" s="44" t="s">
        <v>278</v>
      </c>
      <c r="B268" s="36" t="s">
        <v>1807</v>
      </c>
      <c r="C268" s="36" t="s">
        <v>945</v>
      </c>
      <c r="D268" s="36"/>
      <c r="E268" s="36" t="s">
        <v>934</v>
      </c>
      <c r="F268" s="46" t="str">
        <f>IFERROR(VLOOKUP(A268,TblDisponibilidad[],23,FALSE),"No Manejado")</f>
        <v>No Manejado</v>
      </c>
    </row>
    <row r="269" spans="1:6" x14ac:dyDescent="0.3">
      <c r="A269" s="44" t="s">
        <v>280</v>
      </c>
      <c r="B269" s="36" t="s">
        <v>1809</v>
      </c>
      <c r="C269" s="36" t="s">
        <v>1009</v>
      </c>
      <c r="D269" s="36"/>
      <c r="E269" s="36" t="s">
        <v>929</v>
      </c>
      <c r="F269" s="46" t="str">
        <f>IFERROR(VLOOKUP(A269,TblDisponibilidad[],23,FALSE),"No Manejado")</f>
        <v>No Manejado</v>
      </c>
    </row>
    <row r="270" spans="1:6" x14ac:dyDescent="0.3">
      <c r="A270" s="44" t="s">
        <v>279</v>
      </c>
      <c r="B270" s="36" t="s">
        <v>1809</v>
      </c>
      <c r="C270" s="36" t="s">
        <v>1012</v>
      </c>
      <c r="D270" s="36"/>
      <c r="E270" s="36" t="s">
        <v>934</v>
      </c>
      <c r="F270" s="46" t="str">
        <f>IFERROR(VLOOKUP(A270,TblDisponibilidad[],23,FALSE),"No Manejado")</f>
        <v>No Manejado</v>
      </c>
    </row>
    <row r="271" spans="1:6" x14ac:dyDescent="0.3">
      <c r="A271" s="44" t="s">
        <v>281</v>
      </c>
      <c r="B271" s="36" t="s">
        <v>1810</v>
      </c>
      <c r="C271" s="36" t="s">
        <v>1064</v>
      </c>
      <c r="D271" s="36"/>
      <c r="E271" s="36" t="s">
        <v>950</v>
      </c>
      <c r="F271" s="46" t="str">
        <f>IFERROR(VLOOKUP(A271,TblDisponibilidad[],23,FALSE),"No Manejado")</f>
        <v>No Manejado</v>
      </c>
    </row>
    <row r="272" spans="1:6" x14ac:dyDescent="0.3">
      <c r="A272" s="44" t="s">
        <v>681</v>
      </c>
      <c r="B272" s="36" t="s">
        <v>1830</v>
      </c>
      <c r="C272" s="36" t="s">
        <v>1831</v>
      </c>
      <c r="D272" s="36"/>
      <c r="E272" s="36" t="s">
        <v>929</v>
      </c>
      <c r="F272" s="46" t="str">
        <f>IFERROR(VLOOKUP(A272,TblDisponibilidad[],23,FALSE),"No Manejado")</f>
        <v>No Manejado</v>
      </c>
    </row>
    <row r="273" spans="1:6" x14ac:dyDescent="0.3">
      <c r="A273" s="44" t="s">
        <v>377</v>
      </c>
      <c r="B273" s="36" t="s">
        <v>1832</v>
      </c>
      <c r="C273" s="36" t="s">
        <v>1025</v>
      </c>
      <c r="D273" s="36"/>
      <c r="E273" s="36" t="s">
        <v>1221</v>
      </c>
      <c r="F273" s="46" t="str">
        <f>IFERROR(VLOOKUP(A273,TblDisponibilidad[],23,FALSE),"No Manejado")</f>
        <v>No Manejado</v>
      </c>
    </row>
    <row r="274" spans="1:6" x14ac:dyDescent="0.3">
      <c r="A274" s="44" t="s">
        <v>292</v>
      </c>
      <c r="B274" s="36" t="s">
        <v>1832</v>
      </c>
      <c r="C274" s="36" t="s">
        <v>1028</v>
      </c>
      <c r="D274" s="36"/>
      <c r="E274" s="36" t="s">
        <v>929</v>
      </c>
      <c r="F274" s="46" t="str">
        <f>IFERROR(VLOOKUP(A274,TblDisponibilidad[],23,FALSE),"No Manejado")</f>
        <v>No Manejado</v>
      </c>
    </row>
    <row r="275" spans="1:6" x14ac:dyDescent="0.3">
      <c r="A275" s="44" t="s">
        <v>293</v>
      </c>
      <c r="B275" s="36" t="s">
        <v>1833</v>
      </c>
      <c r="C275" s="36" t="s">
        <v>1028</v>
      </c>
      <c r="D275" s="36"/>
      <c r="E275" s="36" t="s">
        <v>934</v>
      </c>
      <c r="F275" s="46" t="str">
        <f>IFERROR(VLOOKUP(A275,TblDisponibilidad[],23,FALSE),"No Manejado")</f>
        <v>No Manejado</v>
      </c>
    </row>
    <row r="276" spans="1:6" x14ac:dyDescent="0.3">
      <c r="A276" s="44" t="s">
        <v>294</v>
      </c>
      <c r="B276" s="36" t="s">
        <v>1838</v>
      </c>
      <c r="C276" s="36" t="s">
        <v>1839</v>
      </c>
      <c r="D276" s="36"/>
      <c r="E276" s="36" t="s">
        <v>929</v>
      </c>
      <c r="F276" s="46" t="str">
        <f>IFERROR(VLOOKUP(A276,TblDisponibilidad[],23,FALSE),"No Manejado")</f>
        <v>No Manejado</v>
      </c>
    </row>
    <row r="277" spans="1:6" x14ac:dyDescent="0.3">
      <c r="A277" s="44" t="s">
        <v>295</v>
      </c>
      <c r="B277" s="36" t="s">
        <v>1840</v>
      </c>
      <c r="C277" s="36" t="s">
        <v>1023</v>
      </c>
      <c r="D277" s="36"/>
      <c r="E277" s="36" t="s">
        <v>929</v>
      </c>
      <c r="F277" s="46" t="str">
        <f>IFERROR(VLOOKUP(A277,TblDisponibilidad[],23,FALSE),"No Manejado")</f>
        <v>No Manejado</v>
      </c>
    </row>
    <row r="278" spans="1:6" x14ac:dyDescent="0.3">
      <c r="A278" s="44" t="s">
        <v>296</v>
      </c>
      <c r="B278" s="36" t="s">
        <v>1841</v>
      </c>
      <c r="C278" s="36" t="s">
        <v>1842</v>
      </c>
      <c r="D278" s="36"/>
      <c r="E278" s="36" t="s">
        <v>950</v>
      </c>
      <c r="F278" s="46" t="str">
        <f>IFERROR(VLOOKUP(A278,TblDisponibilidad[],23,FALSE),"No Manejado")</f>
        <v>No Manejado</v>
      </c>
    </row>
    <row r="279" spans="1:6" ht="15" thickBot="1" x14ac:dyDescent="0.35">
      <c r="A279" s="47" t="s">
        <v>298</v>
      </c>
      <c r="B279" s="48" t="s">
        <v>1845</v>
      </c>
      <c r="C279" s="48" t="s">
        <v>1022</v>
      </c>
      <c r="D279" s="48"/>
      <c r="E279" s="48" t="s">
        <v>929</v>
      </c>
      <c r="F279" s="46" t="str">
        <f>IFERROR(VLOOKUP(A279,TblDisponibilidad[],23,FALSE),"No Manejado")</f>
        <v>No Manejado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19"/>
  <sheetViews>
    <sheetView topLeftCell="C1" workbookViewId="0">
      <selection activeCell="F1" sqref="F1"/>
    </sheetView>
  </sheetViews>
  <sheetFormatPr baseColWidth="10" defaultColWidth="11.44140625" defaultRowHeight="14.4" x14ac:dyDescent="0.3"/>
  <cols>
    <col min="1" max="1" width="11.109375" style="14" bestFit="1" customWidth="1"/>
    <col min="2" max="2" width="68.5546875" bestFit="1" customWidth="1"/>
    <col min="3" max="3" width="33.33203125" bestFit="1" customWidth="1"/>
    <col min="4" max="4" width="17.6640625" bestFit="1" customWidth="1"/>
    <col min="5" max="5" width="26.44140625" customWidth="1"/>
    <col min="6" max="6" width="15.44140625" bestFit="1" customWidth="1"/>
  </cols>
  <sheetData>
    <row r="1" spans="1:6" ht="38.4" customHeight="1" thickBot="1" x14ac:dyDescent="0.35">
      <c r="A1" s="67" t="s">
        <v>1863</v>
      </c>
      <c r="B1" s="68"/>
      <c r="C1" s="68"/>
      <c r="D1" s="69"/>
      <c r="E1" s="19" t="s">
        <v>1853</v>
      </c>
      <c r="F1" s="20" t="e">
        <f>((COUNTIF(F3:F219,"SOBRE STOCK"))+(COUNTIF(F3:F219,"NORMO STOCK")))/(COUNTIF(F3:F219,"&lt;&gt;solid")-(COUNTIF(F3:F219,"No Rota"))-(COUNTIF(F3:F219,"No Manejado")))</f>
        <v>#DIV/0!</v>
      </c>
    </row>
    <row r="2" spans="1:6" x14ac:dyDescent="0.3">
      <c r="A2" s="32" t="s">
        <v>28</v>
      </c>
      <c r="B2" s="33" t="s">
        <v>1854</v>
      </c>
      <c r="C2" s="33" t="s">
        <v>1855</v>
      </c>
      <c r="D2" s="33" t="s">
        <v>1856</v>
      </c>
      <c r="E2" s="33" t="s">
        <v>1857</v>
      </c>
      <c r="F2" s="34" t="s">
        <v>1858</v>
      </c>
    </row>
    <row r="3" spans="1:6" x14ac:dyDescent="0.3">
      <c r="A3" s="49" t="s">
        <v>37</v>
      </c>
      <c r="B3" s="38" t="s">
        <v>927</v>
      </c>
      <c r="C3" s="38" t="s">
        <v>928</v>
      </c>
      <c r="D3" s="38" t="s">
        <v>930</v>
      </c>
      <c r="E3" s="38" t="s">
        <v>929</v>
      </c>
      <c r="F3" s="37" t="str">
        <f>IFERROR(VLOOKUP(A3,TblDisponibilidad[],23,FALSE),"No Manejado")</f>
        <v>No Manejado</v>
      </c>
    </row>
    <row r="4" spans="1:6" x14ac:dyDescent="0.3">
      <c r="A4" s="26" t="s">
        <v>36</v>
      </c>
      <c r="B4" s="27" t="s">
        <v>932</v>
      </c>
      <c r="C4" s="27" t="s">
        <v>933</v>
      </c>
      <c r="D4" s="27" t="s">
        <v>935</v>
      </c>
      <c r="E4" s="27" t="s">
        <v>934</v>
      </c>
      <c r="F4" s="37" t="str">
        <f>IFERROR(VLOOKUP(A4,TblDisponibilidad[],23,FALSE),"No Manejado")</f>
        <v>No Manejado</v>
      </c>
    </row>
    <row r="5" spans="1:6" x14ac:dyDescent="0.3">
      <c r="A5" s="26" t="s">
        <v>33</v>
      </c>
      <c r="B5" s="27" t="s">
        <v>937</v>
      </c>
      <c r="C5" s="27" t="s">
        <v>938</v>
      </c>
      <c r="D5" s="27" t="s">
        <v>930</v>
      </c>
      <c r="E5" s="27" t="s">
        <v>929</v>
      </c>
      <c r="F5" s="37" t="str">
        <f>IFERROR(VLOOKUP(A5,TblDisponibilidad[],23,FALSE),"No Manejado")</f>
        <v>No Manejado</v>
      </c>
    </row>
    <row r="6" spans="1:6" x14ac:dyDescent="0.3">
      <c r="A6" s="26" t="s">
        <v>1865</v>
      </c>
      <c r="B6" s="27" t="s">
        <v>1866</v>
      </c>
      <c r="C6" s="27" t="s">
        <v>1867</v>
      </c>
      <c r="D6" s="27" t="s">
        <v>930</v>
      </c>
      <c r="E6" s="27" t="s">
        <v>929</v>
      </c>
      <c r="F6" s="37" t="str">
        <f>IFERROR(VLOOKUP(A6,TblDisponibilidad[],23,FALSE),"No Manejado")</f>
        <v>No Manejado</v>
      </c>
    </row>
    <row r="7" spans="1:6" x14ac:dyDescent="0.3">
      <c r="A7" s="26" t="s">
        <v>38</v>
      </c>
      <c r="B7" s="27" t="s">
        <v>939</v>
      </c>
      <c r="C7" s="27" t="s">
        <v>1868</v>
      </c>
      <c r="D7" s="27" t="s">
        <v>930</v>
      </c>
      <c r="E7" s="27" t="s">
        <v>929</v>
      </c>
      <c r="F7" s="37" t="str">
        <f>IFERROR(VLOOKUP(A7,TblDisponibilidad[],23,FALSE),"No Manejado")</f>
        <v>No Manejado</v>
      </c>
    </row>
    <row r="8" spans="1:6" x14ac:dyDescent="0.3">
      <c r="A8" s="26" t="s">
        <v>147</v>
      </c>
      <c r="B8" s="27" t="s">
        <v>941</v>
      </c>
      <c r="C8" s="27" t="s">
        <v>1869</v>
      </c>
      <c r="D8" s="27" t="s">
        <v>930</v>
      </c>
      <c r="E8" s="27" t="s">
        <v>929</v>
      </c>
      <c r="F8" s="37" t="str">
        <f>IFERROR(VLOOKUP(A8,TblDisponibilidad[],23,FALSE),"No Manejado")</f>
        <v>No Manejado</v>
      </c>
    </row>
    <row r="9" spans="1:6" x14ac:dyDescent="0.3">
      <c r="A9" s="26" t="s">
        <v>39</v>
      </c>
      <c r="B9" s="27" t="s">
        <v>944</v>
      </c>
      <c r="C9" s="27" t="s">
        <v>945</v>
      </c>
      <c r="D9" s="27" t="s">
        <v>935</v>
      </c>
      <c r="E9" s="27" t="s">
        <v>934</v>
      </c>
      <c r="F9" s="37" t="str">
        <f>IFERROR(VLOOKUP(A9,TblDisponibilidad[],23,FALSE),"No Manejado")</f>
        <v>No Manejado</v>
      </c>
    </row>
    <row r="10" spans="1:6" x14ac:dyDescent="0.3">
      <c r="A10" s="26" t="s">
        <v>299</v>
      </c>
      <c r="B10" s="27" t="s">
        <v>961</v>
      </c>
      <c r="C10" s="27" t="s">
        <v>930</v>
      </c>
      <c r="D10" s="27" t="s">
        <v>962</v>
      </c>
      <c r="E10" s="27" t="s">
        <v>934</v>
      </c>
      <c r="F10" s="37" t="str">
        <f>IFERROR(VLOOKUP(A10,TblDisponibilidad[],23,FALSE),"No Manejado")</f>
        <v>No Manejado</v>
      </c>
    </row>
    <row r="11" spans="1:6" x14ac:dyDescent="0.3">
      <c r="A11" s="26" t="s">
        <v>42</v>
      </c>
      <c r="B11" s="27" t="s">
        <v>974</v>
      </c>
      <c r="C11" s="27" t="s">
        <v>975</v>
      </c>
      <c r="D11" s="27" t="s">
        <v>977</v>
      </c>
      <c r="E11" s="27" t="s">
        <v>976</v>
      </c>
      <c r="F11" s="37" t="str">
        <f>IFERROR(VLOOKUP(A11,TblDisponibilidad[],23,FALSE),"No Manejado")</f>
        <v>No Manejado</v>
      </c>
    </row>
    <row r="12" spans="1:6" x14ac:dyDescent="0.3">
      <c r="A12" s="26" t="s">
        <v>43</v>
      </c>
      <c r="B12" s="27" t="s">
        <v>974</v>
      </c>
      <c r="C12" s="27" t="s">
        <v>928</v>
      </c>
      <c r="D12" s="27" t="s">
        <v>930</v>
      </c>
      <c r="E12" s="27" t="s">
        <v>929</v>
      </c>
      <c r="F12" s="37" t="str">
        <f>IFERROR(VLOOKUP(A12,TblDisponibilidad[],23,FALSE),"No Manejado")</f>
        <v>No Manejado</v>
      </c>
    </row>
    <row r="13" spans="1:6" x14ac:dyDescent="0.3">
      <c r="A13" s="26" t="s">
        <v>380</v>
      </c>
      <c r="B13" s="27" t="s">
        <v>1005</v>
      </c>
      <c r="C13" s="27" t="s">
        <v>1006</v>
      </c>
      <c r="D13" s="27" t="s">
        <v>1007</v>
      </c>
      <c r="E13" s="27" t="s">
        <v>976</v>
      </c>
      <c r="F13" s="37" t="str">
        <f>IFERROR(VLOOKUP(A13,TblDisponibilidad[],23,FALSE),"No Manejado")</f>
        <v>No Manejado</v>
      </c>
    </row>
    <row r="14" spans="1:6" x14ac:dyDescent="0.3">
      <c r="A14" s="26" t="s">
        <v>47</v>
      </c>
      <c r="B14" s="27" t="s">
        <v>1870</v>
      </c>
      <c r="C14" s="27" t="s">
        <v>1009</v>
      </c>
      <c r="D14" s="27" t="s">
        <v>935</v>
      </c>
      <c r="E14" s="27" t="s">
        <v>934</v>
      </c>
      <c r="F14" s="37" t="str">
        <f>IFERROR(VLOOKUP(A14,TblDisponibilidad[],23,FALSE),"No Manejado")</f>
        <v>No Manejado</v>
      </c>
    </row>
    <row r="15" spans="1:6" x14ac:dyDescent="0.3">
      <c r="A15" s="26" t="s">
        <v>49</v>
      </c>
      <c r="B15" s="27" t="s">
        <v>1010</v>
      </c>
      <c r="C15" s="27" t="s">
        <v>938</v>
      </c>
      <c r="D15" s="27" t="s">
        <v>954</v>
      </c>
      <c r="E15" s="27" t="s">
        <v>934</v>
      </c>
      <c r="F15" s="37" t="str">
        <f>IFERROR(VLOOKUP(A15,TblDisponibilidad[],23,FALSE),"No Manejado")</f>
        <v>No Manejado</v>
      </c>
    </row>
    <row r="16" spans="1:6" x14ac:dyDescent="0.3">
      <c r="A16" s="26" t="s">
        <v>51</v>
      </c>
      <c r="B16" s="27" t="s">
        <v>1017</v>
      </c>
      <c r="C16" s="27" t="s">
        <v>1018</v>
      </c>
      <c r="D16" s="27" t="s">
        <v>935</v>
      </c>
      <c r="E16" s="27" t="s">
        <v>934</v>
      </c>
      <c r="F16" s="37" t="str">
        <f>IFERROR(VLOOKUP(A16,TblDisponibilidad[],23,FALSE),"No Manejado")</f>
        <v>No Manejado</v>
      </c>
    </row>
    <row r="17" spans="1:6" x14ac:dyDescent="0.3">
      <c r="A17" s="26" t="s">
        <v>1871</v>
      </c>
      <c r="B17" s="27" t="s">
        <v>1019</v>
      </c>
      <c r="C17" s="27" t="s">
        <v>928</v>
      </c>
      <c r="D17" s="27" t="s">
        <v>930</v>
      </c>
      <c r="E17" s="27" t="s">
        <v>929</v>
      </c>
      <c r="F17" s="37" t="str">
        <f>IFERROR(VLOOKUP(A17,TblDisponibilidad[],23,FALSE),"No Manejado")</f>
        <v>No Manejado</v>
      </c>
    </row>
    <row r="18" spans="1:6" x14ac:dyDescent="0.3">
      <c r="A18" s="26" t="s">
        <v>53</v>
      </c>
      <c r="B18" s="27" t="s">
        <v>1021</v>
      </c>
      <c r="C18" s="27" t="s">
        <v>1022</v>
      </c>
      <c r="D18" s="27" t="s">
        <v>930</v>
      </c>
      <c r="E18" s="27" t="s">
        <v>929</v>
      </c>
      <c r="F18" s="37" t="str">
        <f>IFERROR(VLOOKUP(A18,TblDisponibilidad[],23,FALSE),"No Manejado")</f>
        <v>No Manejado</v>
      </c>
    </row>
    <row r="19" spans="1:6" x14ac:dyDescent="0.3">
      <c r="A19" s="26" t="s">
        <v>57</v>
      </c>
      <c r="B19" s="27" t="s">
        <v>1024</v>
      </c>
      <c r="C19" s="27" t="s">
        <v>1025</v>
      </c>
      <c r="D19" s="27" t="s">
        <v>1027</v>
      </c>
      <c r="E19" s="27" t="s">
        <v>976</v>
      </c>
      <c r="F19" s="37" t="str">
        <f>IFERROR(VLOOKUP(A19,TblDisponibilidad[],23,FALSE),"No Manejado")</f>
        <v>No Manejado</v>
      </c>
    </row>
    <row r="20" spans="1:6" x14ac:dyDescent="0.3">
      <c r="A20" s="26" t="s">
        <v>58</v>
      </c>
      <c r="B20" s="27" t="s">
        <v>1024</v>
      </c>
      <c r="C20" s="27" t="s">
        <v>1028</v>
      </c>
      <c r="D20" s="27" t="s">
        <v>930</v>
      </c>
      <c r="E20" s="27" t="s">
        <v>929</v>
      </c>
      <c r="F20" s="37" t="str">
        <f>IFERROR(VLOOKUP(A20,TblDisponibilidad[],23,FALSE),"No Manejado")</f>
        <v>No Manejado</v>
      </c>
    </row>
    <row r="21" spans="1:6" x14ac:dyDescent="0.3">
      <c r="A21" s="26" t="s">
        <v>55</v>
      </c>
      <c r="B21" s="27" t="s">
        <v>1029</v>
      </c>
      <c r="C21" s="27" t="s">
        <v>1030</v>
      </c>
      <c r="D21" s="27" t="s">
        <v>1027</v>
      </c>
      <c r="E21" s="27" t="s">
        <v>976</v>
      </c>
      <c r="F21" s="37" t="str">
        <f>IFERROR(VLOOKUP(A21,TblDisponibilidad[],23,FALSE),"No Manejado")</f>
        <v>No Manejado</v>
      </c>
    </row>
    <row r="22" spans="1:6" x14ac:dyDescent="0.3">
      <c r="A22" s="26" t="s">
        <v>56</v>
      </c>
      <c r="B22" s="27" t="s">
        <v>1029</v>
      </c>
      <c r="C22" s="27" t="s">
        <v>1031</v>
      </c>
      <c r="D22" s="27" t="s">
        <v>930</v>
      </c>
      <c r="E22" s="27" t="s">
        <v>929</v>
      </c>
      <c r="F22" s="37" t="str">
        <f>IFERROR(VLOOKUP(A22,TblDisponibilidad[],23,FALSE),"No Manejado")</f>
        <v>No Manejado</v>
      </c>
    </row>
    <row r="23" spans="1:6" x14ac:dyDescent="0.3">
      <c r="A23" s="26" t="s">
        <v>59</v>
      </c>
      <c r="B23" s="27" t="s">
        <v>1032</v>
      </c>
      <c r="C23" s="27" t="s">
        <v>1033</v>
      </c>
      <c r="D23" s="27" t="s">
        <v>930</v>
      </c>
      <c r="E23" s="27" t="s">
        <v>934</v>
      </c>
      <c r="F23" s="37" t="str">
        <f>IFERROR(VLOOKUP(A23,TblDisponibilidad[],23,FALSE),"No Manejado")</f>
        <v>No Manejado</v>
      </c>
    </row>
    <row r="24" spans="1:6" x14ac:dyDescent="0.3">
      <c r="A24" s="26" t="s">
        <v>60</v>
      </c>
      <c r="B24" s="27" t="s">
        <v>1034</v>
      </c>
      <c r="C24" s="27" t="s">
        <v>945</v>
      </c>
      <c r="D24" s="27" t="s">
        <v>930</v>
      </c>
      <c r="E24" s="27" t="s">
        <v>934</v>
      </c>
      <c r="F24" s="37" t="str">
        <f>IFERROR(VLOOKUP(A24,TblDisponibilidad[],23,FALSE),"No Manejado")</f>
        <v>No Manejado</v>
      </c>
    </row>
    <row r="25" spans="1:6" x14ac:dyDescent="0.3">
      <c r="A25" s="26" t="s">
        <v>61</v>
      </c>
      <c r="B25" s="27" t="s">
        <v>1053</v>
      </c>
      <c r="C25" s="27" t="s">
        <v>938</v>
      </c>
      <c r="D25" s="27" t="s">
        <v>930</v>
      </c>
      <c r="E25" s="27" t="s">
        <v>929</v>
      </c>
      <c r="F25" s="37" t="str">
        <f>IFERROR(VLOOKUP(A25,TblDisponibilidad[],23,FALSE),"No Manejado")</f>
        <v>No Manejado</v>
      </c>
    </row>
    <row r="26" spans="1:6" x14ac:dyDescent="0.3">
      <c r="A26" s="26" t="s">
        <v>1054</v>
      </c>
      <c r="B26" s="27" t="s">
        <v>1055</v>
      </c>
      <c r="C26" s="27" t="s">
        <v>1056</v>
      </c>
      <c r="D26" s="27" t="s">
        <v>930</v>
      </c>
      <c r="E26" s="27" t="s">
        <v>929</v>
      </c>
      <c r="F26" s="37" t="str">
        <f>IFERROR(VLOOKUP(A26,TblDisponibilidad[],23,FALSE),"No Manejado")</f>
        <v>No Manejado</v>
      </c>
    </row>
    <row r="27" spans="1:6" x14ac:dyDescent="0.3">
      <c r="A27" s="26" t="s">
        <v>62</v>
      </c>
      <c r="B27" s="27" t="s">
        <v>1060</v>
      </c>
      <c r="C27" s="27" t="s">
        <v>1872</v>
      </c>
      <c r="D27" s="27" t="s">
        <v>1004</v>
      </c>
      <c r="E27" s="27" t="s">
        <v>934</v>
      </c>
      <c r="F27" s="37" t="str">
        <f>IFERROR(VLOOKUP(A27,TblDisponibilidad[],23,FALSE),"No Manejado")</f>
        <v>No Manejado</v>
      </c>
    </row>
    <row r="28" spans="1:6" x14ac:dyDescent="0.3">
      <c r="A28" s="26" t="s">
        <v>63</v>
      </c>
      <c r="B28" s="27" t="s">
        <v>1066</v>
      </c>
      <c r="C28" s="27" t="s">
        <v>1067</v>
      </c>
      <c r="D28" s="27" t="s">
        <v>1027</v>
      </c>
      <c r="E28" s="27" t="s">
        <v>976</v>
      </c>
      <c r="F28" s="37" t="str">
        <f>IFERROR(VLOOKUP(A28,TblDisponibilidad[],23,FALSE),"No Manejado")</f>
        <v>No Manejado</v>
      </c>
    </row>
    <row r="29" spans="1:6" x14ac:dyDescent="0.3">
      <c r="A29" s="26" t="s">
        <v>64</v>
      </c>
      <c r="B29" s="27" t="s">
        <v>1066</v>
      </c>
      <c r="C29" s="27" t="s">
        <v>1028</v>
      </c>
      <c r="D29" s="27" t="s">
        <v>930</v>
      </c>
      <c r="E29" s="27" t="s">
        <v>929</v>
      </c>
      <c r="F29" s="37" t="str">
        <f>IFERROR(VLOOKUP(A29,TblDisponibilidad[],23,FALSE),"No Manejado")</f>
        <v>No Manejado</v>
      </c>
    </row>
    <row r="30" spans="1:6" x14ac:dyDescent="0.3">
      <c r="A30" s="26" t="s">
        <v>66</v>
      </c>
      <c r="B30" s="27" t="s">
        <v>1070</v>
      </c>
      <c r="C30" s="27" t="s">
        <v>1873</v>
      </c>
      <c r="D30" s="27" t="s">
        <v>1073</v>
      </c>
      <c r="E30" s="27" t="s">
        <v>1072</v>
      </c>
      <c r="F30" s="37" t="str">
        <f>IFERROR(VLOOKUP(A30,TblDisponibilidad[],23,FALSE),"No Manejado")</f>
        <v>No Manejado</v>
      </c>
    </row>
    <row r="31" spans="1:6" x14ac:dyDescent="0.3">
      <c r="A31" s="26" t="s">
        <v>703</v>
      </c>
      <c r="B31" s="27" t="s">
        <v>1078</v>
      </c>
      <c r="C31" s="27" t="s">
        <v>1079</v>
      </c>
      <c r="D31" s="27" t="s">
        <v>930</v>
      </c>
      <c r="E31" s="27" t="s">
        <v>934</v>
      </c>
      <c r="F31" s="37" t="str">
        <f>IFERROR(VLOOKUP(A31,TblDisponibilidad[],23,FALSE),"No Manejado")</f>
        <v>No Manejado</v>
      </c>
    </row>
    <row r="32" spans="1:6" x14ac:dyDescent="0.3">
      <c r="A32" s="26" t="s">
        <v>67</v>
      </c>
      <c r="B32" s="27" t="s">
        <v>1874</v>
      </c>
      <c r="C32" s="27" t="s">
        <v>1075</v>
      </c>
      <c r="D32" s="27" t="s">
        <v>930</v>
      </c>
      <c r="E32" s="27" t="s">
        <v>934</v>
      </c>
      <c r="F32" s="37" t="str">
        <f>IFERROR(VLOOKUP(A32,TblDisponibilidad[],23,FALSE),"No Manejado")</f>
        <v>No Manejado</v>
      </c>
    </row>
    <row r="33" spans="1:6" x14ac:dyDescent="0.3">
      <c r="A33" s="26" t="s">
        <v>378</v>
      </c>
      <c r="B33" s="27" t="s">
        <v>1875</v>
      </c>
      <c r="C33" s="27" t="s">
        <v>1077</v>
      </c>
      <c r="D33" s="27" t="s">
        <v>930</v>
      </c>
      <c r="E33" s="27" t="s">
        <v>934</v>
      </c>
      <c r="F33" s="37" t="str">
        <f>IFERROR(VLOOKUP(A33,TblDisponibilidad[],23,FALSE),"No Manejado")</f>
        <v>No Manejado</v>
      </c>
    </row>
    <row r="34" spans="1:6" x14ac:dyDescent="0.3">
      <c r="A34" s="26" t="s">
        <v>68</v>
      </c>
      <c r="B34" s="27" t="s">
        <v>1082</v>
      </c>
      <c r="C34" s="27" t="s">
        <v>1083</v>
      </c>
      <c r="D34" s="27" t="s">
        <v>1026</v>
      </c>
      <c r="E34" s="27" t="s">
        <v>1084</v>
      </c>
      <c r="F34" s="37" t="str">
        <f>IFERROR(VLOOKUP(A34,TblDisponibilidad[],23,FALSE),"No Manejado")</f>
        <v>No Manejado</v>
      </c>
    </row>
    <row r="35" spans="1:6" x14ac:dyDescent="0.3">
      <c r="A35" s="26" t="s">
        <v>69</v>
      </c>
      <c r="B35" s="27" t="s">
        <v>1085</v>
      </c>
      <c r="C35" s="27" t="s">
        <v>1086</v>
      </c>
      <c r="D35" s="27" t="s">
        <v>1088</v>
      </c>
      <c r="E35" s="27" t="s">
        <v>1087</v>
      </c>
      <c r="F35" s="37" t="str">
        <f>IFERROR(VLOOKUP(A35,TblDisponibilidad[],23,FALSE),"No Manejado")</f>
        <v>No Manejado</v>
      </c>
    </row>
    <row r="36" spans="1:6" x14ac:dyDescent="0.3">
      <c r="A36" s="26" t="s">
        <v>70</v>
      </c>
      <c r="B36" s="27" t="s">
        <v>1089</v>
      </c>
      <c r="C36" s="27" t="s">
        <v>1090</v>
      </c>
      <c r="D36" s="27" t="s">
        <v>1004</v>
      </c>
      <c r="E36" s="27" t="s">
        <v>934</v>
      </c>
      <c r="F36" s="37" t="str">
        <f>IFERROR(VLOOKUP(A36,TblDisponibilidad[],23,FALSE),"No Manejado")</f>
        <v>No Manejado</v>
      </c>
    </row>
    <row r="37" spans="1:6" x14ac:dyDescent="0.3">
      <c r="A37" s="26" t="s">
        <v>73</v>
      </c>
      <c r="B37" s="27" t="s">
        <v>1118</v>
      </c>
      <c r="C37" s="27" t="s">
        <v>1119</v>
      </c>
      <c r="D37" s="27" t="s">
        <v>930</v>
      </c>
      <c r="E37" s="27" t="s">
        <v>929</v>
      </c>
      <c r="F37" s="37" t="str">
        <f>IFERROR(VLOOKUP(A37,TblDisponibilidad[],23,FALSE),"No Manejado")</f>
        <v>No Manejado</v>
      </c>
    </row>
    <row r="38" spans="1:6" x14ac:dyDescent="0.3">
      <c r="A38" s="26" t="s">
        <v>74</v>
      </c>
      <c r="B38" s="27" t="s">
        <v>1122</v>
      </c>
      <c r="C38" s="27" t="s">
        <v>1123</v>
      </c>
      <c r="D38" s="27" t="s">
        <v>1065</v>
      </c>
      <c r="E38" s="27" t="s">
        <v>934</v>
      </c>
      <c r="F38" s="37" t="str">
        <f>IFERROR(VLOOKUP(A38,TblDisponibilidad[],23,FALSE),"No Manejado")</f>
        <v>No Manejado</v>
      </c>
    </row>
    <row r="39" spans="1:6" x14ac:dyDescent="0.3">
      <c r="A39" s="26" t="s">
        <v>75</v>
      </c>
      <c r="B39" s="27" t="s">
        <v>1125</v>
      </c>
      <c r="C39" s="27" t="s">
        <v>1090</v>
      </c>
      <c r="D39" s="27" t="s">
        <v>1004</v>
      </c>
      <c r="E39" s="27" t="s">
        <v>934</v>
      </c>
      <c r="F39" s="37" t="str">
        <f>IFERROR(VLOOKUP(A39,TblDisponibilidad[],23,FALSE),"No Manejado")</f>
        <v>No Manejado</v>
      </c>
    </row>
    <row r="40" spans="1:6" x14ac:dyDescent="0.3">
      <c r="A40" s="26" t="s">
        <v>77</v>
      </c>
      <c r="B40" s="27" t="s">
        <v>1129</v>
      </c>
      <c r="C40" s="27" t="s">
        <v>1130</v>
      </c>
      <c r="D40" s="27" t="s">
        <v>977</v>
      </c>
      <c r="E40" s="27" t="s">
        <v>934</v>
      </c>
      <c r="F40" s="37" t="str">
        <f>IFERROR(VLOOKUP(A40,TblDisponibilidad[],23,FALSE),"No Manejado")</f>
        <v>No Manejado</v>
      </c>
    </row>
    <row r="41" spans="1:6" x14ac:dyDescent="0.3">
      <c r="A41" s="26" t="s">
        <v>398</v>
      </c>
      <c r="B41" s="27" t="s">
        <v>1131</v>
      </c>
      <c r="C41" s="27" t="s">
        <v>1132</v>
      </c>
      <c r="D41" s="27" t="s">
        <v>1133</v>
      </c>
      <c r="E41" s="27" t="s">
        <v>934</v>
      </c>
      <c r="F41" s="37" t="str">
        <f>IFERROR(VLOOKUP(A41,TblDisponibilidad[],23,FALSE),"No Manejado")</f>
        <v>No Manejado</v>
      </c>
    </row>
    <row r="42" spans="1:6" x14ac:dyDescent="0.3">
      <c r="A42" s="26" t="s">
        <v>78</v>
      </c>
      <c r="B42" s="27" t="s">
        <v>1876</v>
      </c>
      <c r="C42" s="27" t="s">
        <v>1868</v>
      </c>
      <c r="D42" s="27" t="s">
        <v>930</v>
      </c>
      <c r="E42" s="27" t="s">
        <v>929</v>
      </c>
      <c r="F42" s="37" t="str">
        <f>IFERROR(VLOOKUP(A42,TblDisponibilidad[],23,FALSE),"No Manejado")</f>
        <v>No Manejado</v>
      </c>
    </row>
    <row r="43" spans="1:6" x14ac:dyDescent="0.3">
      <c r="A43" s="26" t="s">
        <v>424</v>
      </c>
      <c r="B43" s="27" t="s">
        <v>1877</v>
      </c>
      <c r="C43" s="27" t="s">
        <v>1160</v>
      </c>
      <c r="D43" s="27" t="s">
        <v>930</v>
      </c>
      <c r="E43" s="27" t="s">
        <v>929</v>
      </c>
      <c r="F43" s="37" t="str">
        <f>IFERROR(VLOOKUP(A43,TblDisponibilidad[],23,FALSE),"No Manejado")</f>
        <v>No Manejado</v>
      </c>
    </row>
    <row r="44" spans="1:6" x14ac:dyDescent="0.3">
      <c r="A44" s="26" t="s">
        <v>79</v>
      </c>
      <c r="B44" s="27" t="s">
        <v>1138</v>
      </c>
      <c r="C44" s="27" t="s">
        <v>1139</v>
      </c>
      <c r="D44" s="27" t="s">
        <v>935</v>
      </c>
      <c r="E44" s="27" t="s">
        <v>934</v>
      </c>
      <c r="F44" s="37" t="str">
        <f>IFERROR(VLOOKUP(A44,TblDisponibilidad[],23,FALSE),"No Manejado")</f>
        <v>No Manejado</v>
      </c>
    </row>
    <row r="45" spans="1:6" x14ac:dyDescent="0.3">
      <c r="A45" s="26" t="s">
        <v>80</v>
      </c>
      <c r="B45" s="27" t="s">
        <v>1150</v>
      </c>
      <c r="C45" s="27" t="s">
        <v>1151</v>
      </c>
      <c r="D45" s="27" t="s">
        <v>930</v>
      </c>
      <c r="E45" s="27" t="s">
        <v>929</v>
      </c>
      <c r="F45" s="37" t="str">
        <f>IFERROR(VLOOKUP(A45,TblDisponibilidad[],23,FALSE),"No Manejado")</f>
        <v>No Manejado</v>
      </c>
    </row>
    <row r="46" spans="1:6" x14ac:dyDescent="0.3">
      <c r="A46" s="26" t="s">
        <v>81</v>
      </c>
      <c r="B46" s="27" t="s">
        <v>1152</v>
      </c>
      <c r="C46" s="27" t="s">
        <v>928</v>
      </c>
      <c r="D46" s="27" t="s">
        <v>930</v>
      </c>
      <c r="E46" s="27" t="s">
        <v>929</v>
      </c>
      <c r="F46" s="37" t="str">
        <f>IFERROR(VLOOKUP(A46,TblDisponibilidad[],23,FALSE),"No Manejado")</f>
        <v>No Manejado</v>
      </c>
    </row>
    <row r="47" spans="1:6" x14ac:dyDescent="0.3">
      <c r="A47" s="26" t="s">
        <v>82</v>
      </c>
      <c r="B47" s="27" t="s">
        <v>1188</v>
      </c>
      <c r="C47" s="27" t="s">
        <v>1025</v>
      </c>
      <c r="D47" s="27" t="s">
        <v>1027</v>
      </c>
      <c r="E47" s="27" t="s">
        <v>976</v>
      </c>
      <c r="F47" s="37" t="str">
        <f>IFERROR(VLOOKUP(A47,TblDisponibilidad[],23,FALSE),"No Manejado")</f>
        <v>No Manejado</v>
      </c>
    </row>
    <row r="48" spans="1:6" x14ac:dyDescent="0.3">
      <c r="A48" s="26" t="s">
        <v>83</v>
      </c>
      <c r="B48" s="27" t="s">
        <v>1188</v>
      </c>
      <c r="C48" s="27" t="s">
        <v>1028</v>
      </c>
      <c r="D48" s="27" t="s">
        <v>930</v>
      </c>
      <c r="E48" s="27" t="s">
        <v>929</v>
      </c>
      <c r="F48" s="37" t="str">
        <f>IFERROR(VLOOKUP(A48,TblDisponibilidad[],23,FALSE),"No Manejado")</f>
        <v>No Manejado</v>
      </c>
    </row>
    <row r="49" spans="1:6" x14ac:dyDescent="0.3">
      <c r="A49" s="26" t="s">
        <v>84</v>
      </c>
      <c r="B49" s="27" t="s">
        <v>1189</v>
      </c>
      <c r="C49" s="27" t="s">
        <v>945</v>
      </c>
      <c r="D49" s="27" t="s">
        <v>930</v>
      </c>
      <c r="E49" s="27" t="s">
        <v>934</v>
      </c>
      <c r="F49" s="37" t="str">
        <f>IFERROR(VLOOKUP(A49,TblDisponibilidad[],23,FALSE),"No Manejado")</f>
        <v>No Manejado</v>
      </c>
    </row>
    <row r="50" spans="1:6" x14ac:dyDescent="0.3">
      <c r="A50" s="26" t="s">
        <v>85</v>
      </c>
      <c r="B50" s="27" t="s">
        <v>1190</v>
      </c>
      <c r="C50" s="27" t="s">
        <v>1028</v>
      </c>
      <c r="D50" s="27" t="s">
        <v>930</v>
      </c>
      <c r="E50" s="27" t="s">
        <v>934</v>
      </c>
      <c r="F50" s="37" t="str">
        <f>IFERROR(VLOOKUP(A50,TblDisponibilidad[],23,FALSE),"No Manejado")</f>
        <v>No Manejado</v>
      </c>
    </row>
    <row r="51" spans="1:6" x14ac:dyDescent="0.3">
      <c r="A51" s="26" t="s">
        <v>86</v>
      </c>
      <c r="B51" s="27" t="s">
        <v>1191</v>
      </c>
      <c r="C51" s="27" t="s">
        <v>945</v>
      </c>
      <c r="D51" s="27" t="s">
        <v>930</v>
      </c>
      <c r="E51" s="27" t="s">
        <v>934</v>
      </c>
      <c r="F51" s="37" t="str">
        <f>IFERROR(VLOOKUP(A51,TblDisponibilidad[],23,FALSE),"No Manejado")</f>
        <v>No Manejado</v>
      </c>
    </row>
    <row r="52" spans="1:6" x14ac:dyDescent="0.3">
      <c r="A52" s="26" t="s">
        <v>87</v>
      </c>
      <c r="B52" s="27" t="s">
        <v>1193</v>
      </c>
      <c r="C52" s="27" t="s">
        <v>945</v>
      </c>
      <c r="D52" s="27" t="s">
        <v>930</v>
      </c>
      <c r="E52" s="27" t="s">
        <v>934</v>
      </c>
      <c r="F52" s="37" t="str">
        <f>IFERROR(VLOOKUP(A52,TblDisponibilidad[],23,FALSE),"No Manejado")</f>
        <v>No Manejado</v>
      </c>
    </row>
    <row r="53" spans="1:6" x14ac:dyDescent="0.3">
      <c r="A53" s="26" t="s">
        <v>1878</v>
      </c>
      <c r="B53" s="27" t="s">
        <v>1194</v>
      </c>
      <c r="C53" s="27" t="s">
        <v>1025</v>
      </c>
      <c r="D53" s="27" t="s">
        <v>980</v>
      </c>
      <c r="E53" s="27" t="s">
        <v>976</v>
      </c>
      <c r="F53" s="37" t="str">
        <f>IFERROR(VLOOKUP(A53,TblDisponibilidad[],23,FALSE),"No Manejado")</f>
        <v>No Manejado</v>
      </c>
    </row>
    <row r="54" spans="1:6" x14ac:dyDescent="0.3">
      <c r="A54" s="26" t="s">
        <v>89</v>
      </c>
      <c r="B54" s="27" t="s">
        <v>1194</v>
      </c>
      <c r="C54" s="27" t="s">
        <v>1028</v>
      </c>
      <c r="D54" s="27" t="s">
        <v>930</v>
      </c>
      <c r="E54" s="27" t="s">
        <v>929</v>
      </c>
      <c r="F54" s="37" t="str">
        <f>IFERROR(VLOOKUP(A54,TblDisponibilidad[],23,FALSE),"No Manejado")</f>
        <v>No Manejado</v>
      </c>
    </row>
    <row r="55" spans="1:6" x14ac:dyDescent="0.3">
      <c r="A55" s="26" t="s">
        <v>90</v>
      </c>
      <c r="B55" s="27" t="s">
        <v>1201</v>
      </c>
      <c r="C55" s="27" t="s">
        <v>1202</v>
      </c>
      <c r="D55" s="27" t="s">
        <v>930</v>
      </c>
      <c r="E55" s="27" t="s">
        <v>934</v>
      </c>
      <c r="F55" s="37" t="str">
        <f>IFERROR(VLOOKUP(A55,TblDisponibilidad[],23,FALSE),"No Manejado")</f>
        <v>No Manejado</v>
      </c>
    </row>
    <row r="56" spans="1:6" x14ac:dyDescent="0.3">
      <c r="A56" s="26" t="s">
        <v>93</v>
      </c>
      <c r="B56" s="27" t="s">
        <v>1203</v>
      </c>
      <c r="C56" s="27" t="s">
        <v>1028</v>
      </c>
      <c r="D56" s="27" t="s">
        <v>930</v>
      </c>
      <c r="E56" s="27" t="s">
        <v>929</v>
      </c>
      <c r="F56" s="37" t="str">
        <f>IFERROR(VLOOKUP(A56,TblDisponibilidad[],23,FALSE),"No Manejado")</f>
        <v>No Manejado</v>
      </c>
    </row>
    <row r="57" spans="1:6" x14ac:dyDescent="0.3">
      <c r="A57" s="26" t="s">
        <v>92</v>
      </c>
      <c r="B57" s="27" t="s">
        <v>1204</v>
      </c>
      <c r="C57" s="27" t="s">
        <v>1205</v>
      </c>
      <c r="D57" s="27" t="s">
        <v>1065</v>
      </c>
      <c r="E57" s="27" t="s">
        <v>950</v>
      </c>
      <c r="F57" s="37" t="str">
        <f>IFERROR(VLOOKUP(A57,TblDisponibilidad[],23,FALSE),"No Manejado")</f>
        <v>No Manejado</v>
      </c>
    </row>
    <row r="58" spans="1:6" x14ac:dyDescent="0.3">
      <c r="A58" s="26" t="s">
        <v>91</v>
      </c>
      <c r="B58" s="27" t="s">
        <v>1206</v>
      </c>
      <c r="C58" s="27" t="s">
        <v>928</v>
      </c>
      <c r="D58" s="27" t="s">
        <v>1208</v>
      </c>
      <c r="E58" s="27" t="s">
        <v>934</v>
      </c>
      <c r="F58" s="37" t="str">
        <f>IFERROR(VLOOKUP(A58,TblDisponibilidad[],23,FALSE),"No Manejado")</f>
        <v>No Manejado</v>
      </c>
    </row>
    <row r="59" spans="1:6" x14ac:dyDescent="0.3">
      <c r="A59" s="26" t="s">
        <v>694</v>
      </c>
      <c r="B59" s="27" t="s">
        <v>1211</v>
      </c>
      <c r="C59" s="27" t="s">
        <v>1028</v>
      </c>
      <c r="D59" s="27" t="s">
        <v>930</v>
      </c>
      <c r="E59" s="27" t="s">
        <v>929</v>
      </c>
      <c r="F59" s="37" t="str">
        <f>IFERROR(VLOOKUP(A59,TblDisponibilidad[],23,FALSE),"No Manejado")</f>
        <v>No Manejado</v>
      </c>
    </row>
    <row r="60" spans="1:6" x14ac:dyDescent="0.3">
      <c r="A60" s="26" t="s">
        <v>95</v>
      </c>
      <c r="B60" s="27" t="s">
        <v>1212</v>
      </c>
      <c r="C60" s="27" t="s">
        <v>1213</v>
      </c>
      <c r="D60" s="27" t="s">
        <v>930</v>
      </c>
      <c r="E60" s="27" t="s">
        <v>929</v>
      </c>
      <c r="F60" s="37" t="str">
        <f>IFERROR(VLOOKUP(A60,TblDisponibilidad[],23,FALSE),"No Manejado")</f>
        <v>No Manejado</v>
      </c>
    </row>
    <row r="61" spans="1:6" x14ac:dyDescent="0.3">
      <c r="A61" s="26" t="s">
        <v>94</v>
      </c>
      <c r="B61" s="27" t="s">
        <v>1214</v>
      </c>
      <c r="C61" s="27" t="s">
        <v>1215</v>
      </c>
      <c r="D61" s="27" t="s">
        <v>1133</v>
      </c>
      <c r="E61" s="27" t="s">
        <v>934</v>
      </c>
      <c r="F61" s="37" t="str">
        <f>IFERROR(VLOOKUP(A61,TblDisponibilidad[],23,FALSE),"No Manejado")</f>
        <v>No Manejado</v>
      </c>
    </row>
    <row r="62" spans="1:6" x14ac:dyDescent="0.3">
      <c r="A62" s="26" t="s">
        <v>96</v>
      </c>
      <c r="B62" s="27" t="s">
        <v>1218</v>
      </c>
      <c r="C62" s="27" t="s">
        <v>1868</v>
      </c>
      <c r="D62" s="27" t="s">
        <v>930</v>
      </c>
      <c r="E62" s="27" t="s">
        <v>929</v>
      </c>
      <c r="F62" s="37" t="str">
        <f>IFERROR(VLOOKUP(A62,TblDisponibilidad[],23,FALSE),"No Manejado")</f>
        <v>No Manejado</v>
      </c>
    </row>
    <row r="63" spans="1:6" x14ac:dyDescent="0.3">
      <c r="A63" s="26" t="s">
        <v>695</v>
      </c>
      <c r="B63" s="27" t="s">
        <v>1879</v>
      </c>
      <c r="C63" s="27" t="s">
        <v>945</v>
      </c>
      <c r="D63" s="27" t="s">
        <v>930</v>
      </c>
      <c r="E63" s="27" t="s">
        <v>934</v>
      </c>
      <c r="F63" s="37" t="str">
        <f>IFERROR(VLOOKUP(A63,TblDisponibilidad[],23,FALSE),"No Manejado")</f>
        <v>No Manejado</v>
      </c>
    </row>
    <row r="64" spans="1:6" x14ac:dyDescent="0.3">
      <c r="A64" s="26" t="s">
        <v>99</v>
      </c>
      <c r="B64" s="27" t="s">
        <v>1219</v>
      </c>
      <c r="C64" s="27" t="s">
        <v>1123</v>
      </c>
      <c r="D64" s="27" t="s">
        <v>1004</v>
      </c>
      <c r="E64" s="27" t="s">
        <v>934</v>
      </c>
      <c r="F64" s="37" t="str">
        <f>IFERROR(VLOOKUP(A64,TblDisponibilidad[],23,FALSE),"No Manejado")</f>
        <v>No Manejado</v>
      </c>
    </row>
    <row r="65" spans="1:6" x14ac:dyDescent="0.3">
      <c r="A65" s="26" t="s">
        <v>100</v>
      </c>
      <c r="B65" s="27" t="s">
        <v>1219</v>
      </c>
      <c r="C65" s="27" t="s">
        <v>1220</v>
      </c>
      <c r="D65" s="27" t="s">
        <v>1026</v>
      </c>
      <c r="E65" s="27" t="s">
        <v>1221</v>
      </c>
      <c r="F65" s="37" t="str">
        <f>IFERROR(VLOOKUP(A65,TblDisponibilidad[],23,FALSE),"No Manejado")</f>
        <v>No Manejado</v>
      </c>
    </row>
    <row r="66" spans="1:6" x14ac:dyDescent="0.3">
      <c r="A66" s="26" t="s">
        <v>101</v>
      </c>
      <c r="B66" s="27" t="s">
        <v>1219</v>
      </c>
      <c r="C66" s="27" t="s">
        <v>1126</v>
      </c>
      <c r="D66" s="27" t="s">
        <v>930</v>
      </c>
      <c r="E66" s="27" t="s">
        <v>929</v>
      </c>
      <c r="F66" s="37" t="str">
        <f>IFERROR(VLOOKUP(A66,TblDisponibilidad[],23,FALSE),"No Manejado")</f>
        <v>No Manejado</v>
      </c>
    </row>
    <row r="67" spans="1:6" x14ac:dyDescent="0.3">
      <c r="A67" s="26" t="s">
        <v>103</v>
      </c>
      <c r="B67" s="27" t="s">
        <v>1226</v>
      </c>
      <c r="C67" s="27" t="s">
        <v>1012</v>
      </c>
      <c r="D67" s="27" t="s">
        <v>935</v>
      </c>
      <c r="E67" s="27" t="s">
        <v>934</v>
      </c>
      <c r="F67" s="37" t="str">
        <f>IFERROR(VLOOKUP(A67,TblDisponibilidad[],23,FALSE),"No Manejado")</f>
        <v>No Manejado</v>
      </c>
    </row>
    <row r="68" spans="1:6" x14ac:dyDescent="0.3">
      <c r="A68" s="26" t="s">
        <v>105</v>
      </c>
      <c r="B68" s="27" t="s">
        <v>1227</v>
      </c>
      <c r="C68" s="27" t="s">
        <v>1228</v>
      </c>
      <c r="D68" s="27" t="s">
        <v>1088</v>
      </c>
      <c r="E68" s="27" t="s">
        <v>1087</v>
      </c>
      <c r="F68" s="37" t="str">
        <f>IFERROR(VLOOKUP(A68,TblDisponibilidad[],23,FALSE),"No Manejado")</f>
        <v>No Manejado</v>
      </c>
    </row>
    <row r="69" spans="1:6" x14ac:dyDescent="0.3">
      <c r="A69" s="26" t="s">
        <v>107</v>
      </c>
      <c r="B69" s="27" t="s">
        <v>1227</v>
      </c>
      <c r="C69" s="27" t="s">
        <v>1028</v>
      </c>
      <c r="D69" s="27" t="s">
        <v>930</v>
      </c>
      <c r="E69" s="27" t="s">
        <v>1230</v>
      </c>
      <c r="F69" s="37" t="str">
        <f>IFERROR(VLOOKUP(A69,TblDisponibilidad[],23,FALSE),"No Manejado")</f>
        <v>No Manejado</v>
      </c>
    </row>
    <row r="70" spans="1:6" x14ac:dyDescent="0.3">
      <c r="A70" s="26" t="s">
        <v>110</v>
      </c>
      <c r="B70" s="27" t="s">
        <v>1244</v>
      </c>
      <c r="C70" s="27" t="s">
        <v>1868</v>
      </c>
      <c r="D70" s="27" t="s">
        <v>930</v>
      </c>
      <c r="E70" s="27" t="s">
        <v>929</v>
      </c>
      <c r="F70" s="37" t="str">
        <f>IFERROR(VLOOKUP(A70,TblDisponibilidad[],23,FALSE),"No Manejado")</f>
        <v>No Manejado</v>
      </c>
    </row>
    <row r="71" spans="1:6" x14ac:dyDescent="0.3">
      <c r="A71" s="26" t="s">
        <v>1880</v>
      </c>
      <c r="B71" s="27" t="s">
        <v>1244</v>
      </c>
      <c r="C71" s="27" t="s">
        <v>1126</v>
      </c>
      <c r="D71" s="27" t="s">
        <v>930</v>
      </c>
      <c r="E71" s="27" t="s">
        <v>929</v>
      </c>
      <c r="F71" s="37" t="str">
        <f>IFERROR(VLOOKUP(A71,TblDisponibilidad[],23,FALSE),"No Manejado")</f>
        <v>No Manejado</v>
      </c>
    </row>
    <row r="72" spans="1:6" x14ac:dyDescent="0.3">
      <c r="A72" s="26" t="s">
        <v>109</v>
      </c>
      <c r="B72" s="27" t="s">
        <v>1245</v>
      </c>
      <c r="C72" s="27" t="s">
        <v>1246</v>
      </c>
      <c r="D72" s="27" t="s">
        <v>954</v>
      </c>
      <c r="E72" s="27" t="s">
        <v>934</v>
      </c>
      <c r="F72" s="37" t="str">
        <f>IFERROR(VLOOKUP(A72,TblDisponibilidad[],23,FALSE),"No Manejado")</f>
        <v>No Manejado</v>
      </c>
    </row>
    <row r="73" spans="1:6" x14ac:dyDescent="0.3">
      <c r="A73" s="26" t="s">
        <v>616</v>
      </c>
      <c r="B73" s="27" t="s">
        <v>1250</v>
      </c>
      <c r="C73" s="27" t="s">
        <v>1251</v>
      </c>
      <c r="D73" s="27" t="s">
        <v>1026</v>
      </c>
      <c r="E73" s="27" t="s">
        <v>1221</v>
      </c>
      <c r="F73" s="37" t="str">
        <f>IFERROR(VLOOKUP(A73,TblDisponibilidad[],23,FALSE),"No Manejado")</f>
        <v>No Manejado</v>
      </c>
    </row>
    <row r="74" spans="1:6" x14ac:dyDescent="0.3">
      <c r="A74" s="26" t="s">
        <v>165</v>
      </c>
      <c r="B74" s="27" t="s">
        <v>1252</v>
      </c>
      <c r="C74" s="27" t="s">
        <v>1253</v>
      </c>
      <c r="D74" s="27" t="s">
        <v>962</v>
      </c>
      <c r="E74" s="27" t="s">
        <v>934</v>
      </c>
      <c r="F74" s="37" t="str">
        <f>IFERROR(VLOOKUP(A74,TblDisponibilidad[],23,FALSE),"No Manejado")</f>
        <v>No Manejado</v>
      </c>
    </row>
    <row r="75" spans="1:6" x14ac:dyDescent="0.3">
      <c r="A75" s="26" t="s">
        <v>166</v>
      </c>
      <c r="B75" s="27" t="s">
        <v>1252</v>
      </c>
      <c r="C75" s="27" t="s">
        <v>1254</v>
      </c>
      <c r="D75" s="27" t="s">
        <v>977</v>
      </c>
      <c r="E75" s="27" t="s">
        <v>934</v>
      </c>
      <c r="F75" s="37" t="str">
        <f>IFERROR(VLOOKUP(A75,TblDisponibilidad[],23,FALSE),"No Manejado")</f>
        <v>No Manejado</v>
      </c>
    </row>
    <row r="76" spans="1:6" x14ac:dyDescent="0.3">
      <c r="A76" s="26" t="s">
        <v>167</v>
      </c>
      <c r="B76" s="27" t="s">
        <v>1252</v>
      </c>
      <c r="C76" s="27" t="s">
        <v>1255</v>
      </c>
      <c r="D76" s="27" t="s">
        <v>1208</v>
      </c>
      <c r="E76" s="27" t="s">
        <v>934</v>
      </c>
      <c r="F76" s="37" t="str">
        <f>IFERROR(VLOOKUP(A76,TblDisponibilidad[],23,FALSE),"No Manejado")</f>
        <v>No Manejado</v>
      </c>
    </row>
    <row r="77" spans="1:6" x14ac:dyDescent="0.3">
      <c r="A77" s="26" t="s">
        <v>168</v>
      </c>
      <c r="B77" s="27" t="s">
        <v>1252</v>
      </c>
      <c r="C77" s="27" t="s">
        <v>1255</v>
      </c>
      <c r="D77" s="27" t="s">
        <v>962</v>
      </c>
      <c r="E77" s="27" t="s">
        <v>934</v>
      </c>
      <c r="F77" s="37" t="str">
        <f>IFERROR(VLOOKUP(A77,TblDisponibilidad[],23,FALSE),"No Manejado")</f>
        <v>No Manejado</v>
      </c>
    </row>
    <row r="78" spans="1:6" x14ac:dyDescent="0.3">
      <c r="A78" s="26" t="s">
        <v>169</v>
      </c>
      <c r="B78" s="27" t="s">
        <v>1252</v>
      </c>
      <c r="C78" s="27" t="s">
        <v>1256</v>
      </c>
      <c r="D78" s="27" t="s">
        <v>962</v>
      </c>
      <c r="E78" s="27" t="s">
        <v>934</v>
      </c>
      <c r="F78" s="37" t="str">
        <f>IFERROR(VLOOKUP(A78,TblDisponibilidad[],23,FALSE),"No Manejado")</f>
        <v>No Manejado</v>
      </c>
    </row>
    <row r="79" spans="1:6" x14ac:dyDescent="0.3">
      <c r="A79" s="26" t="s">
        <v>111</v>
      </c>
      <c r="B79" s="27" t="s">
        <v>1257</v>
      </c>
      <c r="C79" s="27" t="s">
        <v>1258</v>
      </c>
      <c r="D79" s="27" t="s">
        <v>954</v>
      </c>
      <c r="E79" s="27" t="s">
        <v>934</v>
      </c>
      <c r="F79" s="37" t="str">
        <f>IFERROR(VLOOKUP(A79,TblDisponibilidad[],23,FALSE),"No Manejado")</f>
        <v>No Manejado</v>
      </c>
    </row>
    <row r="80" spans="1:6" x14ac:dyDescent="0.3">
      <c r="A80" s="26" t="s">
        <v>112</v>
      </c>
      <c r="B80" s="27" t="s">
        <v>1257</v>
      </c>
      <c r="C80" s="27" t="s">
        <v>1022</v>
      </c>
      <c r="D80" s="27" t="s">
        <v>930</v>
      </c>
      <c r="E80" s="27" t="s">
        <v>929</v>
      </c>
      <c r="F80" s="37" t="str">
        <f>IFERROR(VLOOKUP(A80,TblDisponibilidad[],23,FALSE),"No Manejado")</f>
        <v>No Manejado</v>
      </c>
    </row>
    <row r="81" spans="1:6" x14ac:dyDescent="0.3">
      <c r="A81" s="26" t="s">
        <v>113</v>
      </c>
      <c r="B81" s="27" t="s">
        <v>1259</v>
      </c>
      <c r="C81" s="27" t="s">
        <v>1018</v>
      </c>
      <c r="D81" s="27" t="s">
        <v>1020</v>
      </c>
      <c r="E81" s="27" t="s">
        <v>934</v>
      </c>
      <c r="F81" s="37" t="str">
        <f>IFERROR(VLOOKUP(A81,TblDisponibilidad[],23,FALSE),"No Manejado")</f>
        <v>No Manejado</v>
      </c>
    </row>
    <row r="82" spans="1:6" x14ac:dyDescent="0.3">
      <c r="A82" s="26" t="s">
        <v>115</v>
      </c>
      <c r="B82" s="27" t="s">
        <v>1260</v>
      </c>
      <c r="C82" s="27" t="s">
        <v>1025</v>
      </c>
      <c r="D82" s="27" t="s">
        <v>1027</v>
      </c>
      <c r="E82" s="27" t="s">
        <v>976</v>
      </c>
      <c r="F82" s="37" t="str">
        <f>IFERROR(VLOOKUP(A82,TblDisponibilidad[],23,FALSE),"No Manejado")</f>
        <v>No Manejado</v>
      </c>
    </row>
    <row r="83" spans="1:6" x14ac:dyDescent="0.3">
      <c r="A83" s="26" t="s">
        <v>116</v>
      </c>
      <c r="B83" s="27" t="s">
        <v>1260</v>
      </c>
      <c r="C83" s="27" t="s">
        <v>1028</v>
      </c>
      <c r="D83" s="27" t="s">
        <v>930</v>
      </c>
      <c r="E83" s="27" t="s">
        <v>929</v>
      </c>
      <c r="F83" s="37" t="str">
        <f>IFERROR(VLOOKUP(A83,TblDisponibilidad[],23,FALSE),"No Manejado")</f>
        <v>No Manejado</v>
      </c>
    </row>
    <row r="84" spans="1:6" x14ac:dyDescent="0.3">
      <c r="A84" s="26" t="s">
        <v>117</v>
      </c>
      <c r="B84" s="27" t="s">
        <v>1261</v>
      </c>
      <c r="C84" s="27" t="s">
        <v>1881</v>
      </c>
      <c r="D84" s="27" t="s">
        <v>930</v>
      </c>
      <c r="E84" s="27" t="s">
        <v>929</v>
      </c>
      <c r="F84" s="37" t="str">
        <f>IFERROR(VLOOKUP(A84,TblDisponibilidad[],23,FALSE),"No Manejado")</f>
        <v>No Manejado</v>
      </c>
    </row>
    <row r="85" spans="1:6" x14ac:dyDescent="0.3">
      <c r="A85" s="26" t="s">
        <v>118</v>
      </c>
      <c r="B85" s="27" t="s">
        <v>1263</v>
      </c>
      <c r="C85" s="27" t="s">
        <v>1009</v>
      </c>
      <c r="D85" s="27" t="s">
        <v>1065</v>
      </c>
      <c r="E85" s="27" t="s">
        <v>934</v>
      </c>
      <c r="F85" s="37" t="str">
        <f>IFERROR(VLOOKUP(A85,TblDisponibilidad[],23,FALSE),"No Manejado")</f>
        <v>No Manejado</v>
      </c>
    </row>
    <row r="86" spans="1:6" x14ac:dyDescent="0.3">
      <c r="A86" s="26" t="s">
        <v>119</v>
      </c>
      <c r="B86" s="27" t="s">
        <v>1263</v>
      </c>
      <c r="C86" s="27" t="s">
        <v>1009</v>
      </c>
      <c r="D86" s="27" t="s">
        <v>930</v>
      </c>
      <c r="E86" s="27" t="s">
        <v>929</v>
      </c>
      <c r="F86" s="37" t="str">
        <f>IFERROR(VLOOKUP(A86,TblDisponibilidad[],23,FALSE),"No Manejado")</f>
        <v>No Manejado</v>
      </c>
    </row>
    <row r="87" spans="1:6" x14ac:dyDescent="0.3">
      <c r="A87" s="26" t="s">
        <v>121</v>
      </c>
      <c r="B87" s="27" t="s">
        <v>1882</v>
      </c>
      <c r="C87" s="27" t="s">
        <v>1023</v>
      </c>
      <c r="D87" s="27" t="s">
        <v>930</v>
      </c>
      <c r="E87" s="27" t="s">
        <v>929</v>
      </c>
      <c r="F87" s="37" t="str">
        <f>IFERROR(VLOOKUP(A87,TblDisponibilidad[],23,FALSE),"No Manejado")</f>
        <v>No Manejado</v>
      </c>
    </row>
    <row r="88" spans="1:6" x14ac:dyDescent="0.3">
      <c r="A88" s="26" t="s">
        <v>122</v>
      </c>
      <c r="B88" s="27" t="s">
        <v>1268</v>
      </c>
      <c r="C88" s="27" t="s">
        <v>1269</v>
      </c>
      <c r="D88" s="27" t="s">
        <v>977</v>
      </c>
      <c r="E88" s="27" t="s">
        <v>934</v>
      </c>
      <c r="F88" s="37" t="str">
        <f>IFERROR(VLOOKUP(A88,TblDisponibilidad[],23,FALSE),"No Manejado")</f>
        <v>No Manejado</v>
      </c>
    </row>
    <row r="89" spans="1:6" x14ac:dyDescent="0.3">
      <c r="A89" s="26" t="s">
        <v>123</v>
      </c>
      <c r="B89" s="27" t="s">
        <v>1273</v>
      </c>
      <c r="C89" s="27" t="s">
        <v>1274</v>
      </c>
      <c r="D89" s="27" t="s">
        <v>1065</v>
      </c>
      <c r="E89" s="27" t="s">
        <v>934</v>
      </c>
      <c r="F89" s="37" t="str">
        <f>IFERROR(VLOOKUP(A89,TblDisponibilidad[],23,FALSE),"No Manejado")</f>
        <v>No Manejado</v>
      </c>
    </row>
    <row r="90" spans="1:6" x14ac:dyDescent="0.3">
      <c r="A90" s="26" t="s">
        <v>124</v>
      </c>
      <c r="B90" s="27" t="s">
        <v>1883</v>
      </c>
      <c r="C90" s="27" t="s">
        <v>938</v>
      </c>
      <c r="D90" s="27" t="s">
        <v>930</v>
      </c>
      <c r="E90" s="27" t="s">
        <v>929</v>
      </c>
      <c r="F90" s="37" t="str">
        <f>IFERROR(VLOOKUP(A90,TblDisponibilidad[],23,FALSE),"No Manejado")</f>
        <v>No Manejado</v>
      </c>
    </row>
    <row r="91" spans="1:6" x14ac:dyDescent="0.3">
      <c r="A91" s="26" t="s">
        <v>125</v>
      </c>
      <c r="B91" s="27" t="s">
        <v>1284</v>
      </c>
      <c r="C91" s="27" t="s">
        <v>1022</v>
      </c>
      <c r="D91" s="27" t="s">
        <v>930</v>
      </c>
      <c r="E91" s="27" t="s">
        <v>929</v>
      </c>
      <c r="F91" s="37" t="str">
        <f>IFERROR(VLOOKUP(A91,TblDisponibilidad[],23,FALSE),"No Manejado")</f>
        <v>No Manejado</v>
      </c>
    </row>
    <row r="92" spans="1:6" x14ac:dyDescent="0.3">
      <c r="A92" s="26" t="s">
        <v>126</v>
      </c>
      <c r="B92" s="27" t="s">
        <v>1284</v>
      </c>
      <c r="C92" s="27" t="s">
        <v>1056</v>
      </c>
      <c r="D92" s="27" t="s">
        <v>930</v>
      </c>
      <c r="E92" s="27" t="s">
        <v>929</v>
      </c>
      <c r="F92" s="37" t="str">
        <f>IFERROR(VLOOKUP(A92,TblDisponibilidad[],23,FALSE),"No Manejado")</f>
        <v>No Manejado</v>
      </c>
    </row>
    <row r="93" spans="1:6" x14ac:dyDescent="0.3">
      <c r="A93" s="26" t="s">
        <v>127</v>
      </c>
      <c r="B93" s="27" t="s">
        <v>1285</v>
      </c>
      <c r="C93" s="27" t="s">
        <v>1286</v>
      </c>
      <c r="D93" s="27" t="s">
        <v>1287</v>
      </c>
      <c r="E93" s="27" t="s">
        <v>934</v>
      </c>
      <c r="F93" s="37" t="str">
        <f>IFERROR(VLOOKUP(A93,TblDisponibilidad[],23,FALSE),"No Manejado")</f>
        <v>No Manejado</v>
      </c>
    </row>
    <row r="94" spans="1:6" x14ac:dyDescent="0.3">
      <c r="A94" s="26" t="s">
        <v>128</v>
      </c>
      <c r="B94" s="27" t="s">
        <v>1285</v>
      </c>
      <c r="C94" s="27" t="s">
        <v>1288</v>
      </c>
      <c r="D94" s="27" t="s">
        <v>1289</v>
      </c>
      <c r="E94" s="27" t="s">
        <v>934</v>
      </c>
      <c r="F94" s="37" t="str">
        <f>IFERROR(VLOOKUP(A94,TblDisponibilidad[],23,FALSE),"No Manejado")</f>
        <v>No Manejado</v>
      </c>
    </row>
    <row r="95" spans="1:6" x14ac:dyDescent="0.3">
      <c r="A95" s="26" t="s">
        <v>129</v>
      </c>
      <c r="B95" s="27" t="s">
        <v>1291</v>
      </c>
      <c r="C95" s="27" t="s">
        <v>1061</v>
      </c>
      <c r="D95" s="27" t="s">
        <v>1004</v>
      </c>
      <c r="E95" s="27" t="s">
        <v>934</v>
      </c>
      <c r="F95" s="37" t="str">
        <f>IFERROR(VLOOKUP(A95,TblDisponibilidad[],23,FALSE),"No Manejado")</f>
        <v>No Manejado</v>
      </c>
    </row>
    <row r="96" spans="1:6" x14ac:dyDescent="0.3">
      <c r="A96" s="26" t="s">
        <v>131</v>
      </c>
      <c r="B96" s="27" t="s">
        <v>1300</v>
      </c>
      <c r="C96" s="27" t="s">
        <v>1884</v>
      </c>
      <c r="D96" s="27" t="s">
        <v>1004</v>
      </c>
      <c r="E96" s="27" t="s">
        <v>934</v>
      </c>
      <c r="F96" s="37" t="str">
        <f>IFERROR(VLOOKUP(A96,TblDisponibilidad[],23,FALSE),"No Manejado")</f>
        <v>No Manejado</v>
      </c>
    </row>
    <row r="97" spans="1:6" x14ac:dyDescent="0.3">
      <c r="A97" s="26" t="s">
        <v>846</v>
      </c>
      <c r="B97" s="27" t="s">
        <v>1885</v>
      </c>
      <c r="C97" s="27" t="s">
        <v>1025</v>
      </c>
      <c r="D97" s="27" t="s">
        <v>1027</v>
      </c>
      <c r="E97" s="27" t="s">
        <v>976</v>
      </c>
      <c r="F97" s="37" t="str">
        <f>IFERROR(VLOOKUP(A97,TblDisponibilidad[],23,FALSE),"No Manejado")</f>
        <v>No Manejado</v>
      </c>
    </row>
    <row r="98" spans="1:6" x14ac:dyDescent="0.3">
      <c r="A98" s="26" t="s">
        <v>132</v>
      </c>
      <c r="B98" s="27" t="s">
        <v>1885</v>
      </c>
      <c r="C98" s="27" t="s">
        <v>1028</v>
      </c>
      <c r="D98" s="27" t="s">
        <v>930</v>
      </c>
      <c r="E98" s="27" t="s">
        <v>929</v>
      </c>
      <c r="F98" s="37" t="str">
        <f>IFERROR(VLOOKUP(A98,TblDisponibilidad[],23,FALSE),"No Manejado")</f>
        <v>No Manejado</v>
      </c>
    </row>
    <row r="99" spans="1:6" x14ac:dyDescent="0.3">
      <c r="A99" s="26" t="s">
        <v>133</v>
      </c>
      <c r="B99" s="27" t="s">
        <v>1304</v>
      </c>
      <c r="C99" s="27" t="s">
        <v>1137</v>
      </c>
      <c r="D99" s="27" t="s">
        <v>1004</v>
      </c>
      <c r="E99" s="27" t="s">
        <v>934</v>
      </c>
      <c r="F99" s="37" t="str">
        <f>IFERROR(VLOOKUP(A99,TblDisponibilidad[],23,FALSE),"No Manejado")</f>
        <v>No Manejado</v>
      </c>
    </row>
    <row r="100" spans="1:6" x14ac:dyDescent="0.3">
      <c r="A100" s="26" t="s">
        <v>134</v>
      </c>
      <c r="B100" s="27" t="s">
        <v>1304</v>
      </c>
      <c r="C100" s="27" t="s">
        <v>1022</v>
      </c>
      <c r="D100" s="27" t="s">
        <v>930</v>
      </c>
      <c r="E100" s="27" t="s">
        <v>929</v>
      </c>
      <c r="F100" s="37" t="str">
        <f>IFERROR(VLOOKUP(A100,TblDisponibilidad[],23,FALSE),"No Manejado")</f>
        <v>No Manejado</v>
      </c>
    </row>
    <row r="101" spans="1:6" x14ac:dyDescent="0.3">
      <c r="A101" s="26" t="s">
        <v>137</v>
      </c>
      <c r="B101" s="27" t="s">
        <v>1886</v>
      </c>
      <c r="C101" s="27" t="s">
        <v>1316</v>
      </c>
      <c r="D101" s="27" t="s">
        <v>1317</v>
      </c>
      <c r="E101" s="27" t="s">
        <v>1087</v>
      </c>
      <c r="F101" s="37" t="str">
        <f>IFERROR(VLOOKUP(A101,TblDisponibilidad[],23,FALSE),"No Manejado")</f>
        <v>No Manejado</v>
      </c>
    </row>
    <row r="102" spans="1:6" x14ac:dyDescent="0.3">
      <c r="A102" s="26" t="s">
        <v>139</v>
      </c>
      <c r="B102" s="27" t="s">
        <v>1320</v>
      </c>
      <c r="C102" s="27" t="s">
        <v>1123</v>
      </c>
      <c r="D102" s="27" t="s">
        <v>1004</v>
      </c>
      <c r="E102" s="27" t="s">
        <v>934</v>
      </c>
      <c r="F102" s="37" t="str">
        <f>IFERROR(VLOOKUP(A102,TblDisponibilidad[],23,FALSE),"No Manejado")</f>
        <v>No Manejado</v>
      </c>
    </row>
    <row r="103" spans="1:6" x14ac:dyDescent="0.3">
      <c r="A103" s="26" t="s">
        <v>142</v>
      </c>
      <c r="B103" s="27" t="s">
        <v>1333</v>
      </c>
      <c r="C103" s="27" t="s">
        <v>938</v>
      </c>
      <c r="D103" s="27" t="s">
        <v>954</v>
      </c>
      <c r="E103" s="27" t="s">
        <v>934</v>
      </c>
      <c r="F103" s="37" t="str">
        <f>IFERROR(VLOOKUP(A103,TblDisponibilidad[],23,FALSE),"No Manejado")</f>
        <v>No Manejado</v>
      </c>
    </row>
    <row r="104" spans="1:6" x14ac:dyDescent="0.3">
      <c r="A104" s="26" t="s">
        <v>633</v>
      </c>
      <c r="B104" s="27" t="s">
        <v>1333</v>
      </c>
      <c r="C104" s="27" t="s">
        <v>938</v>
      </c>
      <c r="D104" s="27" t="s">
        <v>930</v>
      </c>
      <c r="E104" s="27" t="s">
        <v>929</v>
      </c>
      <c r="F104" s="37" t="str">
        <f>IFERROR(VLOOKUP(A104,TblDisponibilidad[],23,FALSE),"No Manejado")</f>
        <v>No Manejado</v>
      </c>
    </row>
    <row r="105" spans="1:6" x14ac:dyDescent="0.3">
      <c r="A105" s="26" t="s">
        <v>145</v>
      </c>
      <c r="B105" s="27" t="s">
        <v>1887</v>
      </c>
      <c r="C105" s="27" t="s">
        <v>938</v>
      </c>
      <c r="D105" s="27" t="s">
        <v>930</v>
      </c>
      <c r="E105" s="27" t="s">
        <v>929</v>
      </c>
      <c r="F105" s="37" t="str">
        <f>IFERROR(VLOOKUP(A105,TblDisponibilidad[],23,FALSE),"No Manejado")</f>
        <v>No Manejado</v>
      </c>
    </row>
    <row r="106" spans="1:6" x14ac:dyDescent="0.3">
      <c r="A106" s="26" t="s">
        <v>144</v>
      </c>
      <c r="B106" s="27" t="s">
        <v>1337</v>
      </c>
      <c r="C106" s="27" t="s">
        <v>1338</v>
      </c>
      <c r="D106" s="27" t="s">
        <v>954</v>
      </c>
      <c r="E106" s="27" t="s">
        <v>934</v>
      </c>
      <c r="F106" s="37" t="str">
        <f>IFERROR(VLOOKUP(A106,TblDisponibilidad[],23,FALSE),"No Manejado")</f>
        <v>No Manejado</v>
      </c>
    </row>
    <row r="107" spans="1:6" x14ac:dyDescent="0.3">
      <c r="A107" s="26" t="s">
        <v>146</v>
      </c>
      <c r="B107" s="27" t="s">
        <v>1339</v>
      </c>
      <c r="C107" s="27" t="s">
        <v>1888</v>
      </c>
      <c r="D107" s="27" t="s">
        <v>935</v>
      </c>
      <c r="E107" s="27" t="s">
        <v>934</v>
      </c>
      <c r="F107" s="37" t="str">
        <f>IFERROR(VLOOKUP(A107,TblDisponibilidad[],23,FALSE),"No Manejado")</f>
        <v>No Manejado</v>
      </c>
    </row>
    <row r="108" spans="1:6" x14ac:dyDescent="0.3">
      <c r="A108" s="26" t="s">
        <v>150</v>
      </c>
      <c r="B108" s="27" t="s">
        <v>1341</v>
      </c>
      <c r="C108" s="27" t="s">
        <v>1889</v>
      </c>
      <c r="D108" s="27" t="s">
        <v>930</v>
      </c>
      <c r="E108" s="27" t="s">
        <v>929</v>
      </c>
      <c r="F108" s="37" t="str">
        <f>IFERROR(VLOOKUP(A108,TblDisponibilidad[],23,FALSE),"No Manejado")</f>
        <v>No Manejado</v>
      </c>
    </row>
    <row r="109" spans="1:6" x14ac:dyDescent="0.3">
      <c r="A109" s="26" t="s">
        <v>151</v>
      </c>
      <c r="B109" s="27" t="s">
        <v>1348</v>
      </c>
      <c r="C109" s="27" t="s">
        <v>1123</v>
      </c>
      <c r="D109" s="27" t="s">
        <v>1004</v>
      </c>
      <c r="E109" s="27" t="s">
        <v>934</v>
      </c>
      <c r="F109" s="37" t="str">
        <f>IFERROR(VLOOKUP(A109,TblDisponibilidad[],23,FALSE),"No Manejado")</f>
        <v>No Manejado</v>
      </c>
    </row>
    <row r="110" spans="1:6" x14ac:dyDescent="0.3">
      <c r="A110" s="26" t="s">
        <v>1352</v>
      </c>
      <c r="B110" s="27" t="s">
        <v>1349</v>
      </c>
      <c r="C110" s="27" t="s">
        <v>1351</v>
      </c>
      <c r="D110" s="27" t="s">
        <v>980</v>
      </c>
      <c r="E110" s="27" t="s">
        <v>934</v>
      </c>
      <c r="F110" s="37" t="str">
        <f>IFERROR(VLOOKUP(A110,TblDisponibilidad[],23,FALSE),"No Manejado")</f>
        <v>No Manejado</v>
      </c>
    </row>
    <row r="111" spans="1:6" x14ac:dyDescent="0.3">
      <c r="A111" s="26" t="s">
        <v>153</v>
      </c>
      <c r="B111" s="27" t="s">
        <v>1349</v>
      </c>
      <c r="C111" s="27" t="s">
        <v>1350</v>
      </c>
      <c r="D111" s="27" t="s">
        <v>930</v>
      </c>
      <c r="E111" s="27" t="s">
        <v>929</v>
      </c>
      <c r="F111" s="37" t="str">
        <f>IFERROR(VLOOKUP(A111,TblDisponibilidad[],23,FALSE),"No Manejado")</f>
        <v>No Manejado</v>
      </c>
    </row>
    <row r="112" spans="1:6" x14ac:dyDescent="0.3">
      <c r="A112" s="26" t="s">
        <v>155</v>
      </c>
      <c r="B112" s="27" t="s">
        <v>1355</v>
      </c>
      <c r="C112" s="27" t="s">
        <v>1056</v>
      </c>
      <c r="D112" s="27" t="s">
        <v>930</v>
      </c>
      <c r="E112" s="27" t="s">
        <v>929</v>
      </c>
      <c r="F112" s="37" t="str">
        <f>IFERROR(VLOOKUP(A112,TblDisponibilidad[],23,FALSE),"No Manejado")</f>
        <v>No Manejado</v>
      </c>
    </row>
    <row r="113" spans="1:6" x14ac:dyDescent="0.3">
      <c r="A113" s="26" t="s">
        <v>157</v>
      </c>
      <c r="B113" s="27" t="s">
        <v>1371</v>
      </c>
      <c r="C113" s="27" t="s">
        <v>938</v>
      </c>
      <c r="D113" s="27" t="s">
        <v>930</v>
      </c>
      <c r="E113" s="27" t="s">
        <v>929</v>
      </c>
      <c r="F113" s="37" t="str">
        <f>IFERROR(VLOOKUP(A113,TblDisponibilidad[],23,FALSE),"No Manejado")</f>
        <v>No Manejado</v>
      </c>
    </row>
    <row r="114" spans="1:6" x14ac:dyDescent="0.3">
      <c r="A114" s="26" t="s">
        <v>158</v>
      </c>
      <c r="B114" s="27" t="s">
        <v>1373</v>
      </c>
      <c r="C114" s="27" t="s">
        <v>1123</v>
      </c>
      <c r="D114" s="27" t="s">
        <v>954</v>
      </c>
      <c r="E114" s="27" t="s">
        <v>934</v>
      </c>
      <c r="F114" s="37" t="str">
        <f>IFERROR(VLOOKUP(A114,TblDisponibilidad[],23,FALSE),"No Manejado")</f>
        <v>No Manejado</v>
      </c>
    </row>
    <row r="115" spans="1:6" x14ac:dyDescent="0.3">
      <c r="A115" s="26" t="s">
        <v>159</v>
      </c>
      <c r="B115" s="27" t="s">
        <v>1373</v>
      </c>
      <c r="C115" s="27" t="s">
        <v>1058</v>
      </c>
      <c r="D115" s="27" t="s">
        <v>930</v>
      </c>
      <c r="E115" s="27" t="s">
        <v>929</v>
      </c>
      <c r="F115" s="37" t="str">
        <f>IFERROR(VLOOKUP(A115,TblDisponibilidad[],23,FALSE),"No Manejado")</f>
        <v>No Manejado</v>
      </c>
    </row>
    <row r="116" spans="1:6" x14ac:dyDescent="0.3">
      <c r="A116" s="26" t="s">
        <v>160</v>
      </c>
      <c r="B116" s="27" t="s">
        <v>1374</v>
      </c>
      <c r="C116" s="27" t="s">
        <v>1213</v>
      </c>
      <c r="D116" s="27" t="s">
        <v>930</v>
      </c>
      <c r="E116" s="27" t="s">
        <v>929</v>
      </c>
      <c r="F116" s="37" t="str">
        <f>IFERROR(VLOOKUP(A116,TblDisponibilidad[],23,FALSE),"No Manejado")</f>
        <v>No Manejado</v>
      </c>
    </row>
    <row r="117" spans="1:6" x14ac:dyDescent="0.3">
      <c r="A117" s="26" t="s">
        <v>162</v>
      </c>
      <c r="B117" s="27" t="s">
        <v>1384</v>
      </c>
      <c r="C117" s="27" t="s">
        <v>1385</v>
      </c>
      <c r="D117" s="27" t="s">
        <v>954</v>
      </c>
      <c r="E117" s="27" t="s">
        <v>934</v>
      </c>
      <c r="F117" s="37" t="str">
        <f>IFERROR(VLOOKUP(A117,TblDisponibilidad[],23,FALSE),"No Manejado")</f>
        <v>No Manejado</v>
      </c>
    </row>
    <row r="118" spans="1:6" x14ac:dyDescent="0.3">
      <c r="A118" s="26" t="s">
        <v>163</v>
      </c>
      <c r="B118" s="27" t="s">
        <v>1384</v>
      </c>
      <c r="C118" s="27" t="s">
        <v>1274</v>
      </c>
      <c r="D118" s="27" t="s">
        <v>954</v>
      </c>
      <c r="E118" s="27" t="s">
        <v>934</v>
      </c>
      <c r="F118" s="37" t="str">
        <f>IFERROR(VLOOKUP(A118,TblDisponibilidad[],23,FALSE),"No Manejado")</f>
        <v>No Manejado</v>
      </c>
    </row>
    <row r="119" spans="1:6" x14ac:dyDescent="0.3">
      <c r="A119" s="26" t="s">
        <v>164</v>
      </c>
      <c r="B119" s="27" t="s">
        <v>1386</v>
      </c>
      <c r="C119" s="27" t="s">
        <v>1023</v>
      </c>
      <c r="D119" s="27" t="s">
        <v>930</v>
      </c>
      <c r="E119" s="27" t="s">
        <v>929</v>
      </c>
      <c r="F119" s="37" t="str">
        <f>IFERROR(VLOOKUP(A119,TblDisponibilidad[],23,FALSE),"No Manejado")</f>
        <v>No Manejado</v>
      </c>
    </row>
    <row r="120" spans="1:6" x14ac:dyDescent="0.3">
      <c r="A120" s="26" t="s">
        <v>228</v>
      </c>
      <c r="B120" s="27" t="s">
        <v>1890</v>
      </c>
      <c r="C120" s="27" t="s">
        <v>1151</v>
      </c>
      <c r="D120" s="27" t="s">
        <v>1065</v>
      </c>
      <c r="E120" s="27" t="s">
        <v>934</v>
      </c>
      <c r="F120" s="37" t="str">
        <f>IFERROR(VLOOKUP(A120,TblDisponibilidad[],23,FALSE),"No Manejado")</f>
        <v>No Manejado</v>
      </c>
    </row>
    <row r="121" spans="1:6" x14ac:dyDescent="0.3">
      <c r="A121" s="26" t="s">
        <v>170</v>
      </c>
      <c r="B121" s="27" t="s">
        <v>1891</v>
      </c>
      <c r="C121" s="27" t="s">
        <v>1892</v>
      </c>
      <c r="D121" s="27" t="s">
        <v>930</v>
      </c>
      <c r="E121" s="27" t="s">
        <v>934</v>
      </c>
      <c r="F121" s="37" t="str">
        <f>IFERROR(VLOOKUP(A121,TblDisponibilidad[],23,FALSE),"No Manejado")</f>
        <v>No Manejado</v>
      </c>
    </row>
    <row r="122" spans="1:6" x14ac:dyDescent="0.3">
      <c r="A122" s="26" t="s">
        <v>172</v>
      </c>
      <c r="B122" s="27" t="s">
        <v>1414</v>
      </c>
      <c r="C122" s="27" t="s">
        <v>1351</v>
      </c>
      <c r="D122" s="27" t="s">
        <v>977</v>
      </c>
      <c r="E122" s="27" t="s">
        <v>950</v>
      </c>
      <c r="F122" s="37" t="str">
        <f>IFERROR(VLOOKUP(A122,TblDisponibilidad[],23,FALSE),"No Manejado")</f>
        <v>No Manejado</v>
      </c>
    </row>
    <row r="123" spans="1:6" x14ac:dyDescent="0.3">
      <c r="A123" s="26" t="s">
        <v>173</v>
      </c>
      <c r="B123" s="27" t="s">
        <v>1416</v>
      </c>
      <c r="C123" s="27" t="s">
        <v>1417</v>
      </c>
      <c r="D123" s="27" t="s">
        <v>1065</v>
      </c>
      <c r="E123" s="27" t="s">
        <v>934</v>
      </c>
      <c r="F123" s="37" t="str">
        <f>IFERROR(VLOOKUP(A123,TblDisponibilidad[],23,FALSE),"No Manejado")</f>
        <v>No Manejado</v>
      </c>
    </row>
    <row r="124" spans="1:6" x14ac:dyDescent="0.3">
      <c r="A124" s="26" t="s">
        <v>174</v>
      </c>
      <c r="B124" s="27" t="s">
        <v>1418</v>
      </c>
      <c r="C124" s="27" t="s">
        <v>1151</v>
      </c>
      <c r="D124" s="27" t="s">
        <v>930</v>
      </c>
      <c r="E124" s="27" t="s">
        <v>929</v>
      </c>
      <c r="F124" s="37" t="str">
        <f>IFERROR(VLOOKUP(A124,TblDisponibilidad[],23,FALSE),"No Manejado")</f>
        <v>No Manejado</v>
      </c>
    </row>
    <row r="125" spans="1:6" x14ac:dyDescent="0.3">
      <c r="A125" s="26" t="s">
        <v>505</v>
      </c>
      <c r="B125" s="27" t="s">
        <v>1420</v>
      </c>
      <c r="C125" s="27" t="s">
        <v>938</v>
      </c>
      <c r="D125" s="27" t="s">
        <v>930</v>
      </c>
      <c r="E125" s="27" t="s">
        <v>934</v>
      </c>
      <c r="F125" s="37" t="str">
        <f>IFERROR(VLOOKUP(A125,TblDisponibilidad[],23,FALSE),"No Manejado")</f>
        <v>No Manejado</v>
      </c>
    </row>
    <row r="126" spans="1:6" x14ac:dyDescent="0.3">
      <c r="A126" s="26" t="s">
        <v>176</v>
      </c>
      <c r="B126" s="27" t="s">
        <v>1421</v>
      </c>
      <c r="C126" s="27" t="s">
        <v>1061</v>
      </c>
      <c r="D126" s="27" t="s">
        <v>1004</v>
      </c>
      <c r="E126" s="27" t="s">
        <v>934</v>
      </c>
      <c r="F126" s="37" t="str">
        <f>IFERROR(VLOOKUP(A126,TblDisponibilidad[],23,FALSE),"No Manejado")</f>
        <v>No Manejado</v>
      </c>
    </row>
    <row r="127" spans="1:6" x14ac:dyDescent="0.3">
      <c r="A127" s="26" t="s">
        <v>397</v>
      </c>
      <c r="B127" s="27" t="s">
        <v>1422</v>
      </c>
      <c r="C127" s="27" t="s">
        <v>1423</v>
      </c>
      <c r="D127" s="27" t="s">
        <v>1065</v>
      </c>
      <c r="E127" s="27" t="s">
        <v>934</v>
      </c>
      <c r="F127" s="37" t="str">
        <f>IFERROR(VLOOKUP(A127,TblDisponibilidad[],23,FALSE),"No Manejado")</f>
        <v>No Manejado</v>
      </c>
    </row>
    <row r="128" spans="1:6" x14ac:dyDescent="0.3">
      <c r="A128" s="26" t="s">
        <v>177</v>
      </c>
      <c r="B128" s="27" t="s">
        <v>1429</v>
      </c>
      <c r="C128" s="27" t="s">
        <v>975</v>
      </c>
      <c r="D128" s="27" t="s">
        <v>1027</v>
      </c>
      <c r="E128" s="27" t="s">
        <v>976</v>
      </c>
      <c r="F128" s="37" t="str">
        <f>IFERROR(VLOOKUP(A128,TblDisponibilidad[],23,FALSE),"No Manejado")</f>
        <v>No Manejado</v>
      </c>
    </row>
    <row r="129" spans="1:6" x14ac:dyDescent="0.3">
      <c r="A129" s="26" t="s">
        <v>178</v>
      </c>
      <c r="B129" s="27" t="s">
        <v>1429</v>
      </c>
      <c r="C129" s="27" t="s">
        <v>1319</v>
      </c>
      <c r="D129" s="27" t="s">
        <v>930</v>
      </c>
      <c r="E129" s="27" t="s">
        <v>929</v>
      </c>
      <c r="F129" s="37" t="str">
        <f>IFERROR(VLOOKUP(A129,TblDisponibilidad[],23,FALSE),"No Manejado")</f>
        <v>No Manejado</v>
      </c>
    </row>
    <row r="130" spans="1:6" x14ac:dyDescent="0.3">
      <c r="A130" s="26" t="s">
        <v>179</v>
      </c>
      <c r="B130" s="27" t="s">
        <v>1430</v>
      </c>
      <c r="C130" s="27" t="s">
        <v>1431</v>
      </c>
      <c r="D130" s="27" t="s">
        <v>954</v>
      </c>
      <c r="E130" s="27" t="s">
        <v>934</v>
      </c>
      <c r="F130" s="37" t="str">
        <f>IFERROR(VLOOKUP(A130,TblDisponibilidad[],23,FALSE),"No Manejado")</f>
        <v>No Manejado</v>
      </c>
    </row>
    <row r="131" spans="1:6" x14ac:dyDescent="0.3">
      <c r="A131" s="26" t="s">
        <v>181</v>
      </c>
      <c r="B131" s="27" t="s">
        <v>1438</v>
      </c>
      <c r="C131" s="27" t="s">
        <v>1439</v>
      </c>
      <c r="D131" s="27" t="s">
        <v>935</v>
      </c>
      <c r="E131" s="27" t="s">
        <v>934</v>
      </c>
      <c r="F131" s="37" t="str">
        <f>IFERROR(VLOOKUP(A131,TblDisponibilidad[],23,FALSE),"No Manejado")</f>
        <v>No Manejado</v>
      </c>
    </row>
    <row r="132" spans="1:6" x14ac:dyDescent="0.3">
      <c r="A132" s="26" t="s">
        <v>439</v>
      </c>
      <c r="B132" s="27" t="s">
        <v>1440</v>
      </c>
      <c r="C132" s="27" t="s">
        <v>1439</v>
      </c>
      <c r="D132" s="27" t="s">
        <v>935</v>
      </c>
      <c r="E132" s="27" t="s">
        <v>934</v>
      </c>
      <c r="F132" s="37" t="str">
        <f>IFERROR(VLOOKUP(A132,TblDisponibilidad[],23,FALSE),"No Manejado")</f>
        <v>No Manejado</v>
      </c>
    </row>
    <row r="133" spans="1:6" x14ac:dyDescent="0.3">
      <c r="A133" s="26" t="s">
        <v>182</v>
      </c>
      <c r="B133" s="27" t="s">
        <v>1442</v>
      </c>
      <c r="C133" s="27" t="s">
        <v>1443</v>
      </c>
      <c r="D133" s="27" t="s">
        <v>980</v>
      </c>
      <c r="E133" s="27" t="s">
        <v>934</v>
      </c>
      <c r="F133" s="37" t="str">
        <f>IFERROR(VLOOKUP(A133,TblDisponibilidad[],23,FALSE),"No Manejado")</f>
        <v>No Manejado</v>
      </c>
    </row>
    <row r="134" spans="1:6" x14ac:dyDescent="0.3">
      <c r="A134" s="26" t="s">
        <v>184</v>
      </c>
      <c r="B134" s="27" t="s">
        <v>1893</v>
      </c>
      <c r="C134" s="27" t="s">
        <v>1022</v>
      </c>
      <c r="D134" s="27" t="s">
        <v>954</v>
      </c>
      <c r="E134" s="27" t="s">
        <v>934</v>
      </c>
      <c r="F134" s="37" t="str">
        <f>IFERROR(VLOOKUP(A134,TblDisponibilidad[],23,FALSE),"No Manejado")</f>
        <v>No Manejado</v>
      </c>
    </row>
    <row r="135" spans="1:6" x14ac:dyDescent="0.3">
      <c r="A135" s="26" t="s">
        <v>185</v>
      </c>
      <c r="B135" s="27" t="s">
        <v>1445</v>
      </c>
      <c r="C135" s="27" t="s">
        <v>938</v>
      </c>
      <c r="D135" s="27" t="s">
        <v>930</v>
      </c>
      <c r="E135" s="27" t="s">
        <v>929</v>
      </c>
      <c r="F135" s="37" t="str">
        <f>IFERROR(VLOOKUP(A135,TblDisponibilidad[],23,FALSE),"No Manejado")</f>
        <v>No Manejado</v>
      </c>
    </row>
    <row r="136" spans="1:6" x14ac:dyDescent="0.3">
      <c r="A136" s="26" t="s">
        <v>186</v>
      </c>
      <c r="B136" s="27" t="s">
        <v>1464</v>
      </c>
      <c r="C136" s="27" t="s">
        <v>1012</v>
      </c>
      <c r="D136" s="27" t="s">
        <v>935</v>
      </c>
      <c r="E136" s="27" t="s">
        <v>934</v>
      </c>
      <c r="F136" s="37" t="str">
        <f>IFERROR(VLOOKUP(A136,TblDisponibilidad[],23,FALSE),"No Manejado")</f>
        <v>No Manejado</v>
      </c>
    </row>
    <row r="137" spans="1:6" x14ac:dyDescent="0.3">
      <c r="A137" s="26" t="s">
        <v>187</v>
      </c>
      <c r="B137" s="27" t="s">
        <v>1472</v>
      </c>
      <c r="C137" s="27" t="s">
        <v>1894</v>
      </c>
      <c r="D137" s="27" t="s">
        <v>1343</v>
      </c>
      <c r="E137" s="27" t="s">
        <v>950</v>
      </c>
      <c r="F137" s="37" t="str">
        <f>IFERROR(VLOOKUP(A137,TblDisponibilidad[],23,FALSE),"No Manejado")</f>
        <v>No Manejado</v>
      </c>
    </row>
    <row r="138" spans="1:6" x14ac:dyDescent="0.3">
      <c r="A138" s="26" t="s">
        <v>190</v>
      </c>
      <c r="B138" s="27" t="s">
        <v>1479</v>
      </c>
      <c r="C138" s="27" t="s">
        <v>1895</v>
      </c>
      <c r="D138" s="27" t="s">
        <v>954</v>
      </c>
      <c r="E138" s="27" t="s">
        <v>934</v>
      </c>
      <c r="F138" s="37" t="str">
        <f>IFERROR(VLOOKUP(A138,TblDisponibilidad[],23,FALSE),"No Manejado")</f>
        <v>No Manejado</v>
      </c>
    </row>
    <row r="139" spans="1:6" x14ac:dyDescent="0.3">
      <c r="A139" s="26" t="s">
        <v>191</v>
      </c>
      <c r="B139" s="27" t="s">
        <v>1485</v>
      </c>
      <c r="C139" s="27" t="s">
        <v>1486</v>
      </c>
      <c r="D139" s="27" t="s">
        <v>930</v>
      </c>
      <c r="E139" s="27" t="s">
        <v>934</v>
      </c>
      <c r="F139" s="37" t="str">
        <f>IFERROR(VLOOKUP(A139,TblDisponibilidad[],23,FALSE),"No Manejado")</f>
        <v>No Manejado</v>
      </c>
    </row>
    <row r="140" spans="1:6" x14ac:dyDescent="0.3">
      <c r="A140" s="26" t="s">
        <v>647</v>
      </c>
      <c r="B140" s="27" t="s">
        <v>1490</v>
      </c>
      <c r="C140" s="27" t="s">
        <v>1028</v>
      </c>
      <c r="D140" s="27" t="s">
        <v>930</v>
      </c>
      <c r="E140" s="27" t="s">
        <v>929</v>
      </c>
      <c r="F140" s="37" t="str">
        <f>IFERROR(VLOOKUP(A140,TblDisponibilidad[],23,FALSE),"No Manejado")</f>
        <v>No Manejado</v>
      </c>
    </row>
    <row r="141" spans="1:6" x14ac:dyDescent="0.3">
      <c r="A141" s="26" t="s">
        <v>193</v>
      </c>
      <c r="B141" s="27" t="s">
        <v>1494</v>
      </c>
      <c r="C141" s="27" t="s">
        <v>1896</v>
      </c>
      <c r="D141" s="27" t="s">
        <v>930</v>
      </c>
      <c r="E141" s="27" t="s">
        <v>929</v>
      </c>
      <c r="F141" s="37" t="str">
        <f>IFERROR(VLOOKUP(A141,TblDisponibilidad[],23,FALSE),"No Manejado")</f>
        <v>No Manejado</v>
      </c>
    </row>
    <row r="142" spans="1:6" x14ac:dyDescent="0.3">
      <c r="A142" s="26" t="s">
        <v>1897</v>
      </c>
      <c r="B142" s="27" t="s">
        <v>1898</v>
      </c>
      <c r="C142" s="27" t="s">
        <v>1503</v>
      </c>
      <c r="D142" s="27" t="s">
        <v>1501</v>
      </c>
      <c r="E142" s="27" t="s">
        <v>934</v>
      </c>
      <c r="F142" s="37" t="str">
        <f>IFERROR(VLOOKUP(A142,TblDisponibilidad[],23,FALSE),"No Manejado")</f>
        <v>No Manejado</v>
      </c>
    </row>
    <row r="143" spans="1:6" x14ac:dyDescent="0.3">
      <c r="A143" s="26" t="s">
        <v>195</v>
      </c>
      <c r="B143" s="27" t="s">
        <v>1898</v>
      </c>
      <c r="C143" s="27" t="s">
        <v>1503</v>
      </c>
      <c r="D143" s="27" t="s">
        <v>977</v>
      </c>
      <c r="E143" s="27" t="s">
        <v>934</v>
      </c>
      <c r="F143" s="37" t="str">
        <f>IFERROR(VLOOKUP(A143,TblDisponibilidad[],23,FALSE),"No Manejado")</f>
        <v>No Manejado</v>
      </c>
    </row>
    <row r="144" spans="1:6" x14ac:dyDescent="0.3">
      <c r="A144" s="26" t="s">
        <v>194</v>
      </c>
      <c r="B144" s="27" t="s">
        <v>1504</v>
      </c>
      <c r="C144" s="27" t="s">
        <v>1505</v>
      </c>
      <c r="D144" s="27" t="s">
        <v>977</v>
      </c>
      <c r="E144" s="27" t="s">
        <v>934</v>
      </c>
      <c r="F144" s="37" t="str">
        <f>IFERROR(VLOOKUP(A144,TblDisponibilidad[],23,FALSE),"No Manejado")</f>
        <v>No Manejado</v>
      </c>
    </row>
    <row r="145" spans="1:6" x14ac:dyDescent="0.3">
      <c r="A145" s="26" t="s">
        <v>197</v>
      </c>
      <c r="B145" s="27" t="s">
        <v>1516</v>
      </c>
      <c r="C145" s="27" t="s">
        <v>1517</v>
      </c>
      <c r="D145" s="27" t="s">
        <v>1027</v>
      </c>
      <c r="E145" s="27" t="s">
        <v>1221</v>
      </c>
      <c r="F145" s="37" t="str">
        <f>IFERROR(VLOOKUP(A145,TblDisponibilidad[],23,FALSE),"No Manejado")</f>
        <v>No Manejado</v>
      </c>
    </row>
    <row r="146" spans="1:6" x14ac:dyDescent="0.3">
      <c r="A146" s="26" t="s">
        <v>198</v>
      </c>
      <c r="B146" s="27" t="s">
        <v>1516</v>
      </c>
      <c r="C146" s="27" t="s">
        <v>1022</v>
      </c>
      <c r="D146" s="27" t="s">
        <v>930</v>
      </c>
      <c r="E146" s="27" t="s">
        <v>929</v>
      </c>
      <c r="F146" s="37" t="str">
        <f>IFERROR(VLOOKUP(A146,TblDisponibilidad[],23,FALSE),"No Manejado")</f>
        <v>No Manejado</v>
      </c>
    </row>
    <row r="147" spans="1:6" x14ac:dyDescent="0.3">
      <c r="A147" s="26" t="s">
        <v>199</v>
      </c>
      <c r="B147" s="27" t="s">
        <v>1518</v>
      </c>
      <c r="C147" s="27" t="s">
        <v>1009</v>
      </c>
      <c r="D147" s="27" t="s">
        <v>930</v>
      </c>
      <c r="E147" s="27" t="s">
        <v>929</v>
      </c>
      <c r="F147" s="37" t="str">
        <f>IFERROR(VLOOKUP(A147,TblDisponibilidad[],23,FALSE),"No Manejado")</f>
        <v>No Manejado</v>
      </c>
    </row>
    <row r="148" spans="1:6" x14ac:dyDescent="0.3">
      <c r="A148" s="26" t="s">
        <v>200</v>
      </c>
      <c r="B148" s="27" t="s">
        <v>1519</v>
      </c>
      <c r="C148" s="27" t="s">
        <v>1520</v>
      </c>
      <c r="D148" s="27" t="s">
        <v>935</v>
      </c>
      <c r="E148" s="27" t="s">
        <v>934</v>
      </c>
      <c r="F148" s="37" t="str">
        <f>IFERROR(VLOOKUP(A148,TblDisponibilidad[],23,FALSE),"No Manejado")</f>
        <v>No Manejado</v>
      </c>
    </row>
    <row r="149" spans="1:6" x14ac:dyDescent="0.3">
      <c r="A149" s="26" t="s">
        <v>201</v>
      </c>
      <c r="B149" s="27" t="s">
        <v>1534</v>
      </c>
      <c r="C149" s="27" t="s">
        <v>1535</v>
      </c>
      <c r="D149" s="27" t="s">
        <v>962</v>
      </c>
      <c r="E149" s="27" t="s">
        <v>934</v>
      </c>
      <c r="F149" s="37" t="str">
        <f>IFERROR(VLOOKUP(A149,TblDisponibilidad[],23,FALSE),"No Manejado")</f>
        <v>No Manejado</v>
      </c>
    </row>
    <row r="150" spans="1:6" x14ac:dyDescent="0.3">
      <c r="A150" s="26" t="s">
        <v>203</v>
      </c>
      <c r="B150" s="27" t="s">
        <v>1550</v>
      </c>
      <c r="C150" s="27" t="s">
        <v>938</v>
      </c>
      <c r="D150" s="27" t="s">
        <v>930</v>
      </c>
      <c r="E150" s="27" t="s">
        <v>929</v>
      </c>
      <c r="F150" s="37" t="str">
        <f>IFERROR(VLOOKUP(A150,TblDisponibilidad[],23,FALSE),"No Manejado")</f>
        <v>No Manejado</v>
      </c>
    </row>
    <row r="151" spans="1:6" x14ac:dyDescent="0.3">
      <c r="A151" s="26" t="s">
        <v>206</v>
      </c>
      <c r="B151" s="27" t="s">
        <v>1557</v>
      </c>
      <c r="C151" s="27" t="s">
        <v>1558</v>
      </c>
      <c r="D151" s="27" t="s">
        <v>930</v>
      </c>
      <c r="E151" s="27" t="s">
        <v>934</v>
      </c>
      <c r="F151" s="37" t="str">
        <f>IFERROR(VLOOKUP(A151,TblDisponibilidad[],23,FALSE),"No Manejado")</f>
        <v>No Manejado</v>
      </c>
    </row>
    <row r="152" spans="1:6" x14ac:dyDescent="0.3">
      <c r="A152" s="26" t="s">
        <v>207</v>
      </c>
      <c r="B152" s="27" t="s">
        <v>1559</v>
      </c>
      <c r="C152" s="27" t="s">
        <v>1028</v>
      </c>
      <c r="D152" s="27" t="s">
        <v>930</v>
      </c>
      <c r="E152" s="27" t="s">
        <v>934</v>
      </c>
      <c r="F152" s="37" t="str">
        <f>IFERROR(VLOOKUP(A152,TblDisponibilidad[],23,FALSE),"No Manejado")</f>
        <v>No Manejado</v>
      </c>
    </row>
    <row r="153" spans="1:6" x14ac:dyDescent="0.3">
      <c r="A153" s="26" t="s">
        <v>208</v>
      </c>
      <c r="B153" s="27" t="s">
        <v>1560</v>
      </c>
      <c r="C153" s="27" t="s">
        <v>945</v>
      </c>
      <c r="D153" s="27" t="s">
        <v>954</v>
      </c>
      <c r="E153" s="27" t="s">
        <v>934</v>
      </c>
      <c r="F153" s="37" t="str">
        <f>IFERROR(VLOOKUP(A153,TblDisponibilidad[],23,FALSE),"No Manejado")</f>
        <v>No Manejado</v>
      </c>
    </row>
    <row r="154" spans="1:6" x14ac:dyDescent="0.3">
      <c r="A154" s="26" t="s">
        <v>209</v>
      </c>
      <c r="B154" s="27" t="s">
        <v>1561</v>
      </c>
      <c r="C154" s="27" t="s">
        <v>1562</v>
      </c>
      <c r="D154" s="27" t="s">
        <v>930</v>
      </c>
      <c r="E154" s="27" t="s">
        <v>929</v>
      </c>
      <c r="F154" s="37" t="str">
        <f>IFERROR(VLOOKUP(A154,TblDisponibilidad[],23,FALSE),"No Manejado")</f>
        <v>No Manejado</v>
      </c>
    </row>
    <row r="155" spans="1:6" x14ac:dyDescent="0.3">
      <c r="A155" s="26" t="s">
        <v>210</v>
      </c>
      <c r="B155" s="27" t="s">
        <v>1563</v>
      </c>
      <c r="C155" s="27" t="s">
        <v>933</v>
      </c>
      <c r="D155" s="27" t="s">
        <v>930</v>
      </c>
      <c r="E155" s="27" t="s">
        <v>929</v>
      </c>
      <c r="F155" s="37" t="str">
        <f>IFERROR(VLOOKUP(A155,TblDisponibilidad[],23,FALSE),"No Manejado")</f>
        <v>No Manejado</v>
      </c>
    </row>
    <row r="156" spans="1:6" x14ac:dyDescent="0.3">
      <c r="A156" s="26" t="s">
        <v>211</v>
      </c>
      <c r="B156" s="27" t="s">
        <v>1566</v>
      </c>
      <c r="C156" s="27" t="s">
        <v>1028</v>
      </c>
      <c r="D156" s="27" t="s">
        <v>1133</v>
      </c>
      <c r="E156" s="27" t="s">
        <v>934</v>
      </c>
      <c r="F156" s="37" t="str">
        <f>IFERROR(VLOOKUP(A156,TblDisponibilidad[],23,FALSE),"No Manejado")</f>
        <v>No Manejado</v>
      </c>
    </row>
    <row r="157" spans="1:6" x14ac:dyDescent="0.3">
      <c r="A157" s="26" t="s">
        <v>212</v>
      </c>
      <c r="B157" s="27" t="s">
        <v>1567</v>
      </c>
      <c r="C157" s="27" t="s">
        <v>1258</v>
      </c>
      <c r="D157" s="27" t="s">
        <v>954</v>
      </c>
      <c r="E157" s="27" t="s">
        <v>934</v>
      </c>
      <c r="F157" s="37" t="str">
        <f>IFERROR(VLOOKUP(A157,TblDisponibilidad[],23,FALSE),"No Manejado")</f>
        <v>No Manejado</v>
      </c>
    </row>
    <row r="158" spans="1:6" x14ac:dyDescent="0.3">
      <c r="A158" s="26" t="s">
        <v>213</v>
      </c>
      <c r="B158" s="27" t="s">
        <v>1567</v>
      </c>
      <c r="C158" s="27" t="s">
        <v>1022</v>
      </c>
      <c r="D158" s="27" t="s">
        <v>930</v>
      </c>
      <c r="E158" s="27" t="s">
        <v>929</v>
      </c>
      <c r="F158" s="37" t="str">
        <f>IFERROR(VLOOKUP(A158,TblDisponibilidad[],23,FALSE),"No Manejado")</f>
        <v>No Manejado</v>
      </c>
    </row>
    <row r="159" spans="1:6" x14ac:dyDescent="0.3">
      <c r="A159" s="26" t="s">
        <v>214</v>
      </c>
      <c r="B159" s="27" t="s">
        <v>1568</v>
      </c>
      <c r="C159" s="27" t="s">
        <v>1009</v>
      </c>
      <c r="D159" s="27" t="s">
        <v>954</v>
      </c>
      <c r="E159" s="27" t="s">
        <v>934</v>
      </c>
      <c r="F159" s="37" t="str">
        <f>IFERROR(VLOOKUP(A159,TblDisponibilidad[],23,FALSE),"No Manejado")</f>
        <v>No Manejado</v>
      </c>
    </row>
    <row r="160" spans="1:6" x14ac:dyDescent="0.3">
      <c r="A160" s="26" t="s">
        <v>216</v>
      </c>
      <c r="B160" s="27" t="s">
        <v>1569</v>
      </c>
      <c r="C160" s="27" t="s">
        <v>1028</v>
      </c>
      <c r="D160" s="27" t="s">
        <v>1208</v>
      </c>
      <c r="E160" s="27" t="s">
        <v>934</v>
      </c>
      <c r="F160" s="37" t="str">
        <f>IFERROR(VLOOKUP(A160,TblDisponibilidad[],23,FALSE),"No Manejado")</f>
        <v>No Manejado</v>
      </c>
    </row>
    <row r="161" spans="1:6" x14ac:dyDescent="0.3">
      <c r="A161" s="26" t="s">
        <v>218</v>
      </c>
      <c r="B161" s="27" t="s">
        <v>1569</v>
      </c>
      <c r="C161" s="27" t="s">
        <v>1028</v>
      </c>
      <c r="D161" s="27" t="s">
        <v>930</v>
      </c>
      <c r="E161" s="27" t="s">
        <v>929</v>
      </c>
      <c r="F161" s="37" t="str">
        <f>IFERROR(VLOOKUP(A161,TblDisponibilidad[],23,FALSE),"No Manejado")</f>
        <v>No Manejado</v>
      </c>
    </row>
    <row r="162" spans="1:6" x14ac:dyDescent="0.3">
      <c r="A162" s="26" t="s">
        <v>217</v>
      </c>
      <c r="B162" s="27" t="s">
        <v>1899</v>
      </c>
      <c r="C162" s="27" t="s">
        <v>1025</v>
      </c>
      <c r="D162" s="27" t="s">
        <v>1026</v>
      </c>
      <c r="E162" s="27" t="s">
        <v>976</v>
      </c>
      <c r="F162" s="37" t="str">
        <f>IFERROR(VLOOKUP(A162,TblDisponibilidad[],23,FALSE),"No Manejado")</f>
        <v>No Manejado</v>
      </c>
    </row>
    <row r="163" spans="1:6" x14ac:dyDescent="0.3">
      <c r="A163" s="26" t="s">
        <v>220</v>
      </c>
      <c r="B163" s="27" t="s">
        <v>1900</v>
      </c>
      <c r="C163" s="27" t="s">
        <v>1023</v>
      </c>
      <c r="D163" s="27" t="s">
        <v>1065</v>
      </c>
      <c r="E163" s="27" t="s">
        <v>934</v>
      </c>
      <c r="F163" s="37" t="str">
        <f>IFERROR(VLOOKUP(A163,TblDisponibilidad[],23,FALSE),"No Manejado")</f>
        <v>No Manejado</v>
      </c>
    </row>
    <row r="164" spans="1:6" x14ac:dyDescent="0.3">
      <c r="A164" s="26" t="s">
        <v>388</v>
      </c>
      <c r="B164" s="27" t="s">
        <v>1900</v>
      </c>
      <c r="C164" s="27" t="s">
        <v>1009</v>
      </c>
      <c r="D164" s="27" t="s">
        <v>935</v>
      </c>
      <c r="E164" s="27" t="s">
        <v>934</v>
      </c>
      <c r="F164" s="37" t="str">
        <f>IFERROR(VLOOKUP(A164,TblDisponibilidad[],23,FALSE),"No Manejado")</f>
        <v>No Manejado</v>
      </c>
    </row>
    <row r="165" spans="1:6" x14ac:dyDescent="0.3">
      <c r="A165" s="26" t="s">
        <v>221</v>
      </c>
      <c r="B165" s="27" t="s">
        <v>1583</v>
      </c>
      <c r="C165" s="27" t="s">
        <v>1901</v>
      </c>
      <c r="D165" s="27" t="s">
        <v>930</v>
      </c>
      <c r="E165" s="27" t="s">
        <v>929</v>
      </c>
      <c r="F165" s="37" t="str">
        <f>IFERROR(VLOOKUP(A165,TblDisponibilidad[],23,FALSE),"No Manejado")</f>
        <v>No Manejado</v>
      </c>
    </row>
    <row r="166" spans="1:6" x14ac:dyDescent="0.3">
      <c r="A166" s="26" t="s">
        <v>222</v>
      </c>
      <c r="B166" s="27" t="s">
        <v>1902</v>
      </c>
      <c r="C166" s="27" t="s">
        <v>1022</v>
      </c>
      <c r="D166" s="27" t="s">
        <v>1004</v>
      </c>
      <c r="E166" s="27" t="s">
        <v>934</v>
      </c>
      <c r="F166" s="37" t="str">
        <f>IFERROR(VLOOKUP(A166,TblDisponibilidad[],23,FALSE),"No Manejado")</f>
        <v>No Manejado</v>
      </c>
    </row>
    <row r="167" spans="1:6" x14ac:dyDescent="0.3">
      <c r="A167" s="26" t="s">
        <v>223</v>
      </c>
      <c r="B167" s="27" t="s">
        <v>1587</v>
      </c>
      <c r="C167" s="27" t="s">
        <v>1588</v>
      </c>
      <c r="D167" s="27" t="s">
        <v>1317</v>
      </c>
      <c r="E167" s="27" t="s">
        <v>1087</v>
      </c>
      <c r="F167" s="37" t="str">
        <f>IFERROR(VLOOKUP(A167,TblDisponibilidad[],23,FALSE),"No Manejado")</f>
        <v>No Manejado</v>
      </c>
    </row>
    <row r="168" spans="1:6" x14ac:dyDescent="0.3">
      <c r="A168" s="26" t="s">
        <v>224</v>
      </c>
      <c r="B168" s="27" t="s">
        <v>1903</v>
      </c>
      <c r="C168" s="27" t="s">
        <v>1028</v>
      </c>
      <c r="D168" s="27" t="s">
        <v>930</v>
      </c>
      <c r="E168" s="27" t="s">
        <v>929</v>
      </c>
      <c r="F168" s="37" t="str">
        <f>IFERROR(VLOOKUP(A168,TblDisponibilidad[],23,FALSE),"No Manejado")</f>
        <v>No Manejado</v>
      </c>
    </row>
    <row r="169" spans="1:6" x14ac:dyDescent="0.3">
      <c r="A169" s="26" t="s">
        <v>225</v>
      </c>
      <c r="B169" s="27" t="s">
        <v>1590</v>
      </c>
      <c r="C169" s="27" t="s">
        <v>1904</v>
      </c>
      <c r="D169" s="27" t="s">
        <v>1004</v>
      </c>
      <c r="E169" s="27" t="s">
        <v>934</v>
      </c>
      <c r="F169" s="37" t="str">
        <f>IFERROR(VLOOKUP(A169,TblDisponibilidad[],23,FALSE),"No Manejado")</f>
        <v>No Manejado</v>
      </c>
    </row>
    <row r="170" spans="1:6" x14ac:dyDescent="0.3">
      <c r="A170" s="26" t="s">
        <v>226</v>
      </c>
      <c r="B170" s="27" t="s">
        <v>1592</v>
      </c>
      <c r="C170" s="27" t="s">
        <v>1022</v>
      </c>
      <c r="D170" s="27" t="s">
        <v>930</v>
      </c>
      <c r="E170" s="27" t="s">
        <v>929</v>
      </c>
      <c r="F170" s="37" t="str">
        <f>IFERROR(VLOOKUP(A170,TblDisponibilidad[],23,FALSE),"No Manejado")</f>
        <v>No Manejado</v>
      </c>
    </row>
    <row r="171" spans="1:6" x14ac:dyDescent="0.3">
      <c r="A171" s="26" t="s">
        <v>1595</v>
      </c>
      <c r="B171" s="27" t="s">
        <v>1905</v>
      </c>
      <c r="C171" s="27" t="s">
        <v>1597</v>
      </c>
      <c r="D171" s="27" t="s">
        <v>1598</v>
      </c>
      <c r="E171" s="27" t="s">
        <v>976</v>
      </c>
      <c r="F171" s="37" t="str">
        <f>IFERROR(VLOOKUP(A171,TblDisponibilidad[],23,FALSE),"No Manejado")</f>
        <v>No Manejado</v>
      </c>
    </row>
    <row r="172" spans="1:6" x14ac:dyDescent="0.3">
      <c r="A172" s="26" t="s">
        <v>227</v>
      </c>
      <c r="B172" s="27" t="s">
        <v>1599</v>
      </c>
      <c r="C172" s="27" t="s">
        <v>938</v>
      </c>
      <c r="D172" s="27" t="s">
        <v>930</v>
      </c>
      <c r="E172" s="27" t="s">
        <v>929</v>
      </c>
      <c r="F172" s="37" t="str">
        <f>IFERROR(VLOOKUP(A172,TblDisponibilidad[],23,FALSE),"No Manejado")</f>
        <v>No Manejado</v>
      </c>
    </row>
    <row r="173" spans="1:6" x14ac:dyDescent="0.3">
      <c r="A173" s="26" t="s">
        <v>229</v>
      </c>
      <c r="B173" s="27" t="s">
        <v>1601</v>
      </c>
      <c r="C173" s="27" t="s">
        <v>1061</v>
      </c>
      <c r="D173" s="27" t="s">
        <v>1133</v>
      </c>
      <c r="E173" s="27" t="s">
        <v>934</v>
      </c>
      <c r="F173" s="37" t="str">
        <f>IFERROR(VLOOKUP(A173,TblDisponibilidad[],23,FALSE),"No Manejado")</f>
        <v>No Manejado</v>
      </c>
    </row>
    <row r="174" spans="1:6" x14ac:dyDescent="0.3">
      <c r="A174" s="26" t="s">
        <v>1906</v>
      </c>
      <c r="B174" s="27" t="s">
        <v>1907</v>
      </c>
      <c r="C174" s="27" t="s">
        <v>1056</v>
      </c>
      <c r="D174" s="27" t="s">
        <v>930</v>
      </c>
      <c r="E174" s="27" t="s">
        <v>929</v>
      </c>
      <c r="F174" s="37" t="str">
        <f>IFERROR(VLOOKUP(A174,TblDisponibilidad[],23,FALSE),"No Manejado")</f>
        <v>No Manejado</v>
      </c>
    </row>
    <row r="175" spans="1:6" x14ac:dyDescent="0.3">
      <c r="A175" s="26" t="s">
        <v>230</v>
      </c>
      <c r="B175" s="27" t="s">
        <v>1608</v>
      </c>
      <c r="C175" s="27" t="s">
        <v>1058</v>
      </c>
      <c r="D175" s="27" t="s">
        <v>930</v>
      </c>
      <c r="E175" s="27" t="s">
        <v>934</v>
      </c>
      <c r="F175" s="37" t="str">
        <f>IFERROR(VLOOKUP(A175,TblDisponibilidad[],23,FALSE),"No Manejado")</f>
        <v>No Manejado</v>
      </c>
    </row>
    <row r="176" spans="1:6" x14ac:dyDescent="0.3">
      <c r="A176" s="26" t="s">
        <v>231</v>
      </c>
      <c r="B176" s="27" t="s">
        <v>1610</v>
      </c>
      <c r="C176" s="27" t="s">
        <v>1351</v>
      </c>
      <c r="D176" s="27" t="s">
        <v>1133</v>
      </c>
      <c r="E176" s="27" t="s">
        <v>934</v>
      </c>
      <c r="F176" s="37" t="str">
        <f>IFERROR(VLOOKUP(A176,TblDisponibilidad[],23,FALSE),"No Manejado")</f>
        <v>No Manejado</v>
      </c>
    </row>
    <row r="177" spans="1:6" x14ac:dyDescent="0.3">
      <c r="A177" s="26" t="s">
        <v>232</v>
      </c>
      <c r="B177" s="27" t="s">
        <v>1611</v>
      </c>
      <c r="C177" s="27" t="s">
        <v>1232</v>
      </c>
      <c r="D177" s="27" t="s">
        <v>954</v>
      </c>
      <c r="E177" s="27" t="s">
        <v>934</v>
      </c>
      <c r="F177" s="37" t="str">
        <f>IFERROR(VLOOKUP(A177,TblDisponibilidad[],23,FALSE),"No Manejado")</f>
        <v>No Manejado</v>
      </c>
    </row>
    <row r="178" spans="1:6" x14ac:dyDescent="0.3">
      <c r="A178" s="26" t="s">
        <v>233</v>
      </c>
      <c r="B178" s="27" t="s">
        <v>1611</v>
      </c>
      <c r="C178" s="27" t="s">
        <v>938</v>
      </c>
      <c r="D178" s="27" t="s">
        <v>930</v>
      </c>
      <c r="E178" s="27" t="s">
        <v>929</v>
      </c>
      <c r="F178" s="37" t="str">
        <f>IFERROR(VLOOKUP(A178,TblDisponibilidad[],23,FALSE),"No Manejado")</f>
        <v>No Manejado</v>
      </c>
    </row>
    <row r="179" spans="1:6" x14ac:dyDescent="0.3">
      <c r="A179" s="26" t="s">
        <v>235</v>
      </c>
      <c r="B179" s="27" t="s">
        <v>1614</v>
      </c>
      <c r="C179" s="27" t="s">
        <v>945</v>
      </c>
      <c r="D179" s="27" t="s">
        <v>930</v>
      </c>
      <c r="E179" s="27" t="s">
        <v>934</v>
      </c>
      <c r="F179" s="37" t="str">
        <f>IFERROR(VLOOKUP(A179,TblDisponibilidad[],23,FALSE),"No Manejado")</f>
        <v>No Manejado</v>
      </c>
    </row>
    <row r="180" spans="1:6" x14ac:dyDescent="0.3">
      <c r="A180" s="26" t="s">
        <v>237</v>
      </c>
      <c r="B180" s="27" t="s">
        <v>1621</v>
      </c>
      <c r="C180" s="27" t="s">
        <v>1622</v>
      </c>
      <c r="D180" s="27" t="s">
        <v>1004</v>
      </c>
      <c r="E180" s="27" t="s">
        <v>934</v>
      </c>
      <c r="F180" s="37" t="str">
        <f>IFERROR(VLOOKUP(A180,TblDisponibilidad[],23,FALSE),"No Manejado")</f>
        <v>No Manejado</v>
      </c>
    </row>
    <row r="181" spans="1:6" x14ac:dyDescent="0.3">
      <c r="A181" s="26" t="s">
        <v>239</v>
      </c>
      <c r="B181" s="27" t="s">
        <v>1634</v>
      </c>
      <c r="C181" s="27" t="s">
        <v>1338</v>
      </c>
      <c r="D181" s="27" t="s">
        <v>935</v>
      </c>
      <c r="E181" s="27" t="s">
        <v>950</v>
      </c>
      <c r="F181" s="37" t="str">
        <f>IFERROR(VLOOKUP(A181,TblDisponibilidad[],23,FALSE),"No Manejado")</f>
        <v>No Manejado</v>
      </c>
    </row>
    <row r="182" spans="1:6" x14ac:dyDescent="0.3">
      <c r="A182" s="26" t="s">
        <v>240</v>
      </c>
      <c r="B182" s="27" t="s">
        <v>1634</v>
      </c>
      <c r="C182" s="27" t="s">
        <v>1635</v>
      </c>
      <c r="D182" s="27" t="s">
        <v>1027</v>
      </c>
      <c r="E182" s="27" t="s">
        <v>1221</v>
      </c>
      <c r="F182" s="37" t="str">
        <f>IFERROR(VLOOKUP(A182,TblDisponibilidad[],23,FALSE),"No Manejado")</f>
        <v>No Manejado</v>
      </c>
    </row>
    <row r="183" spans="1:6" x14ac:dyDescent="0.3">
      <c r="A183" s="26" t="s">
        <v>241</v>
      </c>
      <c r="B183" s="27" t="s">
        <v>1634</v>
      </c>
      <c r="C183" s="27" t="s">
        <v>1028</v>
      </c>
      <c r="D183" s="27" t="s">
        <v>930</v>
      </c>
      <c r="E183" s="27" t="s">
        <v>929</v>
      </c>
      <c r="F183" s="37" t="str">
        <f>IFERROR(VLOOKUP(A183,TblDisponibilidad[],23,FALSE),"No Manejado")</f>
        <v>No Manejado</v>
      </c>
    </row>
    <row r="184" spans="1:6" x14ac:dyDescent="0.3">
      <c r="A184" s="26" t="s">
        <v>242</v>
      </c>
      <c r="B184" s="27" t="s">
        <v>1642</v>
      </c>
      <c r="C184" s="27" t="s">
        <v>1012</v>
      </c>
      <c r="D184" s="27" t="s">
        <v>954</v>
      </c>
      <c r="E184" s="27" t="s">
        <v>934</v>
      </c>
      <c r="F184" s="37" t="str">
        <f>IFERROR(VLOOKUP(A184,TblDisponibilidad[],23,FALSE),"No Manejado")</f>
        <v>No Manejado</v>
      </c>
    </row>
    <row r="185" spans="1:6" x14ac:dyDescent="0.3">
      <c r="A185" s="26" t="s">
        <v>243</v>
      </c>
      <c r="B185" s="27" t="s">
        <v>1643</v>
      </c>
      <c r="C185" s="27" t="s">
        <v>1644</v>
      </c>
      <c r="D185" s="27" t="s">
        <v>930</v>
      </c>
      <c r="E185" s="27" t="s">
        <v>934</v>
      </c>
      <c r="F185" s="37" t="str">
        <f>IFERROR(VLOOKUP(A185,TblDisponibilidad[],23,FALSE),"No Manejado")</f>
        <v>No Manejado</v>
      </c>
    </row>
    <row r="186" spans="1:6" x14ac:dyDescent="0.3">
      <c r="A186" s="26" t="s">
        <v>246</v>
      </c>
      <c r="B186" s="27" t="s">
        <v>1646</v>
      </c>
      <c r="C186" s="27" t="s">
        <v>1009</v>
      </c>
      <c r="D186" s="27" t="s">
        <v>930</v>
      </c>
      <c r="E186" s="27" t="s">
        <v>929</v>
      </c>
      <c r="F186" s="37" t="str">
        <f>IFERROR(VLOOKUP(A186,TblDisponibilidad[],23,FALSE),"No Manejado")</f>
        <v>No Manejado</v>
      </c>
    </row>
    <row r="187" spans="1:6" x14ac:dyDescent="0.3">
      <c r="A187" s="26" t="s">
        <v>247</v>
      </c>
      <c r="B187" s="27" t="s">
        <v>1649</v>
      </c>
      <c r="C187" s="27" t="s">
        <v>1650</v>
      </c>
      <c r="D187" s="27" t="s">
        <v>997</v>
      </c>
      <c r="E187" s="27" t="s">
        <v>934</v>
      </c>
      <c r="F187" s="37" t="str">
        <f>IFERROR(VLOOKUP(A187,TblDisponibilidad[],23,FALSE),"No Manejado")</f>
        <v>No Manejado</v>
      </c>
    </row>
    <row r="188" spans="1:6" x14ac:dyDescent="0.3">
      <c r="A188" s="26" t="s">
        <v>248</v>
      </c>
      <c r="B188" s="27" t="s">
        <v>1652</v>
      </c>
      <c r="C188" s="27" t="s">
        <v>1535</v>
      </c>
      <c r="D188" s="27" t="s">
        <v>935</v>
      </c>
      <c r="E188" s="27" t="s">
        <v>934</v>
      </c>
      <c r="F188" s="37" t="str">
        <f>IFERROR(VLOOKUP(A188,TblDisponibilidad[],23,FALSE),"No Manejado")</f>
        <v>No Manejado</v>
      </c>
    </row>
    <row r="189" spans="1:6" x14ac:dyDescent="0.3">
      <c r="A189" s="26" t="s">
        <v>249</v>
      </c>
      <c r="B189" s="27" t="s">
        <v>1656</v>
      </c>
      <c r="C189" s="27" t="s">
        <v>1517</v>
      </c>
      <c r="D189" s="27" t="s">
        <v>1026</v>
      </c>
      <c r="E189" s="27" t="s">
        <v>1221</v>
      </c>
      <c r="F189" s="37" t="str">
        <f>IFERROR(VLOOKUP(A189,TblDisponibilidad[],23,FALSE),"No Manejado")</f>
        <v>No Manejado</v>
      </c>
    </row>
    <row r="190" spans="1:6" x14ac:dyDescent="0.3">
      <c r="A190" s="26" t="s">
        <v>251</v>
      </c>
      <c r="B190" s="27" t="s">
        <v>1656</v>
      </c>
      <c r="C190" s="27" t="s">
        <v>1023</v>
      </c>
      <c r="D190" s="27" t="s">
        <v>930</v>
      </c>
      <c r="E190" s="27" t="s">
        <v>929</v>
      </c>
      <c r="F190" s="37" t="str">
        <f>IFERROR(VLOOKUP(A190,TblDisponibilidad[],23,FALSE),"No Manejado")</f>
        <v>No Manejado</v>
      </c>
    </row>
    <row r="191" spans="1:6" x14ac:dyDescent="0.3">
      <c r="A191" s="26" t="s">
        <v>252</v>
      </c>
      <c r="B191" s="27" t="s">
        <v>1656</v>
      </c>
      <c r="C191" s="27" t="s">
        <v>1009</v>
      </c>
      <c r="D191" s="27" t="s">
        <v>930</v>
      </c>
      <c r="E191" s="27" t="s">
        <v>929</v>
      </c>
      <c r="F191" s="37" t="str">
        <f>IFERROR(VLOOKUP(A191,TblDisponibilidad[],23,FALSE),"No Manejado")</f>
        <v>No Manejado</v>
      </c>
    </row>
    <row r="192" spans="1:6" x14ac:dyDescent="0.3">
      <c r="A192" s="26" t="s">
        <v>254</v>
      </c>
      <c r="B192" s="27" t="s">
        <v>1660</v>
      </c>
      <c r="C192" s="27" t="s">
        <v>1064</v>
      </c>
      <c r="D192" s="27" t="s">
        <v>977</v>
      </c>
      <c r="E192" s="27" t="s">
        <v>934</v>
      </c>
      <c r="F192" s="37" t="str">
        <f>IFERROR(VLOOKUP(A192,TblDisponibilidad[],23,FALSE),"No Manejado")</f>
        <v>No Manejado</v>
      </c>
    </row>
    <row r="193" spans="1:6" x14ac:dyDescent="0.3">
      <c r="A193" s="26" t="s">
        <v>256</v>
      </c>
      <c r="B193" s="27" t="s">
        <v>1661</v>
      </c>
      <c r="C193" s="27" t="s">
        <v>1058</v>
      </c>
      <c r="D193" s="27" t="s">
        <v>930</v>
      </c>
      <c r="E193" s="27" t="s">
        <v>929</v>
      </c>
      <c r="F193" s="37" t="str">
        <f>IFERROR(VLOOKUP(A193,TblDisponibilidad[],23,FALSE),"No Manejado")</f>
        <v>No Manejado</v>
      </c>
    </row>
    <row r="194" spans="1:6" x14ac:dyDescent="0.3">
      <c r="A194" s="26" t="s">
        <v>258</v>
      </c>
      <c r="B194" s="27" t="s">
        <v>1682</v>
      </c>
      <c r="C194" s="27" t="s">
        <v>1018</v>
      </c>
      <c r="D194" s="27" t="s">
        <v>954</v>
      </c>
      <c r="E194" s="27" t="s">
        <v>934</v>
      </c>
      <c r="F194" s="37" t="str">
        <f>IFERROR(VLOOKUP(A194,TblDisponibilidad[],23,FALSE),"No Manejado")</f>
        <v>No Manejado</v>
      </c>
    </row>
    <row r="195" spans="1:6" x14ac:dyDescent="0.3">
      <c r="A195" s="26" t="s">
        <v>259</v>
      </c>
      <c r="B195" s="27" t="s">
        <v>1682</v>
      </c>
      <c r="C195" s="27" t="s">
        <v>1350</v>
      </c>
      <c r="D195" s="27" t="s">
        <v>930</v>
      </c>
      <c r="E195" s="27" t="s">
        <v>929</v>
      </c>
      <c r="F195" s="37" t="str">
        <f>IFERROR(VLOOKUP(A195,TblDisponibilidad[],23,FALSE),"No Manejado")</f>
        <v>No Manejado</v>
      </c>
    </row>
    <row r="196" spans="1:6" x14ac:dyDescent="0.3">
      <c r="A196" s="26" t="s">
        <v>262</v>
      </c>
      <c r="B196" s="27" t="s">
        <v>1688</v>
      </c>
      <c r="C196" s="27" t="s">
        <v>1095</v>
      </c>
      <c r="D196" s="27" t="s">
        <v>930</v>
      </c>
      <c r="E196" s="27" t="s">
        <v>929</v>
      </c>
      <c r="F196" s="37" t="str">
        <f>IFERROR(VLOOKUP(A196,TblDisponibilidad[],23,FALSE),"No Manejado")</f>
        <v>No Manejado</v>
      </c>
    </row>
    <row r="197" spans="1:6" x14ac:dyDescent="0.3">
      <c r="A197" s="26" t="s">
        <v>263</v>
      </c>
      <c r="B197" s="27" t="s">
        <v>1908</v>
      </c>
      <c r="C197" s="27" t="s">
        <v>1909</v>
      </c>
      <c r="D197" s="27" t="s">
        <v>1073</v>
      </c>
      <c r="E197" s="27" t="s">
        <v>1072</v>
      </c>
      <c r="F197" s="37" t="str">
        <f>IFERROR(VLOOKUP(A197,TblDisponibilidad[],23,FALSE),"No Manejado")</f>
        <v>No Manejado</v>
      </c>
    </row>
    <row r="198" spans="1:6" x14ac:dyDescent="0.3">
      <c r="A198" s="26" t="s">
        <v>418</v>
      </c>
      <c r="B198" s="27" t="s">
        <v>1691</v>
      </c>
      <c r="C198" s="27" t="s">
        <v>930</v>
      </c>
      <c r="D198" s="27" t="s">
        <v>1692</v>
      </c>
      <c r="E198" s="27" t="s">
        <v>1360</v>
      </c>
      <c r="F198" s="37" t="str">
        <f>IFERROR(VLOOKUP(A198,TblDisponibilidad[],23,FALSE),"No Manejado")</f>
        <v>No Manejado</v>
      </c>
    </row>
    <row r="199" spans="1:6" x14ac:dyDescent="0.3">
      <c r="A199" s="26" t="s">
        <v>264</v>
      </c>
      <c r="B199" s="27" t="s">
        <v>1910</v>
      </c>
      <c r="C199" s="27" t="s">
        <v>1009</v>
      </c>
      <c r="D199" s="27" t="s">
        <v>930</v>
      </c>
      <c r="E199" s="27" t="s">
        <v>929</v>
      </c>
      <c r="F199" s="37" t="str">
        <f>IFERROR(VLOOKUP(A199,TblDisponibilidad[],23,FALSE),"No Manejado")</f>
        <v>No Manejado</v>
      </c>
    </row>
    <row r="200" spans="1:6" x14ac:dyDescent="0.3">
      <c r="A200" s="26" t="s">
        <v>265</v>
      </c>
      <c r="B200" s="27" t="s">
        <v>1705</v>
      </c>
      <c r="C200" s="27" t="s">
        <v>1706</v>
      </c>
      <c r="D200" s="27" t="s">
        <v>1016</v>
      </c>
      <c r="E200" s="27" t="s">
        <v>950</v>
      </c>
      <c r="F200" s="37" t="str">
        <f>IFERROR(VLOOKUP(A200,TblDisponibilidad[],23,FALSE),"No Manejado")</f>
        <v>No Manejado</v>
      </c>
    </row>
    <row r="201" spans="1:6" x14ac:dyDescent="0.3">
      <c r="A201" s="26" t="s">
        <v>120</v>
      </c>
      <c r="B201" s="27" t="s">
        <v>1707</v>
      </c>
      <c r="C201" s="27" t="s">
        <v>1385</v>
      </c>
      <c r="D201" s="27" t="s">
        <v>1332</v>
      </c>
      <c r="E201" s="27" t="s">
        <v>976</v>
      </c>
      <c r="F201" s="37" t="str">
        <f>IFERROR(VLOOKUP(A201,TblDisponibilidad[],23,FALSE),"No Manejado")</f>
        <v>No Manejado</v>
      </c>
    </row>
    <row r="202" spans="1:6" x14ac:dyDescent="0.3">
      <c r="A202" s="26" t="s">
        <v>267</v>
      </c>
      <c r="B202" s="27" t="s">
        <v>1713</v>
      </c>
      <c r="C202" s="27" t="s">
        <v>1714</v>
      </c>
      <c r="D202" s="27" t="s">
        <v>977</v>
      </c>
      <c r="E202" s="27" t="s">
        <v>934</v>
      </c>
      <c r="F202" s="37" t="str">
        <f>IFERROR(VLOOKUP(A202,TblDisponibilidad[],23,FALSE),"No Manejado")</f>
        <v>No Manejado</v>
      </c>
    </row>
    <row r="203" spans="1:6" x14ac:dyDescent="0.3">
      <c r="A203" s="26" t="s">
        <v>268</v>
      </c>
      <c r="B203" s="27" t="s">
        <v>1715</v>
      </c>
      <c r="C203" s="27" t="s">
        <v>1716</v>
      </c>
      <c r="D203" s="27" t="s">
        <v>1208</v>
      </c>
      <c r="E203" s="27" t="s">
        <v>934</v>
      </c>
      <c r="F203" s="37" t="str">
        <f>IFERROR(VLOOKUP(A203,TblDisponibilidad[],23,FALSE),"No Manejado")</f>
        <v>No Manejado</v>
      </c>
    </row>
    <row r="204" spans="1:6" x14ac:dyDescent="0.3">
      <c r="A204" s="26" t="s">
        <v>269</v>
      </c>
      <c r="B204" s="27" t="s">
        <v>1715</v>
      </c>
      <c r="C204" s="27" t="s">
        <v>1716</v>
      </c>
      <c r="D204" s="27" t="s">
        <v>962</v>
      </c>
      <c r="E204" s="27" t="s">
        <v>934</v>
      </c>
      <c r="F204" s="37" t="str">
        <f>IFERROR(VLOOKUP(A204,TblDisponibilidad[],23,FALSE),"No Manejado")</f>
        <v>No Manejado</v>
      </c>
    </row>
    <row r="205" spans="1:6" x14ac:dyDescent="0.3">
      <c r="A205" s="26" t="s">
        <v>270</v>
      </c>
      <c r="B205" s="27" t="s">
        <v>1715</v>
      </c>
      <c r="C205" s="27" t="s">
        <v>1716</v>
      </c>
      <c r="D205" s="27" t="s">
        <v>1016</v>
      </c>
      <c r="E205" s="27" t="s">
        <v>934</v>
      </c>
      <c r="F205" s="37" t="str">
        <f>IFERROR(VLOOKUP(A205,TblDisponibilidad[],23,FALSE),"No Manejado")</f>
        <v>No Manejado</v>
      </c>
    </row>
    <row r="206" spans="1:6" x14ac:dyDescent="0.3">
      <c r="A206" s="26" t="s">
        <v>271</v>
      </c>
      <c r="B206" s="27" t="s">
        <v>1715</v>
      </c>
      <c r="C206" s="27" t="s">
        <v>1716</v>
      </c>
      <c r="D206" s="27" t="s">
        <v>997</v>
      </c>
      <c r="E206" s="27" t="s">
        <v>934</v>
      </c>
      <c r="F206" s="37" t="str">
        <f>IFERROR(VLOOKUP(A206,TblDisponibilidad[],23,FALSE),"No Manejado")</f>
        <v>No Manejado</v>
      </c>
    </row>
    <row r="207" spans="1:6" x14ac:dyDescent="0.3">
      <c r="A207" s="26" t="s">
        <v>272</v>
      </c>
      <c r="B207" s="27" t="s">
        <v>1715</v>
      </c>
      <c r="C207" s="27" t="s">
        <v>1535</v>
      </c>
      <c r="D207" s="27" t="s">
        <v>977</v>
      </c>
      <c r="E207" s="27" t="s">
        <v>934</v>
      </c>
      <c r="F207" s="37" t="str">
        <f>IFERROR(VLOOKUP(A207,TblDisponibilidad[],23,FALSE),"No Manejado")</f>
        <v>No Manejado</v>
      </c>
    </row>
    <row r="208" spans="1:6" x14ac:dyDescent="0.3">
      <c r="A208" s="26" t="s">
        <v>273</v>
      </c>
      <c r="B208" s="27" t="s">
        <v>1717</v>
      </c>
      <c r="C208" s="27" t="s">
        <v>1718</v>
      </c>
      <c r="D208" s="27" t="s">
        <v>1719</v>
      </c>
      <c r="E208" s="27" t="s">
        <v>950</v>
      </c>
      <c r="F208" s="37" t="str">
        <f>IFERROR(VLOOKUP(A208,TblDisponibilidad[],23,FALSE),"No Manejado")</f>
        <v>No Manejado</v>
      </c>
    </row>
    <row r="209" spans="1:6" x14ac:dyDescent="0.3">
      <c r="A209" s="26" t="s">
        <v>275</v>
      </c>
      <c r="B209" s="27" t="s">
        <v>1763</v>
      </c>
      <c r="C209" s="27" t="s">
        <v>1228</v>
      </c>
      <c r="D209" s="27" t="s">
        <v>994</v>
      </c>
      <c r="E209" s="27" t="s">
        <v>1087</v>
      </c>
      <c r="F209" s="37" t="str">
        <f>IFERROR(VLOOKUP(A209,TblDisponibilidad[],23,FALSE),"No Manejado")</f>
        <v>No Manejado</v>
      </c>
    </row>
    <row r="210" spans="1:6" x14ac:dyDescent="0.3">
      <c r="A210" s="26" t="s">
        <v>148</v>
      </c>
      <c r="B210" s="27" t="s">
        <v>1765</v>
      </c>
      <c r="C210" s="27" t="s">
        <v>1768</v>
      </c>
      <c r="D210" s="27" t="s">
        <v>930</v>
      </c>
      <c r="E210" s="27" t="s">
        <v>929</v>
      </c>
      <c r="F210" s="37" t="str">
        <f>IFERROR(VLOOKUP(A210,TblDisponibilidad[],23,FALSE),"No Manejado")</f>
        <v>No Manejado</v>
      </c>
    </row>
    <row r="211" spans="1:6" x14ac:dyDescent="0.3">
      <c r="A211" s="26" t="s">
        <v>276</v>
      </c>
      <c r="B211" s="27" t="s">
        <v>1765</v>
      </c>
      <c r="C211" s="27" t="s">
        <v>1766</v>
      </c>
      <c r="D211" s="27" t="s">
        <v>1027</v>
      </c>
      <c r="E211" s="27" t="s">
        <v>976</v>
      </c>
      <c r="F211" s="37" t="str">
        <f>IFERROR(VLOOKUP(A211,TblDisponibilidad[],23,FALSE),"No Manejado")</f>
        <v>No Manejado</v>
      </c>
    </row>
    <row r="212" spans="1:6" x14ac:dyDescent="0.3">
      <c r="A212" s="26" t="s">
        <v>434</v>
      </c>
      <c r="B212" s="27" t="s">
        <v>1911</v>
      </c>
      <c r="C212" s="27" t="s">
        <v>1018</v>
      </c>
      <c r="D212" s="27" t="s">
        <v>1565</v>
      </c>
      <c r="E212" s="27" t="s">
        <v>934</v>
      </c>
      <c r="F212" s="37" t="str">
        <f>IFERROR(VLOOKUP(A212,TblDisponibilidad[],23,FALSE),"No Manejado")</f>
        <v>No Manejado</v>
      </c>
    </row>
    <row r="213" spans="1:6" x14ac:dyDescent="0.3">
      <c r="A213" s="26" t="s">
        <v>617</v>
      </c>
      <c r="B213" s="27" t="s">
        <v>1805</v>
      </c>
      <c r="C213" s="27" t="s">
        <v>938</v>
      </c>
      <c r="D213" s="27" t="s">
        <v>930</v>
      </c>
      <c r="E213" s="27" t="s">
        <v>929</v>
      </c>
      <c r="F213" s="37" t="str">
        <f>IFERROR(VLOOKUP(A213,TblDisponibilidad[],23,FALSE),"No Manejado")</f>
        <v>No Manejado</v>
      </c>
    </row>
    <row r="214" spans="1:6" x14ac:dyDescent="0.3">
      <c r="A214" s="26" t="s">
        <v>277</v>
      </c>
      <c r="B214" s="27" t="s">
        <v>1912</v>
      </c>
      <c r="C214" s="27" t="s">
        <v>1130</v>
      </c>
      <c r="D214" s="27" t="s">
        <v>1065</v>
      </c>
      <c r="E214" s="27" t="s">
        <v>950</v>
      </c>
      <c r="F214" s="37" t="str">
        <f>IFERROR(VLOOKUP(A214,TblDisponibilidad[],23,FALSE),"No Manejado")</f>
        <v>No Manejado</v>
      </c>
    </row>
    <row r="215" spans="1:6" x14ac:dyDescent="0.3">
      <c r="A215" s="26" t="s">
        <v>279</v>
      </c>
      <c r="B215" s="27" t="s">
        <v>1809</v>
      </c>
      <c r="C215" s="27" t="s">
        <v>1012</v>
      </c>
      <c r="D215" s="27" t="s">
        <v>1004</v>
      </c>
      <c r="E215" s="27" t="s">
        <v>934</v>
      </c>
      <c r="F215" s="37" t="str">
        <f>IFERROR(VLOOKUP(A215,TblDisponibilidad[],23,FALSE),"No Manejado")</f>
        <v>No Manejado</v>
      </c>
    </row>
    <row r="216" spans="1:6" x14ac:dyDescent="0.3">
      <c r="A216" s="26" t="s">
        <v>280</v>
      </c>
      <c r="B216" s="27" t="s">
        <v>1809</v>
      </c>
      <c r="C216" s="27" t="s">
        <v>1009</v>
      </c>
      <c r="D216" s="27" t="s">
        <v>930</v>
      </c>
      <c r="E216" s="27" t="s">
        <v>929</v>
      </c>
      <c r="F216" s="37" t="str">
        <f>IFERROR(VLOOKUP(A216,TblDisponibilidad[],23,FALSE),"No Manejado")</f>
        <v>No Manejado</v>
      </c>
    </row>
    <row r="217" spans="1:6" x14ac:dyDescent="0.3">
      <c r="A217" s="26" t="s">
        <v>281</v>
      </c>
      <c r="B217" s="27" t="s">
        <v>1810</v>
      </c>
      <c r="C217" s="27" t="s">
        <v>1064</v>
      </c>
      <c r="D217" s="27" t="s">
        <v>1332</v>
      </c>
      <c r="E217" s="27" t="s">
        <v>950</v>
      </c>
      <c r="F217" s="37" t="str">
        <f>IFERROR(VLOOKUP(A217,TblDisponibilidad[],23,FALSE),"No Manejado")</f>
        <v>No Manejado</v>
      </c>
    </row>
    <row r="218" spans="1:6" x14ac:dyDescent="0.3">
      <c r="A218" s="26" t="s">
        <v>292</v>
      </c>
      <c r="B218" s="27" t="s">
        <v>1832</v>
      </c>
      <c r="C218" s="27" t="s">
        <v>1028</v>
      </c>
      <c r="D218" s="27" t="s">
        <v>930</v>
      </c>
      <c r="E218" s="27" t="s">
        <v>929</v>
      </c>
      <c r="F218" s="37" t="str">
        <f>IFERROR(VLOOKUP(A218,TblDisponibilidad[],23,FALSE),"No Manejado")</f>
        <v>No Manejado</v>
      </c>
    </row>
    <row r="219" spans="1:6" ht="15" thickBot="1" x14ac:dyDescent="0.35">
      <c r="A219" s="29" t="s">
        <v>293</v>
      </c>
      <c r="B219" s="30" t="s">
        <v>1913</v>
      </c>
      <c r="C219" s="30" t="s">
        <v>1028</v>
      </c>
      <c r="D219" s="30" t="s">
        <v>930</v>
      </c>
      <c r="E219" s="30" t="s">
        <v>934</v>
      </c>
      <c r="F219" s="37" t="str">
        <f>IFERROR(VLOOKUP(A219,TblDisponibilidad[],23,FALSE),"No Manejado")</f>
        <v>No Manejado</v>
      </c>
    </row>
  </sheetData>
  <mergeCells count="1"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F22"/>
  <sheetViews>
    <sheetView workbookViewId="0">
      <selection activeCell="B2" sqref="B2:F2"/>
    </sheetView>
  </sheetViews>
  <sheetFormatPr baseColWidth="10" defaultColWidth="11.44140625" defaultRowHeight="14.4" x14ac:dyDescent="0.3"/>
  <cols>
    <col min="1" max="1" width="0.6640625" customWidth="1"/>
    <col min="2" max="2" width="15.44140625" bestFit="1" customWidth="1"/>
    <col min="5" max="5" width="15.44140625" bestFit="1" customWidth="1"/>
    <col min="6" max="6" width="11.88671875" bestFit="1" customWidth="1"/>
  </cols>
  <sheetData>
    <row r="1" spans="2:6" ht="15" thickBot="1" x14ac:dyDescent="0.35"/>
    <row r="2" spans="2:6" ht="15" thickBot="1" x14ac:dyDescent="0.35">
      <c r="B2" s="76" t="e">
        <f>"NIVEL DE ABASTECIMIENTO AL "&amp;MID(#REF!,10,10)</f>
        <v>#REF!</v>
      </c>
      <c r="C2" s="77"/>
      <c r="D2" s="77"/>
      <c r="E2" s="77"/>
      <c r="F2" s="78"/>
    </row>
    <row r="3" spans="2:6" ht="15" thickBot="1" x14ac:dyDescent="0.35">
      <c r="B3" s="79" t="s">
        <v>1914</v>
      </c>
      <c r="C3" s="80"/>
      <c r="D3" s="50"/>
      <c r="E3" s="79" t="s">
        <v>1915</v>
      </c>
      <c r="F3" s="80"/>
    </row>
    <row r="4" spans="2:6" ht="15" thickBot="1" x14ac:dyDescent="0.35">
      <c r="B4" s="51" t="s">
        <v>1916</v>
      </c>
      <c r="C4" s="52" t="e">
        <f>Disponibilidad!T2</f>
        <v>#DIV/0!</v>
      </c>
      <c r="D4" s="50"/>
      <c r="E4" s="51" t="s">
        <v>1916</v>
      </c>
      <c r="F4" s="52" t="e">
        <f>Esenciales!F1</f>
        <v>#DIV/0!</v>
      </c>
    </row>
    <row r="5" spans="2:6" x14ac:dyDescent="0.3">
      <c r="B5" s="53" t="s">
        <v>958</v>
      </c>
      <c r="C5" s="54" t="e">
        <f>(COUNTIF(TblDisponibilidad[Estado],"DESABASTECIDO")) / ((COUNTIF(TblDisponibilidad[Estado],"DESABASTECIDO"))+(COUNTIF(TblDisponibilidad[Estado],"SUB STOCK"))+(COUNTIF(TblDisponibilidad[Estado],"NORMO STOCK"))+(COUNTIF(TblDisponibilidad[Estado],"SOBRE STOCK")))</f>
        <v>#DIV/0!</v>
      </c>
      <c r="D5" s="50"/>
      <c r="E5" s="53" t="s">
        <v>958</v>
      </c>
      <c r="F5" s="54" t="e">
        <f>(COUNTIF(Esenciales!F4:F500,"DESABASTECIDO")) / ((COUNTIF(Esenciales!F4:F500,"DESABASTECIDO"))+(COUNTIF(Esenciales!F4:F500,"SUB STOCK"))+(COUNTIF(Esenciales!F4:F500,"NORMO STOCK"))+(COUNTIF(Esenciales!F4:F500,"SOBRE STOCK")))</f>
        <v>#DIV/0!</v>
      </c>
    </row>
    <row r="6" spans="2:6" x14ac:dyDescent="0.3">
      <c r="B6" s="55" t="s">
        <v>946</v>
      </c>
      <c r="C6" s="56" t="e">
        <f>(COUNTIF(TblDisponibilidad[Estado],"SUB STOCK")) / ((COUNTIF(TblDisponibilidad[Estado],"DESABASTECIDO"))+(COUNTIF(TblDisponibilidad[Estado],"SUB STOCK"))+(COUNTIF(TblDisponibilidad[Estado],"NORMO STOCK"))+(COUNTIF(TblDisponibilidad[Estado],"SOBRE STOCK")))</f>
        <v>#DIV/0!</v>
      </c>
      <c r="D6" s="50"/>
      <c r="E6" s="55" t="s">
        <v>946</v>
      </c>
      <c r="F6" s="56" t="e">
        <f>(COUNTIF(Esenciales!F4:F500,"SUB STOCK")) / ((COUNTIF(Esenciales!F4:F500,"DESABASTECIDO"))+(COUNTIF(Esenciales!F4:F500,"SUB STOCK"))+(COUNTIF(Esenciales!F4:F500,"NORMO STOCK"))+(COUNTIF(Esenciales!F4:F500,"SOBRE STOCK")))</f>
        <v>#DIV/0!</v>
      </c>
    </row>
    <row r="7" spans="2:6" x14ac:dyDescent="0.3">
      <c r="B7" s="57" t="s">
        <v>931</v>
      </c>
      <c r="C7" s="58" t="e">
        <f>(COUNTIF(TblDisponibilidad[Estado],"NORMO STOCK")) / ((COUNTIF(TblDisponibilidad[Estado],"DESABASTECIDO"))+(COUNTIF(TblDisponibilidad[Estado],"SUB STOCK"))+(COUNTIF(TblDisponibilidad[Estado],"NORMO STOCK"))+(COUNTIF(TblDisponibilidad[Estado],"SOBRE STOCK")))</f>
        <v>#DIV/0!</v>
      </c>
      <c r="D7" s="50"/>
      <c r="E7" s="57" t="s">
        <v>931</v>
      </c>
      <c r="F7" s="58" t="e">
        <f>(COUNTIF(Esenciales!F4:F500,"NORMO STOCK")) / ((COUNTIF(Esenciales!F4:F500,"DESABASTECIDO"))+(COUNTIF(Esenciales!F4:F500,"SUB STOCK"))+(COUNTIF(Esenciales!F4:F500,"NORMO STOCK"))+(COUNTIF(Esenciales!F4:F500,"SOBRE STOCK")))</f>
        <v>#DIV/0!</v>
      </c>
    </row>
    <row r="8" spans="2:6" ht="15" thickBot="1" x14ac:dyDescent="0.35">
      <c r="B8" s="59" t="s">
        <v>943</v>
      </c>
      <c r="C8" s="60" t="e">
        <f>(COUNTIF(TblDisponibilidad[Estado],"SOBRE STOCK")) / ((COUNTIF(TblDisponibilidad[Estado],"DESABASTECIDO"))+(COUNTIF(TblDisponibilidad[Estado],"SUB STOCK"))+(COUNTIF(TblDisponibilidad[Estado],"NORMO STOCK"))+(COUNTIF(TblDisponibilidad[Estado],"SOBRE STOCK")))</f>
        <v>#DIV/0!</v>
      </c>
      <c r="D8" s="50"/>
      <c r="E8" s="59" t="s">
        <v>943</v>
      </c>
      <c r="F8" s="60" t="e">
        <f>(COUNTIF(Esenciales!F4:F500,"SOBRE STOCK")) / ((COUNTIF(Esenciales!F4:F500,"DESABASTECIDO"))+(COUNTIF(Esenciales!F4:F500,"SUB STOCK"))+(COUNTIF(Esenciales!F4:F500,"NORMO STOCK"))+(COUNTIF(Esenciales!F4:F500,"SOBRE STOCK")))</f>
        <v>#DIV/0!</v>
      </c>
    </row>
    <row r="9" spans="2:6" ht="15" thickBot="1" x14ac:dyDescent="0.35">
      <c r="B9" s="61"/>
      <c r="C9" s="50"/>
      <c r="D9" s="50"/>
      <c r="E9" s="50"/>
      <c r="F9" s="62"/>
    </row>
    <row r="10" spans="2:6" ht="15" thickBot="1" x14ac:dyDescent="0.35">
      <c r="B10" s="79" t="s">
        <v>1917</v>
      </c>
      <c r="C10" s="80"/>
      <c r="D10" s="50"/>
      <c r="E10" s="79" t="s">
        <v>1918</v>
      </c>
      <c r="F10" s="80"/>
    </row>
    <row r="11" spans="2:6" ht="15" thickBot="1" x14ac:dyDescent="0.35">
      <c r="B11" s="51" t="s">
        <v>1916</v>
      </c>
      <c r="C11" s="52">
        <f>Medicamentos!F2</f>
        <v>0.64133738601823709</v>
      </c>
      <c r="D11" s="50"/>
      <c r="E11" s="51" t="s">
        <v>1916</v>
      </c>
      <c r="F11" s="52">
        <f>'Material Medico'!F2</f>
        <v>0.60649819494584833</v>
      </c>
    </row>
    <row r="12" spans="2:6" x14ac:dyDescent="0.3">
      <c r="B12" s="53" t="s">
        <v>958</v>
      </c>
      <c r="C12" s="54">
        <f>(COUNTIF(Medicamentos!F4:F500,"DESABASTECIDO")) / ((COUNTIF(Medicamentos!F4:F500,"DESABASTECIDO"))+(COUNTIF(Medicamentos!F4:F500,"SUB STOCK"))+(COUNTIF(Medicamentos!F4:F500,"NORMO STOCK"))+(COUNTIF(Medicamentos!F4:F500,"SOBRE STOCK")))</f>
        <v>0.11854103343465046</v>
      </c>
      <c r="D12" s="50"/>
      <c r="E12" s="53" t="s">
        <v>958</v>
      </c>
      <c r="F12" s="54">
        <f>(COUNTIF('Material Medico'!F4:F478,"DESABASTECIDO")) / ((COUNTIF('Material Medico'!F4:F478,"DESABASTECIDO"))+(COUNTIF('Material Medico'!F4:F478,"SUB STOCK"))+(COUNTIF('Material Medico'!F4:F478,"NORMO STOCK"))+(COUNTIF('Material Medico'!F4:F478,"SOBRE STOCK")))</f>
        <v>0.1407942238267148</v>
      </c>
    </row>
    <row r="13" spans="2:6" x14ac:dyDescent="0.3">
      <c r="B13" s="55" t="s">
        <v>946</v>
      </c>
      <c r="C13" s="56">
        <f>(COUNTIF(Medicamentos!F4:F500,"SUB STOCK")) / ((COUNTIF(Medicamentos!F4:F500,"DESABASTECIDO"))+(COUNTIF(Medicamentos!F4:F500,"SUB STOCK"))+(COUNTIF(Medicamentos!F4:F500,"NORMO STOCK"))+(COUNTIF(Medicamentos!F4:F500,"SOBRE STOCK")))</f>
        <v>0.24012158054711247</v>
      </c>
      <c r="D13" s="50"/>
      <c r="E13" s="55" t="s">
        <v>946</v>
      </c>
      <c r="F13" s="56">
        <f>(COUNTIF('Material Medico'!F4:F478,"SUB STOCK")) / ((COUNTIF('Material Medico'!F4:F478,"DESABASTECIDO"))+(COUNTIF('Material Medico'!F4:F478,"SUB STOCK"))+(COUNTIF('Material Medico'!F4:F478,"NORMO STOCK"))+(COUNTIF('Material Medico'!F4:F478,"SOBRE STOCK")))</f>
        <v>0.25270758122743681</v>
      </c>
    </row>
    <row r="14" spans="2:6" x14ac:dyDescent="0.3">
      <c r="B14" s="57" t="s">
        <v>931</v>
      </c>
      <c r="C14" s="58">
        <f>(COUNTIF(Medicamentos!F4:F500,"NORMO STOCK")) / ((COUNTIF(Medicamentos!F4:F500,"DESABASTECIDO"))+(COUNTIF(Medicamentos!F4:F500,"SUB STOCK"))+(COUNTIF(Medicamentos!F4:F500,"NORMO STOCK"))+(COUNTIF(Medicamentos!F4:F500,"SOBRE STOCK")))</f>
        <v>0.31914893617021278</v>
      </c>
      <c r="D14" s="50"/>
      <c r="E14" s="57" t="s">
        <v>931</v>
      </c>
      <c r="F14" s="58">
        <f>(COUNTIF('Material Medico'!F4:F478,"NORMO STOCK")) / ((COUNTIF('Material Medico'!F4:F478,"DESABASTECIDO"))+(COUNTIF('Material Medico'!F4:F478,"SUB STOCK"))+(COUNTIF('Material Medico'!F4:F478,"NORMO STOCK"))+(COUNTIF('Material Medico'!F4:F478,"SOBRE STOCK")))</f>
        <v>0.28880866425992779</v>
      </c>
    </row>
    <row r="15" spans="2:6" ht="15" thickBot="1" x14ac:dyDescent="0.35">
      <c r="B15" s="59" t="s">
        <v>943</v>
      </c>
      <c r="C15" s="60">
        <f>(COUNTIF(Medicamentos!F4:F500,"SOBRE STOCK")) / ((COUNTIF(Medicamentos!F4:F500,"DESABASTECIDO"))+(COUNTIF(Medicamentos!F4:F500,"SUB STOCK"))+(COUNTIF(Medicamentos!F4:F500,"NORMO STOCK"))+(COUNTIF(Medicamentos!F4:F500,"SOBRE STOCK")))</f>
        <v>0.32218844984802431</v>
      </c>
      <c r="D15" s="50"/>
      <c r="E15" s="59" t="s">
        <v>943</v>
      </c>
      <c r="F15" s="60">
        <f>(COUNTIF('Material Medico'!F4:F478,"SOBRE STOCK")) / ((COUNTIF('Material Medico'!F4:F478,"DESABASTECIDO"))+(COUNTIF('Material Medico'!F4:F478,"SUB STOCK"))+(COUNTIF('Material Medico'!F4:F478,"NORMO STOCK"))+(COUNTIF('Material Medico'!F4:F478,"SOBRE STOCK")))</f>
        <v>0.3176895306859206</v>
      </c>
    </row>
    <row r="16" spans="2:6" ht="15" thickBot="1" x14ac:dyDescent="0.35">
      <c r="B16" s="61"/>
      <c r="C16" s="50"/>
      <c r="D16" s="50"/>
      <c r="E16" s="50"/>
      <c r="F16" s="62"/>
    </row>
    <row r="17" spans="2:6" ht="15" thickBot="1" x14ac:dyDescent="0.35">
      <c r="B17" s="61"/>
      <c r="C17" s="73"/>
      <c r="D17" s="74"/>
      <c r="E17" s="75"/>
      <c r="F17" s="62"/>
    </row>
    <row r="18" spans="2:6" ht="15" thickBot="1" x14ac:dyDescent="0.35">
      <c r="B18" s="61"/>
      <c r="C18" s="73"/>
      <c r="D18" s="81"/>
      <c r="E18" s="63"/>
      <c r="F18" s="62"/>
    </row>
    <row r="19" spans="2:6" x14ac:dyDescent="0.3">
      <c r="B19" s="61"/>
      <c r="C19" s="82"/>
      <c r="D19" s="83"/>
      <c r="E19" s="64"/>
      <c r="F19" s="62"/>
    </row>
    <row r="20" spans="2:6" x14ac:dyDescent="0.3">
      <c r="B20" s="61"/>
      <c r="C20" s="82"/>
      <c r="D20" s="83"/>
      <c r="E20" s="64"/>
      <c r="F20" s="62"/>
    </row>
    <row r="21" spans="2:6" ht="15" thickBot="1" x14ac:dyDescent="0.35">
      <c r="B21" s="61"/>
      <c r="C21" s="84"/>
      <c r="D21" s="85"/>
      <c r="E21" s="65"/>
      <c r="F21" s="62"/>
    </row>
    <row r="22" spans="2:6" ht="15" thickBot="1" x14ac:dyDescent="0.35">
      <c r="B22" s="86" t="s">
        <v>1919</v>
      </c>
      <c r="C22" s="87"/>
      <c r="D22" s="87"/>
      <c r="E22" s="87"/>
      <c r="F22" s="88"/>
    </row>
  </sheetData>
  <mergeCells count="11">
    <mergeCell ref="C18:D18"/>
    <mergeCell ref="C19:D19"/>
    <mergeCell ref="C20:D20"/>
    <mergeCell ref="C21:D21"/>
    <mergeCell ref="B22:F22"/>
    <mergeCell ref="C17:E17"/>
    <mergeCell ref="B2:F2"/>
    <mergeCell ref="B3:C3"/>
    <mergeCell ref="E3:F3"/>
    <mergeCell ref="B10:C10"/>
    <mergeCell ref="E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Disponibilidad</vt:lpstr>
      <vt:lpstr>Disp SIS</vt:lpstr>
      <vt:lpstr>Disp UCI</vt:lpstr>
      <vt:lpstr>Medicamentos</vt:lpstr>
      <vt:lpstr>Material Medico</vt:lpstr>
      <vt:lpstr>SOP</vt:lpstr>
      <vt:lpstr>Medicamento. Estrategia</vt:lpstr>
      <vt:lpstr>Material M. Estrategia</vt:lpstr>
      <vt:lpstr>Material M. Esenciales</vt:lpstr>
      <vt:lpstr>Esenciales Nuevo</vt:lpstr>
      <vt:lpstr>Esenciales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Delgado Marcos</dc:creator>
  <cp:lastModifiedBy>Juan Manuel Delgado Marcos</cp:lastModifiedBy>
  <dcterms:created xsi:type="dcterms:W3CDTF">2022-08-22T17:09:56Z</dcterms:created>
  <dcterms:modified xsi:type="dcterms:W3CDTF">2024-07-17T16:11:16Z</dcterms:modified>
</cp:coreProperties>
</file>